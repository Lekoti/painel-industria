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\"/>
    </mc:Choice>
  </mc:AlternateContent>
  <xr:revisionPtr revIDLastSave="0" documentId="13_ncr:1_{04926A33-FF2D-4A1D-9E96-80914746D493}" xr6:coauthVersionLast="47" xr6:coauthVersionMax="47" xr10:uidLastSave="{00000000-0000-0000-0000-000000000000}"/>
  <bookViews>
    <workbookView xWindow="-19200" yWindow="-4605" windowWidth="19200" windowHeight="15600" activeTab="1" xr2:uid="{00000000-000D-0000-FFFF-FFFF00000000}"/>
  </bookViews>
  <sheets>
    <sheet name="POLITICA" sheetId="1" r:id="rId1"/>
    <sheet name="PENDENCIAS" sheetId="4" r:id="rId2"/>
  </sheets>
  <externalReferences>
    <externalReference r:id="rId3"/>
    <externalReference r:id="rId4"/>
  </externalReferences>
  <definedNames>
    <definedName name="_xlnm._FilterDatabase" localSheetId="0" hidden="1">POLITICA!$A$5:$WUF$410</definedName>
    <definedName name="CALCULADORA_PADRAO_DESC">[1]CALCULADORA!$BH:$BH</definedName>
    <definedName name="CALCULADORA_SKU">[1]CALCULADORA!$A:$A</definedName>
    <definedName name="REFERENCIA_POLITICA">[2]CALCULADORA!$A:$CB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9" i="1" l="1"/>
  <c r="M409" i="1" s="1"/>
  <c r="P409" i="1" s="1"/>
  <c r="I409" i="1"/>
  <c r="J409" i="1" s="1"/>
  <c r="L116" i="1"/>
  <c r="M116" i="1" s="1"/>
  <c r="P116" i="1" s="1"/>
  <c r="I116" i="1"/>
  <c r="J116" i="1" s="1"/>
  <c r="L115" i="1"/>
  <c r="M115" i="1" s="1"/>
  <c r="P115" i="1" s="1"/>
  <c r="I115" i="1"/>
  <c r="J115" i="1" s="1"/>
  <c r="L408" i="1" l="1"/>
  <c r="M408" i="1" s="1"/>
  <c r="P408" i="1" s="1"/>
  <c r="I408" i="1"/>
  <c r="J408" i="1" s="1"/>
  <c r="L407" i="1"/>
  <c r="M407" i="1" s="1"/>
  <c r="P407" i="1" s="1"/>
  <c r="I407" i="1"/>
  <c r="J407" i="1" s="1"/>
  <c r="L403" i="1"/>
  <c r="M403" i="1" s="1"/>
  <c r="P403" i="1" s="1"/>
  <c r="I403" i="1"/>
  <c r="J403" i="1" s="1"/>
  <c r="L402" i="1"/>
  <c r="M402" i="1" s="1"/>
  <c r="I402" i="1"/>
  <c r="J402" i="1" s="1"/>
  <c r="L401" i="1"/>
  <c r="M401" i="1" s="1"/>
  <c r="P401" i="1" s="1"/>
  <c r="I401" i="1"/>
  <c r="J401" i="1" s="1"/>
  <c r="L400" i="1"/>
  <c r="M400" i="1" s="1"/>
  <c r="P400" i="1" s="1"/>
  <c r="I400" i="1"/>
  <c r="J400" i="1" s="1"/>
  <c r="L399" i="1"/>
  <c r="M399" i="1" s="1"/>
  <c r="P399" i="1" s="1"/>
  <c r="I399" i="1"/>
  <c r="J399" i="1" s="1"/>
  <c r="L398" i="1"/>
  <c r="M398" i="1" s="1"/>
  <c r="I398" i="1"/>
  <c r="J398" i="1" s="1"/>
  <c r="L406" i="1"/>
  <c r="M406" i="1" s="1"/>
  <c r="P406" i="1" s="1"/>
  <c r="I406" i="1"/>
  <c r="J406" i="1" s="1"/>
  <c r="L405" i="1"/>
  <c r="M405" i="1" s="1"/>
  <c r="P405" i="1" s="1"/>
  <c r="I405" i="1"/>
  <c r="J405" i="1" s="1"/>
  <c r="L404" i="1"/>
  <c r="M404" i="1" s="1"/>
  <c r="P404" i="1" s="1"/>
  <c r="I404" i="1"/>
  <c r="J404" i="1" s="1"/>
  <c r="L393" i="1"/>
  <c r="M393" i="1" s="1"/>
  <c r="P393" i="1" s="1"/>
  <c r="I393" i="1"/>
  <c r="J393" i="1" s="1"/>
  <c r="L392" i="1"/>
  <c r="M392" i="1" s="1"/>
  <c r="P392" i="1" s="1"/>
  <c r="I392" i="1"/>
  <c r="J392" i="1" s="1"/>
  <c r="L391" i="1"/>
  <c r="M391" i="1" s="1"/>
  <c r="P391" i="1" s="1"/>
  <c r="I391" i="1"/>
  <c r="J391" i="1" s="1"/>
  <c r="L390" i="1"/>
  <c r="M390" i="1" s="1"/>
  <c r="P390" i="1" s="1"/>
  <c r="I390" i="1"/>
  <c r="J390" i="1" s="1"/>
  <c r="L389" i="1"/>
  <c r="M389" i="1" s="1"/>
  <c r="P389" i="1" s="1"/>
  <c r="I389" i="1"/>
  <c r="J389" i="1" s="1"/>
  <c r="P398" i="1" l="1"/>
  <c r="P402" i="1"/>
  <c r="L119" i="1"/>
  <c r="M119" i="1" s="1"/>
  <c r="P119" i="1" s="1"/>
  <c r="I119" i="1"/>
  <c r="J119" i="1" s="1"/>
  <c r="L410" i="1" l="1"/>
  <c r="M410" i="1" s="1"/>
  <c r="P410" i="1" s="1"/>
  <c r="I410" i="1"/>
  <c r="J410" i="1" s="1"/>
  <c r="L397" i="1"/>
  <c r="M397" i="1" s="1"/>
  <c r="P397" i="1" s="1"/>
  <c r="I397" i="1"/>
  <c r="J397" i="1" s="1"/>
  <c r="L396" i="1"/>
  <c r="M396" i="1" s="1"/>
  <c r="P396" i="1" s="1"/>
  <c r="I396" i="1"/>
  <c r="J396" i="1" s="1"/>
  <c r="L395" i="1"/>
  <c r="M395" i="1" s="1"/>
  <c r="P395" i="1" s="1"/>
  <c r="I395" i="1"/>
  <c r="J395" i="1" s="1"/>
  <c r="L339" i="1"/>
  <c r="M339" i="1" s="1"/>
  <c r="P339" i="1" s="1"/>
  <c r="I339" i="1"/>
  <c r="J339" i="1" s="1"/>
  <c r="L144" i="1"/>
  <c r="M144" i="1" s="1"/>
  <c r="I144" i="1"/>
  <c r="J144" i="1" s="1"/>
  <c r="L143" i="1"/>
  <c r="M143" i="1" s="1"/>
  <c r="I143" i="1"/>
  <c r="J143" i="1" s="1"/>
  <c r="P143" i="1" l="1"/>
  <c r="P144" i="1"/>
  <c r="L327" i="1"/>
  <c r="M327" i="1" s="1"/>
  <c r="P327" i="1" s="1"/>
  <c r="L326" i="1"/>
  <c r="M326" i="1" s="1"/>
  <c r="P326" i="1" s="1"/>
  <c r="J327" i="1"/>
  <c r="I327" i="1"/>
  <c r="J326" i="1"/>
  <c r="I326" i="1"/>
  <c r="L250" i="1"/>
  <c r="M250" i="1" s="1"/>
  <c r="P250" i="1" s="1"/>
  <c r="I250" i="1"/>
  <c r="J250" i="1" s="1"/>
  <c r="L249" i="1"/>
  <c r="M249" i="1" s="1"/>
  <c r="P249" i="1" s="1"/>
  <c r="I249" i="1"/>
  <c r="J249" i="1" s="1"/>
  <c r="L248" i="1"/>
  <c r="M248" i="1" s="1"/>
  <c r="P248" i="1" s="1"/>
  <c r="I248" i="1"/>
  <c r="J248" i="1" s="1"/>
  <c r="L247" i="1"/>
  <c r="M247" i="1" s="1"/>
  <c r="P247" i="1" s="1"/>
  <c r="I247" i="1"/>
  <c r="J247" i="1" s="1"/>
  <c r="L246" i="1"/>
  <c r="M246" i="1" s="1"/>
  <c r="P246" i="1" s="1"/>
  <c r="I246" i="1"/>
  <c r="J246" i="1" s="1"/>
  <c r="L36" i="1" l="1"/>
  <c r="M36" i="1" s="1"/>
  <c r="P36" i="1" s="1"/>
  <c r="I36" i="1"/>
  <c r="J36" i="1" s="1"/>
  <c r="L93" i="1"/>
  <c r="M93" i="1" s="1"/>
  <c r="P93" i="1" s="1"/>
  <c r="I93" i="1"/>
  <c r="J93" i="1" s="1"/>
  <c r="L202" i="1" l="1"/>
  <c r="M202" i="1" s="1"/>
  <c r="I202" i="1"/>
  <c r="J202" i="1" s="1"/>
  <c r="L201" i="1"/>
  <c r="M201" i="1" s="1"/>
  <c r="I201" i="1"/>
  <c r="J201" i="1" s="1"/>
  <c r="L388" i="1" l="1"/>
  <c r="M388" i="1" s="1"/>
  <c r="I388" i="1"/>
  <c r="L331" i="1"/>
  <c r="M331" i="1" s="1"/>
  <c r="I331" i="1"/>
  <c r="L330" i="1"/>
  <c r="M330" i="1" s="1"/>
  <c r="I330" i="1"/>
  <c r="L279" i="1"/>
  <c r="M279" i="1" s="1"/>
  <c r="I279" i="1"/>
  <c r="L333" i="1"/>
  <c r="M333" i="1" s="1"/>
  <c r="I333" i="1"/>
  <c r="L332" i="1"/>
  <c r="M332" i="1" s="1"/>
  <c r="I332" i="1"/>
  <c r="L337" i="1" l="1"/>
  <c r="M337" i="1" s="1"/>
  <c r="I337" i="1"/>
  <c r="L336" i="1"/>
  <c r="M336" i="1" s="1"/>
  <c r="I336" i="1"/>
  <c r="I338" i="1"/>
  <c r="L338" i="1"/>
  <c r="M338" i="1" s="1"/>
  <c r="L316" i="1"/>
  <c r="M316" i="1" s="1"/>
  <c r="I316" i="1"/>
  <c r="L315" i="1"/>
  <c r="M315" i="1" s="1"/>
  <c r="I315" i="1"/>
  <c r="L334" i="1"/>
  <c r="M334" i="1" s="1"/>
  <c r="I334" i="1"/>
  <c r="L324" i="1"/>
  <c r="M324" i="1" s="1"/>
  <c r="I324" i="1"/>
  <c r="L325" i="1"/>
  <c r="M325" i="1" s="1"/>
  <c r="I325" i="1"/>
  <c r="L394" i="1"/>
  <c r="M394" i="1" s="1"/>
  <c r="I394" i="1"/>
  <c r="L387" i="1"/>
  <c r="M387" i="1" s="1"/>
  <c r="I387" i="1"/>
  <c r="L386" i="1"/>
  <c r="M386" i="1" s="1"/>
  <c r="I386" i="1"/>
  <c r="L385" i="1"/>
  <c r="M385" i="1" s="1"/>
  <c r="I385" i="1"/>
  <c r="L384" i="1"/>
  <c r="M384" i="1" s="1"/>
  <c r="I384" i="1"/>
  <c r="L383" i="1"/>
  <c r="M383" i="1" s="1"/>
  <c r="I383" i="1"/>
  <c r="L382" i="1"/>
  <c r="M382" i="1" s="1"/>
  <c r="I382" i="1"/>
  <c r="L381" i="1"/>
  <c r="M381" i="1" s="1"/>
  <c r="I381" i="1"/>
  <c r="L380" i="1"/>
  <c r="M380" i="1" s="1"/>
  <c r="I380" i="1"/>
  <c r="L379" i="1"/>
  <c r="M379" i="1" s="1"/>
  <c r="I379" i="1"/>
  <c r="L378" i="1"/>
  <c r="M378" i="1" s="1"/>
  <c r="I378" i="1"/>
  <c r="L377" i="1"/>
  <c r="M377" i="1" s="1"/>
  <c r="I377" i="1"/>
  <c r="L376" i="1"/>
  <c r="M376" i="1" s="1"/>
  <c r="I376" i="1"/>
  <c r="L375" i="1"/>
  <c r="M375" i="1" s="1"/>
  <c r="I375" i="1"/>
  <c r="L374" i="1"/>
  <c r="M374" i="1" s="1"/>
  <c r="I374" i="1"/>
  <c r="L373" i="1"/>
  <c r="M373" i="1" s="1"/>
  <c r="I373" i="1"/>
  <c r="L372" i="1"/>
  <c r="M372" i="1" s="1"/>
  <c r="I372" i="1"/>
  <c r="L371" i="1"/>
  <c r="M371" i="1" s="1"/>
  <c r="I371" i="1"/>
  <c r="L370" i="1"/>
  <c r="M370" i="1" s="1"/>
  <c r="I370" i="1"/>
  <c r="L369" i="1"/>
  <c r="M369" i="1" s="1"/>
  <c r="I369" i="1"/>
  <c r="L368" i="1"/>
  <c r="M368" i="1" s="1"/>
  <c r="I368" i="1"/>
  <c r="L367" i="1"/>
  <c r="M367" i="1" s="1"/>
  <c r="I367" i="1"/>
  <c r="L366" i="1"/>
  <c r="M366" i="1" s="1"/>
  <c r="I366" i="1"/>
  <c r="L365" i="1"/>
  <c r="M365" i="1" s="1"/>
  <c r="I365" i="1"/>
  <c r="L364" i="1"/>
  <c r="M364" i="1" s="1"/>
  <c r="I364" i="1"/>
  <c r="L363" i="1"/>
  <c r="M363" i="1" s="1"/>
  <c r="I363" i="1"/>
  <c r="L362" i="1"/>
  <c r="M362" i="1" s="1"/>
  <c r="I362" i="1"/>
  <c r="L361" i="1"/>
  <c r="M361" i="1" s="1"/>
  <c r="I361" i="1"/>
  <c r="L360" i="1"/>
  <c r="M360" i="1" s="1"/>
  <c r="I360" i="1"/>
  <c r="L359" i="1"/>
  <c r="M359" i="1" s="1"/>
  <c r="I359" i="1"/>
  <c r="L358" i="1"/>
  <c r="M358" i="1" s="1"/>
  <c r="I358" i="1"/>
  <c r="L357" i="1"/>
  <c r="M357" i="1" s="1"/>
  <c r="I357" i="1"/>
  <c r="L356" i="1"/>
  <c r="M356" i="1" s="1"/>
  <c r="I356" i="1"/>
  <c r="L355" i="1"/>
  <c r="M355" i="1" s="1"/>
  <c r="I355" i="1"/>
  <c r="L354" i="1"/>
  <c r="M354" i="1" s="1"/>
  <c r="I354" i="1"/>
  <c r="L353" i="1"/>
  <c r="M353" i="1" s="1"/>
  <c r="I353" i="1"/>
  <c r="L352" i="1"/>
  <c r="M352" i="1" s="1"/>
  <c r="I352" i="1"/>
  <c r="L351" i="1"/>
  <c r="M351" i="1" s="1"/>
  <c r="I351" i="1"/>
  <c r="L350" i="1"/>
  <c r="M350" i="1" s="1"/>
  <c r="I350" i="1"/>
  <c r="L349" i="1"/>
  <c r="M349" i="1" s="1"/>
  <c r="I349" i="1"/>
  <c r="L348" i="1"/>
  <c r="M348" i="1" s="1"/>
  <c r="I348" i="1"/>
  <c r="L347" i="1"/>
  <c r="M347" i="1" s="1"/>
  <c r="I347" i="1"/>
  <c r="L346" i="1"/>
  <c r="M346" i="1" s="1"/>
  <c r="I346" i="1"/>
  <c r="L345" i="1"/>
  <c r="M345" i="1" s="1"/>
  <c r="I345" i="1"/>
  <c r="L344" i="1"/>
  <c r="M344" i="1" s="1"/>
  <c r="I344" i="1"/>
  <c r="L343" i="1"/>
  <c r="M343" i="1" s="1"/>
  <c r="I343" i="1"/>
  <c r="L342" i="1"/>
  <c r="M342" i="1" s="1"/>
  <c r="I342" i="1"/>
  <c r="L341" i="1"/>
  <c r="M341" i="1" s="1"/>
  <c r="I341" i="1"/>
  <c r="L340" i="1"/>
  <c r="M340" i="1" s="1"/>
  <c r="I340" i="1"/>
  <c r="L335" i="1"/>
  <c r="M335" i="1" s="1"/>
  <c r="I335" i="1"/>
  <c r="L329" i="1"/>
  <c r="M329" i="1" s="1"/>
  <c r="I329" i="1"/>
  <c r="L328" i="1"/>
  <c r="M328" i="1" s="1"/>
  <c r="I328" i="1"/>
  <c r="L323" i="1"/>
  <c r="M323" i="1" s="1"/>
  <c r="I323" i="1"/>
  <c r="L322" i="1"/>
  <c r="M322" i="1" s="1"/>
  <c r="I322" i="1"/>
  <c r="L321" i="1"/>
  <c r="M321" i="1" s="1"/>
  <c r="I321" i="1"/>
  <c r="L320" i="1"/>
  <c r="M320" i="1" s="1"/>
  <c r="I320" i="1"/>
  <c r="L319" i="1"/>
  <c r="M319" i="1" s="1"/>
  <c r="I319" i="1"/>
  <c r="L318" i="1"/>
  <c r="M318" i="1" s="1"/>
  <c r="I318" i="1"/>
  <c r="L317" i="1"/>
  <c r="M317" i="1" s="1"/>
  <c r="I317" i="1"/>
  <c r="L314" i="1"/>
  <c r="M314" i="1" s="1"/>
  <c r="I314" i="1"/>
  <c r="L313" i="1"/>
  <c r="M313" i="1" s="1"/>
  <c r="I313" i="1"/>
  <c r="L312" i="1"/>
  <c r="M312" i="1" s="1"/>
  <c r="I312" i="1"/>
  <c r="L311" i="1"/>
  <c r="M311" i="1" s="1"/>
  <c r="I311" i="1"/>
  <c r="L310" i="1"/>
  <c r="M310" i="1" s="1"/>
  <c r="I310" i="1"/>
  <c r="L309" i="1"/>
  <c r="M309" i="1" s="1"/>
  <c r="I309" i="1"/>
  <c r="L308" i="1"/>
  <c r="M308" i="1" s="1"/>
  <c r="I308" i="1"/>
  <c r="L307" i="1"/>
  <c r="M307" i="1" s="1"/>
  <c r="I307" i="1"/>
  <c r="L306" i="1"/>
  <c r="M306" i="1" s="1"/>
  <c r="I306" i="1"/>
  <c r="L305" i="1"/>
  <c r="M305" i="1" s="1"/>
  <c r="I305" i="1"/>
  <c r="L304" i="1"/>
  <c r="M304" i="1" s="1"/>
  <c r="I304" i="1"/>
  <c r="L303" i="1"/>
  <c r="M303" i="1" s="1"/>
  <c r="I303" i="1"/>
  <c r="L302" i="1"/>
  <c r="M302" i="1" s="1"/>
  <c r="I302" i="1"/>
  <c r="L301" i="1"/>
  <c r="M301" i="1" s="1"/>
  <c r="I301" i="1"/>
  <c r="L300" i="1"/>
  <c r="M300" i="1" s="1"/>
  <c r="I300" i="1"/>
  <c r="L299" i="1"/>
  <c r="M299" i="1" s="1"/>
  <c r="I299" i="1"/>
  <c r="L298" i="1"/>
  <c r="M298" i="1" s="1"/>
  <c r="I298" i="1"/>
  <c r="L297" i="1"/>
  <c r="M297" i="1" s="1"/>
  <c r="I297" i="1"/>
  <c r="L296" i="1"/>
  <c r="M296" i="1" s="1"/>
  <c r="I296" i="1"/>
  <c r="L295" i="1"/>
  <c r="M295" i="1" s="1"/>
  <c r="I295" i="1"/>
  <c r="L294" i="1"/>
  <c r="M294" i="1" s="1"/>
  <c r="I294" i="1"/>
  <c r="L293" i="1"/>
  <c r="M293" i="1" s="1"/>
  <c r="I293" i="1"/>
  <c r="L292" i="1"/>
  <c r="M292" i="1" s="1"/>
  <c r="I292" i="1"/>
  <c r="L291" i="1"/>
  <c r="M291" i="1" s="1"/>
  <c r="I291" i="1"/>
  <c r="L290" i="1"/>
  <c r="M290" i="1" s="1"/>
  <c r="I290" i="1"/>
  <c r="L289" i="1"/>
  <c r="M289" i="1" s="1"/>
  <c r="I289" i="1"/>
  <c r="L288" i="1"/>
  <c r="M288" i="1" s="1"/>
  <c r="I288" i="1"/>
  <c r="L287" i="1"/>
  <c r="M287" i="1" s="1"/>
  <c r="I287" i="1"/>
  <c r="L286" i="1"/>
  <c r="M286" i="1" s="1"/>
  <c r="I286" i="1"/>
  <c r="L285" i="1"/>
  <c r="M285" i="1" s="1"/>
  <c r="I285" i="1"/>
  <c r="L284" i="1"/>
  <c r="M284" i="1" s="1"/>
  <c r="I284" i="1"/>
  <c r="L283" i="1"/>
  <c r="M283" i="1" s="1"/>
  <c r="I283" i="1"/>
  <c r="L282" i="1"/>
  <c r="M282" i="1" s="1"/>
  <c r="I282" i="1"/>
  <c r="L281" i="1"/>
  <c r="M281" i="1" s="1"/>
  <c r="I281" i="1"/>
  <c r="L280" i="1"/>
  <c r="M280" i="1" s="1"/>
  <c r="I280" i="1"/>
  <c r="L278" i="1"/>
  <c r="M278" i="1" s="1"/>
  <c r="I278" i="1"/>
  <c r="L277" i="1"/>
  <c r="M277" i="1" s="1"/>
  <c r="I277" i="1"/>
  <c r="L276" i="1"/>
  <c r="M276" i="1" s="1"/>
  <c r="I276" i="1"/>
  <c r="L275" i="1"/>
  <c r="M275" i="1" s="1"/>
  <c r="I275" i="1"/>
  <c r="L274" i="1"/>
  <c r="M274" i="1" s="1"/>
  <c r="I274" i="1"/>
  <c r="L273" i="1"/>
  <c r="M273" i="1" s="1"/>
  <c r="I273" i="1"/>
  <c r="L272" i="1"/>
  <c r="M272" i="1" s="1"/>
  <c r="I272" i="1"/>
  <c r="L271" i="1"/>
  <c r="M271" i="1" s="1"/>
  <c r="I271" i="1"/>
  <c r="L270" i="1"/>
  <c r="M270" i="1" s="1"/>
  <c r="I270" i="1"/>
  <c r="L269" i="1"/>
  <c r="M269" i="1" s="1"/>
  <c r="I269" i="1"/>
  <c r="L268" i="1"/>
  <c r="M268" i="1" s="1"/>
  <c r="I268" i="1"/>
  <c r="L267" i="1"/>
  <c r="M267" i="1" s="1"/>
  <c r="I267" i="1"/>
  <c r="L266" i="1"/>
  <c r="M266" i="1" s="1"/>
  <c r="I266" i="1"/>
  <c r="L265" i="1"/>
  <c r="M265" i="1" s="1"/>
  <c r="I265" i="1"/>
  <c r="L264" i="1"/>
  <c r="M264" i="1" s="1"/>
  <c r="I264" i="1"/>
  <c r="L263" i="1"/>
  <c r="M263" i="1" s="1"/>
  <c r="I263" i="1"/>
  <c r="L262" i="1"/>
  <c r="M262" i="1" s="1"/>
  <c r="I262" i="1"/>
  <c r="L261" i="1"/>
  <c r="M261" i="1" s="1"/>
  <c r="I261" i="1"/>
  <c r="L260" i="1"/>
  <c r="M260" i="1" s="1"/>
  <c r="I260" i="1"/>
  <c r="L259" i="1"/>
  <c r="M259" i="1" s="1"/>
  <c r="I259" i="1"/>
  <c r="L258" i="1"/>
  <c r="M258" i="1" s="1"/>
  <c r="I258" i="1"/>
  <c r="L257" i="1"/>
  <c r="M257" i="1" s="1"/>
  <c r="I257" i="1"/>
  <c r="L256" i="1"/>
  <c r="M256" i="1" s="1"/>
  <c r="I256" i="1"/>
  <c r="L41" i="1"/>
  <c r="M41" i="1" s="1"/>
  <c r="I41" i="1"/>
  <c r="L40" i="1"/>
  <c r="M40" i="1" s="1"/>
  <c r="I40" i="1"/>
  <c r="L39" i="1"/>
  <c r="M39" i="1" s="1"/>
  <c r="I39" i="1"/>
  <c r="L211" i="1"/>
  <c r="M211" i="1" s="1"/>
  <c r="I211" i="1"/>
  <c r="L210" i="1"/>
  <c r="M210" i="1" s="1"/>
  <c r="I210" i="1"/>
  <c r="L239" i="1"/>
  <c r="M239" i="1" s="1"/>
  <c r="I239" i="1"/>
  <c r="L238" i="1"/>
  <c r="M238" i="1" s="1"/>
  <c r="I238" i="1"/>
  <c r="L237" i="1"/>
  <c r="M237" i="1" s="1"/>
  <c r="I237" i="1"/>
  <c r="L135" i="1"/>
  <c r="M135" i="1" s="1"/>
  <c r="I135" i="1"/>
  <c r="L134" i="1"/>
  <c r="M134" i="1" s="1"/>
  <c r="I134" i="1"/>
  <c r="L91" i="1"/>
  <c r="M91" i="1" s="1"/>
  <c r="I91" i="1"/>
  <c r="L133" i="1"/>
  <c r="M133" i="1" s="1"/>
  <c r="I133" i="1"/>
  <c r="L176" i="1"/>
  <c r="M176" i="1" s="1"/>
  <c r="I176" i="1"/>
  <c r="L177" i="1"/>
  <c r="M177" i="1" s="1"/>
  <c r="I177" i="1"/>
  <c r="L175" i="1"/>
  <c r="M175" i="1" s="1"/>
  <c r="I175" i="1"/>
  <c r="L255" i="1"/>
  <c r="M255" i="1" s="1"/>
  <c r="I255" i="1"/>
  <c r="L254" i="1"/>
  <c r="M254" i="1" s="1"/>
  <c r="I254" i="1"/>
  <c r="L253" i="1"/>
  <c r="M253" i="1" s="1"/>
  <c r="I253" i="1"/>
  <c r="L252" i="1"/>
  <c r="M252" i="1" s="1"/>
  <c r="I252" i="1"/>
  <c r="L251" i="1"/>
  <c r="M251" i="1" s="1"/>
  <c r="I251" i="1"/>
  <c r="L245" i="1"/>
  <c r="M245" i="1" s="1"/>
  <c r="I245" i="1"/>
  <c r="L244" i="1"/>
  <c r="M244" i="1" s="1"/>
  <c r="I244" i="1"/>
  <c r="L243" i="1"/>
  <c r="M243" i="1" s="1"/>
  <c r="I243" i="1"/>
  <c r="L242" i="1"/>
  <c r="M242" i="1" s="1"/>
  <c r="I242" i="1"/>
  <c r="L241" i="1"/>
  <c r="M241" i="1" s="1"/>
  <c r="I241" i="1"/>
  <c r="L240" i="1"/>
  <c r="M240" i="1" s="1"/>
  <c r="I240" i="1"/>
  <c r="L236" i="1"/>
  <c r="M236" i="1" s="1"/>
  <c r="I236" i="1"/>
  <c r="L235" i="1"/>
  <c r="M235" i="1" s="1"/>
  <c r="I235" i="1"/>
  <c r="L234" i="1"/>
  <c r="M234" i="1" s="1"/>
  <c r="I234" i="1"/>
  <c r="L233" i="1"/>
  <c r="M233" i="1" s="1"/>
  <c r="I233" i="1"/>
  <c r="L232" i="1"/>
  <c r="M232" i="1" s="1"/>
  <c r="I232" i="1"/>
  <c r="L231" i="1"/>
  <c r="M231" i="1" s="1"/>
  <c r="I231" i="1"/>
  <c r="L230" i="1"/>
  <c r="M230" i="1" s="1"/>
  <c r="I230" i="1"/>
  <c r="L229" i="1"/>
  <c r="M229" i="1" s="1"/>
  <c r="I229" i="1"/>
  <c r="L228" i="1"/>
  <c r="M228" i="1" s="1"/>
  <c r="I228" i="1"/>
  <c r="L227" i="1"/>
  <c r="M227" i="1" s="1"/>
  <c r="I227" i="1"/>
  <c r="L226" i="1"/>
  <c r="M226" i="1" s="1"/>
  <c r="I226" i="1"/>
  <c r="L225" i="1"/>
  <c r="M225" i="1" s="1"/>
  <c r="I225" i="1"/>
  <c r="L224" i="1"/>
  <c r="M224" i="1" s="1"/>
  <c r="I224" i="1"/>
  <c r="L223" i="1"/>
  <c r="M223" i="1" s="1"/>
  <c r="I223" i="1"/>
  <c r="L222" i="1"/>
  <c r="M222" i="1" s="1"/>
  <c r="I222" i="1"/>
  <c r="L221" i="1"/>
  <c r="M221" i="1" s="1"/>
  <c r="I221" i="1"/>
  <c r="L220" i="1"/>
  <c r="M220" i="1" s="1"/>
  <c r="I220" i="1"/>
  <c r="L219" i="1"/>
  <c r="M219" i="1" s="1"/>
  <c r="I219" i="1"/>
  <c r="L218" i="1"/>
  <c r="M218" i="1" s="1"/>
  <c r="I218" i="1"/>
  <c r="L217" i="1"/>
  <c r="M217" i="1" s="1"/>
  <c r="I217" i="1"/>
  <c r="L216" i="1"/>
  <c r="M216" i="1" s="1"/>
  <c r="I216" i="1"/>
  <c r="L215" i="1"/>
  <c r="M215" i="1" s="1"/>
  <c r="I215" i="1"/>
  <c r="L214" i="1"/>
  <c r="M214" i="1" s="1"/>
  <c r="I214" i="1"/>
  <c r="L213" i="1"/>
  <c r="M213" i="1" s="1"/>
  <c r="I213" i="1"/>
  <c r="L212" i="1"/>
  <c r="M212" i="1" s="1"/>
  <c r="I212" i="1"/>
  <c r="L209" i="1"/>
  <c r="M209" i="1" s="1"/>
  <c r="I209" i="1"/>
  <c r="L208" i="1"/>
  <c r="M208" i="1" s="1"/>
  <c r="I208" i="1"/>
  <c r="L207" i="1"/>
  <c r="M207" i="1" s="1"/>
  <c r="I207" i="1"/>
  <c r="L206" i="1"/>
  <c r="M206" i="1" s="1"/>
  <c r="I206" i="1"/>
  <c r="L205" i="1"/>
  <c r="M205" i="1" s="1"/>
  <c r="I205" i="1"/>
  <c r="L204" i="1"/>
  <c r="M204" i="1" s="1"/>
  <c r="I204" i="1"/>
  <c r="L203" i="1"/>
  <c r="M203" i="1" s="1"/>
  <c r="I203" i="1"/>
  <c r="L200" i="1"/>
  <c r="M200" i="1" s="1"/>
  <c r="I200" i="1"/>
  <c r="L199" i="1"/>
  <c r="M199" i="1" s="1"/>
  <c r="I199" i="1"/>
  <c r="L198" i="1"/>
  <c r="M198" i="1" s="1"/>
  <c r="I198" i="1"/>
  <c r="L197" i="1"/>
  <c r="M197" i="1" s="1"/>
  <c r="I197" i="1"/>
  <c r="L196" i="1"/>
  <c r="M196" i="1" s="1"/>
  <c r="I196" i="1"/>
  <c r="L195" i="1"/>
  <c r="M195" i="1" s="1"/>
  <c r="I195" i="1"/>
  <c r="L194" i="1"/>
  <c r="M194" i="1" s="1"/>
  <c r="I194" i="1"/>
  <c r="L193" i="1"/>
  <c r="M193" i="1" s="1"/>
  <c r="I193" i="1"/>
  <c r="L192" i="1"/>
  <c r="M192" i="1" s="1"/>
  <c r="I192" i="1"/>
  <c r="L191" i="1"/>
  <c r="M191" i="1" s="1"/>
  <c r="I191" i="1"/>
  <c r="L190" i="1"/>
  <c r="M190" i="1" s="1"/>
  <c r="I190" i="1"/>
  <c r="L189" i="1"/>
  <c r="M189" i="1" s="1"/>
  <c r="I189" i="1"/>
  <c r="L188" i="1"/>
  <c r="M188" i="1" s="1"/>
  <c r="I188" i="1"/>
  <c r="L187" i="1"/>
  <c r="M187" i="1" s="1"/>
  <c r="I187" i="1"/>
  <c r="L186" i="1"/>
  <c r="M186" i="1" s="1"/>
  <c r="I186" i="1"/>
  <c r="L185" i="1"/>
  <c r="M185" i="1" s="1"/>
  <c r="I185" i="1"/>
  <c r="L184" i="1"/>
  <c r="M184" i="1" s="1"/>
  <c r="I184" i="1"/>
  <c r="L183" i="1"/>
  <c r="M183" i="1" s="1"/>
  <c r="I183" i="1"/>
  <c r="L182" i="1"/>
  <c r="M182" i="1" s="1"/>
  <c r="I182" i="1"/>
  <c r="L181" i="1"/>
  <c r="M181" i="1" s="1"/>
  <c r="I181" i="1"/>
  <c r="L180" i="1"/>
  <c r="M180" i="1" s="1"/>
  <c r="I180" i="1"/>
  <c r="L179" i="1"/>
  <c r="M179" i="1" s="1"/>
  <c r="I179" i="1"/>
  <c r="L178" i="1"/>
  <c r="M178" i="1" s="1"/>
  <c r="I178" i="1"/>
  <c r="L174" i="1"/>
  <c r="M174" i="1" s="1"/>
  <c r="I174" i="1"/>
  <c r="L173" i="1"/>
  <c r="M173" i="1" s="1"/>
  <c r="I173" i="1"/>
  <c r="L172" i="1"/>
  <c r="M172" i="1" s="1"/>
  <c r="I172" i="1"/>
  <c r="L171" i="1"/>
  <c r="M171" i="1" s="1"/>
  <c r="I171" i="1"/>
  <c r="L170" i="1"/>
  <c r="M170" i="1" s="1"/>
  <c r="I170" i="1"/>
  <c r="L169" i="1"/>
  <c r="M169" i="1" s="1"/>
  <c r="I169" i="1"/>
  <c r="L168" i="1"/>
  <c r="M168" i="1" s="1"/>
  <c r="I168" i="1"/>
  <c r="L167" i="1"/>
  <c r="M167" i="1" s="1"/>
  <c r="I167" i="1"/>
  <c r="L166" i="1"/>
  <c r="M166" i="1" s="1"/>
  <c r="I166" i="1"/>
  <c r="L165" i="1"/>
  <c r="M165" i="1" s="1"/>
  <c r="I165" i="1"/>
  <c r="L164" i="1"/>
  <c r="M164" i="1" s="1"/>
  <c r="I164" i="1"/>
  <c r="L163" i="1"/>
  <c r="M163" i="1" s="1"/>
  <c r="I163" i="1"/>
  <c r="L162" i="1"/>
  <c r="M162" i="1" s="1"/>
  <c r="I162" i="1"/>
  <c r="L161" i="1"/>
  <c r="M161" i="1" s="1"/>
  <c r="I161" i="1"/>
  <c r="L160" i="1"/>
  <c r="M160" i="1" s="1"/>
  <c r="I160" i="1"/>
  <c r="L159" i="1"/>
  <c r="M159" i="1" s="1"/>
  <c r="I159" i="1"/>
  <c r="L158" i="1"/>
  <c r="M158" i="1" s="1"/>
  <c r="I158" i="1"/>
  <c r="L157" i="1"/>
  <c r="M157" i="1" s="1"/>
  <c r="I157" i="1"/>
  <c r="L156" i="1"/>
  <c r="M156" i="1" s="1"/>
  <c r="I156" i="1"/>
  <c r="L155" i="1"/>
  <c r="M155" i="1" s="1"/>
  <c r="I155" i="1"/>
  <c r="L154" i="1"/>
  <c r="M154" i="1" s="1"/>
  <c r="I154" i="1"/>
  <c r="L153" i="1"/>
  <c r="M153" i="1" s="1"/>
  <c r="I153" i="1"/>
  <c r="L152" i="1"/>
  <c r="M152" i="1" s="1"/>
  <c r="I152" i="1"/>
  <c r="L151" i="1"/>
  <c r="M151" i="1" s="1"/>
  <c r="I151" i="1"/>
  <c r="L150" i="1"/>
  <c r="M150" i="1" s="1"/>
  <c r="I150" i="1"/>
  <c r="L149" i="1"/>
  <c r="M149" i="1" s="1"/>
  <c r="I149" i="1"/>
  <c r="L148" i="1"/>
  <c r="M148" i="1" s="1"/>
  <c r="I148" i="1"/>
  <c r="L147" i="1"/>
  <c r="M147" i="1" s="1"/>
  <c r="I147" i="1"/>
  <c r="L146" i="1"/>
  <c r="M146" i="1" s="1"/>
  <c r="I146" i="1"/>
  <c r="L145" i="1"/>
  <c r="M145" i="1" s="1"/>
  <c r="I145" i="1"/>
  <c r="L142" i="1"/>
  <c r="M142" i="1" s="1"/>
  <c r="I142" i="1"/>
  <c r="L141" i="1"/>
  <c r="M141" i="1" s="1"/>
  <c r="I141" i="1"/>
  <c r="L140" i="1"/>
  <c r="M140" i="1" s="1"/>
  <c r="I140" i="1"/>
  <c r="L139" i="1"/>
  <c r="M139" i="1" s="1"/>
  <c r="I139" i="1"/>
  <c r="L138" i="1"/>
  <c r="M138" i="1" s="1"/>
  <c r="I138" i="1"/>
  <c r="L137" i="1"/>
  <c r="M137" i="1" s="1"/>
  <c r="I137" i="1"/>
  <c r="L136" i="1"/>
  <c r="M136" i="1" s="1"/>
  <c r="I136" i="1"/>
  <c r="L132" i="1"/>
  <c r="M132" i="1" s="1"/>
  <c r="I132" i="1"/>
  <c r="L131" i="1"/>
  <c r="M131" i="1" s="1"/>
  <c r="I131" i="1"/>
  <c r="L130" i="1"/>
  <c r="M130" i="1" s="1"/>
  <c r="I130" i="1"/>
  <c r="L129" i="1"/>
  <c r="M129" i="1" s="1"/>
  <c r="I129" i="1"/>
  <c r="L128" i="1"/>
  <c r="M128" i="1" s="1"/>
  <c r="I128" i="1"/>
  <c r="L127" i="1"/>
  <c r="M127" i="1" s="1"/>
  <c r="I127" i="1"/>
  <c r="L126" i="1"/>
  <c r="M126" i="1" s="1"/>
  <c r="I126" i="1"/>
  <c r="L125" i="1"/>
  <c r="M125" i="1" s="1"/>
  <c r="I125" i="1"/>
  <c r="L124" i="1"/>
  <c r="M124" i="1" s="1"/>
  <c r="I124" i="1"/>
  <c r="L123" i="1"/>
  <c r="M123" i="1" s="1"/>
  <c r="I123" i="1"/>
  <c r="L122" i="1"/>
  <c r="M122" i="1" s="1"/>
  <c r="I122" i="1"/>
  <c r="L121" i="1"/>
  <c r="M121" i="1" s="1"/>
  <c r="I121" i="1"/>
  <c r="L120" i="1"/>
  <c r="M120" i="1" s="1"/>
  <c r="I120" i="1"/>
  <c r="L118" i="1"/>
  <c r="M118" i="1" s="1"/>
  <c r="I118" i="1"/>
  <c r="L117" i="1"/>
  <c r="M117" i="1" s="1"/>
  <c r="I117" i="1"/>
  <c r="L114" i="1"/>
  <c r="M114" i="1" s="1"/>
  <c r="I114" i="1"/>
  <c r="L113" i="1"/>
  <c r="M113" i="1" s="1"/>
  <c r="I113" i="1"/>
  <c r="L112" i="1"/>
  <c r="M112" i="1" s="1"/>
  <c r="I112" i="1"/>
  <c r="L111" i="1"/>
  <c r="M111" i="1" s="1"/>
  <c r="I111" i="1"/>
  <c r="L110" i="1"/>
  <c r="M110" i="1" s="1"/>
  <c r="I110" i="1"/>
  <c r="L109" i="1"/>
  <c r="M109" i="1" s="1"/>
  <c r="I109" i="1"/>
  <c r="L108" i="1"/>
  <c r="M108" i="1" s="1"/>
  <c r="I108" i="1"/>
  <c r="L107" i="1"/>
  <c r="M107" i="1" s="1"/>
  <c r="I107" i="1"/>
  <c r="L106" i="1"/>
  <c r="M106" i="1" s="1"/>
  <c r="I106" i="1"/>
  <c r="L105" i="1"/>
  <c r="M105" i="1" s="1"/>
  <c r="I105" i="1"/>
  <c r="L104" i="1"/>
  <c r="M104" i="1" s="1"/>
  <c r="I104" i="1"/>
  <c r="L103" i="1"/>
  <c r="M103" i="1" s="1"/>
  <c r="I103" i="1"/>
  <c r="L102" i="1"/>
  <c r="M102" i="1" s="1"/>
  <c r="I102" i="1"/>
  <c r="L101" i="1"/>
  <c r="M101" i="1" s="1"/>
  <c r="I101" i="1"/>
  <c r="L100" i="1"/>
  <c r="M100" i="1" s="1"/>
  <c r="I100" i="1"/>
  <c r="L99" i="1"/>
  <c r="M99" i="1" s="1"/>
  <c r="I99" i="1"/>
  <c r="L98" i="1"/>
  <c r="M98" i="1" s="1"/>
  <c r="I98" i="1"/>
  <c r="L97" i="1"/>
  <c r="M97" i="1" s="1"/>
  <c r="I97" i="1"/>
  <c r="L96" i="1"/>
  <c r="M96" i="1" s="1"/>
  <c r="I96" i="1"/>
  <c r="L95" i="1"/>
  <c r="M95" i="1" s="1"/>
  <c r="I95" i="1"/>
  <c r="L94" i="1"/>
  <c r="M94" i="1" s="1"/>
  <c r="I94" i="1"/>
  <c r="L92" i="1"/>
  <c r="M92" i="1" s="1"/>
  <c r="I92" i="1"/>
  <c r="L90" i="1"/>
  <c r="M90" i="1" s="1"/>
  <c r="I90" i="1"/>
  <c r="L89" i="1"/>
  <c r="M89" i="1" s="1"/>
  <c r="I89" i="1"/>
  <c r="L88" i="1"/>
  <c r="M88" i="1" s="1"/>
  <c r="I88" i="1"/>
  <c r="L87" i="1"/>
  <c r="M87" i="1" s="1"/>
  <c r="I87" i="1"/>
  <c r="L86" i="1"/>
  <c r="M86" i="1" s="1"/>
  <c r="I86" i="1"/>
  <c r="L85" i="1"/>
  <c r="M85" i="1" s="1"/>
  <c r="I85" i="1"/>
  <c r="L84" i="1"/>
  <c r="M84" i="1" s="1"/>
  <c r="I84" i="1"/>
  <c r="L83" i="1"/>
  <c r="M83" i="1" s="1"/>
  <c r="I83" i="1"/>
  <c r="L82" i="1"/>
  <c r="M82" i="1" s="1"/>
  <c r="I82" i="1"/>
  <c r="L81" i="1"/>
  <c r="M81" i="1" s="1"/>
  <c r="I81" i="1"/>
  <c r="L80" i="1"/>
  <c r="M80" i="1" s="1"/>
  <c r="I80" i="1"/>
  <c r="L79" i="1"/>
  <c r="M79" i="1" s="1"/>
  <c r="I79" i="1"/>
  <c r="L78" i="1"/>
  <c r="M78" i="1" s="1"/>
  <c r="I78" i="1"/>
  <c r="L77" i="1"/>
  <c r="M77" i="1" s="1"/>
  <c r="I77" i="1"/>
  <c r="L76" i="1"/>
  <c r="M76" i="1" s="1"/>
  <c r="I76" i="1"/>
  <c r="L75" i="1"/>
  <c r="M75" i="1" s="1"/>
  <c r="I75" i="1"/>
  <c r="L74" i="1"/>
  <c r="M74" i="1" s="1"/>
  <c r="I74" i="1"/>
  <c r="L73" i="1"/>
  <c r="M73" i="1" s="1"/>
  <c r="I73" i="1"/>
  <c r="L72" i="1"/>
  <c r="M72" i="1" s="1"/>
  <c r="I72" i="1"/>
  <c r="L71" i="1"/>
  <c r="M71" i="1" s="1"/>
  <c r="I71" i="1"/>
  <c r="L70" i="1"/>
  <c r="M70" i="1" s="1"/>
  <c r="I70" i="1"/>
  <c r="L69" i="1"/>
  <c r="M69" i="1" s="1"/>
  <c r="I69" i="1"/>
  <c r="L68" i="1"/>
  <c r="M68" i="1" s="1"/>
  <c r="I68" i="1"/>
  <c r="L67" i="1"/>
  <c r="M67" i="1" s="1"/>
  <c r="I67" i="1"/>
  <c r="L66" i="1"/>
  <c r="M66" i="1" s="1"/>
  <c r="I66" i="1"/>
  <c r="L65" i="1"/>
  <c r="M65" i="1" s="1"/>
  <c r="I65" i="1"/>
  <c r="L64" i="1"/>
  <c r="M64" i="1" s="1"/>
  <c r="I64" i="1"/>
  <c r="L63" i="1"/>
  <c r="M63" i="1" s="1"/>
  <c r="I63" i="1"/>
  <c r="L62" i="1"/>
  <c r="M62" i="1" s="1"/>
  <c r="I62" i="1"/>
  <c r="L61" i="1"/>
  <c r="M61" i="1" s="1"/>
  <c r="I61" i="1"/>
  <c r="L60" i="1"/>
  <c r="M60" i="1" s="1"/>
  <c r="I60" i="1"/>
  <c r="L59" i="1"/>
  <c r="M59" i="1" s="1"/>
  <c r="I59" i="1"/>
  <c r="L58" i="1"/>
  <c r="M58" i="1" s="1"/>
  <c r="I58" i="1"/>
  <c r="L57" i="1"/>
  <c r="M57" i="1" s="1"/>
  <c r="I57" i="1"/>
  <c r="L56" i="1"/>
  <c r="M56" i="1" s="1"/>
  <c r="I56" i="1"/>
  <c r="L55" i="1"/>
  <c r="M55" i="1" s="1"/>
  <c r="I55" i="1"/>
  <c r="L54" i="1"/>
  <c r="M54" i="1" s="1"/>
  <c r="I54" i="1"/>
  <c r="L53" i="1"/>
  <c r="M53" i="1" s="1"/>
  <c r="I53" i="1"/>
  <c r="L52" i="1"/>
  <c r="M52" i="1" s="1"/>
  <c r="I52" i="1"/>
  <c r="L51" i="1"/>
  <c r="M51" i="1" s="1"/>
  <c r="I51" i="1"/>
  <c r="L50" i="1"/>
  <c r="M50" i="1" s="1"/>
  <c r="I50" i="1"/>
  <c r="L49" i="1"/>
  <c r="M49" i="1" s="1"/>
  <c r="I49" i="1"/>
  <c r="L48" i="1"/>
  <c r="M48" i="1" s="1"/>
  <c r="I48" i="1"/>
  <c r="L47" i="1"/>
  <c r="M47" i="1" s="1"/>
  <c r="I47" i="1"/>
  <c r="L46" i="1"/>
  <c r="M46" i="1" s="1"/>
  <c r="I46" i="1"/>
  <c r="L45" i="1"/>
  <c r="M45" i="1" s="1"/>
  <c r="I45" i="1"/>
  <c r="L44" i="1"/>
  <c r="M44" i="1" s="1"/>
  <c r="I44" i="1"/>
  <c r="L43" i="1"/>
  <c r="M43" i="1" s="1"/>
  <c r="I43" i="1"/>
  <c r="L42" i="1"/>
  <c r="M42" i="1" s="1"/>
  <c r="I42" i="1"/>
  <c r="L38" i="1"/>
  <c r="M38" i="1" s="1"/>
  <c r="I38" i="1"/>
  <c r="L37" i="1"/>
  <c r="M37" i="1" s="1"/>
  <c r="I37" i="1"/>
  <c r="L35" i="1"/>
  <c r="M35" i="1" s="1"/>
  <c r="I35" i="1"/>
  <c r="L34" i="1"/>
  <c r="M34" i="1" s="1"/>
  <c r="I34" i="1"/>
  <c r="L33" i="1"/>
  <c r="M33" i="1" s="1"/>
  <c r="I33" i="1"/>
  <c r="L32" i="1"/>
  <c r="M32" i="1" s="1"/>
  <c r="I32" i="1"/>
  <c r="L31" i="1"/>
  <c r="M31" i="1" s="1"/>
  <c r="I31" i="1"/>
  <c r="L30" i="1"/>
  <c r="M30" i="1" s="1"/>
  <c r="I30" i="1"/>
  <c r="L29" i="1"/>
  <c r="M29" i="1" s="1"/>
  <c r="I29" i="1"/>
  <c r="L28" i="1"/>
  <c r="M28" i="1" s="1"/>
  <c r="I28" i="1"/>
  <c r="L27" i="1"/>
  <c r="M27" i="1" s="1"/>
  <c r="I27" i="1"/>
  <c r="L26" i="1"/>
  <c r="M26" i="1" s="1"/>
  <c r="I26" i="1"/>
  <c r="L25" i="1"/>
  <c r="M25" i="1" s="1"/>
  <c r="I25" i="1"/>
  <c r="L24" i="1"/>
  <c r="M24" i="1" s="1"/>
  <c r="I24" i="1"/>
  <c r="L23" i="1"/>
  <c r="M23" i="1" s="1"/>
  <c r="I23" i="1"/>
  <c r="L22" i="1"/>
  <c r="M22" i="1" s="1"/>
  <c r="I22" i="1"/>
  <c r="L21" i="1"/>
  <c r="M21" i="1" s="1"/>
  <c r="I21" i="1"/>
  <c r="L20" i="1"/>
  <c r="M20" i="1" s="1"/>
  <c r="I20" i="1"/>
  <c r="L19" i="1"/>
  <c r="M19" i="1" s="1"/>
  <c r="I19" i="1"/>
  <c r="L18" i="1"/>
  <c r="M18" i="1" s="1"/>
  <c r="I18" i="1"/>
  <c r="L17" i="1"/>
  <c r="M17" i="1" s="1"/>
  <c r="I17" i="1"/>
  <c r="L16" i="1"/>
  <c r="M16" i="1" s="1"/>
  <c r="I16" i="1"/>
  <c r="L15" i="1"/>
  <c r="M15" i="1" s="1"/>
  <c r="I15" i="1"/>
  <c r="L14" i="1"/>
  <c r="M14" i="1" s="1"/>
  <c r="I14" i="1"/>
  <c r="L13" i="1"/>
  <c r="M13" i="1" s="1"/>
  <c r="I13" i="1"/>
  <c r="L12" i="1"/>
  <c r="M12" i="1" s="1"/>
  <c r="I12" i="1"/>
  <c r="L11" i="1"/>
  <c r="M11" i="1" s="1"/>
  <c r="I11" i="1"/>
  <c r="L10" i="1"/>
  <c r="M10" i="1" s="1"/>
  <c r="I10" i="1"/>
  <c r="L9" i="1"/>
  <c r="M9" i="1" s="1"/>
  <c r="I9" i="1"/>
  <c r="L8" i="1"/>
  <c r="M8" i="1" s="1"/>
  <c r="I8" i="1"/>
  <c r="L7" i="1"/>
  <c r="M7" i="1" s="1"/>
  <c r="I7" i="1"/>
  <c r="L6" i="1"/>
  <c r="M6" i="1" s="1"/>
  <c r="I6" i="1"/>
  <c r="P273" i="1" l="1"/>
  <c r="J273" i="1"/>
  <c r="P73" i="1"/>
  <c r="J73" i="1"/>
  <c r="P188" i="1"/>
  <c r="J188" i="1"/>
  <c r="P134" i="1"/>
  <c r="J134" i="1"/>
  <c r="P376" i="1"/>
  <c r="J376" i="1"/>
  <c r="P178" i="1"/>
  <c r="J178" i="1"/>
  <c r="P103" i="1"/>
  <c r="J103" i="1"/>
  <c r="J33" i="1"/>
  <c r="P33" i="1"/>
  <c r="P129" i="1"/>
  <c r="J129" i="1"/>
  <c r="P60" i="1"/>
  <c r="J60" i="1"/>
  <c r="P267" i="1"/>
  <c r="J267" i="1"/>
  <c r="P208" i="1"/>
  <c r="J208" i="1"/>
  <c r="P139" i="1"/>
  <c r="J139" i="1"/>
  <c r="P67" i="1"/>
  <c r="J67" i="1"/>
  <c r="J341" i="1"/>
  <c r="P341" i="1"/>
  <c r="P266" i="1"/>
  <c r="J266" i="1"/>
  <c r="P207" i="1"/>
  <c r="J207" i="1"/>
  <c r="P138" i="1"/>
  <c r="J138" i="1"/>
  <c r="J66" i="1"/>
  <c r="P66" i="1"/>
  <c r="P331" i="1"/>
  <c r="J331" i="1"/>
  <c r="P340" i="1"/>
  <c r="J340" i="1"/>
  <c r="J265" i="1"/>
  <c r="P265" i="1"/>
  <c r="J206" i="1"/>
  <c r="P206" i="1"/>
  <c r="J137" i="1"/>
  <c r="P137" i="1"/>
  <c r="J65" i="1"/>
  <c r="P65" i="1"/>
  <c r="P333" i="1"/>
  <c r="J333" i="1"/>
  <c r="P231" i="1"/>
  <c r="J231" i="1"/>
  <c r="P20" i="1"/>
  <c r="J20" i="1"/>
  <c r="P378" i="1"/>
  <c r="J378" i="1"/>
  <c r="P304" i="1"/>
  <c r="J304" i="1"/>
  <c r="P254" i="1"/>
  <c r="J254" i="1"/>
  <c r="P180" i="1"/>
  <c r="J180" i="1"/>
  <c r="P105" i="1"/>
  <c r="J105" i="1"/>
  <c r="P35" i="1"/>
  <c r="J35" i="1"/>
  <c r="P338" i="1"/>
  <c r="J338" i="1"/>
  <c r="J106" i="1"/>
  <c r="P106" i="1"/>
  <c r="J12" i="1"/>
  <c r="P12" i="1"/>
  <c r="J377" i="1"/>
  <c r="P377" i="1"/>
  <c r="P303" i="1"/>
  <c r="J303" i="1"/>
  <c r="P253" i="1"/>
  <c r="J253" i="1"/>
  <c r="P179" i="1"/>
  <c r="J179" i="1"/>
  <c r="J104" i="1"/>
  <c r="P104" i="1"/>
  <c r="J34" i="1"/>
  <c r="P34" i="1"/>
  <c r="P313" i="1"/>
  <c r="J313" i="1"/>
  <c r="P368" i="1"/>
  <c r="J368" i="1"/>
  <c r="J294" i="1"/>
  <c r="P294" i="1"/>
  <c r="J236" i="1"/>
  <c r="P236" i="1"/>
  <c r="J167" i="1"/>
  <c r="P167" i="1"/>
  <c r="J95" i="1"/>
  <c r="P95" i="1"/>
  <c r="J25" i="1"/>
  <c r="P25" i="1"/>
  <c r="P325" i="1"/>
  <c r="J325" i="1"/>
  <c r="J317" i="1"/>
  <c r="P317" i="1"/>
  <c r="P211" i="1"/>
  <c r="J211" i="1"/>
  <c r="P193" i="1"/>
  <c r="J193" i="1"/>
  <c r="P121" i="1"/>
  <c r="J121" i="1"/>
  <c r="P52" i="1"/>
  <c r="J52" i="1"/>
  <c r="P382" i="1"/>
  <c r="J382" i="1"/>
  <c r="J259" i="1"/>
  <c r="P259" i="1"/>
  <c r="J200" i="1"/>
  <c r="P200" i="1"/>
  <c r="J128" i="1"/>
  <c r="P128" i="1"/>
  <c r="J59" i="1"/>
  <c r="P59" i="1"/>
  <c r="P349" i="1"/>
  <c r="J349" i="1"/>
  <c r="P148" i="1"/>
  <c r="J148" i="1"/>
  <c r="P216" i="1"/>
  <c r="J216" i="1"/>
  <c r="P386" i="1"/>
  <c r="J386" i="1"/>
  <c r="P363" i="1"/>
  <c r="J363" i="1"/>
  <c r="P311" i="1"/>
  <c r="J311" i="1"/>
  <c r="P46" i="1"/>
  <c r="J46" i="1"/>
  <c r="J388" i="1"/>
  <c r="P388" i="1"/>
  <c r="J366" i="1"/>
  <c r="P366" i="1"/>
  <c r="P330" i="1"/>
  <c r="J330" i="1"/>
  <c r="J258" i="1"/>
  <c r="P258" i="1"/>
  <c r="J199" i="1"/>
  <c r="P199" i="1"/>
  <c r="J127" i="1"/>
  <c r="P127" i="1"/>
  <c r="J58" i="1"/>
  <c r="P58" i="1"/>
  <c r="J374" i="1"/>
  <c r="P374" i="1"/>
  <c r="J279" i="1"/>
  <c r="P279" i="1"/>
  <c r="J322" i="1"/>
  <c r="P322" i="1"/>
  <c r="J257" i="1"/>
  <c r="P257" i="1"/>
  <c r="J198" i="1"/>
  <c r="P198" i="1"/>
  <c r="J126" i="1"/>
  <c r="P126" i="1"/>
  <c r="J57" i="1"/>
  <c r="P57" i="1"/>
  <c r="P379" i="1"/>
  <c r="J379" i="1"/>
  <c r="P205" i="1"/>
  <c r="J205" i="1"/>
  <c r="J370" i="1"/>
  <c r="P370" i="1"/>
  <c r="J296" i="1"/>
  <c r="P296" i="1"/>
  <c r="J241" i="1"/>
  <c r="P241" i="1"/>
  <c r="J169" i="1"/>
  <c r="P169" i="1"/>
  <c r="J97" i="1"/>
  <c r="P97" i="1"/>
  <c r="J27" i="1"/>
  <c r="P27" i="1"/>
  <c r="P297" i="1"/>
  <c r="J297" i="1"/>
  <c r="P98" i="1"/>
  <c r="J98" i="1"/>
  <c r="J369" i="1"/>
  <c r="P369" i="1"/>
  <c r="J295" i="1"/>
  <c r="P295" i="1"/>
  <c r="J240" i="1"/>
  <c r="P240" i="1"/>
  <c r="J168" i="1"/>
  <c r="P168" i="1"/>
  <c r="J96" i="1"/>
  <c r="P96" i="1"/>
  <c r="J26" i="1"/>
  <c r="P26" i="1"/>
  <c r="P289" i="1"/>
  <c r="J289" i="1"/>
  <c r="P360" i="1"/>
  <c r="J360" i="1"/>
  <c r="J286" i="1"/>
  <c r="P286" i="1"/>
  <c r="J228" i="1"/>
  <c r="P228" i="1"/>
  <c r="J159" i="1"/>
  <c r="P159" i="1"/>
  <c r="J85" i="1"/>
  <c r="P85" i="1"/>
  <c r="P17" i="1"/>
  <c r="J17" i="1"/>
  <c r="P383" i="1"/>
  <c r="J383" i="1"/>
  <c r="J309" i="1"/>
  <c r="P309" i="1"/>
  <c r="J133" i="1"/>
  <c r="P133" i="1"/>
  <c r="J185" i="1"/>
  <c r="P185" i="1"/>
  <c r="J110" i="1"/>
  <c r="P110" i="1"/>
  <c r="J44" i="1"/>
  <c r="P44" i="1"/>
  <c r="P358" i="1"/>
  <c r="J358" i="1"/>
  <c r="P210" i="1"/>
  <c r="J210" i="1"/>
  <c r="P192" i="1"/>
  <c r="J192" i="1"/>
  <c r="P120" i="1"/>
  <c r="J120" i="1"/>
  <c r="P51" i="1"/>
  <c r="J51" i="1"/>
  <c r="P217" i="1"/>
  <c r="J217" i="1"/>
  <c r="J348" i="1"/>
  <c r="P348" i="1"/>
  <c r="P147" i="1"/>
  <c r="J147" i="1"/>
  <c r="P135" i="1"/>
  <c r="J135" i="1"/>
  <c r="P47" i="1"/>
  <c r="J47" i="1"/>
  <c r="P187" i="1"/>
  <c r="J187" i="1"/>
  <c r="P252" i="1"/>
  <c r="J252" i="1"/>
  <c r="P260" i="1"/>
  <c r="J260" i="1"/>
  <c r="P323" i="1"/>
  <c r="J323" i="1"/>
  <c r="J342" i="1"/>
  <c r="P342" i="1"/>
  <c r="P315" i="1"/>
  <c r="J315" i="1"/>
  <c r="J239" i="1"/>
  <c r="P239" i="1"/>
  <c r="J191" i="1"/>
  <c r="P191" i="1"/>
  <c r="J118" i="1"/>
  <c r="P118" i="1"/>
  <c r="J50" i="1"/>
  <c r="P50" i="1"/>
  <c r="P350" i="1"/>
  <c r="J350" i="1"/>
  <c r="P394" i="1"/>
  <c r="J394" i="1"/>
  <c r="P314" i="1"/>
  <c r="J314" i="1"/>
  <c r="P238" i="1"/>
  <c r="J238" i="1"/>
  <c r="P190" i="1"/>
  <c r="J190" i="1"/>
  <c r="P117" i="1"/>
  <c r="J117" i="1"/>
  <c r="P49" i="1"/>
  <c r="J49" i="1"/>
  <c r="P355" i="1"/>
  <c r="J355" i="1"/>
  <c r="P189" i="1"/>
  <c r="J189" i="1"/>
  <c r="J362" i="1"/>
  <c r="P362" i="1"/>
  <c r="J288" i="1"/>
  <c r="P288" i="1"/>
  <c r="J230" i="1"/>
  <c r="P230" i="1"/>
  <c r="J161" i="1"/>
  <c r="P161" i="1"/>
  <c r="J87" i="1"/>
  <c r="P87" i="1"/>
  <c r="J19" i="1"/>
  <c r="P19" i="1"/>
  <c r="J272" i="1"/>
  <c r="P272" i="1"/>
  <c r="J72" i="1"/>
  <c r="P72" i="1"/>
  <c r="P361" i="1"/>
  <c r="J361" i="1"/>
  <c r="J287" i="1"/>
  <c r="P287" i="1"/>
  <c r="J229" i="1"/>
  <c r="P229" i="1"/>
  <c r="J160" i="1"/>
  <c r="P160" i="1"/>
  <c r="J86" i="1"/>
  <c r="P86" i="1"/>
  <c r="J18" i="1"/>
  <c r="P18" i="1"/>
  <c r="P264" i="1"/>
  <c r="J264" i="1"/>
  <c r="P352" i="1"/>
  <c r="J352" i="1"/>
  <c r="P277" i="1"/>
  <c r="J277" i="1"/>
  <c r="P220" i="1"/>
  <c r="J220" i="1"/>
  <c r="P151" i="1"/>
  <c r="J151" i="1"/>
  <c r="P77" i="1"/>
  <c r="J77" i="1"/>
  <c r="J9" i="1"/>
  <c r="P9" i="1"/>
  <c r="J375" i="1"/>
  <c r="P375" i="1"/>
  <c r="J301" i="1"/>
  <c r="P301" i="1"/>
  <c r="J251" i="1"/>
  <c r="P251" i="1"/>
  <c r="P174" i="1"/>
  <c r="J174" i="1"/>
  <c r="P102" i="1"/>
  <c r="J102" i="1"/>
  <c r="J32" i="1"/>
  <c r="P32" i="1"/>
  <c r="J328" i="1"/>
  <c r="P328" i="1"/>
  <c r="P176" i="1"/>
  <c r="J176" i="1"/>
  <c r="P184" i="1"/>
  <c r="J184" i="1"/>
  <c r="P109" i="1"/>
  <c r="J109" i="1"/>
  <c r="P43" i="1"/>
  <c r="J43" i="1"/>
  <c r="P308" i="1"/>
  <c r="J308" i="1"/>
  <c r="P381" i="1"/>
  <c r="J381" i="1"/>
  <c r="P307" i="1"/>
  <c r="J307" i="1"/>
  <c r="P177" i="1"/>
  <c r="J177" i="1"/>
  <c r="P183" i="1"/>
  <c r="J183" i="1"/>
  <c r="P108" i="1"/>
  <c r="J108" i="1"/>
  <c r="P42" i="1"/>
  <c r="J42" i="1"/>
  <c r="J292" i="1"/>
  <c r="P292" i="1"/>
  <c r="J380" i="1"/>
  <c r="P380" i="1"/>
  <c r="P306" i="1"/>
  <c r="J306" i="1"/>
  <c r="P175" i="1"/>
  <c r="J175" i="1"/>
  <c r="P182" i="1"/>
  <c r="J182" i="1"/>
  <c r="P107" i="1"/>
  <c r="J107" i="1"/>
  <c r="J38" i="1"/>
  <c r="P38" i="1"/>
  <c r="J321" i="1"/>
  <c r="P321" i="1"/>
  <c r="P170" i="1"/>
  <c r="J170" i="1"/>
  <c r="P354" i="1"/>
  <c r="J354" i="1"/>
  <c r="P280" i="1"/>
  <c r="J280" i="1"/>
  <c r="P222" i="1"/>
  <c r="J222" i="1"/>
  <c r="P153" i="1"/>
  <c r="J153" i="1"/>
  <c r="P79" i="1"/>
  <c r="J79" i="1"/>
  <c r="J11" i="1"/>
  <c r="P11" i="1"/>
  <c r="P237" i="1"/>
  <c r="J237" i="1"/>
  <c r="P64" i="1"/>
  <c r="J64" i="1"/>
  <c r="P353" i="1"/>
  <c r="J353" i="1"/>
  <c r="P278" i="1"/>
  <c r="J278" i="1"/>
  <c r="P221" i="1"/>
  <c r="J221" i="1"/>
  <c r="P152" i="1"/>
  <c r="J152" i="1"/>
  <c r="P78" i="1"/>
  <c r="J78" i="1"/>
  <c r="J10" i="1"/>
  <c r="P10" i="1"/>
  <c r="P242" i="1"/>
  <c r="J242" i="1"/>
  <c r="P344" i="1"/>
  <c r="J344" i="1"/>
  <c r="P269" i="1"/>
  <c r="J269" i="1"/>
  <c r="P212" i="1"/>
  <c r="J212" i="1"/>
  <c r="P141" i="1"/>
  <c r="J141" i="1"/>
  <c r="P69" i="1"/>
  <c r="J69" i="1"/>
  <c r="J367" i="1"/>
  <c r="P367" i="1"/>
  <c r="P293" i="1"/>
  <c r="J293" i="1"/>
  <c r="P235" i="1"/>
  <c r="J235" i="1"/>
  <c r="P166" i="1"/>
  <c r="J166" i="1"/>
  <c r="P94" i="1"/>
  <c r="J94" i="1"/>
  <c r="J24" i="1"/>
  <c r="P24" i="1"/>
  <c r="J316" i="1"/>
  <c r="P316" i="1"/>
  <c r="P245" i="1"/>
  <c r="J245" i="1"/>
  <c r="P173" i="1"/>
  <c r="J173" i="1"/>
  <c r="P101" i="1"/>
  <c r="J101" i="1"/>
  <c r="J31" i="1"/>
  <c r="P31" i="1"/>
  <c r="J255" i="1"/>
  <c r="P255" i="1"/>
  <c r="P312" i="1"/>
  <c r="J312" i="1"/>
  <c r="P136" i="1"/>
  <c r="J136" i="1"/>
  <c r="J28" i="1"/>
  <c r="P28" i="1"/>
  <c r="P347" i="1"/>
  <c r="J347" i="1"/>
  <c r="P302" i="1"/>
  <c r="J302" i="1"/>
  <c r="J329" i="1"/>
  <c r="P329" i="1"/>
  <c r="J373" i="1"/>
  <c r="P373" i="1"/>
  <c r="P244" i="1"/>
  <c r="J244" i="1"/>
  <c r="P100" i="1"/>
  <c r="J100" i="1"/>
  <c r="P372" i="1"/>
  <c r="J372" i="1"/>
  <c r="J298" i="1"/>
  <c r="P298" i="1"/>
  <c r="J243" i="1"/>
  <c r="P243" i="1"/>
  <c r="J171" i="1"/>
  <c r="P171" i="1"/>
  <c r="J99" i="1"/>
  <c r="P99" i="1"/>
  <c r="P29" i="1"/>
  <c r="J29" i="1"/>
  <c r="J305" i="1"/>
  <c r="P305" i="1"/>
  <c r="J146" i="1"/>
  <c r="P146" i="1"/>
  <c r="P346" i="1"/>
  <c r="J346" i="1"/>
  <c r="P271" i="1"/>
  <c r="J271" i="1"/>
  <c r="P214" i="1"/>
  <c r="J214" i="1"/>
  <c r="P145" i="1"/>
  <c r="J145" i="1"/>
  <c r="P71" i="1"/>
  <c r="J71" i="1"/>
  <c r="P223" i="1"/>
  <c r="J223" i="1"/>
  <c r="P56" i="1"/>
  <c r="J56" i="1"/>
  <c r="J345" i="1"/>
  <c r="P345" i="1"/>
  <c r="P270" i="1"/>
  <c r="J270" i="1"/>
  <c r="P213" i="1"/>
  <c r="J213" i="1"/>
  <c r="P142" i="1"/>
  <c r="J142" i="1"/>
  <c r="P70" i="1"/>
  <c r="J70" i="1"/>
  <c r="J215" i="1"/>
  <c r="P215" i="1"/>
  <c r="J335" i="1"/>
  <c r="P335" i="1"/>
  <c r="J261" i="1"/>
  <c r="P261" i="1"/>
  <c r="P202" i="1"/>
  <c r="J130" i="1"/>
  <c r="P130" i="1"/>
  <c r="J61" i="1"/>
  <c r="P61" i="1"/>
  <c r="P359" i="1"/>
  <c r="J359" i="1"/>
  <c r="P285" i="1"/>
  <c r="J285" i="1"/>
  <c r="P227" i="1"/>
  <c r="J227" i="1"/>
  <c r="P158" i="1"/>
  <c r="J158" i="1"/>
  <c r="P84" i="1"/>
  <c r="J84" i="1"/>
  <c r="P16" i="1"/>
  <c r="J16" i="1"/>
  <c r="P300" i="1"/>
  <c r="J300" i="1"/>
  <c r="J234" i="1"/>
  <c r="P234" i="1"/>
  <c r="J165" i="1"/>
  <c r="P165" i="1"/>
  <c r="J92" i="1"/>
  <c r="P92" i="1"/>
  <c r="J23" i="1"/>
  <c r="P23" i="1"/>
  <c r="P274" i="1"/>
  <c r="J274" i="1"/>
  <c r="P74" i="1"/>
  <c r="J74" i="1"/>
  <c r="P88" i="1"/>
  <c r="J88" i="1"/>
  <c r="P113" i="1"/>
  <c r="J113" i="1"/>
  <c r="P385" i="1"/>
  <c r="J385" i="1"/>
  <c r="P112" i="1"/>
  <c r="J112" i="1"/>
  <c r="P80" i="1"/>
  <c r="J80" i="1"/>
  <c r="P201" i="1"/>
  <c r="P299" i="1"/>
  <c r="J299" i="1"/>
  <c r="P30" i="1"/>
  <c r="J30" i="1"/>
  <c r="P6" i="1"/>
  <c r="J6" i="1"/>
  <c r="J365" i="1"/>
  <c r="P365" i="1"/>
  <c r="J291" i="1"/>
  <c r="P291" i="1"/>
  <c r="J233" i="1"/>
  <c r="P233" i="1"/>
  <c r="J164" i="1"/>
  <c r="P164" i="1"/>
  <c r="J90" i="1"/>
  <c r="P90" i="1"/>
  <c r="J22" i="1"/>
  <c r="P22" i="1"/>
  <c r="P364" i="1"/>
  <c r="J364" i="1"/>
  <c r="J290" i="1"/>
  <c r="P290" i="1"/>
  <c r="J232" i="1"/>
  <c r="P232" i="1"/>
  <c r="J163" i="1"/>
  <c r="P163" i="1"/>
  <c r="J89" i="1"/>
  <c r="P89" i="1"/>
  <c r="J21" i="1"/>
  <c r="P21" i="1"/>
  <c r="P281" i="1"/>
  <c r="J281" i="1"/>
  <c r="P125" i="1"/>
  <c r="J125" i="1"/>
  <c r="P337" i="1"/>
  <c r="J337" i="1"/>
  <c r="J263" i="1"/>
  <c r="P263" i="1"/>
  <c r="J204" i="1"/>
  <c r="P204" i="1"/>
  <c r="J132" i="1"/>
  <c r="P132" i="1"/>
  <c r="J63" i="1"/>
  <c r="P63" i="1"/>
  <c r="P197" i="1"/>
  <c r="J197" i="1"/>
  <c r="P48" i="1"/>
  <c r="J48" i="1"/>
  <c r="J336" i="1"/>
  <c r="P336" i="1"/>
  <c r="J262" i="1"/>
  <c r="P262" i="1"/>
  <c r="J203" i="1"/>
  <c r="P203" i="1"/>
  <c r="J131" i="1"/>
  <c r="P131" i="1"/>
  <c r="P62" i="1"/>
  <c r="J62" i="1"/>
  <c r="J181" i="1"/>
  <c r="P181" i="1"/>
  <c r="P324" i="1"/>
  <c r="J324" i="1"/>
  <c r="P318" i="1"/>
  <c r="J318" i="1"/>
  <c r="J39" i="1"/>
  <c r="P39" i="1"/>
  <c r="J194" i="1"/>
  <c r="P194" i="1"/>
  <c r="J122" i="1"/>
  <c r="P122" i="1"/>
  <c r="J53" i="1"/>
  <c r="P53" i="1"/>
  <c r="P351" i="1"/>
  <c r="J351" i="1"/>
  <c r="J276" i="1"/>
  <c r="P276" i="1"/>
  <c r="J219" i="1"/>
  <c r="P219" i="1"/>
  <c r="J150" i="1"/>
  <c r="P150" i="1"/>
  <c r="J76" i="1"/>
  <c r="P76" i="1"/>
  <c r="J8" i="1"/>
  <c r="P8" i="1"/>
  <c r="P284" i="1"/>
  <c r="J284" i="1"/>
  <c r="P226" i="1"/>
  <c r="J226" i="1"/>
  <c r="P157" i="1"/>
  <c r="J157" i="1"/>
  <c r="P83" i="1"/>
  <c r="J83" i="1"/>
  <c r="J15" i="1"/>
  <c r="P15" i="1"/>
  <c r="P172" i="1"/>
  <c r="J172" i="1"/>
  <c r="P357" i="1"/>
  <c r="J357" i="1"/>
  <c r="J283" i="1"/>
  <c r="P283" i="1"/>
  <c r="J225" i="1"/>
  <c r="P225" i="1"/>
  <c r="J156" i="1"/>
  <c r="P156" i="1"/>
  <c r="J82" i="1"/>
  <c r="P82" i="1"/>
  <c r="J14" i="1"/>
  <c r="P14" i="1"/>
  <c r="P356" i="1"/>
  <c r="J356" i="1"/>
  <c r="P282" i="1"/>
  <c r="J282" i="1"/>
  <c r="P224" i="1"/>
  <c r="J224" i="1"/>
  <c r="P155" i="1"/>
  <c r="J155" i="1"/>
  <c r="P81" i="1"/>
  <c r="J81" i="1"/>
  <c r="J13" i="1"/>
  <c r="P13" i="1"/>
  <c r="P256" i="1"/>
  <c r="J256" i="1"/>
  <c r="P114" i="1"/>
  <c r="J114" i="1"/>
  <c r="P332" i="1"/>
  <c r="J332" i="1"/>
  <c r="J320" i="1"/>
  <c r="P320" i="1"/>
  <c r="J41" i="1"/>
  <c r="P41" i="1"/>
  <c r="J196" i="1"/>
  <c r="P196" i="1"/>
  <c r="J124" i="1"/>
  <c r="P124" i="1"/>
  <c r="J55" i="1"/>
  <c r="P55" i="1"/>
  <c r="J387" i="1"/>
  <c r="P387" i="1"/>
  <c r="P162" i="1"/>
  <c r="J162" i="1"/>
  <c r="J37" i="1"/>
  <c r="P37" i="1"/>
  <c r="P334" i="1"/>
  <c r="J334" i="1"/>
  <c r="P319" i="1"/>
  <c r="J319" i="1"/>
  <c r="J40" i="1"/>
  <c r="P40" i="1"/>
  <c r="J195" i="1"/>
  <c r="P195" i="1"/>
  <c r="J123" i="1"/>
  <c r="P123" i="1"/>
  <c r="J54" i="1"/>
  <c r="P54" i="1"/>
  <c r="J371" i="1"/>
  <c r="P371" i="1"/>
  <c r="P154" i="1"/>
  <c r="J154" i="1"/>
  <c r="P384" i="1"/>
  <c r="J384" i="1"/>
  <c r="P310" i="1"/>
  <c r="J310" i="1"/>
  <c r="P91" i="1"/>
  <c r="J91" i="1"/>
  <c r="P186" i="1"/>
  <c r="J186" i="1"/>
  <c r="P111" i="1"/>
  <c r="J111" i="1"/>
  <c r="P45" i="1"/>
  <c r="J45" i="1"/>
  <c r="J343" i="1"/>
  <c r="P343" i="1"/>
  <c r="J268" i="1"/>
  <c r="P268" i="1"/>
  <c r="P209" i="1"/>
  <c r="J209" i="1"/>
  <c r="P140" i="1"/>
  <c r="J140" i="1"/>
  <c r="P68" i="1"/>
  <c r="J68" i="1"/>
  <c r="P275" i="1"/>
  <c r="J275" i="1"/>
  <c r="P218" i="1"/>
  <c r="J218" i="1"/>
  <c r="P149" i="1"/>
  <c r="J149" i="1"/>
  <c r="P75" i="1"/>
  <c r="J75" i="1"/>
  <c r="J7" i="1"/>
  <c r="P7" i="1"/>
  <c r="P4" i="1" l="1"/>
  <c r="P3" i="1"/>
  <c r="P2" i="1" s="1"/>
</calcChain>
</file>

<file path=xl/sharedStrings.xml><?xml version="1.0" encoding="utf-8"?>
<sst xmlns="http://schemas.openxmlformats.org/spreadsheetml/2006/main" count="19483" uniqueCount="1330">
  <si>
    <t>EAN</t>
  </si>
  <si>
    <t>ALERGIDEX XPE CT FR PET 1X120ML</t>
  </si>
  <si>
    <t>ASSEPTCARE 10MG/ML SOL SPRAY FR 1X50ML</t>
  </si>
  <si>
    <t>CORTICORTEN 20MG COMP CT BL 2X10</t>
  </si>
  <si>
    <t>CORTICORTEN 5MG COMP CT BL 1X20</t>
  </si>
  <si>
    <t>DORONA CAFI COMP CT BL 2X8</t>
  </si>
  <si>
    <t>DORONA CAFI COMP DISP BL 25X4</t>
  </si>
  <si>
    <t>DRAMAVIT B6 SOL OR CT FR PET 1X20 ML LP</t>
  </si>
  <si>
    <t>EPICITRIN 5MG+250UI/G POM DERM CT BG 10G</t>
  </si>
  <si>
    <t>FLOMICIN 100MG CAP GEL DURA FR VD 1X12</t>
  </si>
  <si>
    <t>FLOMICIN 200MG PO CT ENV 4X1G</t>
  </si>
  <si>
    <t>FLOXICAM 20MG CAP CT BL 1X15</t>
  </si>
  <si>
    <t>FLUXON 75MG COMP CT BL 3X10</t>
  </si>
  <si>
    <t>HISTAMIN 2MG CT BL 20 COMP</t>
  </si>
  <si>
    <t>HISTAMIN 2MG/5ML XPE FR VD AMB 1X100ML</t>
  </si>
  <si>
    <t>HISTAMIN CREME 10MG/G BG C/30G</t>
  </si>
  <si>
    <t>IBUFRAN 600MG COMP CT BL 3X10</t>
  </si>
  <si>
    <t>LIDOGEL 2% CT BG ALUM 1X30G</t>
  </si>
  <si>
    <t>LIPNEO 100MG COMP CT BL 2X15</t>
  </si>
  <si>
    <t>LOXAM 15MG COMP CT BL 1X10</t>
  </si>
  <si>
    <t>MAGNOSTASE 2MG COMP CT BL PVDC 1X12</t>
  </si>
  <si>
    <t>MASSAGEOL AEROSSOL TUB ALUM 1X120ML</t>
  </si>
  <si>
    <t>MASSAGEOL POM BG ALUM 1X15G</t>
  </si>
  <si>
    <t>MASSAGEOL POM BG ALUM 1X30G</t>
  </si>
  <si>
    <t>NAPRONAX 550MG COMP REV CT BL X10</t>
  </si>
  <si>
    <t>NEO FEDIPINA 10MG COMP CT BL 1X30</t>
  </si>
  <si>
    <t>NEO FEDIPINA 20MG COMP CT BL 1X30</t>
  </si>
  <si>
    <t>NEO FOLICO 5MG COMP REV CT BL 1X20</t>
  </si>
  <si>
    <t>NEO LORATADIN 10MG COMP CT X 12</t>
  </si>
  <si>
    <t>NEO METRODAZOL 250MG COMP CT BL 2X10</t>
  </si>
  <si>
    <t>NEO MISTATIN 25000UI/G CR VAG 1X60G 14AP</t>
  </si>
  <si>
    <t>NEOCOFLAN 11,6MG/G GEL BG ALUM 1X60G</t>
  </si>
  <si>
    <t>NEODIA 1,5MG COMP CT BL 1X1</t>
  </si>
  <si>
    <t>NEOLEFRIN CT BL 20 COMP</t>
  </si>
  <si>
    <t>NEOLEFRIN DIA CT BL 20 COMP</t>
  </si>
  <si>
    <t>NEOLEFRIN DISP BL 200 COMP (50X4)</t>
  </si>
  <si>
    <t>NEOLEFRIN XPE FR VD AMB 1X60ML+COPO MED</t>
  </si>
  <si>
    <t>NEOPIRIDIN PAST CT ENV ALUM 3X4</t>
  </si>
  <si>
    <t>NEOPIRIDIN SPRAY FR VD 1X50ML</t>
  </si>
  <si>
    <t>NEOSEMID 40MG CT BL 20 COMP</t>
  </si>
  <si>
    <t>NEOSORO SOL NAS AD CT FR 1X30ML</t>
  </si>
  <si>
    <t>NEOSSOLVAN 3MG/ML XPE INF VD 1X120ML</t>
  </si>
  <si>
    <t>NEOSSOLVAN 6MG/ML XPE AD FR VD 1X120ML</t>
  </si>
  <si>
    <t>NEOTOSS 15MG/5ML XPE AD FR 1X100ML</t>
  </si>
  <si>
    <t>NEOTOSS 7,5MG/5ML XPE INF FR 1X60ML</t>
  </si>
  <si>
    <t>PLESONAX 5MG COMP REV CT BL 1X20</t>
  </si>
  <si>
    <t>PLESONAX 5MG COMP REV CT BL 25X4</t>
  </si>
  <si>
    <t>QUADRILON CR CT BG ALUM 1X20G</t>
  </si>
  <si>
    <t>QUADRILON POM CT BG ALUM 1X20G</t>
  </si>
  <si>
    <t>RENALAPRIL 10MG COMP CT ENV ALUM 3X10</t>
  </si>
  <si>
    <t>RENALAPRIL 20MG COMP CT ENV ALUM 3X10</t>
  </si>
  <si>
    <t>RENALAPRIL 5MG COMP CT ENV ALUM 3X10</t>
  </si>
  <si>
    <t>SENARETI 29MG COMP REV CT BL 2X10 LP</t>
  </si>
  <si>
    <t>SENARETI 9MG/G GELEIA OR CT FR 1X150G LP</t>
  </si>
  <si>
    <t>SENARETI 9MG/G GELEIA OR CT FR 1X250G LP</t>
  </si>
  <si>
    <t>TENSALIV 10MG COMP CT BL 2X15</t>
  </si>
  <si>
    <t>TENSALIV 5MG COMP CT BL 2X15</t>
  </si>
  <si>
    <t>TORSILAX COMP CT BL 20X10 FC</t>
  </si>
  <si>
    <t>TORSILAX COMP CT BL 25X4 FC</t>
  </si>
  <si>
    <t>TORSILAX COMP CT BL 2X6</t>
  </si>
  <si>
    <t>TORSILAX COMP CT BL 3X10</t>
  </si>
  <si>
    <t>VERTIGIUM 10MG COMP CT BL 2X25 ACLAR</t>
  </si>
  <si>
    <t>VITAMINA B1 NEO QUIM 300MG CPRV CT 3X10</t>
  </si>
  <si>
    <t>ACEBROFILINA 10MG/ML XPE AD FR 1X120ML</t>
  </si>
  <si>
    <t>ACEBROFILINA 5MG/ML XPE INF VD 1X120ML</t>
  </si>
  <si>
    <t>ACICLOVIR 50MG/G CR BG ALUM 1X10G</t>
  </si>
  <si>
    <t>AMOXICILINA 250MG/5ML PO EXT VD 1X150ML</t>
  </si>
  <si>
    <t>AMOXICILINA 500MG CAP CT BL 3X5</t>
  </si>
  <si>
    <t>AMOXICILINA 500MG CAP CT BL 3X7</t>
  </si>
  <si>
    <t>ARIPIPRAZOL 10MG C1 CT BL 30 COMP</t>
  </si>
  <si>
    <t>ARIPIPRAZOL 15MG C1 CT BL 30 COMP</t>
  </si>
  <si>
    <t>ATENOLOL 25MG COMP CT BL 1X30</t>
  </si>
  <si>
    <t>ATENOLOL 50MG COMP CT BL 2X15</t>
  </si>
  <si>
    <t>AZITROMICINA 500MG CT BL 3 COMP REV</t>
  </si>
  <si>
    <t>AZITROMICINA 500MG CT BL 5 COMP REV</t>
  </si>
  <si>
    <t>AZITROMICINA PO SUSP EXT FR 600MG</t>
  </si>
  <si>
    <t>AZITROMICINA PO SUSP EXT FR 900MG</t>
  </si>
  <si>
    <t>BESILATO ANLODIPINO 10MG COMP CT BL 2X15</t>
  </si>
  <si>
    <t>BISSULFATO CLOPIDOGREL 75MG CT BL 28CPRV</t>
  </si>
  <si>
    <t>BROMAZEPAM 3MG B-1 COMP CT BL 2X15</t>
  </si>
  <si>
    <t>BROMAZEPAM 6MG B-1 COMP CT BL 2X15</t>
  </si>
  <si>
    <t>CAPTOPRIL 25MG COMP CT BL 2X15</t>
  </si>
  <si>
    <t>CIPROFIBRATO 100MG COMP CT BL 2X15</t>
  </si>
  <si>
    <t>CIT SILDENAFILA 100MG COMP REV CT 1X4</t>
  </si>
  <si>
    <t>CIT SILDENAFILA 50MG COMP REV CT BL 1X2</t>
  </si>
  <si>
    <t>CIT SILDENAFILA 50MG COMP REV CT BL 1X4</t>
  </si>
  <si>
    <t>CL AMITRIPTILINA 25MG C1 CT BL X 30</t>
  </si>
  <si>
    <t>CLOR CICLOBENZAPRINA CPR 10MG 30UN MTC</t>
  </si>
  <si>
    <t>CLOR CIPROFLOXACINO 500MG CPRV CT 2X7</t>
  </si>
  <si>
    <t>CLOR CIPROFLOXACINO 500MG CPRV CT BL 1X6</t>
  </si>
  <si>
    <t>CLOR DE AMBROXOL 3MG/ML XPE INF 1X120ML</t>
  </si>
  <si>
    <t>CLOR DE AMBROXOL 6MG/ML XPE AD 1X120ML</t>
  </si>
  <si>
    <t>CLOR DE PROPRANOLOL 40MG COMP CT BL 2X15</t>
  </si>
  <si>
    <t>CLOR NEBIVOLOL 5MG CT BL 28 COMP</t>
  </si>
  <si>
    <t>CLOR TRAMADOL 100MG/ML A-2 FR 1X10ML</t>
  </si>
  <si>
    <t>CLOR TRAMADOL 50MG A-2 CAP CT BL 1X10</t>
  </si>
  <si>
    <t>DESOGESTREL CT BL 28 CPRV</t>
  </si>
  <si>
    <t>DESOGESTREL CT BL 84 CPRV</t>
  </si>
  <si>
    <t>DIAZEPAM 10MG B-1 COMP CT BL 2X15</t>
  </si>
  <si>
    <t>DIAZEPAM 5MG B-1 COMP CT BL 1X30</t>
  </si>
  <si>
    <t>DIPIRONA 500MG CAFEINA 65MG COMP CT 25X4</t>
  </si>
  <si>
    <t>DIPIRONA 500MG CAFEINA 65MG COMP CT 2X8</t>
  </si>
  <si>
    <t>DIPIRONA MONOIDRATADA 1G COMP CT BL 1X10</t>
  </si>
  <si>
    <t>EZETIMIBA 10MG CT BL 30 COMP</t>
  </si>
  <si>
    <t>FUROATO MOMETASONA CR 1,0MG/G BG 20G</t>
  </si>
  <si>
    <t>FUROSEMIDA 40MG CT BL 20 COMP</t>
  </si>
  <si>
    <t>FUROSEMIDA 40MG CT BL 30 COMP</t>
  </si>
  <si>
    <t>GLIBENCLAMIDA 5MG COMP CT BL 1X30</t>
  </si>
  <si>
    <t>GUAIFENESINA CEREJ 13,3MG/ML XPE 1X120ML</t>
  </si>
  <si>
    <t>HIDROCLOROTIAZIDA 25MG CT BL 30 COMP</t>
  </si>
  <si>
    <t>HIDROCLOROTIAZIDA 50MG COMP CT BL 1X20</t>
  </si>
  <si>
    <t>IBUPROFENO 400MG COMP CT BL 1X10</t>
  </si>
  <si>
    <t>IBUPROFENO 50MG/ML GTS 30ML MTC</t>
  </si>
  <si>
    <t>LOSARTANA POTAS 50MG COMP REV CT BL 2X15</t>
  </si>
  <si>
    <t>MAL DEXCLOR+BETAMETASONA XPE FR 1X120ML</t>
  </si>
  <si>
    <t>MAL DEXCLORFENIRAM 2MG COMP CT BL 1X20</t>
  </si>
  <si>
    <t>MAL DEXCLORFENIRAM 2MG/5ML SOL 1X120ML</t>
  </si>
  <si>
    <t>MALEATO ENALAPRIL 10MG CT ENV 30 COMP</t>
  </si>
  <si>
    <t>MALEATO ENALAPRIL 20MG CT ENV 30 COMP</t>
  </si>
  <si>
    <t>MALEATO ENALAPRIL 5MG CT ENV 30 COMP</t>
  </si>
  <si>
    <t>MELOXICAM 15MG COMP CT BL 1X10</t>
  </si>
  <si>
    <t>MESALAZINA 400MG COMP REV CT BL 3X10</t>
  </si>
  <si>
    <t>MESALAZINA 800MG COMP REV CT BL 3X10</t>
  </si>
  <si>
    <t>METRONIDAZOL 100MG/G GEL VAG BG 55G</t>
  </si>
  <si>
    <t>METRONIDAZOL 250MG COMP CT BL 2X10</t>
  </si>
  <si>
    <t>NAPROXENO SOD 550MG COMP REV CT BL 1X10</t>
  </si>
  <si>
    <t>NAPROXENO SOD 550MG COMP REV CT BL 2X10</t>
  </si>
  <si>
    <t>NIMESULIDA 100MG COMP 12UN</t>
  </si>
  <si>
    <t>NIMESULIDA 20MG/G GEL BG 1X40G</t>
  </si>
  <si>
    <t>NISTATINA + OXIDO DE ZINCO POM BG 1X60G</t>
  </si>
  <si>
    <t>NISTATINA 25000UI/G CR VAG BG 60G 14 APL</t>
  </si>
  <si>
    <t>NITAZOXANIDA 500MG CT BL 6 CPRV</t>
  </si>
  <si>
    <t>OLMESA+HCTZ 20/12,5MG CPRV CT BL AL 2X15</t>
  </si>
  <si>
    <t>OLMESAR+HCTZ 40/25MG CPRV CT BL AL 3X10</t>
  </si>
  <si>
    <t>OMEPRAZOL 20MG CAP CT BL 2X14</t>
  </si>
  <si>
    <t>OMEPRAZOL 20MG CAP DURA BL 4X14</t>
  </si>
  <si>
    <t>ORLISTATE 120MG CAP CT BL AL PLAS X 30</t>
  </si>
  <si>
    <t>ORLISTATE 120MG CT 42 CAP</t>
  </si>
  <si>
    <t>ORLISTATE 120MG CT 84 CAP</t>
  </si>
  <si>
    <t>PIROXICAM 20MG CAP CT BL 1X10</t>
  </si>
  <si>
    <t>PIROXICAM 20MG CAP CT BL 1X15</t>
  </si>
  <si>
    <t>PREDNISONA 20MG COMP CT BL X10</t>
  </si>
  <si>
    <t>PREDNISONA 20MG COMP CT BL X20</t>
  </si>
  <si>
    <t>PREDNISONA 5MG COMP CT BL X20</t>
  </si>
  <si>
    <t>PROP DE CLOBETASOL 0,5MG/G CR BG 1X30G</t>
  </si>
  <si>
    <t>PROP DE CLOBETASOL 0,5MG/G POM BG 1X30G</t>
  </si>
  <si>
    <t>SIMETICONA 125MG CT BL 10 CAP GEL</t>
  </si>
  <si>
    <t>SIMETICONA 40MG COMP CT BL 2X10</t>
  </si>
  <si>
    <t>SUCCINATO METOPROLOL 100MG CT BL 30 CPRV</t>
  </si>
  <si>
    <t>SUCCINATO METOPROLOL 25MG CT BL 30 CPRV</t>
  </si>
  <si>
    <t>SUCCINATO METOPROLOL 50MG CT BL 30 CPRV</t>
  </si>
  <si>
    <t>SULF NEOMICINA+BACITRACINA POM BG 1X15G</t>
  </si>
  <si>
    <t>TADALAFILA 20MG COMP REV CT BL 1X1</t>
  </si>
  <si>
    <t>TADALAFILA 20MG COMP REV CT BL 1X2</t>
  </si>
  <si>
    <t>TADALAFILA 20MG COMP REV CT BL 1X4</t>
  </si>
  <si>
    <t>TADALAFILA 5MG COMP REV CT BL 2X14</t>
  </si>
  <si>
    <t>TENOXICAM 20MG COMP REV CT BL 1X10</t>
  </si>
  <si>
    <t>TIBOLONA 2,5 MG COMP CT BL 1X28</t>
  </si>
  <si>
    <t>TINIDAZOL+NIT MICONAZOL CR BG+7APL X40G</t>
  </si>
  <si>
    <t>VAL BETAMETASONA 1MG/G CR BG ALUM 1X30G</t>
  </si>
  <si>
    <t>VAL BETAMETASONA 1MG/G SOL CAPIL 1X50ML</t>
  </si>
  <si>
    <t>VALSARTANA 160MG COMP REV CT BL 3X10</t>
  </si>
  <si>
    <t>VALSARTANA 320MG COMP REV CT BL 3X10</t>
  </si>
  <si>
    <t>VALSARTANA 80MG COMP REV CT BL 2X15</t>
  </si>
  <si>
    <t>QTDE</t>
  </si>
  <si>
    <t>TOTAL</t>
  </si>
  <si>
    <t>SMT</t>
  </si>
  <si>
    <t>GNX</t>
  </si>
  <si>
    <t>LINHA</t>
  </si>
  <si>
    <t>SIG</t>
  </si>
  <si>
    <t>12774-0</t>
  </si>
  <si>
    <t>12386-0</t>
  </si>
  <si>
    <t>12597-0</t>
  </si>
  <si>
    <t>12598-0</t>
  </si>
  <si>
    <t>19483-0</t>
  </si>
  <si>
    <t>19482-0</t>
  </si>
  <si>
    <t>16023-0</t>
  </si>
  <si>
    <t>19589-0</t>
  </si>
  <si>
    <t>12708-0</t>
  </si>
  <si>
    <t>12795-0</t>
  </si>
  <si>
    <t>19305-0</t>
  </si>
  <si>
    <t>19304-0</t>
  </si>
  <si>
    <t>19546-0</t>
  </si>
  <si>
    <t>19954-0</t>
  </si>
  <si>
    <t>12364-0</t>
  </si>
  <si>
    <t>16014-0</t>
  </si>
  <si>
    <t>12658-0</t>
  </si>
  <si>
    <t>15603-0</t>
  </si>
  <si>
    <t>18328-0</t>
  </si>
  <si>
    <t>12339-0</t>
  </si>
  <si>
    <t>12304-0</t>
  </si>
  <si>
    <t>12307-0</t>
  </si>
  <si>
    <t>20746-0</t>
  </si>
  <si>
    <t>12562-0</t>
  </si>
  <si>
    <t>12564-0</t>
  </si>
  <si>
    <t>12614-0</t>
  </si>
  <si>
    <t>12589-0</t>
  </si>
  <si>
    <t>19511-0</t>
  </si>
  <si>
    <t>18039-0</t>
  </si>
  <si>
    <t>12303-0</t>
  </si>
  <si>
    <t>15579-0</t>
  </si>
  <si>
    <t>19669-0</t>
  </si>
  <si>
    <t>18335-0</t>
  </si>
  <si>
    <t>12334-0</t>
  </si>
  <si>
    <t>12321-0</t>
  </si>
  <si>
    <t>19711-0</t>
  </si>
  <si>
    <t>12384-0</t>
  </si>
  <si>
    <t>12310-0</t>
  </si>
  <si>
    <t>12309-0</t>
  </si>
  <si>
    <t>12571-0</t>
  </si>
  <si>
    <t>12362-0</t>
  </si>
  <si>
    <t>12361-0</t>
  </si>
  <si>
    <t>12349-0</t>
  </si>
  <si>
    <t>12378-0</t>
  </si>
  <si>
    <t>19744-0</t>
  </si>
  <si>
    <t>19743-0</t>
  </si>
  <si>
    <t>12601-0</t>
  </si>
  <si>
    <t>12602-0</t>
  </si>
  <si>
    <t>12600-0</t>
  </si>
  <si>
    <t>13197-0</t>
  </si>
  <si>
    <t>13198-0</t>
  </si>
  <si>
    <t>13199-0</t>
  </si>
  <si>
    <t>19209-0</t>
  </si>
  <si>
    <t>18766-0</t>
  </si>
  <si>
    <t>13795-0</t>
  </si>
  <si>
    <t>12606-0</t>
  </si>
  <si>
    <t>17459-0</t>
  </si>
  <si>
    <t>12746-0</t>
  </si>
  <si>
    <t>12466-0</t>
  </si>
  <si>
    <t>12465-0</t>
  </si>
  <si>
    <t>19476-0</t>
  </si>
  <si>
    <t>17944-0</t>
  </si>
  <si>
    <t>12393-0</t>
  </si>
  <si>
    <t>19653-0</t>
  </si>
  <si>
    <t>19654-0</t>
  </si>
  <si>
    <t>18454-0</t>
  </si>
  <si>
    <t>13906-0</t>
  </si>
  <si>
    <t>13908-0</t>
  </si>
  <si>
    <t>12421-0</t>
  </si>
  <si>
    <t>15473-0</t>
  </si>
  <si>
    <t>13851-0</t>
  </si>
  <si>
    <t>13852-0</t>
  </si>
  <si>
    <t>20616-0</t>
  </si>
  <si>
    <t>15972-0</t>
  </si>
  <si>
    <t>12485-0</t>
  </si>
  <si>
    <t>12435-0</t>
  </si>
  <si>
    <t>12409-0</t>
  </si>
  <si>
    <t>12407-0</t>
  </si>
  <si>
    <t>12423-0</t>
  </si>
  <si>
    <t>19678-0</t>
  </si>
  <si>
    <t>12499-0</t>
  </si>
  <si>
    <t>13920-0</t>
  </si>
  <si>
    <t>19882-0</t>
  </si>
  <si>
    <t>19883-0</t>
  </si>
  <si>
    <t>12517-0</t>
  </si>
  <si>
    <t>12516-0</t>
  </si>
  <si>
    <t>14090-0</t>
  </si>
  <si>
    <t>19001-0</t>
  </si>
  <si>
    <t>19000-0</t>
  </si>
  <si>
    <t>13598-0</t>
  </si>
  <si>
    <t>13600-0</t>
  </si>
  <si>
    <t>19395-0</t>
  </si>
  <si>
    <t>19887-0</t>
  </si>
  <si>
    <t>14075-0</t>
  </si>
  <si>
    <t>19587-0</t>
  </si>
  <si>
    <t>19588-0</t>
  </si>
  <si>
    <t>13350-0</t>
  </si>
  <si>
    <t>12502-0</t>
  </si>
  <si>
    <t>19655-0</t>
  </si>
  <si>
    <t>19514-0</t>
  </si>
  <si>
    <t>12537-0</t>
  </si>
  <si>
    <t>17153-0</t>
  </si>
  <si>
    <t>12512-0</t>
  </si>
  <si>
    <t>12496-0</t>
  </si>
  <si>
    <t>12535-0</t>
  </si>
  <si>
    <t>12410-0</t>
  </si>
  <si>
    <t>19592-0</t>
  </si>
  <si>
    <t>19593-0</t>
  </si>
  <si>
    <t>19591-0</t>
  </si>
  <si>
    <t>12503-0</t>
  </si>
  <si>
    <t>15871-0</t>
  </si>
  <si>
    <t>15852-0</t>
  </si>
  <si>
    <t>19705-0</t>
  </si>
  <si>
    <t>18964-0</t>
  </si>
  <si>
    <t>12432-0</t>
  </si>
  <si>
    <t>12469-0</t>
  </si>
  <si>
    <t>12468-0</t>
  </si>
  <si>
    <t>18002-0</t>
  </si>
  <si>
    <t>12508-0</t>
  </si>
  <si>
    <t>12494-0</t>
  </si>
  <si>
    <t>19803-0</t>
  </si>
  <si>
    <t>19802-0</t>
  </si>
  <si>
    <t>18972-0</t>
  </si>
  <si>
    <t>18302-0</t>
  </si>
  <si>
    <t>19098-0</t>
  </si>
  <si>
    <t>12472-0</t>
  </si>
  <si>
    <t>12454-0</t>
  </si>
  <si>
    <t>12440-0</t>
  </si>
  <si>
    <t>12441-0</t>
  </si>
  <si>
    <t>20412-0</t>
  </si>
  <si>
    <t>12500-0</t>
  </si>
  <si>
    <t>13351-0</t>
  </si>
  <si>
    <t>19507-0</t>
  </si>
  <si>
    <t>19508-0</t>
  </si>
  <si>
    <t>19496-0</t>
  </si>
  <si>
    <t>19497-0</t>
  </si>
  <si>
    <t>12490-0</t>
  </si>
  <si>
    <t>12426-0</t>
  </si>
  <si>
    <t>12493-0</t>
  </si>
  <si>
    <t>18044-0</t>
  </si>
  <si>
    <t>18046-0</t>
  </si>
  <si>
    <t>18042-0</t>
  </si>
  <si>
    <t>12456-0</t>
  </si>
  <si>
    <t>BESILATO ANLODIPINO 5MG COMP CT BL 2X15</t>
  </si>
  <si>
    <t>12392-0</t>
  </si>
  <si>
    <t>17042-0</t>
  </si>
  <si>
    <t>17579-0</t>
  </si>
  <si>
    <t>19759-0</t>
  </si>
  <si>
    <t>CLANISTIL SOL OFT CT FR 1X15ML</t>
  </si>
  <si>
    <t>COLIRIO NEO BRASIL SOL OFT FR C/20ML</t>
  </si>
  <si>
    <t>NEO FRESH 5MG/ML SOLU OFT FR 15ML</t>
  </si>
  <si>
    <t>19572-0</t>
  </si>
  <si>
    <t>20575-0</t>
  </si>
  <si>
    <t>20576-0</t>
  </si>
  <si>
    <t>20727-0</t>
  </si>
  <si>
    <t>20728-0</t>
  </si>
  <si>
    <t>20729-0</t>
  </si>
  <si>
    <t>12509-0</t>
  </si>
  <si>
    <t>20758-0</t>
  </si>
  <si>
    <t>17031-0</t>
  </si>
  <si>
    <t>TOBRAMICINA 3MG/ML SOL OFT FR C/ 5ML</t>
  </si>
  <si>
    <t>Desc. Máx.</t>
  </si>
  <si>
    <t>Desc. Política</t>
  </si>
  <si>
    <t>20865-0</t>
  </si>
  <si>
    <t>EQUILIBRISSE CT BL AL 420MG X 10</t>
  </si>
  <si>
    <t>13365-0</t>
  </si>
  <si>
    <t>20707-0</t>
  </si>
  <si>
    <t>20418-0</t>
  </si>
  <si>
    <t>20929-0</t>
  </si>
  <si>
    <t>19564-0</t>
  </si>
  <si>
    <t>18557-0</t>
  </si>
  <si>
    <t>12419-0</t>
  </si>
  <si>
    <t>19052-0</t>
  </si>
  <si>
    <t>19061-0</t>
  </si>
  <si>
    <t>19651-0</t>
  </si>
  <si>
    <t>19652-0</t>
  </si>
  <si>
    <t>19613-0</t>
  </si>
  <si>
    <t>14822-0</t>
  </si>
  <si>
    <t>20504-0</t>
  </si>
  <si>
    <t>CLORIDRATO DONEPEZILA 10MG C1 30 CPRV</t>
  </si>
  <si>
    <t>20503-0</t>
  </si>
  <si>
    <t>CLORIDRATO DONEPEZILA 5MG C1 30 CPRV</t>
  </si>
  <si>
    <t>19396-0</t>
  </si>
  <si>
    <t>18973-0</t>
  </si>
  <si>
    <t>20497-0</t>
  </si>
  <si>
    <t>19644-0</t>
  </si>
  <si>
    <t>19645-0</t>
  </si>
  <si>
    <t>17078-0</t>
  </si>
  <si>
    <t>REPASSE</t>
  </si>
  <si>
    <t>CX. PADRÃO</t>
  </si>
  <si>
    <t>P. F.</t>
  </si>
  <si>
    <t>CÓDIGO</t>
  </si>
  <si>
    <t>20854-0</t>
  </si>
  <si>
    <t>FLUXON 25MG COMP CT BL 3X10</t>
  </si>
  <si>
    <t>20855-0</t>
  </si>
  <si>
    <t>CL TRAZODONA 100MG C1 CT BL 30 COMP</t>
  </si>
  <si>
    <t>CL TRAZODONA 50MG C1 CT BL 60 COMP</t>
  </si>
  <si>
    <t>20754-0</t>
  </si>
  <si>
    <t>20867-0</t>
  </si>
  <si>
    <t>HEMITAR ZOLPIDEM SUBL 5MG B1 CT BL 30 CP</t>
  </si>
  <si>
    <t>Preço Política c/ Repasse</t>
  </si>
  <si>
    <t>Preço Política s/ Repasse</t>
  </si>
  <si>
    <t>ALENDRONATO SODIO TRI 70MG CP CT BL 1X4</t>
  </si>
  <si>
    <t>20895-0</t>
  </si>
  <si>
    <t>CELECOXIBE 200MG 10 CAPSULAS C1</t>
  </si>
  <si>
    <t>DIPIRONA MONOIDRATADA 1G CP DISP BL 25X4</t>
  </si>
  <si>
    <t>20757-0</t>
  </si>
  <si>
    <t>IBUPROFENO 100MG/ML GTS 20ML</t>
  </si>
  <si>
    <t>LORATADINA 10MG COMP CT 12 CP</t>
  </si>
  <si>
    <t>MALEATO TIMOLOL 5MG/ML SOL OFT FR 5ML</t>
  </si>
  <si>
    <t>MESILATO DOXAZOSINA 2MG CT BL 30 COMP</t>
  </si>
  <si>
    <t>MESILATO DOXAZOSINA 4MG CT BL 30 COMP</t>
  </si>
  <si>
    <t>MIRTAZAPINA 15MG C1 CT BL X30 CPRS ODT</t>
  </si>
  <si>
    <t>MIRTAZAPINA 30MG C1 CT BL X30 CPRS ODT</t>
  </si>
  <si>
    <t>NIMESULIDA 50MG/ML SUSP GTS FR PL 1X15ML</t>
  </si>
  <si>
    <t>OXAL ESCITALOPRAM C-1 10MG CPRV BL 2X15</t>
  </si>
  <si>
    <t>OXAL ESCITALOPRAM C-1 20MG CPRV BL 2X15</t>
  </si>
  <si>
    <t>20950-0</t>
  </si>
  <si>
    <t>PREGABALINA 150MG C1 CT BL X 30 CAPS</t>
  </si>
  <si>
    <t>TART BRIMONIDINA 2MG/ML SOL GTS FR 1X5ML</t>
  </si>
  <si>
    <t>19163-0</t>
  </si>
  <si>
    <t>BECLONATO SUSP INJ CT AMP VD 1ML+SER</t>
  </si>
  <si>
    <t>20898-0</t>
  </si>
  <si>
    <t>MIRADOR 1G COMPRIMIDO CT BL X 10</t>
  </si>
  <si>
    <t>NEOCOFLAN 11,6 MG/G AERO TOP TUB 85ML</t>
  </si>
  <si>
    <t>TIBIAL 2,5MG CT BL 28 COMP</t>
  </si>
  <si>
    <t>19940-0</t>
  </si>
  <si>
    <t>20713-0</t>
  </si>
  <si>
    <t>20714-0</t>
  </si>
  <si>
    <t>CODEINA+PARACETAMOL 30MG+500MG X12 A2</t>
  </si>
  <si>
    <t>CODEINA+PARACETAMOL 30MG+500MG X24 A2</t>
  </si>
  <si>
    <t>21641-0</t>
  </si>
  <si>
    <t>21114-0</t>
  </si>
  <si>
    <t>21115-0</t>
  </si>
  <si>
    <t>FENOFIBRATO 200MG CT BL X 30 CAPS</t>
  </si>
  <si>
    <t>IBUFRAN 400MG CAP GEL MOLE CT BL AL X8</t>
  </si>
  <si>
    <t>21888-0</t>
  </si>
  <si>
    <t>21889-0</t>
  </si>
  <si>
    <t>21890-0</t>
  </si>
  <si>
    <t>21891-0</t>
  </si>
  <si>
    <t>21892-0</t>
  </si>
  <si>
    <t>21887-0</t>
  </si>
  <si>
    <t>RIVAROXABANA 10MG CPRV BL X 30</t>
  </si>
  <si>
    <t>RIVAROXABANA 15MG CPRV BL X 15</t>
  </si>
  <si>
    <t>RIVAROXABANA 15MG CPRV BL X 30</t>
  </si>
  <si>
    <t>RIVAROXABANA 20MG CPRV BL X 15</t>
  </si>
  <si>
    <t>RIVAROXABANA 20MG CPRV BL X 30</t>
  </si>
  <si>
    <t>15771-0</t>
  </si>
  <si>
    <t>IVERNEO 6MG COMP CT ENV 1X4</t>
  </si>
  <si>
    <t>21783-0</t>
  </si>
  <si>
    <t>CL FEXOFENADINA 120MG CT BL X 10 CPRV</t>
  </si>
  <si>
    <t>21784-0</t>
  </si>
  <si>
    <t>CL FEXOFENADINA 180MG CT BL X 10 CPRV</t>
  </si>
  <si>
    <t>21785-0</t>
  </si>
  <si>
    <t>DESRINITE 180MG CT BL AL X 10 CPRV</t>
  </si>
  <si>
    <t>21786-0</t>
  </si>
  <si>
    <t>DESRINITE 120MG CT BL AL X 10 CPRV</t>
  </si>
  <si>
    <t>21733-0</t>
  </si>
  <si>
    <t>NEOSORO FLUID SPR 0.9% SIC CT 50ML</t>
  </si>
  <si>
    <t>21903-0</t>
  </si>
  <si>
    <t>IVERMECTINA 6MG COMP CT STR 1X4</t>
  </si>
  <si>
    <t>21904-0</t>
  </si>
  <si>
    <t>IVERMECTINA 6MG COMP CT STR 1X2</t>
  </si>
  <si>
    <t>21106-0</t>
  </si>
  <si>
    <t>MINOXIDIL 50MG/ML SOL CAP X 50ML</t>
  </si>
  <si>
    <t>19938-0</t>
  </si>
  <si>
    <t>21637-0</t>
  </si>
  <si>
    <t>21638-0</t>
  </si>
  <si>
    <t>FLAVONID COMP REV CT BL 3X10</t>
  </si>
  <si>
    <t>FLAVONID COMP REV CT BL 6X10</t>
  </si>
  <si>
    <t>MONTELUCASTE 10MG CT BLX30 CPRV</t>
  </si>
  <si>
    <t>NQ MELATONINA MARAC FR X 90 CPR ORODIS</t>
  </si>
  <si>
    <t>PAROXETINA 20MG X30 CPRV</t>
  </si>
  <si>
    <t>RIVAROXABANA CPRV 10MG BL CTX10</t>
  </si>
  <si>
    <t>21565-0</t>
  </si>
  <si>
    <t>21781-1</t>
  </si>
  <si>
    <t>21916-0</t>
  </si>
  <si>
    <t>MINOXIDIL 50MG/ML SOL CAP X 100ML</t>
  </si>
  <si>
    <t>21959-0</t>
  </si>
  <si>
    <t>20574-0</t>
  </si>
  <si>
    <t>AXETILCEFUROXIMA 500MG X 14 CPR</t>
  </si>
  <si>
    <t>21729-0</t>
  </si>
  <si>
    <t>21731-0</t>
  </si>
  <si>
    <t>VIT NEO QUIMICA CAB E UNHAS FR 60 CAP</t>
  </si>
  <si>
    <t>21617-1</t>
  </si>
  <si>
    <t>VIT NEO QUIMICA HOMEM FR 60 CPRV</t>
  </si>
  <si>
    <t>21628-1</t>
  </si>
  <si>
    <t>VIT NEO QUIMICA IMUNE FR 30 CPRV</t>
  </si>
  <si>
    <t>19796-0</t>
  </si>
  <si>
    <t>TART BRIMONIDINA+MAL TIMOLOL SOL FR 5ML</t>
  </si>
  <si>
    <t>G</t>
  </si>
  <si>
    <t>S</t>
  </si>
  <si>
    <t>PANTOPRAZOL 20MG CT BL 28 CPRV LIB RET</t>
  </si>
  <si>
    <t>PANTOPRAZOL 40MG CT BL 28 CPRV LIB RET</t>
  </si>
  <si>
    <t>21958-0</t>
  </si>
  <si>
    <t>VIT NEO QUIMICA OMEGA 3 FR 60 CAP</t>
  </si>
  <si>
    <t>17044-0</t>
  </si>
  <si>
    <t>CEFALEXINA MONO 50MG/ML SUSP FR 100ML</t>
  </si>
  <si>
    <t>CL VENLAFAXINA XR 75MG X30 CAP LIB PROL</t>
  </si>
  <si>
    <t>IBUFRAN 400MG CAP GEL MOLE CT BL AL X20</t>
  </si>
  <si>
    <t>20940-0</t>
  </si>
  <si>
    <t>SUC DESVENLA 50MG CT BLX30 CPRV LIB PROL</t>
  </si>
  <si>
    <t>21616-1</t>
  </si>
  <si>
    <t>VIT NEO QUIMICA AZ FR 60 CPRV</t>
  </si>
  <si>
    <t>22086-0</t>
  </si>
  <si>
    <t>22085-0</t>
  </si>
  <si>
    <t>22083-0</t>
  </si>
  <si>
    <t>22084-0</t>
  </si>
  <si>
    <t>APIXABANA 2,5MG COMP REV BL X20</t>
  </si>
  <si>
    <t>APIXABANA 2,5MG COMP REV X60</t>
  </si>
  <si>
    <t>APIXABANA 5MG COMP REV BL X60</t>
  </si>
  <si>
    <t>APIXABANA 5MG COMP REV X20</t>
  </si>
  <si>
    <t>21956-0</t>
  </si>
  <si>
    <t>VIT NEO QUIMICA VIT C ZN CT TB 10EF</t>
  </si>
  <si>
    <t>21618-1</t>
  </si>
  <si>
    <t>22235-0</t>
  </si>
  <si>
    <t>CL ONDANSETRONA 4MG CT BLX10 CPR ORODISP</t>
  </si>
  <si>
    <t>22236-0</t>
  </si>
  <si>
    <t>CL ONDANSETRONA 8MG CT BLX10 CPR ORODISP</t>
  </si>
  <si>
    <t>22232-0</t>
  </si>
  <si>
    <t>ONDAVON 4MG CT BL X 10 CPR ORODISP</t>
  </si>
  <si>
    <t>22230-0</t>
  </si>
  <si>
    <t>ONDAVON 8MG CT BL X 10 CPR ORODISP</t>
  </si>
  <si>
    <t>VIT NEO QUIMICA CALCIO + VIT D FR 60 COM</t>
  </si>
  <si>
    <t>21925-0</t>
  </si>
  <si>
    <t>21957-0</t>
  </si>
  <si>
    <t>VIT NEO QUIMICA VIT C CT TB 10EF</t>
  </si>
  <si>
    <t>22395-0</t>
  </si>
  <si>
    <t>NQ MELATONINA MARACU SOL ORAL CT FR 30ML</t>
  </si>
  <si>
    <t>22148-0</t>
  </si>
  <si>
    <t>MIRADOR COLICA CPRV X 20</t>
  </si>
  <si>
    <t>21980-0</t>
  </si>
  <si>
    <t>VIT NEO QUIMICA COLAGENO CT BL 30 CAPS</t>
  </si>
  <si>
    <t>21006-0</t>
  </si>
  <si>
    <t>NEOSULIDA 100MG COMP CT BL X12</t>
  </si>
  <si>
    <t>18977-0</t>
  </si>
  <si>
    <t>18978-0</t>
  </si>
  <si>
    <t>18979-0</t>
  </si>
  <si>
    <t>22060-0</t>
  </si>
  <si>
    <t>22059-0</t>
  </si>
  <si>
    <t>22038-0</t>
  </si>
  <si>
    <t>22037-0</t>
  </si>
  <si>
    <t>22224-0</t>
  </si>
  <si>
    <t>22225-0</t>
  </si>
  <si>
    <t>OLANZAPINA 10MG C1 CPRV CT BL AL X30</t>
  </si>
  <si>
    <t>OLANZAPINA 2,5MG C1 CPRV CT BL AL X30</t>
  </si>
  <si>
    <t>OLANZAPINA 5MG C1 CPRV CT BL AL X30</t>
  </si>
  <si>
    <t>ROSUVASTATINA CALCICA 20MG C/ 30CPRV</t>
  </si>
  <si>
    <t>ROSUVASTATINA CALCICA 20MG C/ 60CPRV</t>
  </si>
  <si>
    <t>ROSUVASTATINA CALCICA 5MG C/ 30CPRV</t>
  </si>
  <si>
    <t>ROSUVASTATINA CALCICA 5MG C/ 60CPRV</t>
  </si>
  <si>
    <t>VIT NEO QUIMICA VIT D 2.000UI FR 30 CPRV</t>
  </si>
  <si>
    <t>22156-0</t>
  </si>
  <si>
    <t>DESVENLAFAXINA 100MG C1 30 CPRV LIB PROL</t>
  </si>
  <si>
    <t>22061-0</t>
  </si>
  <si>
    <t>ROSUVASTATINA CALCICA 10MG C/ 60CPRV</t>
  </si>
  <si>
    <t>VIT NEO QUIMICA VITD 400UI GT CT FR 10ML</t>
  </si>
  <si>
    <t>CLOR TANSULOSINA 0,4MG 30CPRV LIB PRO</t>
  </si>
  <si>
    <t>22238-0</t>
  </si>
  <si>
    <t>22239-0</t>
  </si>
  <si>
    <t>22237-0</t>
  </si>
  <si>
    <t>22240-0</t>
  </si>
  <si>
    <t>LEVETIRACETAM 250MG CT BL X 60 CPRV</t>
  </si>
  <si>
    <t>LEVETIRACETAM 750MG CT BL X 30 CPRV</t>
  </si>
  <si>
    <t>LEVETIRACETAM 750MG CT BL X 60 CPRV</t>
  </si>
  <si>
    <t>PRODUTO</t>
  </si>
  <si>
    <t>22589-0</t>
  </si>
  <si>
    <t>MAL BRONFE + CL FENIL XPE CT FR X 120ML</t>
  </si>
  <si>
    <t>SULF HIDROXICLOROQUINA 400MG CPRV X30</t>
  </si>
  <si>
    <t>22219-0</t>
  </si>
  <si>
    <t>CL DONEPE+CL MEMAN 10MG+20MG 1X30CPRV C1</t>
  </si>
  <si>
    <t>22161-0</t>
  </si>
  <si>
    <t>22165-0</t>
  </si>
  <si>
    <t>ETORICOXIBE 60MG CT BL X 14 CPRV</t>
  </si>
  <si>
    <t>ETORICOXIBE 60MG CT BL X 7 CPRV</t>
  </si>
  <si>
    <t>ETORICOXIBE 90MG CT BL X 14 CPRV C1</t>
  </si>
  <si>
    <t>ETORICOXIBE 90MG CT BL X 7 CPRV C1</t>
  </si>
  <si>
    <t>22152-0</t>
  </si>
  <si>
    <t>22184-0</t>
  </si>
  <si>
    <t>EZETIMIBA+SINVASTATINA 10+10MG CPR 1X30</t>
  </si>
  <si>
    <t>EZETIMIBA+SINVASTATINA 10+20MG CPR 1X30</t>
  </si>
  <si>
    <t>22194-0</t>
  </si>
  <si>
    <t>22195-0</t>
  </si>
  <si>
    <t>22196-0</t>
  </si>
  <si>
    <t>22567-0</t>
  </si>
  <si>
    <t>HEMOVIRTUS PRO POMADA CT BG 1X30G 10 APL</t>
  </si>
  <si>
    <t>Preço Máx. C/ Repasse</t>
  </si>
  <si>
    <t>Preço Máx. S/ Repasse</t>
  </si>
  <si>
    <t>22886-0</t>
  </si>
  <si>
    <t>22247-0</t>
  </si>
  <si>
    <t>DIPIRONA MONOIDRATADA 1G COMP CT BL X 20</t>
  </si>
  <si>
    <t>FLAVONID TOPICO BG 200G</t>
  </si>
  <si>
    <t>22062-0</t>
  </si>
  <si>
    <t>22398-0</t>
  </si>
  <si>
    <t>BESILATO DE LEVANLODIPINO 2,5MG 2X30 CPR</t>
  </si>
  <si>
    <t>BESILATO DE LEVANLODIPINO 2,5MG 30X CPR</t>
  </si>
  <si>
    <t>BESILATO DE LEVANLODIPINO 5MG 2X15 CPR</t>
  </si>
  <si>
    <t>ROSUVASTATINA CALCICA 10MG C/ 30CPRV</t>
  </si>
  <si>
    <t>22577-0</t>
  </si>
  <si>
    <t>MAL BRON+CL FENI 2+2,5MG/ML SOL GTSX20ML</t>
  </si>
  <si>
    <t>MAL BRONF+CL FENILE BL X12 CPRV LIB PROL</t>
  </si>
  <si>
    <t>VILDAGLIPTINA NQ 50MG BL X60 CPR</t>
  </si>
  <si>
    <t>22835-0</t>
  </si>
  <si>
    <t>NEOGERMINA CT 10FLACON 2BI SUSP</t>
  </si>
  <si>
    <t>NEOGERMINA CT 5FLACON 4BI SUSP</t>
  </si>
  <si>
    <t>23003-0</t>
  </si>
  <si>
    <t>23004-0</t>
  </si>
  <si>
    <t>NEOSORO FLUID AV 0,9% PO P SOL 30 SACHES</t>
  </si>
  <si>
    <t>NEOSORO FLUID AV 0,9% PO SOL 30 FR240ML</t>
  </si>
  <si>
    <t>22826-0</t>
  </si>
  <si>
    <t>VIT NEO QUIMICA MVM KIDS MOR 60 CP MAST</t>
  </si>
  <si>
    <t>23027-0</t>
  </si>
  <si>
    <t>23028-0</t>
  </si>
  <si>
    <t>23030-0</t>
  </si>
  <si>
    <t>23029-0</t>
  </si>
  <si>
    <t>23025-0</t>
  </si>
  <si>
    <t>23026-0</t>
  </si>
  <si>
    <t>23011-0</t>
  </si>
  <si>
    <t>PREDNISOLONA 20 MG CT BL X 10 CPRV</t>
  </si>
  <si>
    <t>PREDNISOLONA 20 MG CT BL X 20 CPRV</t>
  </si>
  <si>
    <t>PREDNISOLONA 40 MG CT BL X 10 CPRV</t>
  </si>
  <si>
    <t>PREDNISOLONA 40 MG CT BL X 7 CPRV</t>
  </si>
  <si>
    <t>PREDNISOLONA 5 MG CT BL X 10 CPRV</t>
  </si>
  <si>
    <t>PREDNISOLONA 5 MG CT BL X 20 CPRV</t>
  </si>
  <si>
    <t>HISCONGEX CT BL X 12 CPRV LIB PROL</t>
  </si>
  <si>
    <t>LATOLISE 10.000 FCC CT BL 30CAPS</t>
  </si>
  <si>
    <t>21928-0</t>
  </si>
  <si>
    <t>21921-0</t>
  </si>
  <si>
    <t>21922-0</t>
  </si>
  <si>
    <t>DORALGINA CPRV CT BL 2X10</t>
  </si>
  <si>
    <t>DORALGINA CPRV DISPL EMB MULT 10X10</t>
  </si>
  <si>
    <t>DORALGINA CPRV DISPL EMB MULT 25X4</t>
  </si>
  <si>
    <t>22702-0</t>
  </si>
  <si>
    <t>SUCCINATO SOLIFENACINA 10MG X 30 CPRV</t>
  </si>
  <si>
    <t>22701-0</t>
  </si>
  <si>
    <t>SUCCINATO SOLIFENACINA 5MG X 30 CPRV</t>
  </si>
  <si>
    <t>COTIZADOS MS (QTDE MÁX.)</t>
  </si>
  <si>
    <t>22754-0</t>
  </si>
  <si>
    <t>22524-0</t>
  </si>
  <si>
    <t>BILASTINA 20 MG COMP BL X15</t>
  </si>
  <si>
    <t>22525-0</t>
  </si>
  <si>
    <t>BILASTINA 20 MG COMP BL X30</t>
  </si>
  <si>
    <t>12433-1</t>
  </si>
  <si>
    <t>22210-0</t>
  </si>
  <si>
    <t>TROMET CETOROLACO 10MG CT BL x 10CP SUBL</t>
  </si>
  <si>
    <t>22213-0</t>
  </si>
  <si>
    <t>TROMET CETOROLACO 10MG CT BL X 20CP SUBL</t>
  </si>
  <si>
    <t>22212-0</t>
  </si>
  <si>
    <t>TROMET CETOROLACO 10MG CT BL X 30CP SUBL</t>
  </si>
  <si>
    <t>22387-0</t>
  </si>
  <si>
    <t>22383-0</t>
  </si>
  <si>
    <t>22680-0</t>
  </si>
  <si>
    <t>VIT NEO QUIMICA MVM SUS INF CT FR 240ML</t>
  </si>
  <si>
    <t/>
  </si>
  <si>
    <t>FLAVONID 900MG+100MG BL 30 CPRV</t>
  </si>
  <si>
    <t>FLAVONID 900MG+100MG BL 60 CPRV</t>
  </si>
  <si>
    <t>VIT NEO QUIMICA A-Z SENIOR FR 60 CPRV</t>
  </si>
  <si>
    <t>23005-0</t>
  </si>
  <si>
    <t>DOMPERIDONA 10MG CT BL X 30 CPR</t>
  </si>
  <si>
    <t>23006-0</t>
  </si>
  <si>
    <t>DOMPERIDONA 10MG CT BL X 60 CPR</t>
  </si>
  <si>
    <t>22526-0</t>
  </si>
  <si>
    <t>NEOPANTOL BABY BG CT 30G</t>
  </si>
  <si>
    <t>23187-0</t>
  </si>
  <si>
    <t>23186-0</t>
  </si>
  <si>
    <t>NEOFEMME SAB LIQ NEUTRO FR 200ML</t>
  </si>
  <si>
    <t>20814-0</t>
  </si>
  <si>
    <t>22979-0</t>
  </si>
  <si>
    <t>22980-0</t>
  </si>
  <si>
    <t>23221-0</t>
  </si>
  <si>
    <t>NITRATO BUTOCONAZOL 20MG/G CR VAG+APL</t>
  </si>
  <si>
    <t>HISCONGEX SOL GOTAS CT FR X 20ML</t>
  </si>
  <si>
    <t>HISCONGEX XPE CT FR X 120ML</t>
  </si>
  <si>
    <t>VIT NEO QUIMICA VIT C FR X 30CP</t>
  </si>
  <si>
    <t>19489-1</t>
  </si>
  <si>
    <t>19488-1</t>
  </si>
  <si>
    <t>15980-1</t>
  </si>
  <si>
    <t>22853-0</t>
  </si>
  <si>
    <t>PARACETAMOL 750MG CPR CT BL 2X10</t>
  </si>
  <si>
    <t>22854-0</t>
  </si>
  <si>
    <t>PARACETAMOL 750MG CPR DISPL BL 50X4</t>
  </si>
  <si>
    <t>19490-1</t>
  </si>
  <si>
    <t>22004-1</t>
  </si>
  <si>
    <t>22859-0</t>
  </si>
  <si>
    <t>NEOFEMME SAB LIQ FLORAL FR 200ML</t>
  </si>
  <si>
    <t>22836-1</t>
  </si>
  <si>
    <t>21619-2</t>
  </si>
  <si>
    <t>VIT NEO QUIMICA A-Z MULHER FR 60 CPRV</t>
  </si>
  <si>
    <t>CETOPROFENO 150MG CPR LIB PROL X 10</t>
  </si>
  <si>
    <t>22831-0</t>
  </si>
  <si>
    <t>HEMIFUM BISOPROLOL 1,25MG BL X 30 CPRV</t>
  </si>
  <si>
    <t>22834-0</t>
  </si>
  <si>
    <t>HEMIFUM BISOPROLOL 2,5MG BL X 30 CPRV</t>
  </si>
  <si>
    <t>22832-0</t>
  </si>
  <si>
    <t>HEMIFUM BISOPROLOL 5MG BL X 30 CPRV</t>
  </si>
  <si>
    <t>22830-0</t>
  </si>
  <si>
    <t>HEMIFUM BISOPROLOL 10MG BL X 30 CPRV</t>
  </si>
  <si>
    <t>22889-0</t>
  </si>
  <si>
    <t>22887-0</t>
  </si>
  <si>
    <t>22888-0</t>
  </si>
  <si>
    <t>23060-0</t>
  </si>
  <si>
    <t>23061-0</t>
  </si>
  <si>
    <t>FOSFATO DE SITAGLIPTINA 100MG BLX30 CPRV</t>
  </si>
  <si>
    <t>FOSFATO DE SITAGLIPTINA 25MG BL X30 CPRV</t>
  </si>
  <si>
    <t>FOSFATO DE SITAGLIPTINA 50MG BL X30 CPRV</t>
  </si>
  <si>
    <t>TRIMETAZIDINA 35MG 4X15 CPRV LIB PROL</t>
  </si>
  <si>
    <t>22852-0</t>
  </si>
  <si>
    <t>NEOSORO H FLUID 3% SOL SPR FR AMB 1X60ML</t>
  </si>
  <si>
    <t>AXETILCEFUROXIMA 500MG CT BL X 10CPR</t>
  </si>
  <si>
    <t>21538-1</t>
  </si>
  <si>
    <t>20901-1</t>
  </si>
  <si>
    <t>21974-0</t>
  </si>
  <si>
    <t>21972-0</t>
  </si>
  <si>
    <t>22946-1</t>
  </si>
  <si>
    <t>21097-1</t>
  </si>
  <si>
    <t>22381-0</t>
  </si>
  <si>
    <t>DIPIRONA 500MG/ML GTS VD 1X20ML</t>
  </si>
  <si>
    <t>12467-0</t>
  </si>
  <si>
    <t>BROM IPRATROPIO 0,25MG/ML SOL FR 1X20ML</t>
  </si>
  <si>
    <t>20900-1</t>
  </si>
  <si>
    <t>22851-0</t>
  </si>
  <si>
    <t>22849-0</t>
  </si>
  <si>
    <t>22850-0</t>
  </si>
  <si>
    <t>TRIMETAZIDINA 35MG 2X15 CPRV LIB PROL</t>
  </si>
  <si>
    <t>OLME+ANLO 20MG+5MG CT BL X 30 CPRV</t>
  </si>
  <si>
    <t>OLME+ANLO 40MG+5MG CT BL X 30 CPRV</t>
  </si>
  <si>
    <t>OLME+ANLO 40MG+10MG CT BL X 30 CPRV</t>
  </si>
  <si>
    <t>20536-0</t>
  </si>
  <si>
    <t>LEVOCETIRIZINA 5MG CT BL X 10 CPRS REV</t>
  </si>
  <si>
    <t>23199-0</t>
  </si>
  <si>
    <t>23200-0</t>
  </si>
  <si>
    <t>NEOGERMINA FLORA 1BI CT BL 6 CAP DURA</t>
  </si>
  <si>
    <t>NEOGERMINA FLORA 1BI CT BL 12 CAP DURA</t>
  </si>
  <si>
    <t>23279-0</t>
  </si>
  <si>
    <t>23365-0</t>
  </si>
  <si>
    <t>23366-0</t>
  </si>
  <si>
    <t>NEOLYTE FR 500ML UVA</t>
  </si>
  <si>
    <t>NEOLYTE FR 500ML LARANJA</t>
  </si>
  <si>
    <t>22510-0</t>
  </si>
  <si>
    <t>22509-0</t>
  </si>
  <si>
    <t>LEVOFLOXACINO 750MG CT BL X5CPRV</t>
  </si>
  <si>
    <t>LEVOFLOXACINO 750MG CT BL X7CPRV</t>
  </si>
  <si>
    <t>23364-0</t>
  </si>
  <si>
    <t>NEOLYTE FR 500ML LIMAO</t>
  </si>
  <si>
    <t>22978-1</t>
  </si>
  <si>
    <t>LEVETIRACETAM 250MG CT BL X 30 CPRV</t>
  </si>
  <si>
    <t>23082-0</t>
  </si>
  <si>
    <t>23083-0</t>
  </si>
  <si>
    <t>23084-0</t>
  </si>
  <si>
    <t>22352-0</t>
  </si>
  <si>
    <t>23360-0</t>
  </si>
  <si>
    <t>23362-0</t>
  </si>
  <si>
    <t>TELMISARTANA+HCT 40+12,5MG CT BLX30CP</t>
  </si>
  <si>
    <t>TELMISARTANA+HCT 80+12,5MG CT BLX30CP</t>
  </si>
  <si>
    <t>TELMISARTANA+HCT 80+25MG CT BLX30CP</t>
  </si>
  <si>
    <t>FLOMICIN 200MG CAP DURA CT FR VD 1X6</t>
  </si>
  <si>
    <t>NEOLYTE CT 4 SACHES NATURAL</t>
  </si>
  <si>
    <t>NEOLYTE CT 4 SACHES UVA</t>
  </si>
  <si>
    <t>23000-0</t>
  </si>
  <si>
    <t>23192-0</t>
  </si>
  <si>
    <t>23195-0</t>
  </si>
  <si>
    <t>21900-1</t>
  </si>
  <si>
    <t>21901-1</t>
  </si>
  <si>
    <t>21902-1</t>
  </si>
  <si>
    <t>23280-0</t>
  </si>
  <si>
    <t>23281-0</t>
  </si>
  <si>
    <t>21949-1</t>
  </si>
  <si>
    <t>23180-0</t>
  </si>
  <si>
    <t>23294-0</t>
  </si>
  <si>
    <t>BROMIDRATO VORTIOXETIN 10MG BL 30CPRV C1</t>
  </si>
  <si>
    <t>BROMIDRATO VORTIOXETIN 20MG BL 30CPRV C1</t>
  </si>
  <si>
    <t>BROMIDRATO VORTIOXETINA 5MG BL 30CPRV C1</t>
  </si>
  <si>
    <t>CL TRAMADOL+PAR 37,5+325MG X10 CPRV A2</t>
  </si>
  <si>
    <t>CL TRAMADOL+PAR 37,5+325MG X20 CPRV A2</t>
  </si>
  <si>
    <t>CL TRAMADOL+PAR 37,5+325MG X30 CPRV A2</t>
  </si>
  <si>
    <t>DIPIRONA MONO 500MG/ML SOL GOT FR 20ML</t>
  </si>
  <si>
    <t>RIVAROXABANA 2,5MG CPRV BL X 30</t>
  </si>
  <si>
    <t>RIVAROXABANA 2,5MG CPRV BL X 60</t>
  </si>
  <si>
    <t>PROPIOSOL POM 0,5MG/G CT BG ALUM 1X30G</t>
  </si>
  <si>
    <t>VIT NEO QUIMICA B12 FR 60 CPR MAST</t>
  </si>
  <si>
    <t>23045-0</t>
  </si>
  <si>
    <t>23181-0</t>
  </si>
  <si>
    <t>MIORRELAX DISP BL 200 COM REV</t>
  </si>
  <si>
    <t>PROPIOSOL CREM 0,5MG/G CT BG ALU 1X30G</t>
  </si>
  <si>
    <t>23143-0</t>
  </si>
  <si>
    <t>HEMITAR ZOLPIDEM 5MG 30CPR ORODISP B1</t>
  </si>
  <si>
    <t>23395-0</t>
  </si>
  <si>
    <t>LINAGLIPTINA 5MG CT BL X 30 CPRV</t>
  </si>
  <si>
    <t>22882-0</t>
  </si>
  <si>
    <t>22883-0</t>
  </si>
  <si>
    <t>22885-0</t>
  </si>
  <si>
    <t>22884-0</t>
  </si>
  <si>
    <t>23299-0</t>
  </si>
  <si>
    <t>GLICLAZIDA 30MG X 30CPR LIB PROL</t>
  </si>
  <si>
    <t>GLICLAZIDA 30MG X 60CPR LIB PROL</t>
  </si>
  <si>
    <t>GLICLAZIDA 60MG X 30CPR LIB PROL</t>
  </si>
  <si>
    <t>GLICLAZIDA 60MG X 60CPR LIB PROL</t>
  </si>
  <si>
    <t>VIT NEO QUIMICA CL MAGNESIO FR 60 CPR</t>
  </si>
  <si>
    <t>22188-0</t>
  </si>
  <si>
    <t>22183-0</t>
  </si>
  <si>
    <t>23047-1</t>
  </si>
  <si>
    <t>22345-1</t>
  </si>
  <si>
    <t>22342-1</t>
  </si>
  <si>
    <t>23275-0</t>
  </si>
  <si>
    <t>ESOMEPRA MAG 40MG FRX14 CAP DURA LIB RET</t>
  </si>
  <si>
    <t>ESOMEPRA MAG 40MG FRX28 CAP DURA LIB RET</t>
  </si>
  <si>
    <t>NEOSORO FLUID INF SOL NASAL FR 1X30ML</t>
  </si>
  <si>
    <t>NQ VITAMINA D3 5.000UI CT BL 30 CAP MOLE</t>
  </si>
  <si>
    <t>NQ VITAMINA D3 50.000UI CT BL 8 CAP MOLE</t>
  </si>
  <si>
    <t>NQ VITAMINA D3 7.000UI CT BL 30 CAP MOLE</t>
  </si>
  <si>
    <t>TOSSEXPEC XP 2+100+20+30/5ML FR 120ML</t>
  </si>
  <si>
    <t>23191-0</t>
  </si>
  <si>
    <t>23217-0</t>
  </si>
  <si>
    <t>23001-0</t>
  </si>
  <si>
    <t>23479-0</t>
  </si>
  <si>
    <t>22186-0</t>
  </si>
  <si>
    <t>22187-0</t>
  </si>
  <si>
    <t>BROMIDRATO VORTIOXETIN 10MG BL 60CPRV C1</t>
  </si>
  <si>
    <t>BROMIDRATO VORTIOXETIN 15MG BL 30CPRV C1</t>
  </si>
  <si>
    <t>BROMIDRATO VORTIOXETIN 15MG BL 60CPRV C1</t>
  </si>
  <si>
    <t>BROMIDRATO VORTIOXETIN 20MG BL 60CPRV C1</t>
  </si>
  <si>
    <t>ESOMEPRAZOL 20MG FRX14 CAPS DURA LIB RET</t>
  </si>
  <si>
    <t>ESOMEPRAZOL 20MG FRX28 CAPS DURA LIB RET</t>
  </si>
  <si>
    <t>21787-1</t>
  </si>
  <si>
    <t>23224-0</t>
  </si>
  <si>
    <t>23314-0</t>
  </si>
  <si>
    <t>23478-0</t>
  </si>
  <si>
    <t>22344-1</t>
  </si>
  <si>
    <t>NITRATO DE MICONAZOL 20MG/G CREM BG 28G</t>
  </si>
  <si>
    <t>PREGABALINA 75MG CT X30 CAP DURA C1</t>
  </si>
  <si>
    <t>FLEXMUSCULAR CT BL 30 CPRV</t>
  </si>
  <si>
    <t>NQ VITAMINA D3 50.000UI CT BL 4 CAP MOLE</t>
  </si>
  <si>
    <t>23458-0</t>
  </si>
  <si>
    <t>23220-0</t>
  </si>
  <si>
    <t>ACETILCISTEINA 40MG/ML FR 120ML + COP</t>
  </si>
  <si>
    <t>UNDEC TESTOST 250MG/ML SOL INJ FAX4ML C5</t>
  </si>
  <si>
    <t>21636-1</t>
  </si>
  <si>
    <t>23442-0</t>
  </si>
  <si>
    <t>22341-1</t>
  </si>
  <si>
    <t>22340-1</t>
  </si>
  <si>
    <t>CITALOPRAM 20MG C1 CT BL X30 CPRV</t>
  </si>
  <si>
    <t>DIP BET+FOS BET INJ 5+2MG/ML 1ML S/SER</t>
  </si>
  <si>
    <t>NQ VITAMINA D3 7.000UI CT BL 10 CAP MOLE</t>
  </si>
  <si>
    <t>NQ VITAMINA D3 7.000UI CT BL 4 CAP MOLE</t>
  </si>
  <si>
    <t>23371-0</t>
  </si>
  <si>
    <t>23493-0</t>
  </si>
  <si>
    <t>23492-0</t>
  </si>
  <si>
    <t>DICLO DIETILAMONIO 11,6MG/G GEL BG X60G</t>
  </si>
  <si>
    <t>FUROATO MOMETASON SPR NAS 50MCG 120ACION</t>
  </si>
  <si>
    <t>FUROATO MOMETASON SPR NAS 50MCG 60 ACION</t>
  </si>
  <si>
    <t>Observação</t>
  </si>
  <si>
    <t>23043-1</t>
  </si>
  <si>
    <t>23044-1</t>
  </si>
  <si>
    <t>22343-1</t>
  </si>
  <si>
    <t>MIORRELAX CT BL 20 CPRV</t>
  </si>
  <si>
    <t>MIORRELAX CT BL 30 CPRV</t>
  </si>
  <si>
    <t>NQ VITAMINA D3 10.000UI CT BL 4 CAP MOLE</t>
  </si>
  <si>
    <t>23396-0</t>
  </si>
  <si>
    <t>23685-0</t>
  </si>
  <si>
    <t>ADAPALENO + PER BENZ 1+25MG/G GEL BG 30G</t>
  </si>
  <si>
    <t>DICLO SOD 50MGCPRV LIB RETARD CT BL 1X20</t>
  </si>
  <si>
    <t>DIP BETA 0,64MG/G CREM DERM CT BG 30G</t>
  </si>
  <si>
    <t>NEOTAREN 50MG CPRV LIB RETARD CT BL 1X20</t>
  </si>
  <si>
    <t>Cliente</t>
  </si>
  <si>
    <t>Nome do Cliente</t>
  </si>
  <si>
    <t>Doc.venda</t>
  </si>
  <si>
    <t>TpDV</t>
  </si>
  <si>
    <t>Desc Tipo Doc Venda</t>
  </si>
  <si>
    <t>Criado em</t>
  </si>
  <si>
    <t>Data doc.</t>
  </si>
  <si>
    <t>Condições de pagamento</t>
  </si>
  <si>
    <t>Cond.Pgto Descr.</t>
  </si>
  <si>
    <t>DVlAd</t>
  </si>
  <si>
    <t>Dt.efetiva</t>
  </si>
  <si>
    <t>Campanha</t>
  </si>
  <si>
    <t>Verba</t>
  </si>
  <si>
    <t>Referência do cliente</t>
  </si>
  <si>
    <t>Itm</t>
  </si>
  <si>
    <t>Material</t>
  </si>
  <si>
    <t>Descrição do Material</t>
  </si>
  <si>
    <t>UN Vendas</t>
  </si>
  <si>
    <t>Ped.Acum.Mês</t>
  </si>
  <si>
    <t>Vl.Fat.Mês</t>
  </si>
  <si>
    <t>Vl.Pend.Período</t>
  </si>
  <si>
    <t>Vl.Recusa</t>
  </si>
  <si>
    <t>Pend.Programado</t>
  </si>
  <si>
    <t>Bloq.Comercial</t>
  </si>
  <si>
    <t>Pend.Crédito</t>
  </si>
  <si>
    <t>Qt. Ped.Período</t>
  </si>
  <si>
    <t>Qt.Fat.Período</t>
  </si>
  <si>
    <t>Qt. Pend.Período</t>
  </si>
  <si>
    <t>Qt.Recusa</t>
  </si>
  <si>
    <t>Qt.Bloq.</t>
  </si>
  <si>
    <t>Qt.Crédito</t>
  </si>
  <si>
    <t>StatusCréd</t>
  </si>
  <si>
    <t>Rc</t>
  </si>
  <si>
    <t>Desc Motivo Recusa</t>
  </si>
  <si>
    <t>BlqR</t>
  </si>
  <si>
    <t>Desc Motivo Bloq Remessa</t>
  </si>
  <si>
    <t>BF</t>
  </si>
  <si>
    <t>Desc bloq faturamento</t>
  </si>
  <si>
    <t>MtOrd</t>
  </si>
  <si>
    <t>Desc Motivo da Ordem</t>
  </si>
  <si>
    <t>Forn.Completo</t>
  </si>
  <si>
    <t>Acei</t>
  </si>
  <si>
    <t>Cen.</t>
  </si>
  <si>
    <t>SA</t>
  </si>
  <si>
    <t>Desc Setor de Atividade</t>
  </si>
  <si>
    <t>Origem</t>
  </si>
  <si>
    <t>Ref.cliente recebor mercadoria</t>
  </si>
  <si>
    <t>Dt.Entrega Calculada</t>
  </si>
  <si>
    <t>Dt.Acordada.Fat</t>
  </si>
  <si>
    <t>Prev.Faturamento</t>
  </si>
  <si>
    <t>Dt.Embarque</t>
  </si>
  <si>
    <t>Dt.Acordada.Entrega</t>
  </si>
  <si>
    <t>% ZDES</t>
  </si>
  <si>
    <t>% ZT10</t>
  </si>
  <si>
    <t>% ZT20</t>
  </si>
  <si>
    <t>% ZT15</t>
  </si>
  <si>
    <t>% ZT23</t>
  </si>
  <si>
    <t>% ZT24</t>
  </si>
  <si>
    <t>% ZT25</t>
  </si>
  <si>
    <t>% ZT27</t>
  </si>
  <si>
    <t>% ZT31</t>
  </si>
  <si>
    <t>% ZT35</t>
  </si>
  <si>
    <t>% ZDTA</t>
  </si>
  <si>
    <t>Valor ZDTA</t>
  </si>
  <si>
    <t>% YPSA</t>
  </si>
  <si>
    <t>% YMVA</t>
  </si>
  <si>
    <t>Nº Pessoal do Analista Gestão de Pedidos</t>
  </si>
  <si>
    <t>Nome Analista de Gestão de Pedidos</t>
  </si>
  <si>
    <t>Nº Pessoal do Analista de Customer Service</t>
  </si>
  <si>
    <t>Nome do Analista de Customer Service</t>
  </si>
  <si>
    <t>LExp</t>
  </si>
  <si>
    <t>UMB</t>
  </si>
  <si>
    <t>Qt.Fat.em Unid</t>
  </si>
  <si>
    <t>Rg</t>
  </si>
  <si>
    <t>Local</t>
  </si>
  <si>
    <t>GrCl</t>
  </si>
  <si>
    <t>Desc Grupo de Cliente</t>
  </si>
  <si>
    <t>DtRefClnt</t>
  </si>
  <si>
    <t>Vendedor</t>
  </si>
  <si>
    <t>Nome Vendedor</t>
  </si>
  <si>
    <t>RG</t>
  </si>
  <si>
    <t>Desc Região de Venda</t>
  </si>
  <si>
    <t>EqVs</t>
  </si>
  <si>
    <t>Desc Grupo de Vendedor</t>
  </si>
  <si>
    <t>EscrV</t>
  </si>
  <si>
    <t>Desc Escritório de Venda</t>
  </si>
  <si>
    <t>OrgV</t>
  </si>
  <si>
    <t>Desc Organização de Vendas</t>
  </si>
  <si>
    <t>CDst</t>
  </si>
  <si>
    <t>Canal Distribuição</t>
  </si>
  <si>
    <t>CFOP</t>
  </si>
  <si>
    <t>Texto CFOP</t>
  </si>
  <si>
    <t>Valor ZDES</t>
  </si>
  <si>
    <t>Vr ZT10</t>
  </si>
  <si>
    <t>Vr ZT20</t>
  </si>
  <si>
    <t>Vr ZT15</t>
  </si>
  <si>
    <t>Vr ZT23</t>
  </si>
  <si>
    <t>Vr ZT24</t>
  </si>
  <si>
    <t>Vr ZT27</t>
  </si>
  <si>
    <t>Vr ZT25</t>
  </si>
  <si>
    <t>Vr ZT31</t>
  </si>
  <si>
    <t>Vr ZT35</t>
  </si>
  <si>
    <t>Vr ZP20</t>
  </si>
  <si>
    <t>Vr ZP31</t>
  </si>
  <si>
    <t>% ZP31</t>
  </si>
  <si>
    <t>Vr ZP33</t>
  </si>
  <si>
    <t>% ZP33</t>
  </si>
  <si>
    <t>Vr ZP35</t>
  </si>
  <si>
    <t>% ZP35</t>
  </si>
  <si>
    <t>Vr ZE10</t>
  </si>
  <si>
    <t>% ZE10</t>
  </si>
  <si>
    <t>Vr ZE15</t>
  </si>
  <si>
    <t>% ZE15</t>
  </si>
  <si>
    <t>Vr ZE17</t>
  </si>
  <si>
    <t>% ZE17</t>
  </si>
  <si>
    <t>Vr ZE20</t>
  </si>
  <si>
    <t>% ZE20</t>
  </si>
  <si>
    <t>Vr ZE25</t>
  </si>
  <si>
    <t>% ZE25</t>
  </si>
  <si>
    <t>Vr ZE30</t>
  </si>
  <si>
    <t>% ZE30</t>
  </si>
  <si>
    <t>Vr ZE35</t>
  </si>
  <si>
    <t>% ZE35</t>
  </si>
  <si>
    <t>Vr ZE41</t>
  </si>
  <si>
    <t>% ZE41</t>
  </si>
  <si>
    <t>ST Fat.Período</t>
  </si>
  <si>
    <t>IPI Fat.Período</t>
  </si>
  <si>
    <t>IPI Pend.Período</t>
  </si>
  <si>
    <t>ST Pend.Período</t>
  </si>
  <si>
    <t>PIS Pend.Período</t>
  </si>
  <si>
    <t>Cofins Pend.Período</t>
  </si>
  <si>
    <t>ICMS Pend.Período</t>
  </si>
  <si>
    <t>IPI Ped.Período</t>
  </si>
  <si>
    <t>ST Ped.Período</t>
  </si>
  <si>
    <t>Cofins Ped.Período</t>
  </si>
  <si>
    <t>PIS Ped.Período</t>
  </si>
  <si>
    <t>ICMS Ped.Período</t>
  </si>
  <si>
    <t>IPI Recusa</t>
  </si>
  <si>
    <t>ST Recusa</t>
  </si>
  <si>
    <t>IPI Crédito</t>
  </si>
  <si>
    <t>ST Crédito</t>
  </si>
  <si>
    <t>IPI Futuro</t>
  </si>
  <si>
    <t>ST Futuro</t>
  </si>
  <si>
    <t>Qt.Futura</t>
  </si>
  <si>
    <t>Pend.Estoque</t>
  </si>
  <si>
    <t>IPI Estoque</t>
  </si>
  <si>
    <t>ST Estoque</t>
  </si>
  <si>
    <t>Qt.Estoque</t>
  </si>
  <si>
    <t>IPI Bloq.</t>
  </si>
  <si>
    <t>ST Bloq</t>
  </si>
  <si>
    <t>Valor ZDN2</t>
  </si>
  <si>
    <t>% ZDN2</t>
  </si>
  <si>
    <t>Valor ZDN3</t>
  </si>
  <si>
    <t>% ZDN3</t>
  </si>
  <si>
    <t>Valor ZDN5</t>
  </si>
  <si>
    <t>% ZDN5</t>
  </si>
  <si>
    <t>Valor ZNCC</t>
  </si>
  <si>
    <t>% ZNCC</t>
  </si>
  <si>
    <t>Acrésc.Cial (R$)</t>
  </si>
  <si>
    <t>Acrésc.Cial (%)</t>
  </si>
  <si>
    <t>Valor ZCAM</t>
  </si>
  <si>
    <t>% ZCAM</t>
  </si>
  <si>
    <t>% YDC1</t>
  </si>
  <si>
    <t>Valor YDC1</t>
  </si>
  <si>
    <t>% YDC2</t>
  </si>
  <si>
    <t>Valor YDC2</t>
  </si>
  <si>
    <t>% YDAV</t>
  </si>
  <si>
    <t>Valor YDAV</t>
  </si>
  <si>
    <t>Valor YPLI</t>
  </si>
  <si>
    <t>Valor YDLI</t>
  </si>
  <si>
    <t>% YDLI</t>
  </si>
  <si>
    <t>Valor YFAS</t>
  </si>
  <si>
    <t>% YFAS</t>
  </si>
  <si>
    <t>Valor ZDMA</t>
  </si>
  <si>
    <t>% ZDMA</t>
  </si>
  <si>
    <t>Valor YNCD</t>
  </si>
  <si>
    <t>% YNCD</t>
  </si>
  <si>
    <t>Valor YDVC</t>
  </si>
  <si>
    <t>% YDVC</t>
  </si>
  <si>
    <t>Valor Base</t>
  </si>
  <si>
    <t>GrM</t>
  </si>
  <si>
    <t>Desc Grupo de Materiais</t>
  </si>
  <si>
    <t>CtgI</t>
  </si>
  <si>
    <t>Desc.Categ.Item</t>
  </si>
  <si>
    <t>Código do Grupo</t>
  </si>
  <si>
    <t>Descrição</t>
  </si>
  <si>
    <t>Log do Estoque</t>
  </si>
  <si>
    <t>Data Log</t>
  </si>
  <si>
    <t>Texto Cabeç.Formulário</t>
  </si>
  <si>
    <t>Texto Vendedor</t>
  </si>
  <si>
    <t>CI</t>
  </si>
  <si>
    <t>Cód.lib.</t>
  </si>
  <si>
    <t>Atribuição</t>
  </si>
  <si>
    <t>Linha de negócio</t>
  </si>
  <si>
    <t>Texto linha de negócio</t>
  </si>
  <si>
    <t>Deposito</t>
  </si>
  <si>
    <t>Valor condição</t>
  </si>
  <si>
    <t>SGCr</t>
  </si>
  <si>
    <t>SESTOQ</t>
  </si>
  <si>
    <t>29192</t>
  </si>
  <si>
    <t>ALFAMED DISTRIB DE MEDICAMENTO</t>
  </si>
  <si>
    <t>3778473</t>
  </si>
  <si>
    <t>YVPA</t>
  </si>
  <si>
    <t>Vda Prom/Ações</t>
  </si>
  <si>
    <t>CP28</t>
  </si>
  <si>
    <t>40/50/60/70/80 dias</t>
  </si>
  <si>
    <t>0</t>
  </si>
  <si>
    <t>603993</t>
  </si>
  <si>
    <t>9814 SMT</t>
  </si>
  <si>
    <t>10</t>
  </si>
  <si>
    <t>UN</t>
  </si>
  <si>
    <t>Créd.Liberado P/responsavel</t>
  </si>
  <si>
    <t>1036</t>
  </si>
  <si>
    <t>80</t>
  </si>
  <si>
    <t>Medicamentos RX</t>
  </si>
  <si>
    <t>PORT</t>
  </si>
  <si>
    <t>914023</t>
  </si>
  <si>
    <t>TALITA CRISTINA RAMOS</t>
  </si>
  <si>
    <t>1136</t>
  </si>
  <si>
    <t>MS</t>
  </si>
  <si>
    <t>CAMPO GRANDE</t>
  </si>
  <si>
    <t>G1</t>
  </si>
  <si>
    <t>PADRÃO VI - SG</t>
  </si>
  <si>
    <t>890614</t>
  </si>
  <si>
    <t>ALEXANDRE AUGUSTO FERREIRA</t>
  </si>
  <si>
    <t>910613</t>
  </si>
  <si>
    <t>SG - SIMILARES</t>
  </si>
  <si>
    <t>91Y</t>
  </si>
  <si>
    <t>SV AC RO</t>
  </si>
  <si>
    <t>9107</t>
  </si>
  <si>
    <t>REG VII NE II</t>
  </si>
  <si>
    <t>1000</t>
  </si>
  <si>
    <t>Hypera S/A</t>
  </si>
  <si>
    <t>47</t>
  </si>
  <si>
    <t>SMART VI (VMR + VIN)</t>
  </si>
  <si>
    <t>6106/AA</t>
  </si>
  <si>
    <t>Venda merc. adq. rec. terc. que ñ deva ele trans.</t>
  </si>
  <si>
    <t>C</t>
  </si>
  <si>
    <t>DM-DIMED-POSITIVA</t>
  </si>
  <si>
    <t>YCAM</t>
  </si>
  <si>
    <t>Item Vda Prom/Ações</t>
  </si>
  <si>
    <t>044845574</t>
  </si>
  <si>
    <t>SIMILARES</t>
  </si>
  <si>
    <t>PARCERIA</t>
  </si>
  <si>
    <t>I3</t>
  </si>
  <si>
    <t>005</t>
  </si>
  <si>
    <t>D</t>
  </si>
  <si>
    <t>20</t>
  </si>
  <si>
    <t>70</t>
  </si>
  <si>
    <t>Medicamentos OTC</t>
  </si>
  <si>
    <t>B</t>
  </si>
  <si>
    <t>DM-DIMED-NEGATIVA</t>
  </si>
  <si>
    <t>095845348</t>
  </si>
  <si>
    <t>30</t>
  </si>
  <si>
    <t>044845482</t>
  </si>
  <si>
    <t>40</t>
  </si>
  <si>
    <t>50</t>
  </si>
  <si>
    <t>60</t>
  </si>
  <si>
    <t>90</t>
  </si>
  <si>
    <t>123845531</t>
  </si>
  <si>
    <t>100</t>
  </si>
  <si>
    <t>82</t>
  </si>
  <si>
    <t>Derma Cosméticos</t>
  </si>
  <si>
    <t>1939</t>
  </si>
  <si>
    <t>CB</t>
  </si>
  <si>
    <t>COSMODERM</t>
  </si>
  <si>
    <t>110</t>
  </si>
  <si>
    <t>Só 0 UN estão disponíveis de material 22387-0</t>
  </si>
  <si>
    <t>X</t>
  </si>
  <si>
    <t>120</t>
  </si>
  <si>
    <t>21</t>
  </si>
  <si>
    <t>Alimentos Funcionais</t>
  </si>
  <si>
    <t>CC</t>
  </si>
  <si>
    <t>ALIMENTOS FUNCIONAIS</t>
  </si>
  <si>
    <t>130</t>
  </si>
  <si>
    <t>Só 0 UN estão disponíveis de material 22836-1</t>
  </si>
  <si>
    <t>140</t>
  </si>
  <si>
    <t>044845448</t>
  </si>
  <si>
    <t>150</t>
  </si>
  <si>
    <t>120845498</t>
  </si>
  <si>
    <t>160</t>
  </si>
  <si>
    <t>170</t>
  </si>
  <si>
    <t>180</t>
  </si>
  <si>
    <t>190</t>
  </si>
  <si>
    <t>200</t>
  </si>
  <si>
    <t>210</t>
  </si>
  <si>
    <t>055845327</t>
  </si>
  <si>
    <t>220</t>
  </si>
  <si>
    <t>230</t>
  </si>
  <si>
    <t>240</t>
  </si>
  <si>
    <t>RF</t>
  </si>
  <si>
    <t>Cota Indisponível</t>
  </si>
  <si>
    <t>062845510</t>
  </si>
  <si>
    <t>250</t>
  </si>
  <si>
    <t>065845343</t>
  </si>
  <si>
    <t>260</t>
  </si>
  <si>
    <t>100845299</t>
  </si>
  <si>
    <t>270</t>
  </si>
  <si>
    <t>280</t>
  </si>
  <si>
    <t>290</t>
  </si>
  <si>
    <t>300</t>
  </si>
  <si>
    <t>310</t>
  </si>
  <si>
    <t>320</t>
  </si>
  <si>
    <t>044845324</t>
  </si>
  <si>
    <t>330</t>
  </si>
  <si>
    <t>095845888</t>
  </si>
  <si>
    <t>340</t>
  </si>
  <si>
    <t>090845453</t>
  </si>
  <si>
    <t>350</t>
  </si>
  <si>
    <t>360</t>
  </si>
  <si>
    <t>118845488</t>
  </si>
  <si>
    <t>370</t>
  </si>
  <si>
    <t>105845476</t>
  </si>
  <si>
    <t>380</t>
  </si>
  <si>
    <t>044845298</t>
  </si>
  <si>
    <t>390</t>
  </si>
  <si>
    <t>400</t>
  </si>
  <si>
    <t>005845315</t>
  </si>
  <si>
    <t>410</t>
  </si>
  <si>
    <t>Só 0 UN estão disponíveis de material 20418-0</t>
  </si>
  <si>
    <t>420</t>
  </si>
  <si>
    <t>1060</t>
  </si>
  <si>
    <t>1061</t>
  </si>
  <si>
    <t>6102/AA</t>
  </si>
  <si>
    <t>Venda merc.adq.receb.de terceiros</t>
  </si>
  <si>
    <t>Só 0 UN estão disponíveis de material 22526-0</t>
  </si>
  <si>
    <t>430</t>
  </si>
  <si>
    <t>010845305</t>
  </si>
  <si>
    <t>440</t>
  </si>
  <si>
    <t>450</t>
  </si>
  <si>
    <t>460</t>
  </si>
  <si>
    <t>086845464</t>
  </si>
  <si>
    <t>470</t>
  </si>
  <si>
    <t>024845306</t>
  </si>
  <si>
    <t>480</t>
  </si>
  <si>
    <t>490</t>
  </si>
  <si>
    <t>Só 0 UN estão disponíveis de material 22852-0</t>
  </si>
  <si>
    <t>500</t>
  </si>
  <si>
    <t>102845302</t>
  </si>
  <si>
    <t>510</t>
  </si>
  <si>
    <t>520</t>
  </si>
  <si>
    <t>044845469</t>
  </si>
  <si>
    <t>530</t>
  </si>
  <si>
    <t>044845461</t>
  </si>
  <si>
    <t>540</t>
  </si>
  <si>
    <t>011845326</t>
  </si>
  <si>
    <t>550</t>
  </si>
  <si>
    <t>028845319</t>
  </si>
  <si>
    <t>560</t>
  </si>
  <si>
    <t>570</t>
  </si>
  <si>
    <t>061845515</t>
  </si>
  <si>
    <t>580</t>
  </si>
  <si>
    <t>090845483</t>
  </si>
  <si>
    <t>Só 0 UN estão disponíveis de material 12602-0</t>
  </si>
  <si>
    <t>590</t>
  </si>
  <si>
    <t>090845473</t>
  </si>
  <si>
    <t>600</t>
  </si>
  <si>
    <t>044845485</t>
  </si>
  <si>
    <t>610</t>
  </si>
  <si>
    <t>120845534</t>
  </si>
  <si>
    <t>620</t>
  </si>
  <si>
    <t>630</t>
  </si>
  <si>
    <t>640</t>
  </si>
  <si>
    <t>650</t>
  </si>
  <si>
    <t>3778573</t>
  </si>
  <si>
    <t>9813 GNX</t>
  </si>
  <si>
    <t>Créd OK</t>
  </si>
  <si>
    <t>920512</t>
  </si>
  <si>
    <t>GENERICOS</t>
  </si>
  <si>
    <t>934</t>
  </si>
  <si>
    <t>REG NNE GEN</t>
  </si>
  <si>
    <t>9204</t>
  </si>
  <si>
    <t>48</t>
  </si>
  <si>
    <t>GEN VI (VMR + VIN)</t>
  </si>
  <si>
    <t>102426257</t>
  </si>
  <si>
    <t>004</t>
  </si>
  <si>
    <t>SG - GENÉRICOS</t>
  </si>
  <si>
    <t>A</t>
  </si>
  <si>
    <t>106426354</t>
  </si>
  <si>
    <t>061426349</t>
  </si>
  <si>
    <t>Só 0 UN estão disponíveis de material 22850-0</t>
  </si>
  <si>
    <t>090426397</t>
  </si>
  <si>
    <t>090426390</t>
  </si>
  <si>
    <t>050426789</t>
  </si>
  <si>
    <t>079426388</t>
  </si>
  <si>
    <t>107426376</t>
  </si>
  <si>
    <t>090426369</t>
  </si>
  <si>
    <t>Só 0 UN estão disponíveis de material 12423-0</t>
  </si>
  <si>
    <t>078426425</t>
  </si>
  <si>
    <t>044426356</t>
  </si>
  <si>
    <t>002426261</t>
  </si>
  <si>
    <t>Só 0 UN estão disponíveis de material 19000-0</t>
  </si>
  <si>
    <t>084426988</t>
  </si>
  <si>
    <t>054426A43</t>
  </si>
  <si>
    <t>086426668</t>
  </si>
  <si>
    <t>086426375</t>
  </si>
  <si>
    <t>055426262</t>
  </si>
  <si>
    <t>114426741</t>
  </si>
  <si>
    <t>105426373</t>
  </si>
  <si>
    <t>044426253</t>
  </si>
  <si>
    <t>108426363</t>
  </si>
  <si>
    <t>Só 0 UN estão disponíveis de material 18977-0</t>
  </si>
  <si>
    <t>090874972</t>
  </si>
  <si>
    <t>109426391</t>
  </si>
  <si>
    <t>044426379</t>
  </si>
  <si>
    <t>053426891</t>
  </si>
  <si>
    <t>044426370</t>
  </si>
  <si>
    <t>090426943</t>
  </si>
  <si>
    <t>Só 0 UN estão disponíveis de material 22194-0</t>
  </si>
  <si>
    <t>3785314</t>
  </si>
  <si>
    <t>9840 SMT</t>
  </si>
  <si>
    <t>010845344</t>
  </si>
  <si>
    <t>Só 0 UN estão disponíveis de material 21785-0</t>
  </si>
  <si>
    <t>Só 0 UN estão disponíveis de material 21786-0</t>
  </si>
  <si>
    <t>002845805</t>
  </si>
  <si>
    <t>Só 0 UN estão disponíveis de material 22383-0</t>
  </si>
  <si>
    <t>3785316</t>
  </si>
  <si>
    <t>9839 GNX</t>
  </si>
  <si>
    <t>102426394</t>
  </si>
  <si>
    <t>FT</t>
  </si>
  <si>
    <t>Flutuação Tributária</t>
  </si>
  <si>
    <t>Só 0 UN estão disponíveis de material 21784-0</t>
  </si>
  <si>
    <t>Só 0 UN estão disponíveis de material 22195-0</t>
  </si>
  <si>
    <t>055426362</t>
  </si>
  <si>
    <t>090426372</t>
  </si>
  <si>
    <t>044426395</t>
  </si>
  <si>
    <t>Só 0 UN estão disponíveis de material 18002-0</t>
  </si>
  <si>
    <t>NIT BUTOCONAZOL 20MG/G CREM BG 6,5G +APL</t>
  </si>
  <si>
    <t>Só 0 UN estão disponíveis de material 23026-0</t>
  </si>
  <si>
    <t>115426408</t>
  </si>
  <si>
    <t>050899996</t>
  </si>
  <si>
    <t>055426407</t>
  </si>
  <si>
    <t>042426256</t>
  </si>
  <si>
    <t>095426887</t>
  </si>
  <si>
    <t>3789194</t>
  </si>
  <si>
    <t>LÇTO ADAPALENO</t>
  </si>
  <si>
    <t>3791352</t>
  </si>
  <si>
    <t>9853 ANTECIPAÇAO SMT</t>
  </si>
  <si>
    <t>049845710</t>
  </si>
  <si>
    <t>Só 0 UN estão disponíveis de material 23275-0</t>
  </si>
  <si>
    <t>090845841</t>
  </si>
  <si>
    <t>095846938</t>
  </si>
  <si>
    <t>055845334</t>
  </si>
  <si>
    <t>Só 0 UN estão disponíveis de material 22395-0</t>
  </si>
  <si>
    <t>Só 0 UN estão disponíveis de material 12361-0</t>
  </si>
  <si>
    <t>Só 0 UN estão disponíveis de material 23181-0</t>
  </si>
  <si>
    <t>053845503</t>
  </si>
  <si>
    <t>Só 0 UN estão disponíveis de material 17459-0</t>
  </si>
  <si>
    <t>3791356</t>
  </si>
  <si>
    <t>9852 ANTECIPAÇAO GNX</t>
  </si>
  <si>
    <t>061426267</t>
  </si>
  <si>
    <t>054426822</t>
  </si>
  <si>
    <t>081426803</t>
  </si>
  <si>
    <t>Só 0 UN estão disponíveis de material 14075-0</t>
  </si>
  <si>
    <t>085426746</t>
  </si>
  <si>
    <t>090426419</t>
  </si>
  <si>
    <t>044426251</t>
  </si>
  <si>
    <t>055426363</t>
  </si>
  <si>
    <t>061426665</t>
  </si>
  <si>
    <t>114426417</t>
  </si>
  <si>
    <t>3793431</t>
  </si>
  <si>
    <t>DIP BETA</t>
  </si>
  <si>
    <t>Só 0 UN estão disponíveis de material 23685-0</t>
  </si>
  <si>
    <t>3794915</t>
  </si>
  <si>
    <t>ACETIL REPOS. GOLAÇO</t>
  </si>
  <si>
    <t>3795177</t>
  </si>
  <si>
    <t>CETOROLACO 30CP LÇTO/REPOS</t>
  </si>
  <si>
    <t>044426418</t>
  </si>
  <si>
    <t>3795903</t>
  </si>
  <si>
    <t>ACETIL. REPOS. GOLAÇO 02</t>
  </si>
  <si>
    <t>3798379</t>
  </si>
  <si>
    <t>9875 SMT</t>
  </si>
  <si>
    <t>3798542</t>
  </si>
  <si>
    <t>9876 GNX</t>
  </si>
  <si>
    <t>Só 0 UN estão disponíveis de material 12465-0</t>
  </si>
  <si>
    <t>045426360</t>
  </si>
  <si>
    <t>141426928</t>
  </si>
  <si>
    <t>61315651</t>
  </si>
  <si>
    <t>YPRP</t>
  </si>
  <si>
    <t>Devol. PRP.</t>
  </si>
  <si>
    <t>C60</t>
  </si>
  <si>
    <t>60 Dias</t>
  </si>
  <si>
    <t>600277</t>
  </si>
  <si>
    <t>1753113Y18</t>
  </si>
  <si>
    <t>Créd n/Efetuada</t>
  </si>
  <si>
    <t>Y18</t>
  </si>
  <si>
    <t>PRP - Falta de pedido de compra</t>
  </si>
  <si>
    <t>CPRP</t>
  </si>
  <si>
    <t>2202/AA</t>
  </si>
  <si>
    <t>Dev. venda de merc. adquirida ou receb. terceiros</t>
  </si>
  <si>
    <t>Item PRP Venda</t>
  </si>
  <si>
    <t>044845569</t>
  </si>
  <si>
    <t>NFO: 001753113-3</t>
  </si>
  <si>
    <t>7703</t>
  </si>
  <si>
    <t>61315652</t>
  </si>
  <si>
    <t>1753131Y18</t>
  </si>
  <si>
    <t>NFO: 001753131-3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</si>
</sst>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5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44" fontId="2" fillId="2" borderId="4" xfId="1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44" fontId="2" fillId="2" borderId="2" xfId="1" applyFont="1" applyFill="1" applyBorder="1"/>
    <xf numFmtId="0" fontId="4" fillId="3" borderId="1" xfId="0" applyFont="1" applyFill="1" applyBorder="1" applyAlignment="1">
      <alignment horizontal="center"/>
    </xf>
    <xf numFmtId="44" fontId="4" fillId="3" borderId="1" xfId="0" applyNumberFormat="1" applyFont="1" applyFill="1" applyBorder="1"/>
    <xf numFmtId="44" fontId="3" fillId="3" borderId="4" xfId="1" applyFont="1" applyFill="1" applyBorder="1" applyAlignment="1">
      <alignment horizontal="center"/>
    </xf>
    <xf numFmtId="0" fontId="0" fillId="0" borderId="0" xfId="0" applyAlignment="1">
      <alignment horizontal="center"/>
    </xf>
    <xf numFmtId="44" fontId="2" fillId="2" borderId="3" xfId="1" applyFont="1" applyFill="1" applyBorder="1" applyAlignment="1">
      <alignment horizontal="center"/>
    </xf>
    <xf numFmtId="44" fontId="5" fillId="2" borderId="3" xfId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44" fontId="6" fillId="3" borderId="3" xfId="1" applyFont="1" applyFill="1" applyBorder="1" applyAlignment="1">
      <alignment horizontal="center"/>
    </xf>
    <xf numFmtId="10" fontId="6" fillId="3" borderId="3" xfId="2" applyNumberFormat="1" applyFont="1" applyFill="1" applyBorder="1" applyAlignment="1">
      <alignment horizontal="center"/>
    </xf>
    <xf numFmtId="10" fontId="4" fillId="3" borderId="3" xfId="2" applyNumberFormat="1" applyFont="1" applyFill="1" applyBorder="1" applyAlignment="1">
      <alignment horizontal="center"/>
    </xf>
    <xf numFmtId="44" fontId="4" fillId="3" borderId="3" xfId="1" applyFont="1" applyFill="1" applyBorder="1" applyAlignment="1">
      <alignment horizontal="center"/>
    </xf>
    <xf numFmtId="44" fontId="4" fillId="3" borderId="4" xfId="1" applyFont="1" applyFill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44" fontId="7" fillId="4" borderId="1" xfId="0" applyNumberFormat="1" applyFont="1" applyFill="1" applyBorder="1"/>
    <xf numFmtId="0" fontId="8" fillId="0" borderId="0" xfId="0" applyFont="1"/>
    <xf numFmtId="0" fontId="4" fillId="0" borderId="0" xfId="0" applyFont="1" applyAlignment="1">
      <alignment horizontal="center"/>
    </xf>
    <xf numFmtId="44" fontId="0" fillId="3" borderId="3" xfId="1" applyFont="1" applyFill="1" applyBorder="1" applyAlignment="1">
      <alignment horizontal="center"/>
    </xf>
    <xf numFmtId="44" fontId="3" fillId="3" borderId="3" xfId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0" fontId="5" fillId="2" borderId="3" xfId="2" applyNumberFormat="1" applyFont="1" applyFill="1" applyBorder="1" applyAlignment="1">
      <alignment horizontal="center"/>
    </xf>
    <xf numFmtId="10" fontId="2" fillId="2" borderId="3" xfId="2" applyNumberFormat="1" applyFont="1" applyFill="1" applyBorder="1" applyAlignment="1">
      <alignment horizontal="center"/>
    </xf>
    <xf numFmtId="1" fontId="3" fillId="6" borderId="3" xfId="0" applyNumberFormat="1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 vertical="center" wrapText="1"/>
    </xf>
    <xf numFmtId="0" fontId="0" fillId="0" borderId="0" xfId="0" quotePrefix="1"/>
    <xf numFmtId="44" fontId="6" fillId="3" borderId="5" xfId="1" applyFont="1" applyFill="1" applyBorder="1" applyAlignment="1">
      <alignment horizontal="center"/>
    </xf>
    <xf numFmtId="44" fontId="5" fillId="2" borderId="5" xfId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center"/>
    </xf>
    <xf numFmtId="0" fontId="6" fillId="3" borderId="3" xfId="0" applyFont="1" applyFill="1" applyBorder="1"/>
    <xf numFmtId="1" fontId="0" fillId="3" borderId="3" xfId="0" applyNumberFormat="1" applyFill="1" applyBorder="1" applyAlignment="1">
      <alignment horizontal="center"/>
    </xf>
    <xf numFmtId="0" fontId="0" fillId="3" borderId="3" xfId="0" applyFill="1" applyBorder="1"/>
    <xf numFmtId="1" fontId="5" fillId="2" borderId="3" xfId="0" applyNumberFormat="1" applyFont="1" applyFill="1" applyBorder="1" applyAlignment="1">
      <alignment horizontal="center"/>
    </xf>
    <xf numFmtId="0" fontId="5" fillId="2" borderId="3" xfId="0" applyFont="1" applyFill="1" applyBorder="1"/>
    <xf numFmtId="0" fontId="9" fillId="0" borderId="0" xfId="0" applyFont="1" applyAlignment="1">
      <alignment horizontal="center"/>
    </xf>
    <xf numFmtId="1" fontId="6" fillId="8" borderId="3" xfId="0" applyNumberFormat="1" applyFont="1" applyFill="1" applyBorder="1" applyAlignment="1">
      <alignment horizontal="center"/>
    </xf>
    <xf numFmtId="0" fontId="6" fillId="8" borderId="3" xfId="0" applyFont="1" applyFill="1" applyBorder="1"/>
    <xf numFmtId="0" fontId="6" fillId="8" borderId="3" xfId="0" applyFont="1" applyFill="1" applyBorder="1" applyAlignment="1">
      <alignment horizontal="center"/>
    </xf>
    <xf numFmtId="44" fontId="6" fillId="8" borderId="5" xfId="1" applyFont="1" applyFill="1" applyBorder="1" applyAlignment="1">
      <alignment horizontal="center"/>
    </xf>
    <xf numFmtId="10" fontId="6" fillId="8" borderId="3" xfId="2" applyNumberFormat="1" applyFont="1" applyFill="1" applyBorder="1" applyAlignment="1">
      <alignment horizontal="center"/>
    </xf>
    <xf numFmtId="44" fontId="6" fillId="8" borderId="3" xfId="1" applyFont="1" applyFill="1" applyBorder="1" applyAlignment="1">
      <alignment horizontal="center"/>
    </xf>
    <xf numFmtId="10" fontId="4" fillId="8" borderId="3" xfId="2" applyNumberFormat="1" applyFont="1" applyFill="1" applyBorder="1" applyAlignment="1">
      <alignment horizontal="center"/>
    </xf>
    <xf numFmtId="44" fontId="4" fillId="8" borderId="3" xfId="1" applyFont="1" applyFill="1" applyBorder="1" applyAlignment="1">
      <alignment horizontal="center"/>
    </xf>
    <xf numFmtId="44" fontId="4" fillId="8" borderId="4" xfId="1" applyFont="1" applyFill="1" applyBorder="1" applyAlignment="1">
      <alignment horizontal="center"/>
    </xf>
    <xf numFmtId="0" fontId="10" fillId="9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 vertical="top"/>
    </xf>
    <xf numFmtId="14" fontId="10" fillId="0" borderId="0" xfId="0" applyNumberFormat="1" applyFont="1" applyAlignment="1">
      <alignment horizontal="left" vertical="top"/>
    </xf>
    <xf numFmtId="4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 indent="2"/>
    </xf>
    <xf numFmtId="164" fontId="10" fillId="0" borderId="0" xfId="0" applyNumberFormat="1" applyFont="1" applyAlignment="1">
      <alignment horizontal="left" vertical="top"/>
    </xf>
    <xf numFmtId="3" fontId="10" fillId="0" borderId="0" xfId="0" applyNumberFormat="1" applyFont="1" applyAlignment="1">
      <alignment horizontal="left" vertical="top"/>
    </xf>
  </cellXfs>
  <cellStyles count="3">
    <cellStyle name="Moeda" xfId="1" builtinId="4"/>
    <cellStyle name="Normal" xfId="0" builtinId="0"/>
    <cellStyle name="Porcentagem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19050</xdr:colOff>
      <xdr:row>1</xdr:row>
      <xdr:rowOff>0</xdr:rowOff>
    </xdr:from>
    <xdr:to>
      <xdr:col>32</xdr:col>
      <xdr:colOff>171450</xdr:colOff>
      <xdr:row>1</xdr:row>
      <xdr:rowOff>152400</xdr:rowOff>
    </xdr:to>
    <xdr:pic>
      <xdr:nvPicPr>
        <xdr:cNvPr id="2" name="Picture@0P@" descr="@0P@">
          <a:extLst>
            <a:ext uri="{FF2B5EF4-FFF2-40B4-BE49-F238E27FC236}">
              <a16:creationId xmlns:a16="http://schemas.microsoft.com/office/drawing/2014/main" id="{1C9D6BFA-EEF4-489E-9B8F-9AEB9D3CD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84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</xdr:row>
      <xdr:rowOff>0</xdr:rowOff>
    </xdr:from>
    <xdr:to>
      <xdr:col>32</xdr:col>
      <xdr:colOff>171450</xdr:colOff>
      <xdr:row>2</xdr:row>
      <xdr:rowOff>152400</xdr:rowOff>
    </xdr:to>
    <xdr:pic>
      <xdr:nvPicPr>
        <xdr:cNvPr id="3" name="Picture@0P@" descr="@0P@">
          <a:extLst>
            <a:ext uri="{FF2B5EF4-FFF2-40B4-BE49-F238E27FC236}">
              <a16:creationId xmlns:a16="http://schemas.microsoft.com/office/drawing/2014/main" id="{394D0DD6-918B-45A1-A8D2-E6D2F8F639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68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</xdr:row>
      <xdr:rowOff>0</xdr:rowOff>
    </xdr:from>
    <xdr:to>
      <xdr:col>32</xdr:col>
      <xdr:colOff>171450</xdr:colOff>
      <xdr:row>3</xdr:row>
      <xdr:rowOff>152400</xdr:rowOff>
    </xdr:to>
    <xdr:pic>
      <xdr:nvPicPr>
        <xdr:cNvPr id="4" name="Picture@0P@" descr="@0P@">
          <a:extLst>
            <a:ext uri="{FF2B5EF4-FFF2-40B4-BE49-F238E27FC236}">
              <a16:creationId xmlns:a16="http://schemas.microsoft.com/office/drawing/2014/main" id="{70942AF6-9F69-4296-B377-BCB92A481D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52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4</xdr:row>
      <xdr:rowOff>0</xdr:rowOff>
    </xdr:from>
    <xdr:to>
      <xdr:col>32</xdr:col>
      <xdr:colOff>171450</xdr:colOff>
      <xdr:row>4</xdr:row>
      <xdr:rowOff>152400</xdr:rowOff>
    </xdr:to>
    <xdr:pic>
      <xdr:nvPicPr>
        <xdr:cNvPr id="5" name="Picture@0P@" descr="@0P@">
          <a:extLst>
            <a:ext uri="{FF2B5EF4-FFF2-40B4-BE49-F238E27FC236}">
              <a16:creationId xmlns:a16="http://schemas.microsoft.com/office/drawing/2014/main" id="{85B45AB8-3A36-4770-8B4D-F658EF7A6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736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5</xdr:row>
      <xdr:rowOff>0</xdr:rowOff>
    </xdr:from>
    <xdr:to>
      <xdr:col>32</xdr:col>
      <xdr:colOff>171450</xdr:colOff>
      <xdr:row>5</xdr:row>
      <xdr:rowOff>152400</xdr:rowOff>
    </xdr:to>
    <xdr:pic>
      <xdr:nvPicPr>
        <xdr:cNvPr id="6" name="Picture@0P@" descr="@0P@">
          <a:extLst>
            <a:ext uri="{FF2B5EF4-FFF2-40B4-BE49-F238E27FC236}">
              <a16:creationId xmlns:a16="http://schemas.microsoft.com/office/drawing/2014/main" id="{1A3446BB-6A9D-4C62-842C-5552DC1D81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920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6</xdr:row>
      <xdr:rowOff>0</xdr:rowOff>
    </xdr:from>
    <xdr:to>
      <xdr:col>32</xdr:col>
      <xdr:colOff>171450</xdr:colOff>
      <xdr:row>6</xdr:row>
      <xdr:rowOff>152400</xdr:rowOff>
    </xdr:to>
    <xdr:pic>
      <xdr:nvPicPr>
        <xdr:cNvPr id="7" name="Picture@0P@" descr="@0P@">
          <a:extLst>
            <a:ext uri="{FF2B5EF4-FFF2-40B4-BE49-F238E27FC236}">
              <a16:creationId xmlns:a16="http://schemas.microsoft.com/office/drawing/2014/main" id="{E0A323D1-2737-4689-9A6F-7FE251005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104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7</xdr:row>
      <xdr:rowOff>0</xdr:rowOff>
    </xdr:from>
    <xdr:to>
      <xdr:col>32</xdr:col>
      <xdr:colOff>171450</xdr:colOff>
      <xdr:row>7</xdr:row>
      <xdr:rowOff>152400</xdr:rowOff>
    </xdr:to>
    <xdr:pic>
      <xdr:nvPicPr>
        <xdr:cNvPr id="8" name="Picture@0P@" descr="@0P@">
          <a:extLst>
            <a:ext uri="{FF2B5EF4-FFF2-40B4-BE49-F238E27FC236}">
              <a16:creationId xmlns:a16="http://schemas.microsoft.com/office/drawing/2014/main" id="{7F48E9D6-9CB8-4A48-A5CB-335330278B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289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8</xdr:row>
      <xdr:rowOff>0</xdr:rowOff>
    </xdr:from>
    <xdr:to>
      <xdr:col>32</xdr:col>
      <xdr:colOff>171450</xdr:colOff>
      <xdr:row>8</xdr:row>
      <xdr:rowOff>152400</xdr:rowOff>
    </xdr:to>
    <xdr:pic>
      <xdr:nvPicPr>
        <xdr:cNvPr id="9" name="Picture@0P@" descr="@0P@">
          <a:extLst>
            <a:ext uri="{FF2B5EF4-FFF2-40B4-BE49-F238E27FC236}">
              <a16:creationId xmlns:a16="http://schemas.microsoft.com/office/drawing/2014/main" id="{6876C802-764B-454D-9DB0-A692D18FC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473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9</xdr:row>
      <xdr:rowOff>0</xdr:rowOff>
    </xdr:from>
    <xdr:to>
      <xdr:col>32</xdr:col>
      <xdr:colOff>171450</xdr:colOff>
      <xdr:row>9</xdr:row>
      <xdr:rowOff>152400</xdr:rowOff>
    </xdr:to>
    <xdr:pic>
      <xdr:nvPicPr>
        <xdr:cNvPr id="10" name="Picture@0P@" descr="@0P@">
          <a:extLst>
            <a:ext uri="{FF2B5EF4-FFF2-40B4-BE49-F238E27FC236}">
              <a16:creationId xmlns:a16="http://schemas.microsoft.com/office/drawing/2014/main" id="{B96961C8-517F-4DBF-A3D4-3CD4E3EA94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657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10</xdr:row>
      <xdr:rowOff>0</xdr:rowOff>
    </xdr:from>
    <xdr:to>
      <xdr:col>32</xdr:col>
      <xdr:colOff>171450</xdr:colOff>
      <xdr:row>10</xdr:row>
      <xdr:rowOff>152400</xdr:rowOff>
    </xdr:to>
    <xdr:pic>
      <xdr:nvPicPr>
        <xdr:cNvPr id="11" name="Picture@0P@" descr="@0P@">
          <a:extLst>
            <a:ext uri="{FF2B5EF4-FFF2-40B4-BE49-F238E27FC236}">
              <a16:creationId xmlns:a16="http://schemas.microsoft.com/office/drawing/2014/main" id="{02CB69E9-7F58-443C-8ECA-F047CFFAE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841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11</xdr:row>
      <xdr:rowOff>0</xdr:rowOff>
    </xdr:from>
    <xdr:to>
      <xdr:col>32</xdr:col>
      <xdr:colOff>171450</xdr:colOff>
      <xdr:row>11</xdr:row>
      <xdr:rowOff>152400</xdr:rowOff>
    </xdr:to>
    <xdr:pic>
      <xdr:nvPicPr>
        <xdr:cNvPr id="12" name="Picture@0P@" descr="@0P@">
          <a:extLst>
            <a:ext uri="{FF2B5EF4-FFF2-40B4-BE49-F238E27FC236}">
              <a16:creationId xmlns:a16="http://schemas.microsoft.com/office/drawing/2014/main" id="{856A1F36-6260-49EC-84BC-C973DF303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025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12</xdr:row>
      <xdr:rowOff>0</xdr:rowOff>
    </xdr:from>
    <xdr:to>
      <xdr:col>32</xdr:col>
      <xdr:colOff>171450</xdr:colOff>
      <xdr:row>12</xdr:row>
      <xdr:rowOff>152400</xdr:rowOff>
    </xdr:to>
    <xdr:pic>
      <xdr:nvPicPr>
        <xdr:cNvPr id="13" name="Picture@0P@" descr="@0P@">
          <a:extLst>
            <a:ext uri="{FF2B5EF4-FFF2-40B4-BE49-F238E27FC236}">
              <a16:creationId xmlns:a16="http://schemas.microsoft.com/office/drawing/2014/main" id="{1A496E74-CE68-4822-898E-E10240FFCE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209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13</xdr:row>
      <xdr:rowOff>0</xdr:rowOff>
    </xdr:from>
    <xdr:to>
      <xdr:col>32</xdr:col>
      <xdr:colOff>171450</xdr:colOff>
      <xdr:row>13</xdr:row>
      <xdr:rowOff>152400</xdr:rowOff>
    </xdr:to>
    <xdr:pic>
      <xdr:nvPicPr>
        <xdr:cNvPr id="14" name="Picture@0P@" descr="@0P@">
          <a:extLst>
            <a:ext uri="{FF2B5EF4-FFF2-40B4-BE49-F238E27FC236}">
              <a16:creationId xmlns:a16="http://schemas.microsoft.com/office/drawing/2014/main" id="{C1575103-7C58-4419-8D2F-AC3E17F5F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393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14</xdr:row>
      <xdr:rowOff>0</xdr:rowOff>
    </xdr:from>
    <xdr:to>
      <xdr:col>32</xdr:col>
      <xdr:colOff>171450</xdr:colOff>
      <xdr:row>14</xdr:row>
      <xdr:rowOff>152400</xdr:rowOff>
    </xdr:to>
    <xdr:pic>
      <xdr:nvPicPr>
        <xdr:cNvPr id="15" name="Picture@0P@" descr="@0P@">
          <a:extLst>
            <a:ext uri="{FF2B5EF4-FFF2-40B4-BE49-F238E27FC236}">
              <a16:creationId xmlns:a16="http://schemas.microsoft.com/office/drawing/2014/main" id="{F4021203-14D3-470A-994D-964CAD7C0A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578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15</xdr:row>
      <xdr:rowOff>0</xdr:rowOff>
    </xdr:from>
    <xdr:to>
      <xdr:col>32</xdr:col>
      <xdr:colOff>171450</xdr:colOff>
      <xdr:row>15</xdr:row>
      <xdr:rowOff>152400</xdr:rowOff>
    </xdr:to>
    <xdr:pic>
      <xdr:nvPicPr>
        <xdr:cNvPr id="16" name="Picture@0P@" descr="@0P@">
          <a:extLst>
            <a:ext uri="{FF2B5EF4-FFF2-40B4-BE49-F238E27FC236}">
              <a16:creationId xmlns:a16="http://schemas.microsoft.com/office/drawing/2014/main" id="{5519AAF1-29E2-4903-B187-32E10B26A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762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16</xdr:row>
      <xdr:rowOff>0</xdr:rowOff>
    </xdr:from>
    <xdr:to>
      <xdr:col>32</xdr:col>
      <xdr:colOff>171450</xdr:colOff>
      <xdr:row>16</xdr:row>
      <xdr:rowOff>152400</xdr:rowOff>
    </xdr:to>
    <xdr:pic>
      <xdr:nvPicPr>
        <xdr:cNvPr id="17" name="Picture@0P@" descr="@0P@">
          <a:extLst>
            <a:ext uri="{FF2B5EF4-FFF2-40B4-BE49-F238E27FC236}">
              <a16:creationId xmlns:a16="http://schemas.microsoft.com/office/drawing/2014/main" id="{C1C97B94-C3FA-4F5C-BEB5-E76636F074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946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17</xdr:row>
      <xdr:rowOff>0</xdr:rowOff>
    </xdr:from>
    <xdr:to>
      <xdr:col>32</xdr:col>
      <xdr:colOff>171450</xdr:colOff>
      <xdr:row>17</xdr:row>
      <xdr:rowOff>152400</xdr:rowOff>
    </xdr:to>
    <xdr:pic>
      <xdr:nvPicPr>
        <xdr:cNvPr id="18" name="Picture@0P@" descr="@0P@">
          <a:extLst>
            <a:ext uri="{FF2B5EF4-FFF2-40B4-BE49-F238E27FC236}">
              <a16:creationId xmlns:a16="http://schemas.microsoft.com/office/drawing/2014/main" id="{BAF8B2BA-6AC9-4F50-98CA-139BCAA2B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130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18</xdr:row>
      <xdr:rowOff>0</xdr:rowOff>
    </xdr:from>
    <xdr:to>
      <xdr:col>32</xdr:col>
      <xdr:colOff>171450</xdr:colOff>
      <xdr:row>18</xdr:row>
      <xdr:rowOff>152400</xdr:rowOff>
    </xdr:to>
    <xdr:pic>
      <xdr:nvPicPr>
        <xdr:cNvPr id="19" name="Picture@0P@" descr="@0P@">
          <a:extLst>
            <a:ext uri="{FF2B5EF4-FFF2-40B4-BE49-F238E27FC236}">
              <a16:creationId xmlns:a16="http://schemas.microsoft.com/office/drawing/2014/main" id="{30096C3D-9F11-469B-8943-D15AADD39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314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19</xdr:row>
      <xdr:rowOff>0</xdr:rowOff>
    </xdr:from>
    <xdr:to>
      <xdr:col>32</xdr:col>
      <xdr:colOff>171450</xdr:colOff>
      <xdr:row>19</xdr:row>
      <xdr:rowOff>152400</xdr:rowOff>
    </xdr:to>
    <xdr:pic>
      <xdr:nvPicPr>
        <xdr:cNvPr id="20" name="Picture@0P@" descr="@0P@">
          <a:extLst>
            <a:ext uri="{FF2B5EF4-FFF2-40B4-BE49-F238E27FC236}">
              <a16:creationId xmlns:a16="http://schemas.microsoft.com/office/drawing/2014/main" id="{83631A09-7FB5-445C-A26C-A888F8A51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498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20</xdr:row>
      <xdr:rowOff>0</xdr:rowOff>
    </xdr:from>
    <xdr:to>
      <xdr:col>32</xdr:col>
      <xdr:colOff>171450</xdr:colOff>
      <xdr:row>20</xdr:row>
      <xdr:rowOff>152400</xdr:rowOff>
    </xdr:to>
    <xdr:pic>
      <xdr:nvPicPr>
        <xdr:cNvPr id="21" name="Picture@0P@" descr="@0P@">
          <a:extLst>
            <a:ext uri="{FF2B5EF4-FFF2-40B4-BE49-F238E27FC236}">
              <a16:creationId xmlns:a16="http://schemas.microsoft.com/office/drawing/2014/main" id="{14D99499-049F-40E6-ABE9-6FCCECC81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683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21</xdr:row>
      <xdr:rowOff>0</xdr:rowOff>
    </xdr:from>
    <xdr:to>
      <xdr:col>32</xdr:col>
      <xdr:colOff>171450</xdr:colOff>
      <xdr:row>21</xdr:row>
      <xdr:rowOff>152400</xdr:rowOff>
    </xdr:to>
    <xdr:pic>
      <xdr:nvPicPr>
        <xdr:cNvPr id="22" name="Picture@0P@" descr="@0P@">
          <a:extLst>
            <a:ext uri="{FF2B5EF4-FFF2-40B4-BE49-F238E27FC236}">
              <a16:creationId xmlns:a16="http://schemas.microsoft.com/office/drawing/2014/main" id="{F4B6AE58-4039-4D14-B154-6953227B77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867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22</xdr:row>
      <xdr:rowOff>0</xdr:rowOff>
    </xdr:from>
    <xdr:to>
      <xdr:col>32</xdr:col>
      <xdr:colOff>171450</xdr:colOff>
      <xdr:row>22</xdr:row>
      <xdr:rowOff>152400</xdr:rowOff>
    </xdr:to>
    <xdr:pic>
      <xdr:nvPicPr>
        <xdr:cNvPr id="23" name="Picture@0P@" descr="@0P@">
          <a:extLst>
            <a:ext uri="{FF2B5EF4-FFF2-40B4-BE49-F238E27FC236}">
              <a16:creationId xmlns:a16="http://schemas.microsoft.com/office/drawing/2014/main" id="{1744FF84-4377-43E0-95DD-8D431B10A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051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23</xdr:row>
      <xdr:rowOff>0</xdr:rowOff>
    </xdr:from>
    <xdr:to>
      <xdr:col>32</xdr:col>
      <xdr:colOff>171450</xdr:colOff>
      <xdr:row>23</xdr:row>
      <xdr:rowOff>152400</xdr:rowOff>
    </xdr:to>
    <xdr:pic>
      <xdr:nvPicPr>
        <xdr:cNvPr id="24" name="Picture@0P@" descr="@0P@">
          <a:extLst>
            <a:ext uri="{FF2B5EF4-FFF2-40B4-BE49-F238E27FC236}">
              <a16:creationId xmlns:a16="http://schemas.microsoft.com/office/drawing/2014/main" id="{85D3D84A-687C-45AD-8A4E-EB5A685885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235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24</xdr:row>
      <xdr:rowOff>0</xdr:rowOff>
    </xdr:from>
    <xdr:to>
      <xdr:col>32</xdr:col>
      <xdr:colOff>171450</xdr:colOff>
      <xdr:row>24</xdr:row>
      <xdr:rowOff>152400</xdr:rowOff>
    </xdr:to>
    <xdr:pic>
      <xdr:nvPicPr>
        <xdr:cNvPr id="25" name="Picture@0P@" descr="@0P@">
          <a:extLst>
            <a:ext uri="{FF2B5EF4-FFF2-40B4-BE49-F238E27FC236}">
              <a16:creationId xmlns:a16="http://schemas.microsoft.com/office/drawing/2014/main" id="{7913B870-0682-4748-9306-98C3ACC2A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419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25</xdr:row>
      <xdr:rowOff>0</xdr:rowOff>
    </xdr:from>
    <xdr:to>
      <xdr:col>32</xdr:col>
      <xdr:colOff>171450</xdr:colOff>
      <xdr:row>25</xdr:row>
      <xdr:rowOff>152400</xdr:rowOff>
    </xdr:to>
    <xdr:pic>
      <xdr:nvPicPr>
        <xdr:cNvPr id="26" name="Picture@0P@" descr="@0P@">
          <a:extLst>
            <a:ext uri="{FF2B5EF4-FFF2-40B4-BE49-F238E27FC236}">
              <a16:creationId xmlns:a16="http://schemas.microsoft.com/office/drawing/2014/main" id="{84BCA6B8-E7DB-45B3-8A7B-BFC0FCB9B2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603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26</xdr:row>
      <xdr:rowOff>0</xdr:rowOff>
    </xdr:from>
    <xdr:to>
      <xdr:col>32</xdr:col>
      <xdr:colOff>171450</xdr:colOff>
      <xdr:row>26</xdr:row>
      <xdr:rowOff>152400</xdr:rowOff>
    </xdr:to>
    <xdr:pic>
      <xdr:nvPicPr>
        <xdr:cNvPr id="27" name="Picture@0P@" descr="@0P@">
          <a:extLst>
            <a:ext uri="{FF2B5EF4-FFF2-40B4-BE49-F238E27FC236}">
              <a16:creationId xmlns:a16="http://schemas.microsoft.com/office/drawing/2014/main" id="{732F518E-6A4E-4070-B69E-14C2659C7F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787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27</xdr:row>
      <xdr:rowOff>0</xdr:rowOff>
    </xdr:from>
    <xdr:to>
      <xdr:col>32</xdr:col>
      <xdr:colOff>171450</xdr:colOff>
      <xdr:row>27</xdr:row>
      <xdr:rowOff>152400</xdr:rowOff>
    </xdr:to>
    <xdr:pic>
      <xdr:nvPicPr>
        <xdr:cNvPr id="28" name="Picture@0P@" descr="@0P@">
          <a:extLst>
            <a:ext uri="{FF2B5EF4-FFF2-40B4-BE49-F238E27FC236}">
              <a16:creationId xmlns:a16="http://schemas.microsoft.com/office/drawing/2014/main" id="{E17ACE47-DF7C-4DCC-9C7F-E194F8887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972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28</xdr:row>
      <xdr:rowOff>0</xdr:rowOff>
    </xdr:from>
    <xdr:to>
      <xdr:col>32</xdr:col>
      <xdr:colOff>171450</xdr:colOff>
      <xdr:row>28</xdr:row>
      <xdr:rowOff>152400</xdr:rowOff>
    </xdr:to>
    <xdr:pic>
      <xdr:nvPicPr>
        <xdr:cNvPr id="29" name="Picture@0P@" descr="@0P@">
          <a:extLst>
            <a:ext uri="{FF2B5EF4-FFF2-40B4-BE49-F238E27FC236}">
              <a16:creationId xmlns:a16="http://schemas.microsoft.com/office/drawing/2014/main" id="{D9000532-F8DB-47EE-A067-186023651C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156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29</xdr:row>
      <xdr:rowOff>0</xdr:rowOff>
    </xdr:from>
    <xdr:to>
      <xdr:col>32</xdr:col>
      <xdr:colOff>171450</xdr:colOff>
      <xdr:row>29</xdr:row>
      <xdr:rowOff>152400</xdr:rowOff>
    </xdr:to>
    <xdr:pic>
      <xdr:nvPicPr>
        <xdr:cNvPr id="30" name="Picture@0P@" descr="@0P@">
          <a:extLst>
            <a:ext uri="{FF2B5EF4-FFF2-40B4-BE49-F238E27FC236}">
              <a16:creationId xmlns:a16="http://schemas.microsoft.com/office/drawing/2014/main" id="{39C4D21B-EC15-45F6-95FA-E58AB97950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340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30</xdr:row>
      <xdr:rowOff>0</xdr:rowOff>
    </xdr:from>
    <xdr:to>
      <xdr:col>32</xdr:col>
      <xdr:colOff>171450</xdr:colOff>
      <xdr:row>30</xdr:row>
      <xdr:rowOff>152400</xdr:rowOff>
    </xdr:to>
    <xdr:pic>
      <xdr:nvPicPr>
        <xdr:cNvPr id="31" name="Picture@0P@" descr="@0P@">
          <a:extLst>
            <a:ext uri="{FF2B5EF4-FFF2-40B4-BE49-F238E27FC236}">
              <a16:creationId xmlns:a16="http://schemas.microsoft.com/office/drawing/2014/main" id="{5A0823B2-5150-455B-A4BB-2DFB78B554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524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31</xdr:row>
      <xdr:rowOff>0</xdr:rowOff>
    </xdr:from>
    <xdr:to>
      <xdr:col>32</xdr:col>
      <xdr:colOff>171450</xdr:colOff>
      <xdr:row>31</xdr:row>
      <xdr:rowOff>152400</xdr:rowOff>
    </xdr:to>
    <xdr:pic>
      <xdr:nvPicPr>
        <xdr:cNvPr id="32" name="Picture@0P@" descr="@0P@">
          <a:extLst>
            <a:ext uri="{FF2B5EF4-FFF2-40B4-BE49-F238E27FC236}">
              <a16:creationId xmlns:a16="http://schemas.microsoft.com/office/drawing/2014/main" id="{6CDE5834-E156-4BD2-B800-37C2B8940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708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32</xdr:row>
      <xdr:rowOff>0</xdr:rowOff>
    </xdr:from>
    <xdr:to>
      <xdr:col>32</xdr:col>
      <xdr:colOff>171450</xdr:colOff>
      <xdr:row>32</xdr:row>
      <xdr:rowOff>152400</xdr:rowOff>
    </xdr:to>
    <xdr:pic>
      <xdr:nvPicPr>
        <xdr:cNvPr id="33" name="Picture@0P@" descr="@0P@">
          <a:extLst>
            <a:ext uri="{FF2B5EF4-FFF2-40B4-BE49-F238E27FC236}">
              <a16:creationId xmlns:a16="http://schemas.microsoft.com/office/drawing/2014/main" id="{0B2300B8-B6F0-40B8-8A29-E728615C82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892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33</xdr:row>
      <xdr:rowOff>0</xdr:rowOff>
    </xdr:from>
    <xdr:to>
      <xdr:col>32</xdr:col>
      <xdr:colOff>171450</xdr:colOff>
      <xdr:row>33</xdr:row>
      <xdr:rowOff>152400</xdr:rowOff>
    </xdr:to>
    <xdr:pic>
      <xdr:nvPicPr>
        <xdr:cNvPr id="34" name="Picture@0P@" descr="@0P@">
          <a:extLst>
            <a:ext uri="{FF2B5EF4-FFF2-40B4-BE49-F238E27FC236}">
              <a16:creationId xmlns:a16="http://schemas.microsoft.com/office/drawing/2014/main" id="{3940CC75-44E6-496C-B1FB-35970779F0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076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34</xdr:row>
      <xdr:rowOff>0</xdr:rowOff>
    </xdr:from>
    <xdr:to>
      <xdr:col>32</xdr:col>
      <xdr:colOff>171450</xdr:colOff>
      <xdr:row>34</xdr:row>
      <xdr:rowOff>152400</xdr:rowOff>
    </xdr:to>
    <xdr:pic>
      <xdr:nvPicPr>
        <xdr:cNvPr id="35" name="Picture@0P@" descr="@0P@">
          <a:extLst>
            <a:ext uri="{FF2B5EF4-FFF2-40B4-BE49-F238E27FC236}">
              <a16:creationId xmlns:a16="http://schemas.microsoft.com/office/drawing/2014/main" id="{9E12A771-1659-42DA-BAD8-52AD0258E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261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35</xdr:row>
      <xdr:rowOff>0</xdr:rowOff>
    </xdr:from>
    <xdr:to>
      <xdr:col>32</xdr:col>
      <xdr:colOff>171450</xdr:colOff>
      <xdr:row>35</xdr:row>
      <xdr:rowOff>152400</xdr:rowOff>
    </xdr:to>
    <xdr:pic>
      <xdr:nvPicPr>
        <xdr:cNvPr id="36" name="Picture@0P@" descr="@0P@">
          <a:extLst>
            <a:ext uri="{FF2B5EF4-FFF2-40B4-BE49-F238E27FC236}">
              <a16:creationId xmlns:a16="http://schemas.microsoft.com/office/drawing/2014/main" id="{6D0F37CD-4744-4A30-A245-5433584223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445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36</xdr:row>
      <xdr:rowOff>0</xdr:rowOff>
    </xdr:from>
    <xdr:to>
      <xdr:col>32</xdr:col>
      <xdr:colOff>171450</xdr:colOff>
      <xdr:row>36</xdr:row>
      <xdr:rowOff>152400</xdr:rowOff>
    </xdr:to>
    <xdr:pic>
      <xdr:nvPicPr>
        <xdr:cNvPr id="37" name="Picture@0P@" descr="@0P@">
          <a:extLst>
            <a:ext uri="{FF2B5EF4-FFF2-40B4-BE49-F238E27FC236}">
              <a16:creationId xmlns:a16="http://schemas.microsoft.com/office/drawing/2014/main" id="{E87FF70C-8CEF-47C4-B9C8-2EA5A2EDB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629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37</xdr:row>
      <xdr:rowOff>0</xdr:rowOff>
    </xdr:from>
    <xdr:to>
      <xdr:col>32</xdr:col>
      <xdr:colOff>171450</xdr:colOff>
      <xdr:row>37</xdr:row>
      <xdr:rowOff>152400</xdr:rowOff>
    </xdr:to>
    <xdr:pic>
      <xdr:nvPicPr>
        <xdr:cNvPr id="38" name="Picture@0P@" descr="@0P@">
          <a:extLst>
            <a:ext uri="{FF2B5EF4-FFF2-40B4-BE49-F238E27FC236}">
              <a16:creationId xmlns:a16="http://schemas.microsoft.com/office/drawing/2014/main" id="{5FC27333-514D-4D02-B3E3-8C026402FE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813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38</xdr:row>
      <xdr:rowOff>0</xdr:rowOff>
    </xdr:from>
    <xdr:to>
      <xdr:col>32</xdr:col>
      <xdr:colOff>171450</xdr:colOff>
      <xdr:row>38</xdr:row>
      <xdr:rowOff>152400</xdr:rowOff>
    </xdr:to>
    <xdr:pic>
      <xdr:nvPicPr>
        <xdr:cNvPr id="39" name="Picture@0P@" descr="@0P@">
          <a:extLst>
            <a:ext uri="{FF2B5EF4-FFF2-40B4-BE49-F238E27FC236}">
              <a16:creationId xmlns:a16="http://schemas.microsoft.com/office/drawing/2014/main" id="{8F5901C2-FD66-4FF0-977A-6872363A91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997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39</xdr:row>
      <xdr:rowOff>0</xdr:rowOff>
    </xdr:from>
    <xdr:to>
      <xdr:col>32</xdr:col>
      <xdr:colOff>171450</xdr:colOff>
      <xdr:row>39</xdr:row>
      <xdr:rowOff>152400</xdr:rowOff>
    </xdr:to>
    <xdr:pic>
      <xdr:nvPicPr>
        <xdr:cNvPr id="40" name="Picture@0P@" descr="@0P@">
          <a:extLst>
            <a:ext uri="{FF2B5EF4-FFF2-40B4-BE49-F238E27FC236}">
              <a16:creationId xmlns:a16="http://schemas.microsoft.com/office/drawing/2014/main" id="{61272997-C5FB-4B14-AFC3-D8043298B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7181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40</xdr:row>
      <xdr:rowOff>0</xdr:rowOff>
    </xdr:from>
    <xdr:to>
      <xdr:col>32</xdr:col>
      <xdr:colOff>171450</xdr:colOff>
      <xdr:row>40</xdr:row>
      <xdr:rowOff>152400</xdr:rowOff>
    </xdr:to>
    <xdr:pic>
      <xdr:nvPicPr>
        <xdr:cNvPr id="41" name="Picture@0P@" descr="@0P@">
          <a:extLst>
            <a:ext uri="{FF2B5EF4-FFF2-40B4-BE49-F238E27FC236}">
              <a16:creationId xmlns:a16="http://schemas.microsoft.com/office/drawing/2014/main" id="{C9F5108C-87EB-461F-A7B9-2780BA7545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7366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41</xdr:row>
      <xdr:rowOff>0</xdr:rowOff>
    </xdr:from>
    <xdr:to>
      <xdr:col>32</xdr:col>
      <xdr:colOff>171450</xdr:colOff>
      <xdr:row>41</xdr:row>
      <xdr:rowOff>152400</xdr:rowOff>
    </xdr:to>
    <xdr:pic>
      <xdr:nvPicPr>
        <xdr:cNvPr id="42" name="Picture@0P@" descr="@0P@">
          <a:extLst>
            <a:ext uri="{FF2B5EF4-FFF2-40B4-BE49-F238E27FC236}">
              <a16:creationId xmlns:a16="http://schemas.microsoft.com/office/drawing/2014/main" id="{912596C8-7921-4EDE-BD1E-A7F992272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7550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42</xdr:row>
      <xdr:rowOff>0</xdr:rowOff>
    </xdr:from>
    <xdr:to>
      <xdr:col>32</xdr:col>
      <xdr:colOff>171450</xdr:colOff>
      <xdr:row>42</xdr:row>
      <xdr:rowOff>152400</xdr:rowOff>
    </xdr:to>
    <xdr:pic>
      <xdr:nvPicPr>
        <xdr:cNvPr id="43" name="Picture@0P@" descr="@0P@">
          <a:extLst>
            <a:ext uri="{FF2B5EF4-FFF2-40B4-BE49-F238E27FC236}">
              <a16:creationId xmlns:a16="http://schemas.microsoft.com/office/drawing/2014/main" id="{B59DAC50-036A-45AA-B522-C89912D71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7734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43</xdr:row>
      <xdr:rowOff>0</xdr:rowOff>
    </xdr:from>
    <xdr:to>
      <xdr:col>32</xdr:col>
      <xdr:colOff>171450</xdr:colOff>
      <xdr:row>43</xdr:row>
      <xdr:rowOff>152400</xdr:rowOff>
    </xdr:to>
    <xdr:pic>
      <xdr:nvPicPr>
        <xdr:cNvPr id="44" name="Picture@0P@" descr="@0P@">
          <a:extLst>
            <a:ext uri="{FF2B5EF4-FFF2-40B4-BE49-F238E27FC236}">
              <a16:creationId xmlns:a16="http://schemas.microsoft.com/office/drawing/2014/main" id="{C1F072A8-7659-450E-BD3E-EBEA56AED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7918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44</xdr:row>
      <xdr:rowOff>0</xdr:rowOff>
    </xdr:from>
    <xdr:to>
      <xdr:col>32</xdr:col>
      <xdr:colOff>171450</xdr:colOff>
      <xdr:row>44</xdr:row>
      <xdr:rowOff>152400</xdr:rowOff>
    </xdr:to>
    <xdr:pic>
      <xdr:nvPicPr>
        <xdr:cNvPr id="45" name="Picture@0P@" descr="@0P@">
          <a:extLst>
            <a:ext uri="{FF2B5EF4-FFF2-40B4-BE49-F238E27FC236}">
              <a16:creationId xmlns:a16="http://schemas.microsoft.com/office/drawing/2014/main" id="{5BF8D43E-4EBD-4252-968E-13A845399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8102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45</xdr:row>
      <xdr:rowOff>0</xdr:rowOff>
    </xdr:from>
    <xdr:to>
      <xdr:col>32</xdr:col>
      <xdr:colOff>171450</xdr:colOff>
      <xdr:row>45</xdr:row>
      <xdr:rowOff>152400</xdr:rowOff>
    </xdr:to>
    <xdr:pic>
      <xdr:nvPicPr>
        <xdr:cNvPr id="46" name="Picture@0P@" descr="@0P@">
          <a:extLst>
            <a:ext uri="{FF2B5EF4-FFF2-40B4-BE49-F238E27FC236}">
              <a16:creationId xmlns:a16="http://schemas.microsoft.com/office/drawing/2014/main" id="{E2232B68-DEDD-4060-A880-08FD9F054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8286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46</xdr:row>
      <xdr:rowOff>0</xdr:rowOff>
    </xdr:from>
    <xdr:to>
      <xdr:col>32</xdr:col>
      <xdr:colOff>171450</xdr:colOff>
      <xdr:row>46</xdr:row>
      <xdr:rowOff>152400</xdr:rowOff>
    </xdr:to>
    <xdr:pic>
      <xdr:nvPicPr>
        <xdr:cNvPr id="47" name="Picture@0P@" descr="@0P@">
          <a:extLst>
            <a:ext uri="{FF2B5EF4-FFF2-40B4-BE49-F238E27FC236}">
              <a16:creationId xmlns:a16="http://schemas.microsoft.com/office/drawing/2014/main" id="{0D2B0D7A-DC6A-4515-98C7-3C86FFD5B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8470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47</xdr:row>
      <xdr:rowOff>0</xdr:rowOff>
    </xdr:from>
    <xdr:to>
      <xdr:col>32</xdr:col>
      <xdr:colOff>171450</xdr:colOff>
      <xdr:row>47</xdr:row>
      <xdr:rowOff>152400</xdr:rowOff>
    </xdr:to>
    <xdr:pic>
      <xdr:nvPicPr>
        <xdr:cNvPr id="48" name="Picture@0P@" descr="@0P@">
          <a:extLst>
            <a:ext uri="{FF2B5EF4-FFF2-40B4-BE49-F238E27FC236}">
              <a16:creationId xmlns:a16="http://schemas.microsoft.com/office/drawing/2014/main" id="{080A509C-8ECE-4AE6-BCF9-321E57904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8655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48</xdr:row>
      <xdr:rowOff>0</xdr:rowOff>
    </xdr:from>
    <xdr:to>
      <xdr:col>32</xdr:col>
      <xdr:colOff>171450</xdr:colOff>
      <xdr:row>48</xdr:row>
      <xdr:rowOff>152400</xdr:rowOff>
    </xdr:to>
    <xdr:pic>
      <xdr:nvPicPr>
        <xdr:cNvPr id="49" name="Picture@0P@" descr="@0P@">
          <a:extLst>
            <a:ext uri="{FF2B5EF4-FFF2-40B4-BE49-F238E27FC236}">
              <a16:creationId xmlns:a16="http://schemas.microsoft.com/office/drawing/2014/main" id="{F57EC158-7A73-42EA-B36D-47AF2BE30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8839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49</xdr:row>
      <xdr:rowOff>0</xdr:rowOff>
    </xdr:from>
    <xdr:to>
      <xdr:col>32</xdr:col>
      <xdr:colOff>171450</xdr:colOff>
      <xdr:row>49</xdr:row>
      <xdr:rowOff>152400</xdr:rowOff>
    </xdr:to>
    <xdr:pic>
      <xdr:nvPicPr>
        <xdr:cNvPr id="50" name="Picture@0P@" descr="@0P@">
          <a:extLst>
            <a:ext uri="{FF2B5EF4-FFF2-40B4-BE49-F238E27FC236}">
              <a16:creationId xmlns:a16="http://schemas.microsoft.com/office/drawing/2014/main" id="{7448FDED-9C03-4B33-9D45-951BFFBDD4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9023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50</xdr:row>
      <xdr:rowOff>0</xdr:rowOff>
    </xdr:from>
    <xdr:to>
      <xdr:col>32</xdr:col>
      <xdr:colOff>171450</xdr:colOff>
      <xdr:row>50</xdr:row>
      <xdr:rowOff>152400</xdr:rowOff>
    </xdr:to>
    <xdr:pic>
      <xdr:nvPicPr>
        <xdr:cNvPr id="51" name="Picture@0P@" descr="@0P@">
          <a:extLst>
            <a:ext uri="{FF2B5EF4-FFF2-40B4-BE49-F238E27FC236}">
              <a16:creationId xmlns:a16="http://schemas.microsoft.com/office/drawing/2014/main" id="{CECADECE-D902-4D68-B95A-9DA9F9BB91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9207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51</xdr:row>
      <xdr:rowOff>0</xdr:rowOff>
    </xdr:from>
    <xdr:to>
      <xdr:col>32</xdr:col>
      <xdr:colOff>171450</xdr:colOff>
      <xdr:row>51</xdr:row>
      <xdr:rowOff>152400</xdr:rowOff>
    </xdr:to>
    <xdr:pic>
      <xdr:nvPicPr>
        <xdr:cNvPr id="52" name="Picture@0P@" descr="@0P@">
          <a:extLst>
            <a:ext uri="{FF2B5EF4-FFF2-40B4-BE49-F238E27FC236}">
              <a16:creationId xmlns:a16="http://schemas.microsoft.com/office/drawing/2014/main" id="{EBD54EC9-6D49-41B9-A239-CF64963F3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9391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52</xdr:row>
      <xdr:rowOff>0</xdr:rowOff>
    </xdr:from>
    <xdr:to>
      <xdr:col>32</xdr:col>
      <xdr:colOff>171450</xdr:colOff>
      <xdr:row>52</xdr:row>
      <xdr:rowOff>152400</xdr:rowOff>
    </xdr:to>
    <xdr:pic>
      <xdr:nvPicPr>
        <xdr:cNvPr id="53" name="Picture@0P@" descr="@0P@">
          <a:extLst>
            <a:ext uri="{FF2B5EF4-FFF2-40B4-BE49-F238E27FC236}">
              <a16:creationId xmlns:a16="http://schemas.microsoft.com/office/drawing/2014/main" id="{C62C5E22-4034-4AF3-9F37-9FC7AEED04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9575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53</xdr:row>
      <xdr:rowOff>0</xdr:rowOff>
    </xdr:from>
    <xdr:to>
      <xdr:col>32</xdr:col>
      <xdr:colOff>171450</xdr:colOff>
      <xdr:row>53</xdr:row>
      <xdr:rowOff>152400</xdr:rowOff>
    </xdr:to>
    <xdr:pic>
      <xdr:nvPicPr>
        <xdr:cNvPr id="54" name="Picture@0P@" descr="@0P@">
          <a:extLst>
            <a:ext uri="{FF2B5EF4-FFF2-40B4-BE49-F238E27FC236}">
              <a16:creationId xmlns:a16="http://schemas.microsoft.com/office/drawing/2014/main" id="{42F3EEDC-0C85-47EB-9375-D044100CF8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9759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54</xdr:row>
      <xdr:rowOff>0</xdr:rowOff>
    </xdr:from>
    <xdr:to>
      <xdr:col>32</xdr:col>
      <xdr:colOff>171450</xdr:colOff>
      <xdr:row>54</xdr:row>
      <xdr:rowOff>152400</xdr:rowOff>
    </xdr:to>
    <xdr:pic>
      <xdr:nvPicPr>
        <xdr:cNvPr id="55" name="Picture@0P@" descr="@0P@">
          <a:extLst>
            <a:ext uri="{FF2B5EF4-FFF2-40B4-BE49-F238E27FC236}">
              <a16:creationId xmlns:a16="http://schemas.microsoft.com/office/drawing/2014/main" id="{E7A6844D-D4C1-4E86-8C7E-F41BE20050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9944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55</xdr:row>
      <xdr:rowOff>0</xdr:rowOff>
    </xdr:from>
    <xdr:to>
      <xdr:col>32</xdr:col>
      <xdr:colOff>171450</xdr:colOff>
      <xdr:row>55</xdr:row>
      <xdr:rowOff>152400</xdr:rowOff>
    </xdr:to>
    <xdr:pic>
      <xdr:nvPicPr>
        <xdr:cNvPr id="56" name="Picture@0P@" descr="@0P@">
          <a:extLst>
            <a:ext uri="{FF2B5EF4-FFF2-40B4-BE49-F238E27FC236}">
              <a16:creationId xmlns:a16="http://schemas.microsoft.com/office/drawing/2014/main" id="{4674B83D-8089-40E2-B206-13A0E073F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0128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56</xdr:row>
      <xdr:rowOff>0</xdr:rowOff>
    </xdr:from>
    <xdr:to>
      <xdr:col>32</xdr:col>
      <xdr:colOff>171450</xdr:colOff>
      <xdr:row>56</xdr:row>
      <xdr:rowOff>152400</xdr:rowOff>
    </xdr:to>
    <xdr:pic>
      <xdr:nvPicPr>
        <xdr:cNvPr id="57" name="Picture@0P@" descr="@0P@">
          <a:extLst>
            <a:ext uri="{FF2B5EF4-FFF2-40B4-BE49-F238E27FC236}">
              <a16:creationId xmlns:a16="http://schemas.microsoft.com/office/drawing/2014/main" id="{37DCA822-71CC-4BEF-BC10-F78022C73C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0312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57</xdr:row>
      <xdr:rowOff>0</xdr:rowOff>
    </xdr:from>
    <xdr:to>
      <xdr:col>32</xdr:col>
      <xdr:colOff>171450</xdr:colOff>
      <xdr:row>57</xdr:row>
      <xdr:rowOff>152400</xdr:rowOff>
    </xdr:to>
    <xdr:pic>
      <xdr:nvPicPr>
        <xdr:cNvPr id="58" name="Picture@0P@" descr="@0P@">
          <a:extLst>
            <a:ext uri="{FF2B5EF4-FFF2-40B4-BE49-F238E27FC236}">
              <a16:creationId xmlns:a16="http://schemas.microsoft.com/office/drawing/2014/main" id="{E1AD07F3-6A57-4526-8E4A-440C185E5A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0496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58</xdr:row>
      <xdr:rowOff>0</xdr:rowOff>
    </xdr:from>
    <xdr:to>
      <xdr:col>32</xdr:col>
      <xdr:colOff>171450</xdr:colOff>
      <xdr:row>58</xdr:row>
      <xdr:rowOff>152400</xdr:rowOff>
    </xdr:to>
    <xdr:pic>
      <xdr:nvPicPr>
        <xdr:cNvPr id="59" name="Picture@0P@" descr="@0P@">
          <a:extLst>
            <a:ext uri="{FF2B5EF4-FFF2-40B4-BE49-F238E27FC236}">
              <a16:creationId xmlns:a16="http://schemas.microsoft.com/office/drawing/2014/main" id="{F2CA1044-0A39-42D9-B528-DE232BE634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0680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59</xdr:row>
      <xdr:rowOff>0</xdr:rowOff>
    </xdr:from>
    <xdr:to>
      <xdr:col>32</xdr:col>
      <xdr:colOff>171450</xdr:colOff>
      <xdr:row>59</xdr:row>
      <xdr:rowOff>152400</xdr:rowOff>
    </xdr:to>
    <xdr:pic>
      <xdr:nvPicPr>
        <xdr:cNvPr id="60" name="Picture@0P@" descr="@0P@">
          <a:extLst>
            <a:ext uri="{FF2B5EF4-FFF2-40B4-BE49-F238E27FC236}">
              <a16:creationId xmlns:a16="http://schemas.microsoft.com/office/drawing/2014/main" id="{1C5BE35D-9784-4F5B-9A86-93DDAC99D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0864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60</xdr:row>
      <xdr:rowOff>0</xdr:rowOff>
    </xdr:from>
    <xdr:to>
      <xdr:col>32</xdr:col>
      <xdr:colOff>171450</xdr:colOff>
      <xdr:row>60</xdr:row>
      <xdr:rowOff>152400</xdr:rowOff>
    </xdr:to>
    <xdr:pic>
      <xdr:nvPicPr>
        <xdr:cNvPr id="61" name="Picture@0P@" descr="@0P@">
          <a:extLst>
            <a:ext uri="{FF2B5EF4-FFF2-40B4-BE49-F238E27FC236}">
              <a16:creationId xmlns:a16="http://schemas.microsoft.com/office/drawing/2014/main" id="{4C3FCD4A-7FC4-48D5-B0B5-E46CDDFCD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1049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61</xdr:row>
      <xdr:rowOff>0</xdr:rowOff>
    </xdr:from>
    <xdr:to>
      <xdr:col>32</xdr:col>
      <xdr:colOff>171450</xdr:colOff>
      <xdr:row>61</xdr:row>
      <xdr:rowOff>152400</xdr:rowOff>
    </xdr:to>
    <xdr:pic>
      <xdr:nvPicPr>
        <xdr:cNvPr id="62" name="Picture@0P@" descr="@0P@">
          <a:extLst>
            <a:ext uri="{FF2B5EF4-FFF2-40B4-BE49-F238E27FC236}">
              <a16:creationId xmlns:a16="http://schemas.microsoft.com/office/drawing/2014/main" id="{A8BFFAF7-6AC8-4618-8661-74C3EAF684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1233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62</xdr:row>
      <xdr:rowOff>0</xdr:rowOff>
    </xdr:from>
    <xdr:to>
      <xdr:col>32</xdr:col>
      <xdr:colOff>171450</xdr:colOff>
      <xdr:row>62</xdr:row>
      <xdr:rowOff>152400</xdr:rowOff>
    </xdr:to>
    <xdr:pic>
      <xdr:nvPicPr>
        <xdr:cNvPr id="63" name="Picture@0P@" descr="@0P@">
          <a:extLst>
            <a:ext uri="{FF2B5EF4-FFF2-40B4-BE49-F238E27FC236}">
              <a16:creationId xmlns:a16="http://schemas.microsoft.com/office/drawing/2014/main" id="{DA501A99-4724-4894-8945-6E18B910E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1417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63</xdr:row>
      <xdr:rowOff>0</xdr:rowOff>
    </xdr:from>
    <xdr:to>
      <xdr:col>32</xdr:col>
      <xdr:colOff>171450</xdr:colOff>
      <xdr:row>63</xdr:row>
      <xdr:rowOff>152400</xdr:rowOff>
    </xdr:to>
    <xdr:pic>
      <xdr:nvPicPr>
        <xdr:cNvPr id="64" name="Picture@0P@" descr="@0P@">
          <a:extLst>
            <a:ext uri="{FF2B5EF4-FFF2-40B4-BE49-F238E27FC236}">
              <a16:creationId xmlns:a16="http://schemas.microsoft.com/office/drawing/2014/main" id="{3D26DC2D-7FDD-4294-9987-213EAE8DC7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1601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64</xdr:row>
      <xdr:rowOff>0</xdr:rowOff>
    </xdr:from>
    <xdr:to>
      <xdr:col>32</xdr:col>
      <xdr:colOff>171450</xdr:colOff>
      <xdr:row>64</xdr:row>
      <xdr:rowOff>152400</xdr:rowOff>
    </xdr:to>
    <xdr:pic>
      <xdr:nvPicPr>
        <xdr:cNvPr id="65" name="Picture@0P@" descr="@0P@">
          <a:extLst>
            <a:ext uri="{FF2B5EF4-FFF2-40B4-BE49-F238E27FC236}">
              <a16:creationId xmlns:a16="http://schemas.microsoft.com/office/drawing/2014/main" id="{BD369C60-3189-424A-A4FE-5A846752C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1785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65</xdr:row>
      <xdr:rowOff>0</xdr:rowOff>
    </xdr:from>
    <xdr:to>
      <xdr:col>32</xdr:col>
      <xdr:colOff>171450</xdr:colOff>
      <xdr:row>65</xdr:row>
      <xdr:rowOff>152400</xdr:rowOff>
    </xdr:to>
    <xdr:pic>
      <xdr:nvPicPr>
        <xdr:cNvPr id="66" name="Picture@0P@" descr="@0P@">
          <a:extLst>
            <a:ext uri="{FF2B5EF4-FFF2-40B4-BE49-F238E27FC236}">
              <a16:creationId xmlns:a16="http://schemas.microsoft.com/office/drawing/2014/main" id="{51E4B5C9-E283-4E70-9A50-A8B4B8B6A6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1969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66</xdr:row>
      <xdr:rowOff>0</xdr:rowOff>
    </xdr:from>
    <xdr:to>
      <xdr:col>32</xdr:col>
      <xdr:colOff>171450</xdr:colOff>
      <xdr:row>66</xdr:row>
      <xdr:rowOff>152400</xdr:rowOff>
    </xdr:to>
    <xdr:pic>
      <xdr:nvPicPr>
        <xdr:cNvPr id="67" name="Picture@0P@" descr="@0P@">
          <a:extLst>
            <a:ext uri="{FF2B5EF4-FFF2-40B4-BE49-F238E27FC236}">
              <a16:creationId xmlns:a16="http://schemas.microsoft.com/office/drawing/2014/main" id="{A9683D90-220E-4683-8015-FD981D2693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2153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67</xdr:row>
      <xdr:rowOff>0</xdr:rowOff>
    </xdr:from>
    <xdr:to>
      <xdr:col>32</xdr:col>
      <xdr:colOff>171450</xdr:colOff>
      <xdr:row>67</xdr:row>
      <xdr:rowOff>152400</xdr:rowOff>
    </xdr:to>
    <xdr:pic>
      <xdr:nvPicPr>
        <xdr:cNvPr id="68" name="Picture@0P@" descr="@0P@">
          <a:extLst>
            <a:ext uri="{FF2B5EF4-FFF2-40B4-BE49-F238E27FC236}">
              <a16:creationId xmlns:a16="http://schemas.microsoft.com/office/drawing/2014/main" id="{C3E49612-207D-4DF1-B162-8693C738F4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2338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68</xdr:row>
      <xdr:rowOff>0</xdr:rowOff>
    </xdr:from>
    <xdr:to>
      <xdr:col>32</xdr:col>
      <xdr:colOff>171450</xdr:colOff>
      <xdr:row>68</xdr:row>
      <xdr:rowOff>152400</xdr:rowOff>
    </xdr:to>
    <xdr:pic>
      <xdr:nvPicPr>
        <xdr:cNvPr id="69" name="Picture@0P@" descr="@0P@">
          <a:extLst>
            <a:ext uri="{FF2B5EF4-FFF2-40B4-BE49-F238E27FC236}">
              <a16:creationId xmlns:a16="http://schemas.microsoft.com/office/drawing/2014/main" id="{931E0665-1732-49EA-BCA0-90750E5058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2522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69</xdr:row>
      <xdr:rowOff>0</xdr:rowOff>
    </xdr:from>
    <xdr:to>
      <xdr:col>32</xdr:col>
      <xdr:colOff>171450</xdr:colOff>
      <xdr:row>69</xdr:row>
      <xdr:rowOff>152400</xdr:rowOff>
    </xdr:to>
    <xdr:pic>
      <xdr:nvPicPr>
        <xdr:cNvPr id="70" name="Picture@0P@" descr="@0P@">
          <a:extLst>
            <a:ext uri="{FF2B5EF4-FFF2-40B4-BE49-F238E27FC236}">
              <a16:creationId xmlns:a16="http://schemas.microsoft.com/office/drawing/2014/main" id="{A63E6BF8-6662-4CD8-899F-5E312123A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2706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70</xdr:row>
      <xdr:rowOff>0</xdr:rowOff>
    </xdr:from>
    <xdr:to>
      <xdr:col>32</xdr:col>
      <xdr:colOff>171450</xdr:colOff>
      <xdr:row>70</xdr:row>
      <xdr:rowOff>152400</xdr:rowOff>
    </xdr:to>
    <xdr:pic>
      <xdr:nvPicPr>
        <xdr:cNvPr id="71" name="Picture@0P@" descr="@0P@">
          <a:extLst>
            <a:ext uri="{FF2B5EF4-FFF2-40B4-BE49-F238E27FC236}">
              <a16:creationId xmlns:a16="http://schemas.microsoft.com/office/drawing/2014/main" id="{0844E35D-BE2D-4089-A53A-671AD8BCB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2890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71</xdr:row>
      <xdr:rowOff>0</xdr:rowOff>
    </xdr:from>
    <xdr:to>
      <xdr:col>32</xdr:col>
      <xdr:colOff>171450</xdr:colOff>
      <xdr:row>71</xdr:row>
      <xdr:rowOff>152400</xdr:rowOff>
    </xdr:to>
    <xdr:pic>
      <xdr:nvPicPr>
        <xdr:cNvPr id="72" name="Picture@0P@" descr="@0P@">
          <a:extLst>
            <a:ext uri="{FF2B5EF4-FFF2-40B4-BE49-F238E27FC236}">
              <a16:creationId xmlns:a16="http://schemas.microsoft.com/office/drawing/2014/main" id="{FABAD3B7-9523-47D3-90C6-8BA854CD24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3074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72</xdr:row>
      <xdr:rowOff>0</xdr:rowOff>
    </xdr:from>
    <xdr:to>
      <xdr:col>32</xdr:col>
      <xdr:colOff>171450</xdr:colOff>
      <xdr:row>72</xdr:row>
      <xdr:rowOff>152400</xdr:rowOff>
    </xdr:to>
    <xdr:pic>
      <xdr:nvPicPr>
        <xdr:cNvPr id="73" name="Picture@0P@" descr="@0P@">
          <a:extLst>
            <a:ext uri="{FF2B5EF4-FFF2-40B4-BE49-F238E27FC236}">
              <a16:creationId xmlns:a16="http://schemas.microsoft.com/office/drawing/2014/main" id="{3B9C9D91-FB22-4957-BFCA-6DBA8097C3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3258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73</xdr:row>
      <xdr:rowOff>0</xdr:rowOff>
    </xdr:from>
    <xdr:to>
      <xdr:col>32</xdr:col>
      <xdr:colOff>171450</xdr:colOff>
      <xdr:row>73</xdr:row>
      <xdr:rowOff>152400</xdr:rowOff>
    </xdr:to>
    <xdr:pic>
      <xdr:nvPicPr>
        <xdr:cNvPr id="74" name="Picture@0P@" descr="@0P@">
          <a:extLst>
            <a:ext uri="{FF2B5EF4-FFF2-40B4-BE49-F238E27FC236}">
              <a16:creationId xmlns:a16="http://schemas.microsoft.com/office/drawing/2014/main" id="{2492EA1A-1FCD-4433-8CFE-57676C7F4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3442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74</xdr:row>
      <xdr:rowOff>0</xdr:rowOff>
    </xdr:from>
    <xdr:to>
      <xdr:col>32</xdr:col>
      <xdr:colOff>171450</xdr:colOff>
      <xdr:row>74</xdr:row>
      <xdr:rowOff>152400</xdr:rowOff>
    </xdr:to>
    <xdr:pic>
      <xdr:nvPicPr>
        <xdr:cNvPr id="75" name="Picture@0P@" descr="@0P@">
          <a:extLst>
            <a:ext uri="{FF2B5EF4-FFF2-40B4-BE49-F238E27FC236}">
              <a16:creationId xmlns:a16="http://schemas.microsoft.com/office/drawing/2014/main" id="{749116A6-2A22-4834-8D05-477E7CBCFE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3627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75</xdr:row>
      <xdr:rowOff>0</xdr:rowOff>
    </xdr:from>
    <xdr:to>
      <xdr:col>32</xdr:col>
      <xdr:colOff>171450</xdr:colOff>
      <xdr:row>75</xdr:row>
      <xdr:rowOff>152400</xdr:rowOff>
    </xdr:to>
    <xdr:pic>
      <xdr:nvPicPr>
        <xdr:cNvPr id="76" name="Picture@0P@" descr="@0P@">
          <a:extLst>
            <a:ext uri="{FF2B5EF4-FFF2-40B4-BE49-F238E27FC236}">
              <a16:creationId xmlns:a16="http://schemas.microsoft.com/office/drawing/2014/main" id="{4F192867-FE3B-4C7E-A79F-03FD768D7A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3811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76</xdr:row>
      <xdr:rowOff>0</xdr:rowOff>
    </xdr:from>
    <xdr:to>
      <xdr:col>32</xdr:col>
      <xdr:colOff>171450</xdr:colOff>
      <xdr:row>76</xdr:row>
      <xdr:rowOff>152400</xdr:rowOff>
    </xdr:to>
    <xdr:pic>
      <xdr:nvPicPr>
        <xdr:cNvPr id="77" name="Picture@0P@" descr="@0P@">
          <a:extLst>
            <a:ext uri="{FF2B5EF4-FFF2-40B4-BE49-F238E27FC236}">
              <a16:creationId xmlns:a16="http://schemas.microsoft.com/office/drawing/2014/main" id="{DAFC0556-1A97-4A3A-9F81-B49A847B4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3995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77</xdr:row>
      <xdr:rowOff>0</xdr:rowOff>
    </xdr:from>
    <xdr:to>
      <xdr:col>32</xdr:col>
      <xdr:colOff>171450</xdr:colOff>
      <xdr:row>77</xdr:row>
      <xdr:rowOff>152400</xdr:rowOff>
    </xdr:to>
    <xdr:pic>
      <xdr:nvPicPr>
        <xdr:cNvPr id="78" name="Picture@0P@" descr="@0P@">
          <a:extLst>
            <a:ext uri="{FF2B5EF4-FFF2-40B4-BE49-F238E27FC236}">
              <a16:creationId xmlns:a16="http://schemas.microsoft.com/office/drawing/2014/main" id="{95F9220A-78D4-489A-8D36-1BF9F6CDBE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4179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78</xdr:row>
      <xdr:rowOff>0</xdr:rowOff>
    </xdr:from>
    <xdr:to>
      <xdr:col>32</xdr:col>
      <xdr:colOff>171450</xdr:colOff>
      <xdr:row>78</xdr:row>
      <xdr:rowOff>152400</xdr:rowOff>
    </xdr:to>
    <xdr:pic>
      <xdr:nvPicPr>
        <xdr:cNvPr id="79" name="Picture@0P@" descr="@0P@">
          <a:extLst>
            <a:ext uri="{FF2B5EF4-FFF2-40B4-BE49-F238E27FC236}">
              <a16:creationId xmlns:a16="http://schemas.microsoft.com/office/drawing/2014/main" id="{9C806951-6271-4E23-B0FD-484B265D70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4363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79</xdr:row>
      <xdr:rowOff>0</xdr:rowOff>
    </xdr:from>
    <xdr:to>
      <xdr:col>32</xdr:col>
      <xdr:colOff>171450</xdr:colOff>
      <xdr:row>79</xdr:row>
      <xdr:rowOff>152400</xdr:rowOff>
    </xdr:to>
    <xdr:pic>
      <xdr:nvPicPr>
        <xdr:cNvPr id="80" name="Picture@0P@" descr="@0P@">
          <a:extLst>
            <a:ext uri="{FF2B5EF4-FFF2-40B4-BE49-F238E27FC236}">
              <a16:creationId xmlns:a16="http://schemas.microsoft.com/office/drawing/2014/main" id="{6501AD1C-3C1C-4594-8C5D-50BE2209E9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4547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80</xdr:row>
      <xdr:rowOff>0</xdr:rowOff>
    </xdr:from>
    <xdr:to>
      <xdr:col>32</xdr:col>
      <xdr:colOff>171450</xdr:colOff>
      <xdr:row>80</xdr:row>
      <xdr:rowOff>152400</xdr:rowOff>
    </xdr:to>
    <xdr:pic>
      <xdr:nvPicPr>
        <xdr:cNvPr id="81" name="Picture@0P@" descr="@0P@">
          <a:extLst>
            <a:ext uri="{FF2B5EF4-FFF2-40B4-BE49-F238E27FC236}">
              <a16:creationId xmlns:a16="http://schemas.microsoft.com/office/drawing/2014/main" id="{D04FAEA4-0AD1-4070-B5D5-22310D7B9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4732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81</xdr:row>
      <xdr:rowOff>0</xdr:rowOff>
    </xdr:from>
    <xdr:to>
      <xdr:col>32</xdr:col>
      <xdr:colOff>171450</xdr:colOff>
      <xdr:row>81</xdr:row>
      <xdr:rowOff>152400</xdr:rowOff>
    </xdr:to>
    <xdr:pic>
      <xdr:nvPicPr>
        <xdr:cNvPr id="82" name="Picture@0P@" descr="@0P@">
          <a:extLst>
            <a:ext uri="{FF2B5EF4-FFF2-40B4-BE49-F238E27FC236}">
              <a16:creationId xmlns:a16="http://schemas.microsoft.com/office/drawing/2014/main" id="{1A125EC3-DE05-4190-B212-CFD54BFCEA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4916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82</xdr:row>
      <xdr:rowOff>0</xdr:rowOff>
    </xdr:from>
    <xdr:to>
      <xdr:col>32</xdr:col>
      <xdr:colOff>171450</xdr:colOff>
      <xdr:row>82</xdr:row>
      <xdr:rowOff>152400</xdr:rowOff>
    </xdr:to>
    <xdr:pic>
      <xdr:nvPicPr>
        <xdr:cNvPr id="83" name="Picture@0P@" descr="@0P@">
          <a:extLst>
            <a:ext uri="{FF2B5EF4-FFF2-40B4-BE49-F238E27FC236}">
              <a16:creationId xmlns:a16="http://schemas.microsoft.com/office/drawing/2014/main" id="{59F001F4-6969-40F2-A86D-085A165488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5100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83</xdr:row>
      <xdr:rowOff>0</xdr:rowOff>
    </xdr:from>
    <xdr:to>
      <xdr:col>32</xdr:col>
      <xdr:colOff>171450</xdr:colOff>
      <xdr:row>83</xdr:row>
      <xdr:rowOff>152400</xdr:rowOff>
    </xdr:to>
    <xdr:pic>
      <xdr:nvPicPr>
        <xdr:cNvPr id="84" name="Picture@0P@" descr="@0P@">
          <a:extLst>
            <a:ext uri="{FF2B5EF4-FFF2-40B4-BE49-F238E27FC236}">
              <a16:creationId xmlns:a16="http://schemas.microsoft.com/office/drawing/2014/main" id="{33ABD305-5AFB-4C3F-AEE2-8163FB7B7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5284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84</xdr:row>
      <xdr:rowOff>0</xdr:rowOff>
    </xdr:from>
    <xdr:to>
      <xdr:col>32</xdr:col>
      <xdr:colOff>171450</xdr:colOff>
      <xdr:row>84</xdr:row>
      <xdr:rowOff>152400</xdr:rowOff>
    </xdr:to>
    <xdr:pic>
      <xdr:nvPicPr>
        <xdr:cNvPr id="85" name="Picture@0P@" descr="@0P@">
          <a:extLst>
            <a:ext uri="{FF2B5EF4-FFF2-40B4-BE49-F238E27FC236}">
              <a16:creationId xmlns:a16="http://schemas.microsoft.com/office/drawing/2014/main" id="{CA3F92E6-0054-4F10-9C73-85D67AE0A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5468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85</xdr:row>
      <xdr:rowOff>0</xdr:rowOff>
    </xdr:from>
    <xdr:to>
      <xdr:col>32</xdr:col>
      <xdr:colOff>171450</xdr:colOff>
      <xdr:row>85</xdr:row>
      <xdr:rowOff>152400</xdr:rowOff>
    </xdr:to>
    <xdr:pic>
      <xdr:nvPicPr>
        <xdr:cNvPr id="86" name="Picture@0P@" descr="@0P@">
          <a:extLst>
            <a:ext uri="{FF2B5EF4-FFF2-40B4-BE49-F238E27FC236}">
              <a16:creationId xmlns:a16="http://schemas.microsoft.com/office/drawing/2014/main" id="{B460B101-CE51-4FFD-A3F2-43561754F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5652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86</xdr:row>
      <xdr:rowOff>0</xdr:rowOff>
    </xdr:from>
    <xdr:to>
      <xdr:col>32</xdr:col>
      <xdr:colOff>171450</xdr:colOff>
      <xdr:row>86</xdr:row>
      <xdr:rowOff>152400</xdr:rowOff>
    </xdr:to>
    <xdr:pic>
      <xdr:nvPicPr>
        <xdr:cNvPr id="87" name="Picture@0P@" descr="@0P@">
          <a:extLst>
            <a:ext uri="{FF2B5EF4-FFF2-40B4-BE49-F238E27FC236}">
              <a16:creationId xmlns:a16="http://schemas.microsoft.com/office/drawing/2014/main" id="{F4D2001A-BE16-47E0-A074-242CB99764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5836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87</xdr:row>
      <xdr:rowOff>0</xdr:rowOff>
    </xdr:from>
    <xdr:to>
      <xdr:col>32</xdr:col>
      <xdr:colOff>171450</xdr:colOff>
      <xdr:row>87</xdr:row>
      <xdr:rowOff>152400</xdr:rowOff>
    </xdr:to>
    <xdr:pic>
      <xdr:nvPicPr>
        <xdr:cNvPr id="88" name="Picture@0P@" descr="@0P@">
          <a:extLst>
            <a:ext uri="{FF2B5EF4-FFF2-40B4-BE49-F238E27FC236}">
              <a16:creationId xmlns:a16="http://schemas.microsoft.com/office/drawing/2014/main" id="{A35A32E4-C1DD-4A89-861C-FF05C4806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6021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88</xdr:row>
      <xdr:rowOff>0</xdr:rowOff>
    </xdr:from>
    <xdr:to>
      <xdr:col>32</xdr:col>
      <xdr:colOff>171450</xdr:colOff>
      <xdr:row>88</xdr:row>
      <xdr:rowOff>152400</xdr:rowOff>
    </xdr:to>
    <xdr:pic>
      <xdr:nvPicPr>
        <xdr:cNvPr id="89" name="Picture@0P@" descr="@0P@">
          <a:extLst>
            <a:ext uri="{FF2B5EF4-FFF2-40B4-BE49-F238E27FC236}">
              <a16:creationId xmlns:a16="http://schemas.microsoft.com/office/drawing/2014/main" id="{8892D8B9-FCBA-4B34-A933-E429B42D1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6205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89</xdr:row>
      <xdr:rowOff>0</xdr:rowOff>
    </xdr:from>
    <xdr:to>
      <xdr:col>32</xdr:col>
      <xdr:colOff>171450</xdr:colOff>
      <xdr:row>89</xdr:row>
      <xdr:rowOff>152400</xdr:rowOff>
    </xdr:to>
    <xdr:pic>
      <xdr:nvPicPr>
        <xdr:cNvPr id="90" name="Picture@0P@" descr="@0P@">
          <a:extLst>
            <a:ext uri="{FF2B5EF4-FFF2-40B4-BE49-F238E27FC236}">
              <a16:creationId xmlns:a16="http://schemas.microsoft.com/office/drawing/2014/main" id="{28B857B5-1DD2-4CCF-9DAA-619B7604C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6389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90</xdr:row>
      <xdr:rowOff>0</xdr:rowOff>
    </xdr:from>
    <xdr:to>
      <xdr:col>32</xdr:col>
      <xdr:colOff>171450</xdr:colOff>
      <xdr:row>90</xdr:row>
      <xdr:rowOff>152400</xdr:rowOff>
    </xdr:to>
    <xdr:pic>
      <xdr:nvPicPr>
        <xdr:cNvPr id="91" name="Picture@0P@" descr="@0P@">
          <a:extLst>
            <a:ext uri="{FF2B5EF4-FFF2-40B4-BE49-F238E27FC236}">
              <a16:creationId xmlns:a16="http://schemas.microsoft.com/office/drawing/2014/main" id="{03FD729A-EAFA-4F06-93FD-B6F1AD3DA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6573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91</xdr:row>
      <xdr:rowOff>0</xdr:rowOff>
    </xdr:from>
    <xdr:to>
      <xdr:col>32</xdr:col>
      <xdr:colOff>171450</xdr:colOff>
      <xdr:row>91</xdr:row>
      <xdr:rowOff>152400</xdr:rowOff>
    </xdr:to>
    <xdr:pic>
      <xdr:nvPicPr>
        <xdr:cNvPr id="92" name="Picture@0P@" descr="@0P@">
          <a:extLst>
            <a:ext uri="{FF2B5EF4-FFF2-40B4-BE49-F238E27FC236}">
              <a16:creationId xmlns:a16="http://schemas.microsoft.com/office/drawing/2014/main" id="{A76002D6-66CF-49F9-AD76-6715322ADE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6757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92</xdr:row>
      <xdr:rowOff>0</xdr:rowOff>
    </xdr:from>
    <xdr:to>
      <xdr:col>32</xdr:col>
      <xdr:colOff>171450</xdr:colOff>
      <xdr:row>92</xdr:row>
      <xdr:rowOff>152400</xdr:rowOff>
    </xdr:to>
    <xdr:pic>
      <xdr:nvPicPr>
        <xdr:cNvPr id="93" name="Picture@0P@" descr="@0P@">
          <a:extLst>
            <a:ext uri="{FF2B5EF4-FFF2-40B4-BE49-F238E27FC236}">
              <a16:creationId xmlns:a16="http://schemas.microsoft.com/office/drawing/2014/main" id="{DA1A8DBE-667E-4ACF-8B87-A55684B2F5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6941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93</xdr:row>
      <xdr:rowOff>0</xdr:rowOff>
    </xdr:from>
    <xdr:to>
      <xdr:col>32</xdr:col>
      <xdr:colOff>171450</xdr:colOff>
      <xdr:row>93</xdr:row>
      <xdr:rowOff>152400</xdr:rowOff>
    </xdr:to>
    <xdr:pic>
      <xdr:nvPicPr>
        <xdr:cNvPr id="94" name="Picture@0P@" descr="@0P@">
          <a:extLst>
            <a:ext uri="{FF2B5EF4-FFF2-40B4-BE49-F238E27FC236}">
              <a16:creationId xmlns:a16="http://schemas.microsoft.com/office/drawing/2014/main" id="{16FED225-F814-4759-9E7B-A151A18CC0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7125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94</xdr:row>
      <xdr:rowOff>0</xdr:rowOff>
    </xdr:from>
    <xdr:to>
      <xdr:col>32</xdr:col>
      <xdr:colOff>171450</xdr:colOff>
      <xdr:row>94</xdr:row>
      <xdr:rowOff>152400</xdr:rowOff>
    </xdr:to>
    <xdr:pic>
      <xdr:nvPicPr>
        <xdr:cNvPr id="95" name="Picture@0P@" descr="@0P@">
          <a:extLst>
            <a:ext uri="{FF2B5EF4-FFF2-40B4-BE49-F238E27FC236}">
              <a16:creationId xmlns:a16="http://schemas.microsoft.com/office/drawing/2014/main" id="{963ED945-2A3B-4E26-85E7-F4CE08419E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7310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95</xdr:row>
      <xdr:rowOff>0</xdr:rowOff>
    </xdr:from>
    <xdr:to>
      <xdr:col>32</xdr:col>
      <xdr:colOff>171450</xdr:colOff>
      <xdr:row>95</xdr:row>
      <xdr:rowOff>152400</xdr:rowOff>
    </xdr:to>
    <xdr:pic>
      <xdr:nvPicPr>
        <xdr:cNvPr id="96" name="Picture@0P@" descr="@0P@">
          <a:extLst>
            <a:ext uri="{FF2B5EF4-FFF2-40B4-BE49-F238E27FC236}">
              <a16:creationId xmlns:a16="http://schemas.microsoft.com/office/drawing/2014/main" id="{E6D7D784-57AD-4783-A747-4E39F9CFFE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7494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96</xdr:row>
      <xdr:rowOff>0</xdr:rowOff>
    </xdr:from>
    <xdr:to>
      <xdr:col>32</xdr:col>
      <xdr:colOff>171450</xdr:colOff>
      <xdr:row>96</xdr:row>
      <xdr:rowOff>152400</xdr:rowOff>
    </xdr:to>
    <xdr:pic>
      <xdr:nvPicPr>
        <xdr:cNvPr id="97" name="Picture@0P@" descr="@0P@">
          <a:extLst>
            <a:ext uri="{FF2B5EF4-FFF2-40B4-BE49-F238E27FC236}">
              <a16:creationId xmlns:a16="http://schemas.microsoft.com/office/drawing/2014/main" id="{AA9E2577-EFFC-4DBF-A3B2-F890D51FBC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7678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97</xdr:row>
      <xdr:rowOff>0</xdr:rowOff>
    </xdr:from>
    <xdr:to>
      <xdr:col>32</xdr:col>
      <xdr:colOff>171450</xdr:colOff>
      <xdr:row>97</xdr:row>
      <xdr:rowOff>152400</xdr:rowOff>
    </xdr:to>
    <xdr:pic>
      <xdr:nvPicPr>
        <xdr:cNvPr id="98" name="Picture@0P@" descr="@0P@">
          <a:extLst>
            <a:ext uri="{FF2B5EF4-FFF2-40B4-BE49-F238E27FC236}">
              <a16:creationId xmlns:a16="http://schemas.microsoft.com/office/drawing/2014/main" id="{DC187098-8E08-4F33-9F60-3A80D52F93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7862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98</xdr:row>
      <xdr:rowOff>0</xdr:rowOff>
    </xdr:from>
    <xdr:to>
      <xdr:col>32</xdr:col>
      <xdr:colOff>171450</xdr:colOff>
      <xdr:row>98</xdr:row>
      <xdr:rowOff>152400</xdr:rowOff>
    </xdr:to>
    <xdr:pic>
      <xdr:nvPicPr>
        <xdr:cNvPr id="99" name="Picture@0P@" descr="@0P@">
          <a:extLst>
            <a:ext uri="{FF2B5EF4-FFF2-40B4-BE49-F238E27FC236}">
              <a16:creationId xmlns:a16="http://schemas.microsoft.com/office/drawing/2014/main" id="{492130F9-C908-479C-90F2-7585ECC4D7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8046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99</xdr:row>
      <xdr:rowOff>0</xdr:rowOff>
    </xdr:from>
    <xdr:to>
      <xdr:col>32</xdr:col>
      <xdr:colOff>171450</xdr:colOff>
      <xdr:row>99</xdr:row>
      <xdr:rowOff>152400</xdr:rowOff>
    </xdr:to>
    <xdr:pic>
      <xdr:nvPicPr>
        <xdr:cNvPr id="100" name="Picture@0P@" descr="@0P@">
          <a:extLst>
            <a:ext uri="{FF2B5EF4-FFF2-40B4-BE49-F238E27FC236}">
              <a16:creationId xmlns:a16="http://schemas.microsoft.com/office/drawing/2014/main" id="{297581C4-D9E4-4AA9-BCA9-CAAB48C08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8230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100</xdr:row>
      <xdr:rowOff>0</xdr:rowOff>
    </xdr:from>
    <xdr:to>
      <xdr:col>32</xdr:col>
      <xdr:colOff>171450</xdr:colOff>
      <xdr:row>100</xdr:row>
      <xdr:rowOff>152400</xdr:rowOff>
    </xdr:to>
    <xdr:pic>
      <xdr:nvPicPr>
        <xdr:cNvPr id="101" name="Picture@0P@" descr="@0P@">
          <a:extLst>
            <a:ext uri="{FF2B5EF4-FFF2-40B4-BE49-F238E27FC236}">
              <a16:creationId xmlns:a16="http://schemas.microsoft.com/office/drawing/2014/main" id="{3137FF6D-3053-4F9C-B924-FE3457C4B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8415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101</xdr:row>
      <xdr:rowOff>0</xdr:rowOff>
    </xdr:from>
    <xdr:to>
      <xdr:col>32</xdr:col>
      <xdr:colOff>171450</xdr:colOff>
      <xdr:row>101</xdr:row>
      <xdr:rowOff>152400</xdr:rowOff>
    </xdr:to>
    <xdr:pic>
      <xdr:nvPicPr>
        <xdr:cNvPr id="102" name="Picture@0P@" descr="@0P@">
          <a:extLst>
            <a:ext uri="{FF2B5EF4-FFF2-40B4-BE49-F238E27FC236}">
              <a16:creationId xmlns:a16="http://schemas.microsoft.com/office/drawing/2014/main" id="{FA846E99-E885-4A66-A200-5777727033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8599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102</xdr:row>
      <xdr:rowOff>0</xdr:rowOff>
    </xdr:from>
    <xdr:to>
      <xdr:col>32</xdr:col>
      <xdr:colOff>171450</xdr:colOff>
      <xdr:row>102</xdr:row>
      <xdr:rowOff>152400</xdr:rowOff>
    </xdr:to>
    <xdr:pic>
      <xdr:nvPicPr>
        <xdr:cNvPr id="103" name="Picture@0P@" descr="@0P@">
          <a:extLst>
            <a:ext uri="{FF2B5EF4-FFF2-40B4-BE49-F238E27FC236}">
              <a16:creationId xmlns:a16="http://schemas.microsoft.com/office/drawing/2014/main" id="{409FF553-40B7-433C-A69A-F7EA480767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8783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103</xdr:row>
      <xdr:rowOff>0</xdr:rowOff>
    </xdr:from>
    <xdr:to>
      <xdr:col>32</xdr:col>
      <xdr:colOff>171450</xdr:colOff>
      <xdr:row>103</xdr:row>
      <xdr:rowOff>152400</xdr:rowOff>
    </xdr:to>
    <xdr:pic>
      <xdr:nvPicPr>
        <xdr:cNvPr id="104" name="Picture@0P@" descr="@0P@">
          <a:extLst>
            <a:ext uri="{FF2B5EF4-FFF2-40B4-BE49-F238E27FC236}">
              <a16:creationId xmlns:a16="http://schemas.microsoft.com/office/drawing/2014/main" id="{469B9C35-D897-4D76-8306-57F7520D1E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8967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104</xdr:row>
      <xdr:rowOff>0</xdr:rowOff>
    </xdr:from>
    <xdr:to>
      <xdr:col>32</xdr:col>
      <xdr:colOff>171450</xdr:colOff>
      <xdr:row>104</xdr:row>
      <xdr:rowOff>152400</xdr:rowOff>
    </xdr:to>
    <xdr:pic>
      <xdr:nvPicPr>
        <xdr:cNvPr id="105" name="Picture@0P@" descr="@0P@">
          <a:extLst>
            <a:ext uri="{FF2B5EF4-FFF2-40B4-BE49-F238E27FC236}">
              <a16:creationId xmlns:a16="http://schemas.microsoft.com/office/drawing/2014/main" id="{E4095681-7AEF-4C12-A6FD-6C4710F13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9151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105</xdr:row>
      <xdr:rowOff>0</xdr:rowOff>
    </xdr:from>
    <xdr:to>
      <xdr:col>32</xdr:col>
      <xdr:colOff>171450</xdr:colOff>
      <xdr:row>105</xdr:row>
      <xdr:rowOff>152400</xdr:rowOff>
    </xdr:to>
    <xdr:pic>
      <xdr:nvPicPr>
        <xdr:cNvPr id="106" name="Picture@0P@" descr="@0P@">
          <a:extLst>
            <a:ext uri="{FF2B5EF4-FFF2-40B4-BE49-F238E27FC236}">
              <a16:creationId xmlns:a16="http://schemas.microsoft.com/office/drawing/2014/main" id="{0D2FD802-1689-4309-8C9F-57648DE1B8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9335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106</xdr:row>
      <xdr:rowOff>0</xdr:rowOff>
    </xdr:from>
    <xdr:to>
      <xdr:col>32</xdr:col>
      <xdr:colOff>171450</xdr:colOff>
      <xdr:row>106</xdr:row>
      <xdr:rowOff>152400</xdr:rowOff>
    </xdr:to>
    <xdr:pic>
      <xdr:nvPicPr>
        <xdr:cNvPr id="107" name="Picture@0P@" descr="@0P@">
          <a:extLst>
            <a:ext uri="{FF2B5EF4-FFF2-40B4-BE49-F238E27FC236}">
              <a16:creationId xmlns:a16="http://schemas.microsoft.com/office/drawing/2014/main" id="{86A6C6F3-155D-4FD5-B583-1EAA1B2273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9519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107</xdr:row>
      <xdr:rowOff>0</xdr:rowOff>
    </xdr:from>
    <xdr:to>
      <xdr:col>32</xdr:col>
      <xdr:colOff>171450</xdr:colOff>
      <xdr:row>107</xdr:row>
      <xdr:rowOff>152400</xdr:rowOff>
    </xdr:to>
    <xdr:pic>
      <xdr:nvPicPr>
        <xdr:cNvPr id="108" name="Picture@0P@" descr="@0P@">
          <a:extLst>
            <a:ext uri="{FF2B5EF4-FFF2-40B4-BE49-F238E27FC236}">
              <a16:creationId xmlns:a16="http://schemas.microsoft.com/office/drawing/2014/main" id="{725CC110-1708-4912-A9A0-58B7DBDE2C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9704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108</xdr:row>
      <xdr:rowOff>0</xdr:rowOff>
    </xdr:from>
    <xdr:to>
      <xdr:col>32</xdr:col>
      <xdr:colOff>171450</xdr:colOff>
      <xdr:row>108</xdr:row>
      <xdr:rowOff>152400</xdr:rowOff>
    </xdr:to>
    <xdr:pic>
      <xdr:nvPicPr>
        <xdr:cNvPr id="109" name="Picture@0P@" descr="@0P@">
          <a:extLst>
            <a:ext uri="{FF2B5EF4-FFF2-40B4-BE49-F238E27FC236}">
              <a16:creationId xmlns:a16="http://schemas.microsoft.com/office/drawing/2014/main" id="{306299EC-9CB6-4B8F-B121-003CBDE470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19888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109</xdr:row>
      <xdr:rowOff>0</xdr:rowOff>
    </xdr:from>
    <xdr:to>
      <xdr:col>32</xdr:col>
      <xdr:colOff>171450</xdr:colOff>
      <xdr:row>109</xdr:row>
      <xdr:rowOff>152400</xdr:rowOff>
    </xdr:to>
    <xdr:pic>
      <xdr:nvPicPr>
        <xdr:cNvPr id="110" name="Picture@0P@" descr="@0P@">
          <a:extLst>
            <a:ext uri="{FF2B5EF4-FFF2-40B4-BE49-F238E27FC236}">
              <a16:creationId xmlns:a16="http://schemas.microsoft.com/office/drawing/2014/main" id="{BE54F1F2-F507-4102-9F14-A5223A77B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0072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110</xdr:row>
      <xdr:rowOff>0</xdr:rowOff>
    </xdr:from>
    <xdr:to>
      <xdr:col>32</xdr:col>
      <xdr:colOff>171450</xdr:colOff>
      <xdr:row>110</xdr:row>
      <xdr:rowOff>152400</xdr:rowOff>
    </xdr:to>
    <xdr:pic>
      <xdr:nvPicPr>
        <xdr:cNvPr id="111" name="Picture@0P@" descr="@0P@">
          <a:extLst>
            <a:ext uri="{FF2B5EF4-FFF2-40B4-BE49-F238E27FC236}">
              <a16:creationId xmlns:a16="http://schemas.microsoft.com/office/drawing/2014/main" id="{BAA82FC7-A8CC-462D-AEB7-FB13510B7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0256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111</xdr:row>
      <xdr:rowOff>0</xdr:rowOff>
    </xdr:from>
    <xdr:to>
      <xdr:col>32</xdr:col>
      <xdr:colOff>171450</xdr:colOff>
      <xdr:row>111</xdr:row>
      <xdr:rowOff>152400</xdr:rowOff>
    </xdr:to>
    <xdr:pic>
      <xdr:nvPicPr>
        <xdr:cNvPr id="112" name="Picture@0P@" descr="@0P@">
          <a:extLst>
            <a:ext uri="{FF2B5EF4-FFF2-40B4-BE49-F238E27FC236}">
              <a16:creationId xmlns:a16="http://schemas.microsoft.com/office/drawing/2014/main" id="{085CD14D-39F0-40A1-A7BE-CB469ABE38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0440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112</xdr:row>
      <xdr:rowOff>0</xdr:rowOff>
    </xdr:from>
    <xdr:to>
      <xdr:col>32</xdr:col>
      <xdr:colOff>171450</xdr:colOff>
      <xdr:row>112</xdr:row>
      <xdr:rowOff>152400</xdr:rowOff>
    </xdr:to>
    <xdr:pic>
      <xdr:nvPicPr>
        <xdr:cNvPr id="113" name="Picture@0P@" descr="@0P@">
          <a:extLst>
            <a:ext uri="{FF2B5EF4-FFF2-40B4-BE49-F238E27FC236}">
              <a16:creationId xmlns:a16="http://schemas.microsoft.com/office/drawing/2014/main" id="{259D216F-A41C-4C82-88A1-E1763655D5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0624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113</xdr:row>
      <xdr:rowOff>0</xdr:rowOff>
    </xdr:from>
    <xdr:to>
      <xdr:col>32</xdr:col>
      <xdr:colOff>171450</xdr:colOff>
      <xdr:row>113</xdr:row>
      <xdr:rowOff>152400</xdr:rowOff>
    </xdr:to>
    <xdr:pic>
      <xdr:nvPicPr>
        <xdr:cNvPr id="114" name="Picture@0P@" descr="@0P@">
          <a:extLst>
            <a:ext uri="{FF2B5EF4-FFF2-40B4-BE49-F238E27FC236}">
              <a16:creationId xmlns:a16="http://schemas.microsoft.com/office/drawing/2014/main" id="{0E73B07E-7816-4051-B0DB-342C767065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0808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114</xdr:row>
      <xdr:rowOff>0</xdr:rowOff>
    </xdr:from>
    <xdr:to>
      <xdr:col>32</xdr:col>
      <xdr:colOff>171450</xdr:colOff>
      <xdr:row>114</xdr:row>
      <xdr:rowOff>152400</xdr:rowOff>
    </xdr:to>
    <xdr:pic>
      <xdr:nvPicPr>
        <xdr:cNvPr id="115" name="Picture@0P@" descr="@0P@">
          <a:extLst>
            <a:ext uri="{FF2B5EF4-FFF2-40B4-BE49-F238E27FC236}">
              <a16:creationId xmlns:a16="http://schemas.microsoft.com/office/drawing/2014/main" id="{A097BBCF-2D55-4CFF-ABC3-D14606E96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0993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115</xdr:row>
      <xdr:rowOff>0</xdr:rowOff>
    </xdr:from>
    <xdr:to>
      <xdr:col>32</xdr:col>
      <xdr:colOff>171450</xdr:colOff>
      <xdr:row>115</xdr:row>
      <xdr:rowOff>152400</xdr:rowOff>
    </xdr:to>
    <xdr:pic>
      <xdr:nvPicPr>
        <xdr:cNvPr id="116" name="Picture@0P@" descr="@0P@">
          <a:extLst>
            <a:ext uri="{FF2B5EF4-FFF2-40B4-BE49-F238E27FC236}">
              <a16:creationId xmlns:a16="http://schemas.microsoft.com/office/drawing/2014/main" id="{C965F1BC-FE2E-421D-8C0A-8DDACFE8BF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1177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116</xdr:row>
      <xdr:rowOff>0</xdr:rowOff>
    </xdr:from>
    <xdr:to>
      <xdr:col>32</xdr:col>
      <xdr:colOff>171450</xdr:colOff>
      <xdr:row>116</xdr:row>
      <xdr:rowOff>152400</xdr:rowOff>
    </xdr:to>
    <xdr:pic>
      <xdr:nvPicPr>
        <xdr:cNvPr id="117" name="Picture@0P@" descr="@0P@">
          <a:extLst>
            <a:ext uri="{FF2B5EF4-FFF2-40B4-BE49-F238E27FC236}">
              <a16:creationId xmlns:a16="http://schemas.microsoft.com/office/drawing/2014/main" id="{2E2C68CD-495B-4068-9918-F1FC4628B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1361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117</xdr:row>
      <xdr:rowOff>0</xdr:rowOff>
    </xdr:from>
    <xdr:to>
      <xdr:col>32</xdr:col>
      <xdr:colOff>171450</xdr:colOff>
      <xdr:row>117</xdr:row>
      <xdr:rowOff>152400</xdr:rowOff>
    </xdr:to>
    <xdr:pic>
      <xdr:nvPicPr>
        <xdr:cNvPr id="118" name="Picture@0P@" descr="@0P@">
          <a:extLst>
            <a:ext uri="{FF2B5EF4-FFF2-40B4-BE49-F238E27FC236}">
              <a16:creationId xmlns:a16="http://schemas.microsoft.com/office/drawing/2014/main" id="{D8CBBCD5-1F82-4904-A569-E7DBCD124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1545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118</xdr:row>
      <xdr:rowOff>0</xdr:rowOff>
    </xdr:from>
    <xdr:to>
      <xdr:col>32</xdr:col>
      <xdr:colOff>171450</xdr:colOff>
      <xdr:row>118</xdr:row>
      <xdr:rowOff>152400</xdr:rowOff>
    </xdr:to>
    <xdr:pic>
      <xdr:nvPicPr>
        <xdr:cNvPr id="119" name="Picture@0P@" descr="@0P@">
          <a:extLst>
            <a:ext uri="{FF2B5EF4-FFF2-40B4-BE49-F238E27FC236}">
              <a16:creationId xmlns:a16="http://schemas.microsoft.com/office/drawing/2014/main" id="{CF8223A5-69DC-430D-B13E-48FC9CFBC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1729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119</xdr:row>
      <xdr:rowOff>0</xdr:rowOff>
    </xdr:from>
    <xdr:to>
      <xdr:col>32</xdr:col>
      <xdr:colOff>171450</xdr:colOff>
      <xdr:row>119</xdr:row>
      <xdr:rowOff>152400</xdr:rowOff>
    </xdr:to>
    <xdr:pic>
      <xdr:nvPicPr>
        <xdr:cNvPr id="120" name="Picture@0P@" descr="@0P@">
          <a:extLst>
            <a:ext uri="{FF2B5EF4-FFF2-40B4-BE49-F238E27FC236}">
              <a16:creationId xmlns:a16="http://schemas.microsoft.com/office/drawing/2014/main" id="{4175F9CF-9991-490D-B9AC-7CC7D91E06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1913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120</xdr:row>
      <xdr:rowOff>0</xdr:rowOff>
    </xdr:from>
    <xdr:to>
      <xdr:col>32</xdr:col>
      <xdr:colOff>171450</xdr:colOff>
      <xdr:row>120</xdr:row>
      <xdr:rowOff>152400</xdr:rowOff>
    </xdr:to>
    <xdr:pic>
      <xdr:nvPicPr>
        <xdr:cNvPr id="121" name="Picture@0P@" descr="@0P@">
          <a:extLst>
            <a:ext uri="{FF2B5EF4-FFF2-40B4-BE49-F238E27FC236}">
              <a16:creationId xmlns:a16="http://schemas.microsoft.com/office/drawing/2014/main" id="{948A7E30-7972-41A7-A89B-738D16BEC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2098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121</xdr:row>
      <xdr:rowOff>0</xdr:rowOff>
    </xdr:from>
    <xdr:to>
      <xdr:col>32</xdr:col>
      <xdr:colOff>171450</xdr:colOff>
      <xdr:row>121</xdr:row>
      <xdr:rowOff>152400</xdr:rowOff>
    </xdr:to>
    <xdr:pic>
      <xdr:nvPicPr>
        <xdr:cNvPr id="122" name="Picture@0P@" descr="@0P@">
          <a:extLst>
            <a:ext uri="{FF2B5EF4-FFF2-40B4-BE49-F238E27FC236}">
              <a16:creationId xmlns:a16="http://schemas.microsoft.com/office/drawing/2014/main" id="{DD7A0309-E3B9-4FAE-910A-312C777F9D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2282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122</xdr:row>
      <xdr:rowOff>0</xdr:rowOff>
    </xdr:from>
    <xdr:to>
      <xdr:col>32</xdr:col>
      <xdr:colOff>171450</xdr:colOff>
      <xdr:row>122</xdr:row>
      <xdr:rowOff>152400</xdr:rowOff>
    </xdr:to>
    <xdr:pic>
      <xdr:nvPicPr>
        <xdr:cNvPr id="123" name="Picture@0P@" descr="@0P@">
          <a:extLst>
            <a:ext uri="{FF2B5EF4-FFF2-40B4-BE49-F238E27FC236}">
              <a16:creationId xmlns:a16="http://schemas.microsoft.com/office/drawing/2014/main" id="{8352459B-10B9-497D-8A93-2C81EF02C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2466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123</xdr:row>
      <xdr:rowOff>0</xdr:rowOff>
    </xdr:from>
    <xdr:to>
      <xdr:col>32</xdr:col>
      <xdr:colOff>171450</xdr:colOff>
      <xdr:row>123</xdr:row>
      <xdr:rowOff>152400</xdr:rowOff>
    </xdr:to>
    <xdr:pic>
      <xdr:nvPicPr>
        <xdr:cNvPr id="124" name="Picture@0P@" descr="@0P@">
          <a:extLst>
            <a:ext uri="{FF2B5EF4-FFF2-40B4-BE49-F238E27FC236}">
              <a16:creationId xmlns:a16="http://schemas.microsoft.com/office/drawing/2014/main" id="{73BD229E-CCBA-47A8-9C24-FC588160CC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2650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124</xdr:row>
      <xdr:rowOff>0</xdr:rowOff>
    </xdr:from>
    <xdr:to>
      <xdr:col>32</xdr:col>
      <xdr:colOff>171450</xdr:colOff>
      <xdr:row>124</xdr:row>
      <xdr:rowOff>152400</xdr:rowOff>
    </xdr:to>
    <xdr:pic>
      <xdr:nvPicPr>
        <xdr:cNvPr id="125" name="Picture@0P@" descr="@0P@">
          <a:extLst>
            <a:ext uri="{FF2B5EF4-FFF2-40B4-BE49-F238E27FC236}">
              <a16:creationId xmlns:a16="http://schemas.microsoft.com/office/drawing/2014/main" id="{E4879D63-DA1A-4A22-AE8C-F2855FB744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2834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125</xdr:row>
      <xdr:rowOff>0</xdr:rowOff>
    </xdr:from>
    <xdr:to>
      <xdr:col>32</xdr:col>
      <xdr:colOff>171450</xdr:colOff>
      <xdr:row>125</xdr:row>
      <xdr:rowOff>152400</xdr:rowOff>
    </xdr:to>
    <xdr:pic>
      <xdr:nvPicPr>
        <xdr:cNvPr id="126" name="Picture@0P@" descr="@0P@">
          <a:extLst>
            <a:ext uri="{FF2B5EF4-FFF2-40B4-BE49-F238E27FC236}">
              <a16:creationId xmlns:a16="http://schemas.microsoft.com/office/drawing/2014/main" id="{9A77A7FA-1C7A-47F7-9AF8-9F4C8DA8E6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3018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126</xdr:row>
      <xdr:rowOff>0</xdr:rowOff>
    </xdr:from>
    <xdr:to>
      <xdr:col>32</xdr:col>
      <xdr:colOff>171450</xdr:colOff>
      <xdr:row>126</xdr:row>
      <xdr:rowOff>152400</xdr:rowOff>
    </xdr:to>
    <xdr:pic>
      <xdr:nvPicPr>
        <xdr:cNvPr id="127" name="Picture@0P@" descr="@0P@">
          <a:extLst>
            <a:ext uri="{FF2B5EF4-FFF2-40B4-BE49-F238E27FC236}">
              <a16:creationId xmlns:a16="http://schemas.microsoft.com/office/drawing/2014/main" id="{F8A89E08-EA93-4873-9EB4-8B539E8EA2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3202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127</xdr:row>
      <xdr:rowOff>0</xdr:rowOff>
    </xdr:from>
    <xdr:to>
      <xdr:col>32</xdr:col>
      <xdr:colOff>171450</xdr:colOff>
      <xdr:row>127</xdr:row>
      <xdr:rowOff>152400</xdr:rowOff>
    </xdr:to>
    <xdr:pic>
      <xdr:nvPicPr>
        <xdr:cNvPr id="128" name="Picture@0P@" descr="@0P@">
          <a:extLst>
            <a:ext uri="{FF2B5EF4-FFF2-40B4-BE49-F238E27FC236}">
              <a16:creationId xmlns:a16="http://schemas.microsoft.com/office/drawing/2014/main" id="{838C22E6-4A9E-4C85-97AC-741E8BDCB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3387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128</xdr:row>
      <xdr:rowOff>0</xdr:rowOff>
    </xdr:from>
    <xdr:to>
      <xdr:col>32</xdr:col>
      <xdr:colOff>171450</xdr:colOff>
      <xdr:row>128</xdr:row>
      <xdr:rowOff>152400</xdr:rowOff>
    </xdr:to>
    <xdr:pic>
      <xdr:nvPicPr>
        <xdr:cNvPr id="129" name="Picture@0P@" descr="@0P@">
          <a:extLst>
            <a:ext uri="{FF2B5EF4-FFF2-40B4-BE49-F238E27FC236}">
              <a16:creationId xmlns:a16="http://schemas.microsoft.com/office/drawing/2014/main" id="{9CD23317-DBB6-4699-826E-6E5722C135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3571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129</xdr:row>
      <xdr:rowOff>0</xdr:rowOff>
    </xdr:from>
    <xdr:to>
      <xdr:col>32</xdr:col>
      <xdr:colOff>171450</xdr:colOff>
      <xdr:row>129</xdr:row>
      <xdr:rowOff>152400</xdr:rowOff>
    </xdr:to>
    <xdr:pic>
      <xdr:nvPicPr>
        <xdr:cNvPr id="130" name="Picture@0P@" descr="@0P@">
          <a:extLst>
            <a:ext uri="{FF2B5EF4-FFF2-40B4-BE49-F238E27FC236}">
              <a16:creationId xmlns:a16="http://schemas.microsoft.com/office/drawing/2014/main" id="{5BC6DB10-8D0C-4EE4-A6A6-691624A57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3755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130</xdr:row>
      <xdr:rowOff>0</xdr:rowOff>
    </xdr:from>
    <xdr:to>
      <xdr:col>32</xdr:col>
      <xdr:colOff>171450</xdr:colOff>
      <xdr:row>130</xdr:row>
      <xdr:rowOff>152400</xdr:rowOff>
    </xdr:to>
    <xdr:pic>
      <xdr:nvPicPr>
        <xdr:cNvPr id="131" name="Picture@0P@" descr="@0P@">
          <a:extLst>
            <a:ext uri="{FF2B5EF4-FFF2-40B4-BE49-F238E27FC236}">
              <a16:creationId xmlns:a16="http://schemas.microsoft.com/office/drawing/2014/main" id="{20B7AC63-9897-4BE6-BC50-0D6FA2CFE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3939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131</xdr:row>
      <xdr:rowOff>0</xdr:rowOff>
    </xdr:from>
    <xdr:to>
      <xdr:col>32</xdr:col>
      <xdr:colOff>171450</xdr:colOff>
      <xdr:row>131</xdr:row>
      <xdr:rowOff>152400</xdr:rowOff>
    </xdr:to>
    <xdr:pic>
      <xdr:nvPicPr>
        <xdr:cNvPr id="132" name="Picture@0P@" descr="@0P@">
          <a:extLst>
            <a:ext uri="{FF2B5EF4-FFF2-40B4-BE49-F238E27FC236}">
              <a16:creationId xmlns:a16="http://schemas.microsoft.com/office/drawing/2014/main" id="{23F14E98-2EC9-480E-8E46-BE09F01525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4123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132</xdr:row>
      <xdr:rowOff>0</xdr:rowOff>
    </xdr:from>
    <xdr:to>
      <xdr:col>32</xdr:col>
      <xdr:colOff>171450</xdr:colOff>
      <xdr:row>132</xdr:row>
      <xdr:rowOff>152400</xdr:rowOff>
    </xdr:to>
    <xdr:pic>
      <xdr:nvPicPr>
        <xdr:cNvPr id="133" name="Picture@0P@" descr="@0P@">
          <a:extLst>
            <a:ext uri="{FF2B5EF4-FFF2-40B4-BE49-F238E27FC236}">
              <a16:creationId xmlns:a16="http://schemas.microsoft.com/office/drawing/2014/main" id="{C452AEA1-F7C0-4C63-8B42-629020A8F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4307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133</xdr:row>
      <xdr:rowOff>0</xdr:rowOff>
    </xdr:from>
    <xdr:to>
      <xdr:col>32</xdr:col>
      <xdr:colOff>171450</xdr:colOff>
      <xdr:row>133</xdr:row>
      <xdr:rowOff>152400</xdr:rowOff>
    </xdr:to>
    <xdr:pic>
      <xdr:nvPicPr>
        <xdr:cNvPr id="134" name="Picture@0P@" descr="@0P@">
          <a:extLst>
            <a:ext uri="{FF2B5EF4-FFF2-40B4-BE49-F238E27FC236}">
              <a16:creationId xmlns:a16="http://schemas.microsoft.com/office/drawing/2014/main" id="{38F5D11E-84C6-4657-8C69-8B4CC5FCE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4491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134</xdr:row>
      <xdr:rowOff>0</xdr:rowOff>
    </xdr:from>
    <xdr:to>
      <xdr:col>32</xdr:col>
      <xdr:colOff>171450</xdr:colOff>
      <xdr:row>134</xdr:row>
      <xdr:rowOff>152400</xdr:rowOff>
    </xdr:to>
    <xdr:pic>
      <xdr:nvPicPr>
        <xdr:cNvPr id="135" name="Picture@0P@" descr="@0P@">
          <a:extLst>
            <a:ext uri="{FF2B5EF4-FFF2-40B4-BE49-F238E27FC236}">
              <a16:creationId xmlns:a16="http://schemas.microsoft.com/office/drawing/2014/main" id="{1B42115D-FDE1-453A-A103-6E7A85F565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4676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135</xdr:row>
      <xdr:rowOff>0</xdr:rowOff>
    </xdr:from>
    <xdr:to>
      <xdr:col>32</xdr:col>
      <xdr:colOff>171450</xdr:colOff>
      <xdr:row>135</xdr:row>
      <xdr:rowOff>152400</xdr:rowOff>
    </xdr:to>
    <xdr:pic>
      <xdr:nvPicPr>
        <xdr:cNvPr id="136" name="Picture@0P@" descr="@0P@">
          <a:extLst>
            <a:ext uri="{FF2B5EF4-FFF2-40B4-BE49-F238E27FC236}">
              <a16:creationId xmlns:a16="http://schemas.microsoft.com/office/drawing/2014/main" id="{9E7FAC25-CB71-4C22-A9B4-381308213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4860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136</xdr:row>
      <xdr:rowOff>0</xdr:rowOff>
    </xdr:from>
    <xdr:to>
      <xdr:col>32</xdr:col>
      <xdr:colOff>171450</xdr:colOff>
      <xdr:row>136</xdr:row>
      <xdr:rowOff>152400</xdr:rowOff>
    </xdr:to>
    <xdr:pic>
      <xdr:nvPicPr>
        <xdr:cNvPr id="137" name="Picture@0P@" descr="@0P@">
          <a:extLst>
            <a:ext uri="{FF2B5EF4-FFF2-40B4-BE49-F238E27FC236}">
              <a16:creationId xmlns:a16="http://schemas.microsoft.com/office/drawing/2014/main" id="{A7B39F79-99BC-4903-90BE-137F9088A1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5044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137</xdr:row>
      <xdr:rowOff>0</xdr:rowOff>
    </xdr:from>
    <xdr:to>
      <xdr:col>32</xdr:col>
      <xdr:colOff>171450</xdr:colOff>
      <xdr:row>137</xdr:row>
      <xdr:rowOff>152400</xdr:rowOff>
    </xdr:to>
    <xdr:pic>
      <xdr:nvPicPr>
        <xdr:cNvPr id="138" name="Picture@0P@" descr="@0P@">
          <a:extLst>
            <a:ext uri="{FF2B5EF4-FFF2-40B4-BE49-F238E27FC236}">
              <a16:creationId xmlns:a16="http://schemas.microsoft.com/office/drawing/2014/main" id="{A2993515-64A6-4164-A4DE-FFA1571BD2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5228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138</xdr:row>
      <xdr:rowOff>0</xdr:rowOff>
    </xdr:from>
    <xdr:to>
      <xdr:col>32</xdr:col>
      <xdr:colOff>171450</xdr:colOff>
      <xdr:row>138</xdr:row>
      <xdr:rowOff>152400</xdr:rowOff>
    </xdr:to>
    <xdr:pic>
      <xdr:nvPicPr>
        <xdr:cNvPr id="139" name="Picture@0P@" descr="@0P@">
          <a:extLst>
            <a:ext uri="{FF2B5EF4-FFF2-40B4-BE49-F238E27FC236}">
              <a16:creationId xmlns:a16="http://schemas.microsoft.com/office/drawing/2014/main" id="{F00E0F3B-98E9-4BCD-A67D-A5A8315C2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5412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139</xdr:row>
      <xdr:rowOff>0</xdr:rowOff>
    </xdr:from>
    <xdr:to>
      <xdr:col>32</xdr:col>
      <xdr:colOff>171450</xdr:colOff>
      <xdr:row>139</xdr:row>
      <xdr:rowOff>152400</xdr:rowOff>
    </xdr:to>
    <xdr:pic>
      <xdr:nvPicPr>
        <xdr:cNvPr id="140" name="Picture@0P@" descr="@0P@">
          <a:extLst>
            <a:ext uri="{FF2B5EF4-FFF2-40B4-BE49-F238E27FC236}">
              <a16:creationId xmlns:a16="http://schemas.microsoft.com/office/drawing/2014/main" id="{35C3C273-6656-4079-B9C3-90FCF3D3F2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5596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140</xdr:row>
      <xdr:rowOff>0</xdr:rowOff>
    </xdr:from>
    <xdr:to>
      <xdr:col>32</xdr:col>
      <xdr:colOff>171450</xdr:colOff>
      <xdr:row>140</xdr:row>
      <xdr:rowOff>152400</xdr:rowOff>
    </xdr:to>
    <xdr:pic>
      <xdr:nvPicPr>
        <xdr:cNvPr id="141" name="Picture@0P@" descr="@0P@">
          <a:extLst>
            <a:ext uri="{FF2B5EF4-FFF2-40B4-BE49-F238E27FC236}">
              <a16:creationId xmlns:a16="http://schemas.microsoft.com/office/drawing/2014/main" id="{CFC8039A-FEB2-4E62-94AC-8EF20832B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5781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141</xdr:row>
      <xdr:rowOff>0</xdr:rowOff>
    </xdr:from>
    <xdr:to>
      <xdr:col>32</xdr:col>
      <xdr:colOff>171450</xdr:colOff>
      <xdr:row>141</xdr:row>
      <xdr:rowOff>152400</xdr:rowOff>
    </xdr:to>
    <xdr:pic>
      <xdr:nvPicPr>
        <xdr:cNvPr id="142" name="Picture@0P@" descr="@0P@">
          <a:extLst>
            <a:ext uri="{FF2B5EF4-FFF2-40B4-BE49-F238E27FC236}">
              <a16:creationId xmlns:a16="http://schemas.microsoft.com/office/drawing/2014/main" id="{68629182-02EB-46F0-8C6F-F77EABAF7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5965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142</xdr:row>
      <xdr:rowOff>0</xdr:rowOff>
    </xdr:from>
    <xdr:to>
      <xdr:col>32</xdr:col>
      <xdr:colOff>171450</xdr:colOff>
      <xdr:row>142</xdr:row>
      <xdr:rowOff>152400</xdr:rowOff>
    </xdr:to>
    <xdr:pic>
      <xdr:nvPicPr>
        <xdr:cNvPr id="143" name="Picture@0P@" descr="@0P@">
          <a:extLst>
            <a:ext uri="{FF2B5EF4-FFF2-40B4-BE49-F238E27FC236}">
              <a16:creationId xmlns:a16="http://schemas.microsoft.com/office/drawing/2014/main" id="{8606B4BC-C515-4616-8FDF-0CFE95BAF2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6149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143</xdr:row>
      <xdr:rowOff>0</xdr:rowOff>
    </xdr:from>
    <xdr:to>
      <xdr:col>32</xdr:col>
      <xdr:colOff>171450</xdr:colOff>
      <xdr:row>143</xdr:row>
      <xdr:rowOff>152400</xdr:rowOff>
    </xdr:to>
    <xdr:pic>
      <xdr:nvPicPr>
        <xdr:cNvPr id="144" name="Picture@0P@" descr="@0P@">
          <a:extLst>
            <a:ext uri="{FF2B5EF4-FFF2-40B4-BE49-F238E27FC236}">
              <a16:creationId xmlns:a16="http://schemas.microsoft.com/office/drawing/2014/main" id="{D5C3A97C-7157-4A8E-A07B-6DCE54A06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6333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144</xdr:row>
      <xdr:rowOff>0</xdr:rowOff>
    </xdr:from>
    <xdr:to>
      <xdr:col>32</xdr:col>
      <xdr:colOff>171450</xdr:colOff>
      <xdr:row>144</xdr:row>
      <xdr:rowOff>152400</xdr:rowOff>
    </xdr:to>
    <xdr:pic>
      <xdr:nvPicPr>
        <xdr:cNvPr id="145" name="Picture@0P@" descr="@0P@">
          <a:extLst>
            <a:ext uri="{FF2B5EF4-FFF2-40B4-BE49-F238E27FC236}">
              <a16:creationId xmlns:a16="http://schemas.microsoft.com/office/drawing/2014/main" id="{EF237B79-7CD2-4159-98DB-867F1F515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6517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145</xdr:row>
      <xdr:rowOff>0</xdr:rowOff>
    </xdr:from>
    <xdr:to>
      <xdr:col>32</xdr:col>
      <xdr:colOff>171450</xdr:colOff>
      <xdr:row>145</xdr:row>
      <xdr:rowOff>152400</xdr:rowOff>
    </xdr:to>
    <xdr:pic>
      <xdr:nvPicPr>
        <xdr:cNvPr id="146" name="Picture@0P@" descr="@0P@">
          <a:extLst>
            <a:ext uri="{FF2B5EF4-FFF2-40B4-BE49-F238E27FC236}">
              <a16:creationId xmlns:a16="http://schemas.microsoft.com/office/drawing/2014/main" id="{72F26141-E90B-4B6C-9900-554D2A2D97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6701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146</xdr:row>
      <xdr:rowOff>0</xdr:rowOff>
    </xdr:from>
    <xdr:to>
      <xdr:col>32</xdr:col>
      <xdr:colOff>171450</xdr:colOff>
      <xdr:row>146</xdr:row>
      <xdr:rowOff>152400</xdr:rowOff>
    </xdr:to>
    <xdr:pic>
      <xdr:nvPicPr>
        <xdr:cNvPr id="147" name="Picture@0P@" descr="@0P@">
          <a:extLst>
            <a:ext uri="{FF2B5EF4-FFF2-40B4-BE49-F238E27FC236}">
              <a16:creationId xmlns:a16="http://schemas.microsoft.com/office/drawing/2014/main" id="{994E21C8-AE99-42AB-8AC3-04048BEB9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6885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147</xdr:row>
      <xdr:rowOff>0</xdr:rowOff>
    </xdr:from>
    <xdr:to>
      <xdr:col>32</xdr:col>
      <xdr:colOff>171450</xdr:colOff>
      <xdr:row>147</xdr:row>
      <xdr:rowOff>152400</xdr:rowOff>
    </xdr:to>
    <xdr:pic>
      <xdr:nvPicPr>
        <xdr:cNvPr id="148" name="Picture@0P@" descr="@0P@">
          <a:extLst>
            <a:ext uri="{FF2B5EF4-FFF2-40B4-BE49-F238E27FC236}">
              <a16:creationId xmlns:a16="http://schemas.microsoft.com/office/drawing/2014/main" id="{07AC33AA-05CA-4DC7-877B-9A3F7512C3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7070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148</xdr:row>
      <xdr:rowOff>0</xdr:rowOff>
    </xdr:from>
    <xdr:to>
      <xdr:col>32</xdr:col>
      <xdr:colOff>171450</xdr:colOff>
      <xdr:row>148</xdr:row>
      <xdr:rowOff>152400</xdr:rowOff>
    </xdr:to>
    <xdr:pic>
      <xdr:nvPicPr>
        <xdr:cNvPr id="149" name="Picture@0P@" descr="@0P@">
          <a:extLst>
            <a:ext uri="{FF2B5EF4-FFF2-40B4-BE49-F238E27FC236}">
              <a16:creationId xmlns:a16="http://schemas.microsoft.com/office/drawing/2014/main" id="{9A64EC7E-22C0-40A3-8682-FA57189079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7254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149</xdr:row>
      <xdr:rowOff>0</xdr:rowOff>
    </xdr:from>
    <xdr:to>
      <xdr:col>32</xdr:col>
      <xdr:colOff>171450</xdr:colOff>
      <xdr:row>149</xdr:row>
      <xdr:rowOff>152400</xdr:rowOff>
    </xdr:to>
    <xdr:pic>
      <xdr:nvPicPr>
        <xdr:cNvPr id="150" name="Picture@0P@" descr="@0P@">
          <a:extLst>
            <a:ext uri="{FF2B5EF4-FFF2-40B4-BE49-F238E27FC236}">
              <a16:creationId xmlns:a16="http://schemas.microsoft.com/office/drawing/2014/main" id="{D08A3472-30AE-4E18-810D-9DBC2776A4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7438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150</xdr:row>
      <xdr:rowOff>0</xdr:rowOff>
    </xdr:from>
    <xdr:to>
      <xdr:col>32</xdr:col>
      <xdr:colOff>171450</xdr:colOff>
      <xdr:row>150</xdr:row>
      <xdr:rowOff>152400</xdr:rowOff>
    </xdr:to>
    <xdr:pic>
      <xdr:nvPicPr>
        <xdr:cNvPr id="151" name="Picture@0P@" descr="@0P@">
          <a:extLst>
            <a:ext uri="{FF2B5EF4-FFF2-40B4-BE49-F238E27FC236}">
              <a16:creationId xmlns:a16="http://schemas.microsoft.com/office/drawing/2014/main" id="{4BF80331-21D6-4F2C-B16D-30C7187BB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7622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151</xdr:row>
      <xdr:rowOff>0</xdr:rowOff>
    </xdr:from>
    <xdr:to>
      <xdr:col>32</xdr:col>
      <xdr:colOff>171450</xdr:colOff>
      <xdr:row>151</xdr:row>
      <xdr:rowOff>152400</xdr:rowOff>
    </xdr:to>
    <xdr:pic>
      <xdr:nvPicPr>
        <xdr:cNvPr id="152" name="Picture@0P@" descr="@0P@">
          <a:extLst>
            <a:ext uri="{FF2B5EF4-FFF2-40B4-BE49-F238E27FC236}">
              <a16:creationId xmlns:a16="http://schemas.microsoft.com/office/drawing/2014/main" id="{93EC1642-8992-4345-8FC3-DBAB15E6A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7806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152</xdr:row>
      <xdr:rowOff>0</xdr:rowOff>
    </xdr:from>
    <xdr:to>
      <xdr:col>32</xdr:col>
      <xdr:colOff>171450</xdr:colOff>
      <xdr:row>152</xdr:row>
      <xdr:rowOff>152400</xdr:rowOff>
    </xdr:to>
    <xdr:pic>
      <xdr:nvPicPr>
        <xdr:cNvPr id="153" name="Picture@0P@" descr="@0P@">
          <a:extLst>
            <a:ext uri="{FF2B5EF4-FFF2-40B4-BE49-F238E27FC236}">
              <a16:creationId xmlns:a16="http://schemas.microsoft.com/office/drawing/2014/main" id="{D7AC6D8D-A3C7-4B0B-9BEC-F04F668A74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7990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153</xdr:row>
      <xdr:rowOff>0</xdr:rowOff>
    </xdr:from>
    <xdr:to>
      <xdr:col>32</xdr:col>
      <xdr:colOff>171450</xdr:colOff>
      <xdr:row>153</xdr:row>
      <xdr:rowOff>152400</xdr:rowOff>
    </xdr:to>
    <xdr:pic>
      <xdr:nvPicPr>
        <xdr:cNvPr id="154" name="Picture@0P@" descr="@0P@">
          <a:extLst>
            <a:ext uri="{FF2B5EF4-FFF2-40B4-BE49-F238E27FC236}">
              <a16:creationId xmlns:a16="http://schemas.microsoft.com/office/drawing/2014/main" id="{CDDEDEC8-6061-4430-B714-022DBD01C6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8174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154</xdr:row>
      <xdr:rowOff>0</xdr:rowOff>
    </xdr:from>
    <xdr:to>
      <xdr:col>32</xdr:col>
      <xdr:colOff>171450</xdr:colOff>
      <xdr:row>154</xdr:row>
      <xdr:rowOff>152400</xdr:rowOff>
    </xdr:to>
    <xdr:pic>
      <xdr:nvPicPr>
        <xdr:cNvPr id="155" name="Picture@0P@" descr="@0P@">
          <a:extLst>
            <a:ext uri="{FF2B5EF4-FFF2-40B4-BE49-F238E27FC236}">
              <a16:creationId xmlns:a16="http://schemas.microsoft.com/office/drawing/2014/main" id="{6AA2D4D8-6ADF-47DF-9E00-FA42A79E6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8359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155</xdr:row>
      <xdr:rowOff>0</xdr:rowOff>
    </xdr:from>
    <xdr:to>
      <xdr:col>32</xdr:col>
      <xdr:colOff>171450</xdr:colOff>
      <xdr:row>155</xdr:row>
      <xdr:rowOff>152400</xdr:rowOff>
    </xdr:to>
    <xdr:pic>
      <xdr:nvPicPr>
        <xdr:cNvPr id="156" name="Picture@0P@" descr="@0P@">
          <a:extLst>
            <a:ext uri="{FF2B5EF4-FFF2-40B4-BE49-F238E27FC236}">
              <a16:creationId xmlns:a16="http://schemas.microsoft.com/office/drawing/2014/main" id="{3437E3F2-7A1C-46EE-8B38-67D255E710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8543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156</xdr:row>
      <xdr:rowOff>0</xdr:rowOff>
    </xdr:from>
    <xdr:to>
      <xdr:col>32</xdr:col>
      <xdr:colOff>171450</xdr:colOff>
      <xdr:row>156</xdr:row>
      <xdr:rowOff>152400</xdr:rowOff>
    </xdr:to>
    <xdr:pic>
      <xdr:nvPicPr>
        <xdr:cNvPr id="157" name="Picture@0P@" descr="@0P@">
          <a:extLst>
            <a:ext uri="{FF2B5EF4-FFF2-40B4-BE49-F238E27FC236}">
              <a16:creationId xmlns:a16="http://schemas.microsoft.com/office/drawing/2014/main" id="{ED4794EE-B573-4171-A523-1023E944AF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8727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157</xdr:row>
      <xdr:rowOff>0</xdr:rowOff>
    </xdr:from>
    <xdr:to>
      <xdr:col>32</xdr:col>
      <xdr:colOff>171450</xdr:colOff>
      <xdr:row>157</xdr:row>
      <xdr:rowOff>152400</xdr:rowOff>
    </xdr:to>
    <xdr:pic>
      <xdr:nvPicPr>
        <xdr:cNvPr id="158" name="Picture@0P@" descr="@0P@">
          <a:extLst>
            <a:ext uri="{FF2B5EF4-FFF2-40B4-BE49-F238E27FC236}">
              <a16:creationId xmlns:a16="http://schemas.microsoft.com/office/drawing/2014/main" id="{79DB920F-5641-4F56-B833-B0EE766AB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8911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158</xdr:row>
      <xdr:rowOff>0</xdr:rowOff>
    </xdr:from>
    <xdr:to>
      <xdr:col>32</xdr:col>
      <xdr:colOff>171450</xdr:colOff>
      <xdr:row>158</xdr:row>
      <xdr:rowOff>152400</xdr:rowOff>
    </xdr:to>
    <xdr:pic>
      <xdr:nvPicPr>
        <xdr:cNvPr id="159" name="Picture@0P@" descr="@0P@">
          <a:extLst>
            <a:ext uri="{FF2B5EF4-FFF2-40B4-BE49-F238E27FC236}">
              <a16:creationId xmlns:a16="http://schemas.microsoft.com/office/drawing/2014/main" id="{B684A869-E605-4BD6-AE5B-0D566EB74A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9095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159</xdr:row>
      <xdr:rowOff>0</xdr:rowOff>
    </xdr:from>
    <xdr:to>
      <xdr:col>32</xdr:col>
      <xdr:colOff>171450</xdr:colOff>
      <xdr:row>159</xdr:row>
      <xdr:rowOff>152400</xdr:rowOff>
    </xdr:to>
    <xdr:pic>
      <xdr:nvPicPr>
        <xdr:cNvPr id="160" name="Picture@0P@" descr="@0P@">
          <a:extLst>
            <a:ext uri="{FF2B5EF4-FFF2-40B4-BE49-F238E27FC236}">
              <a16:creationId xmlns:a16="http://schemas.microsoft.com/office/drawing/2014/main" id="{E4565F68-0131-4A54-8892-EA5E425554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9279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160</xdr:row>
      <xdr:rowOff>0</xdr:rowOff>
    </xdr:from>
    <xdr:to>
      <xdr:col>32</xdr:col>
      <xdr:colOff>171450</xdr:colOff>
      <xdr:row>160</xdr:row>
      <xdr:rowOff>152400</xdr:rowOff>
    </xdr:to>
    <xdr:pic>
      <xdr:nvPicPr>
        <xdr:cNvPr id="161" name="Picture@0P@" descr="@0P@">
          <a:extLst>
            <a:ext uri="{FF2B5EF4-FFF2-40B4-BE49-F238E27FC236}">
              <a16:creationId xmlns:a16="http://schemas.microsoft.com/office/drawing/2014/main" id="{2022981A-BD1B-4918-AE66-6F020E839F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9464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161</xdr:row>
      <xdr:rowOff>0</xdr:rowOff>
    </xdr:from>
    <xdr:to>
      <xdr:col>32</xdr:col>
      <xdr:colOff>171450</xdr:colOff>
      <xdr:row>161</xdr:row>
      <xdr:rowOff>152400</xdr:rowOff>
    </xdr:to>
    <xdr:pic>
      <xdr:nvPicPr>
        <xdr:cNvPr id="162" name="Picture@0P@" descr="@0P@">
          <a:extLst>
            <a:ext uri="{FF2B5EF4-FFF2-40B4-BE49-F238E27FC236}">
              <a16:creationId xmlns:a16="http://schemas.microsoft.com/office/drawing/2014/main" id="{63018B65-FD19-4C9F-A1D2-10CA72A09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9648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162</xdr:row>
      <xdr:rowOff>0</xdr:rowOff>
    </xdr:from>
    <xdr:to>
      <xdr:col>32</xdr:col>
      <xdr:colOff>171450</xdr:colOff>
      <xdr:row>162</xdr:row>
      <xdr:rowOff>152400</xdr:rowOff>
    </xdr:to>
    <xdr:pic>
      <xdr:nvPicPr>
        <xdr:cNvPr id="163" name="Picture@0P@" descr="@0P@">
          <a:extLst>
            <a:ext uri="{FF2B5EF4-FFF2-40B4-BE49-F238E27FC236}">
              <a16:creationId xmlns:a16="http://schemas.microsoft.com/office/drawing/2014/main" id="{B31B2205-1898-4E35-B2E4-0D9766AC38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29832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163</xdr:row>
      <xdr:rowOff>0</xdr:rowOff>
    </xdr:from>
    <xdr:to>
      <xdr:col>32</xdr:col>
      <xdr:colOff>171450</xdr:colOff>
      <xdr:row>163</xdr:row>
      <xdr:rowOff>152400</xdr:rowOff>
    </xdr:to>
    <xdr:pic>
      <xdr:nvPicPr>
        <xdr:cNvPr id="164" name="Picture@0P@" descr="@0P@">
          <a:extLst>
            <a:ext uri="{FF2B5EF4-FFF2-40B4-BE49-F238E27FC236}">
              <a16:creationId xmlns:a16="http://schemas.microsoft.com/office/drawing/2014/main" id="{47F2DD29-ED3D-4536-878E-318E38075C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0016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164</xdr:row>
      <xdr:rowOff>0</xdr:rowOff>
    </xdr:from>
    <xdr:to>
      <xdr:col>32</xdr:col>
      <xdr:colOff>171450</xdr:colOff>
      <xdr:row>164</xdr:row>
      <xdr:rowOff>152400</xdr:rowOff>
    </xdr:to>
    <xdr:pic>
      <xdr:nvPicPr>
        <xdr:cNvPr id="165" name="Picture@0P@" descr="@0P@">
          <a:extLst>
            <a:ext uri="{FF2B5EF4-FFF2-40B4-BE49-F238E27FC236}">
              <a16:creationId xmlns:a16="http://schemas.microsoft.com/office/drawing/2014/main" id="{2A283587-20ED-42B8-B96C-8C6725DAE2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0200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165</xdr:row>
      <xdr:rowOff>0</xdr:rowOff>
    </xdr:from>
    <xdr:to>
      <xdr:col>32</xdr:col>
      <xdr:colOff>171450</xdr:colOff>
      <xdr:row>165</xdr:row>
      <xdr:rowOff>152400</xdr:rowOff>
    </xdr:to>
    <xdr:pic>
      <xdr:nvPicPr>
        <xdr:cNvPr id="166" name="Picture@0P@" descr="@0P@">
          <a:extLst>
            <a:ext uri="{FF2B5EF4-FFF2-40B4-BE49-F238E27FC236}">
              <a16:creationId xmlns:a16="http://schemas.microsoft.com/office/drawing/2014/main" id="{9CC8C420-5995-4D62-A4E8-7F985119CF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0384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166</xdr:row>
      <xdr:rowOff>0</xdr:rowOff>
    </xdr:from>
    <xdr:to>
      <xdr:col>32</xdr:col>
      <xdr:colOff>171450</xdr:colOff>
      <xdr:row>166</xdr:row>
      <xdr:rowOff>152400</xdr:rowOff>
    </xdr:to>
    <xdr:pic>
      <xdr:nvPicPr>
        <xdr:cNvPr id="167" name="Picture@0P@" descr="@0P@">
          <a:extLst>
            <a:ext uri="{FF2B5EF4-FFF2-40B4-BE49-F238E27FC236}">
              <a16:creationId xmlns:a16="http://schemas.microsoft.com/office/drawing/2014/main" id="{53BAFB5D-705D-473C-B9DB-F7063AC38C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0568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167</xdr:row>
      <xdr:rowOff>0</xdr:rowOff>
    </xdr:from>
    <xdr:to>
      <xdr:col>32</xdr:col>
      <xdr:colOff>171450</xdr:colOff>
      <xdr:row>167</xdr:row>
      <xdr:rowOff>152400</xdr:rowOff>
    </xdr:to>
    <xdr:pic>
      <xdr:nvPicPr>
        <xdr:cNvPr id="168" name="Picture@0P@" descr="@0P@">
          <a:extLst>
            <a:ext uri="{FF2B5EF4-FFF2-40B4-BE49-F238E27FC236}">
              <a16:creationId xmlns:a16="http://schemas.microsoft.com/office/drawing/2014/main" id="{03CBC8A3-090E-431C-A93F-1387EBA75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0753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168</xdr:row>
      <xdr:rowOff>0</xdr:rowOff>
    </xdr:from>
    <xdr:to>
      <xdr:col>32</xdr:col>
      <xdr:colOff>171450</xdr:colOff>
      <xdr:row>168</xdr:row>
      <xdr:rowOff>152400</xdr:rowOff>
    </xdr:to>
    <xdr:pic>
      <xdr:nvPicPr>
        <xdr:cNvPr id="169" name="Picture@0P@" descr="@0P@">
          <a:extLst>
            <a:ext uri="{FF2B5EF4-FFF2-40B4-BE49-F238E27FC236}">
              <a16:creationId xmlns:a16="http://schemas.microsoft.com/office/drawing/2014/main" id="{4EAECBE5-770C-4B66-842F-A658F23B9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0937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169</xdr:row>
      <xdr:rowOff>0</xdr:rowOff>
    </xdr:from>
    <xdr:to>
      <xdr:col>32</xdr:col>
      <xdr:colOff>171450</xdr:colOff>
      <xdr:row>169</xdr:row>
      <xdr:rowOff>152400</xdr:rowOff>
    </xdr:to>
    <xdr:pic>
      <xdr:nvPicPr>
        <xdr:cNvPr id="170" name="Picture@0P@" descr="@0P@">
          <a:extLst>
            <a:ext uri="{FF2B5EF4-FFF2-40B4-BE49-F238E27FC236}">
              <a16:creationId xmlns:a16="http://schemas.microsoft.com/office/drawing/2014/main" id="{5A3D51C4-1A00-493D-8CEF-CE014EC48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1121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170</xdr:row>
      <xdr:rowOff>0</xdr:rowOff>
    </xdr:from>
    <xdr:to>
      <xdr:col>32</xdr:col>
      <xdr:colOff>171450</xdr:colOff>
      <xdr:row>170</xdr:row>
      <xdr:rowOff>152400</xdr:rowOff>
    </xdr:to>
    <xdr:pic>
      <xdr:nvPicPr>
        <xdr:cNvPr id="171" name="Picture@0P@" descr="@0P@">
          <a:extLst>
            <a:ext uri="{FF2B5EF4-FFF2-40B4-BE49-F238E27FC236}">
              <a16:creationId xmlns:a16="http://schemas.microsoft.com/office/drawing/2014/main" id="{A583F60C-D327-4D1E-B820-8E51861D00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1305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171</xdr:row>
      <xdr:rowOff>0</xdr:rowOff>
    </xdr:from>
    <xdr:to>
      <xdr:col>32</xdr:col>
      <xdr:colOff>171450</xdr:colOff>
      <xdr:row>171</xdr:row>
      <xdr:rowOff>152400</xdr:rowOff>
    </xdr:to>
    <xdr:pic>
      <xdr:nvPicPr>
        <xdr:cNvPr id="172" name="Picture@0P@" descr="@0P@">
          <a:extLst>
            <a:ext uri="{FF2B5EF4-FFF2-40B4-BE49-F238E27FC236}">
              <a16:creationId xmlns:a16="http://schemas.microsoft.com/office/drawing/2014/main" id="{068DD655-9FCF-4B41-A443-89F62E7697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1489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172</xdr:row>
      <xdr:rowOff>0</xdr:rowOff>
    </xdr:from>
    <xdr:to>
      <xdr:col>32</xdr:col>
      <xdr:colOff>171450</xdr:colOff>
      <xdr:row>172</xdr:row>
      <xdr:rowOff>152400</xdr:rowOff>
    </xdr:to>
    <xdr:pic>
      <xdr:nvPicPr>
        <xdr:cNvPr id="173" name="Picture@0P@" descr="@0P@">
          <a:extLst>
            <a:ext uri="{FF2B5EF4-FFF2-40B4-BE49-F238E27FC236}">
              <a16:creationId xmlns:a16="http://schemas.microsoft.com/office/drawing/2014/main" id="{E3F390E5-7133-4449-A28D-AB52F7C7BC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1673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173</xdr:row>
      <xdr:rowOff>0</xdr:rowOff>
    </xdr:from>
    <xdr:to>
      <xdr:col>32</xdr:col>
      <xdr:colOff>171450</xdr:colOff>
      <xdr:row>173</xdr:row>
      <xdr:rowOff>152400</xdr:rowOff>
    </xdr:to>
    <xdr:pic>
      <xdr:nvPicPr>
        <xdr:cNvPr id="174" name="Picture@0P@" descr="@0P@">
          <a:extLst>
            <a:ext uri="{FF2B5EF4-FFF2-40B4-BE49-F238E27FC236}">
              <a16:creationId xmlns:a16="http://schemas.microsoft.com/office/drawing/2014/main" id="{A9A04C07-20A7-42DF-87AD-B9434E3D65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1857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174</xdr:row>
      <xdr:rowOff>0</xdr:rowOff>
    </xdr:from>
    <xdr:to>
      <xdr:col>32</xdr:col>
      <xdr:colOff>171450</xdr:colOff>
      <xdr:row>174</xdr:row>
      <xdr:rowOff>152400</xdr:rowOff>
    </xdr:to>
    <xdr:pic>
      <xdr:nvPicPr>
        <xdr:cNvPr id="175" name="Picture@0P@" descr="@0P@">
          <a:extLst>
            <a:ext uri="{FF2B5EF4-FFF2-40B4-BE49-F238E27FC236}">
              <a16:creationId xmlns:a16="http://schemas.microsoft.com/office/drawing/2014/main" id="{BFAD0FE5-8C27-400C-8355-049D16763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2042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175</xdr:row>
      <xdr:rowOff>0</xdr:rowOff>
    </xdr:from>
    <xdr:to>
      <xdr:col>32</xdr:col>
      <xdr:colOff>171450</xdr:colOff>
      <xdr:row>175</xdr:row>
      <xdr:rowOff>152400</xdr:rowOff>
    </xdr:to>
    <xdr:pic>
      <xdr:nvPicPr>
        <xdr:cNvPr id="176" name="Picture@0P@" descr="@0P@">
          <a:extLst>
            <a:ext uri="{FF2B5EF4-FFF2-40B4-BE49-F238E27FC236}">
              <a16:creationId xmlns:a16="http://schemas.microsoft.com/office/drawing/2014/main" id="{F06592A5-B1E0-4BC8-87FA-90AF37118F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2226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176</xdr:row>
      <xdr:rowOff>0</xdr:rowOff>
    </xdr:from>
    <xdr:to>
      <xdr:col>32</xdr:col>
      <xdr:colOff>171450</xdr:colOff>
      <xdr:row>176</xdr:row>
      <xdr:rowOff>152400</xdr:rowOff>
    </xdr:to>
    <xdr:pic>
      <xdr:nvPicPr>
        <xdr:cNvPr id="177" name="Picture@0P@" descr="@0P@">
          <a:extLst>
            <a:ext uri="{FF2B5EF4-FFF2-40B4-BE49-F238E27FC236}">
              <a16:creationId xmlns:a16="http://schemas.microsoft.com/office/drawing/2014/main" id="{D93E25FF-57D4-4989-8B5C-D4A417D0D2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2410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177</xdr:row>
      <xdr:rowOff>0</xdr:rowOff>
    </xdr:from>
    <xdr:to>
      <xdr:col>32</xdr:col>
      <xdr:colOff>171450</xdr:colOff>
      <xdr:row>177</xdr:row>
      <xdr:rowOff>152400</xdr:rowOff>
    </xdr:to>
    <xdr:pic>
      <xdr:nvPicPr>
        <xdr:cNvPr id="178" name="Picture@0P@" descr="@0P@">
          <a:extLst>
            <a:ext uri="{FF2B5EF4-FFF2-40B4-BE49-F238E27FC236}">
              <a16:creationId xmlns:a16="http://schemas.microsoft.com/office/drawing/2014/main" id="{B60A7D27-49B4-47C4-BE3E-E1E5018F4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2594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178</xdr:row>
      <xdr:rowOff>0</xdr:rowOff>
    </xdr:from>
    <xdr:to>
      <xdr:col>32</xdr:col>
      <xdr:colOff>171450</xdr:colOff>
      <xdr:row>178</xdr:row>
      <xdr:rowOff>152400</xdr:rowOff>
    </xdr:to>
    <xdr:pic>
      <xdr:nvPicPr>
        <xdr:cNvPr id="179" name="Picture@0P@" descr="@0P@">
          <a:extLst>
            <a:ext uri="{FF2B5EF4-FFF2-40B4-BE49-F238E27FC236}">
              <a16:creationId xmlns:a16="http://schemas.microsoft.com/office/drawing/2014/main" id="{482CC1B5-25A5-4DDA-80BB-3C74CAD12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2778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179</xdr:row>
      <xdr:rowOff>0</xdr:rowOff>
    </xdr:from>
    <xdr:to>
      <xdr:col>32</xdr:col>
      <xdr:colOff>171450</xdr:colOff>
      <xdr:row>179</xdr:row>
      <xdr:rowOff>152400</xdr:rowOff>
    </xdr:to>
    <xdr:pic>
      <xdr:nvPicPr>
        <xdr:cNvPr id="180" name="Picture@0P@" descr="@0P@">
          <a:extLst>
            <a:ext uri="{FF2B5EF4-FFF2-40B4-BE49-F238E27FC236}">
              <a16:creationId xmlns:a16="http://schemas.microsoft.com/office/drawing/2014/main" id="{ACE8D4F1-EE01-4DE6-9D09-1D3BBCD30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2962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180</xdr:row>
      <xdr:rowOff>0</xdr:rowOff>
    </xdr:from>
    <xdr:to>
      <xdr:col>32</xdr:col>
      <xdr:colOff>171450</xdr:colOff>
      <xdr:row>180</xdr:row>
      <xdr:rowOff>152400</xdr:rowOff>
    </xdr:to>
    <xdr:pic>
      <xdr:nvPicPr>
        <xdr:cNvPr id="181" name="Picture@0P@" descr="@0P@">
          <a:extLst>
            <a:ext uri="{FF2B5EF4-FFF2-40B4-BE49-F238E27FC236}">
              <a16:creationId xmlns:a16="http://schemas.microsoft.com/office/drawing/2014/main" id="{50D7DA72-AEBE-4FAC-B899-640E0A1C08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3147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181</xdr:row>
      <xdr:rowOff>0</xdr:rowOff>
    </xdr:from>
    <xdr:to>
      <xdr:col>32</xdr:col>
      <xdr:colOff>171450</xdr:colOff>
      <xdr:row>181</xdr:row>
      <xdr:rowOff>152400</xdr:rowOff>
    </xdr:to>
    <xdr:pic>
      <xdr:nvPicPr>
        <xdr:cNvPr id="182" name="Picture@0P@" descr="@0P@">
          <a:extLst>
            <a:ext uri="{FF2B5EF4-FFF2-40B4-BE49-F238E27FC236}">
              <a16:creationId xmlns:a16="http://schemas.microsoft.com/office/drawing/2014/main" id="{7E020B8F-4657-46B7-A0EC-E711DBCEA9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3331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182</xdr:row>
      <xdr:rowOff>0</xdr:rowOff>
    </xdr:from>
    <xdr:to>
      <xdr:col>32</xdr:col>
      <xdr:colOff>171450</xdr:colOff>
      <xdr:row>182</xdr:row>
      <xdr:rowOff>152400</xdr:rowOff>
    </xdr:to>
    <xdr:pic>
      <xdr:nvPicPr>
        <xdr:cNvPr id="183" name="Picture@0P@" descr="@0P@">
          <a:extLst>
            <a:ext uri="{FF2B5EF4-FFF2-40B4-BE49-F238E27FC236}">
              <a16:creationId xmlns:a16="http://schemas.microsoft.com/office/drawing/2014/main" id="{9CD39866-E6A7-46B5-98ED-29BE40C36B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3515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183</xdr:row>
      <xdr:rowOff>0</xdr:rowOff>
    </xdr:from>
    <xdr:to>
      <xdr:col>32</xdr:col>
      <xdr:colOff>171450</xdr:colOff>
      <xdr:row>183</xdr:row>
      <xdr:rowOff>152400</xdr:rowOff>
    </xdr:to>
    <xdr:pic>
      <xdr:nvPicPr>
        <xdr:cNvPr id="184" name="Picture@0P@" descr="@0P@">
          <a:extLst>
            <a:ext uri="{FF2B5EF4-FFF2-40B4-BE49-F238E27FC236}">
              <a16:creationId xmlns:a16="http://schemas.microsoft.com/office/drawing/2014/main" id="{37CEAD19-072B-4138-BEFD-7B292D764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3699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184</xdr:row>
      <xdr:rowOff>0</xdr:rowOff>
    </xdr:from>
    <xdr:to>
      <xdr:col>32</xdr:col>
      <xdr:colOff>171450</xdr:colOff>
      <xdr:row>184</xdr:row>
      <xdr:rowOff>152400</xdr:rowOff>
    </xdr:to>
    <xdr:pic>
      <xdr:nvPicPr>
        <xdr:cNvPr id="185" name="Picture@0P@" descr="@0P@">
          <a:extLst>
            <a:ext uri="{FF2B5EF4-FFF2-40B4-BE49-F238E27FC236}">
              <a16:creationId xmlns:a16="http://schemas.microsoft.com/office/drawing/2014/main" id="{191E7CC7-68F6-4EF0-AAAF-BC4FF4A0BC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3883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185</xdr:row>
      <xdr:rowOff>0</xdr:rowOff>
    </xdr:from>
    <xdr:to>
      <xdr:col>32</xdr:col>
      <xdr:colOff>171450</xdr:colOff>
      <xdr:row>185</xdr:row>
      <xdr:rowOff>152400</xdr:rowOff>
    </xdr:to>
    <xdr:pic>
      <xdr:nvPicPr>
        <xdr:cNvPr id="186" name="Picture@0P@" descr="@0P@">
          <a:extLst>
            <a:ext uri="{FF2B5EF4-FFF2-40B4-BE49-F238E27FC236}">
              <a16:creationId xmlns:a16="http://schemas.microsoft.com/office/drawing/2014/main" id="{250A18E8-C0C8-4AEC-8A80-7AE2364CC1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4067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186</xdr:row>
      <xdr:rowOff>0</xdr:rowOff>
    </xdr:from>
    <xdr:to>
      <xdr:col>32</xdr:col>
      <xdr:colOff>171450</xdr:colOff>
      <xdr:row>186</xdr:row>
      <xdr:rowOff>152400</xdr:rowOff>
    </xdr:to>
    <xdr:pic>
      <xdr:nvPicPr>
        <xdr:cNvPr id="187" name="Picture@0P@" descr="@0P@">
          <a:extLst>
            <a:ext uri="{FF2B5EF4-FFF2-40B4-BE49-F238E27FC236}">
              <a16:creationId xmlns:a16="http://schemas.microsoft.com/office/drawing/2014/main" id="{EC444483-F6DE-4C46-93E7-24AB03F69E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4251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187</xdr:row>
      <xdr:rowOff>0</xdr:rowOff>
    </xdr:from>
    <xdr:to>
      <xdr:col>32</xdr:col>
      <xdr:colOff>171450</xdr:colOff>
      <xdr:row>187</xdr:row>
      <xdr:rowOff>152400</xdr:rowOff>
    </xdr:to>
    <xdr:pic>
      <xdr:nvPicPr>
        <xdr:cNvPr id="188" name="Picture@0P@" descr="@0P@">
          <a:extLst>
            <a:ext uri="{FF2B5EF4-FFF2-40B4-BE49-F238E27FC236}">
              <a16:creationId xmlns:a16="http://schemas.microsoft.com/office/drawing/2014/main" id="{C07F7BB5-17A5-424A-A943-ACEE4A7792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4436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188</xdr:row>
      <xdr:rowOff>0</xdr:rowOff>
    </xdr:from>
    <xdr:to>
      <xdr:col>32</xdr:col>
      <xdr:colOff>171450</xdr:colOff>
      <xdr:row>188</xdr:row>
      <xdr:rowOff>152400</xdr:rowOff>
    </xdr:to>
    <xdr:pic>
      <xdr:nvPicPr>
        <xdr:cNvPr id="189" name="Picture@0P@" descr="@0P@">
          <a:extLst>
            <a:ext uri="{FF2B5EF4-FFF2-40B4-BE49-F238E27FC236}">
              <a16:creationId xmlns:a16="http://schemas.microsoft.com/office/drawing/2014/main" id="{B808C466-4783-42D1-8BAE-F0C60FA236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4620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189</xdr:row>
      <xdr:rowOff>0</xdr:rowOff>
    </xdr:from>
    <xdr:to>
      <xdr:col>32</xdr:col>
      <xdr:colOff>171450</xdr:colOff>
      <xdr:row>189</xdr:row>
      <xdr:rowOff>152400</xdr:rowOff>
    </xdr:to>
    <xdr:pic>
      <xdr:nvPicPr>
        <xdr:cNvPr id="190" name="Picture@0P@" descr="@0P@">
          <a:extLst>
            <a:ext uri="{FF2B5EF4-FFF2-40B4-BE49-F238E27FC236}">
              <a16:creationId xmlns:a16="http://schemas.microsoft.com/office/drawing/2014/main" id="{EA56210D-83A1-4B91-95AF-20814DFB5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4804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190</xdr:row>
      <xdr:rowOff>0</xdr:rowOff>
    </xdr:from>
    <xdr:to>
      <xdr:col>32</xdr:col>
      <xdr:colOff>171450</xdr:colOff>
      <xdr:row>190</xdr:row>
      <xdr:rowOff>152400</xdr:rowOff>
    </xdr:to>
    <xdr:pic>
      <xdr:nvPicPr>
        <xdr:cNvPr id="191" name="Picture@0P@" descr="@0P@">
          <a:extLst>
            <a:ext uri="{FF2B5EF4-FFF2-40B4-BE49-F238E27FC236}">
              <a16:creationId xmlns:a16="http://schemas.microsoft.com/office/drawing/2014/main" id="{B544C757-BE1A-4D6C-B4DF-1B4A69B15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4988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191</xdr:row>
      <xdr:rowOff>0</xdr:rowOff>
    </xdr:from>
    <xdr:to>
      <xdr:col>32</xdr:col>
      <xdr:colOff>171450</xdr:colOff>
      <xdr:row>191</xdr:row>
      <xdr:rowOff>152400</xdr:rowOff>
    </xdr:to>
    <xdr:pic>
      <xdr:nvPicPr>
        <xdr:cNvPr id="192" name="Picture@0P@" descr="@0P@">
          <a:extLst>
            <a:ext uri="{FF2B5EF4-FFF2-40B4-BE49-F238E27FC236}">
              <a16:creationId xmlns:a16="http://schemas.microsoft.com/office/drawing/2014/main" id="{3FE70A72-0BCC-4741-A0C8-BF579AF5AA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5172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192</xdr:row>
      <xdr:rowOff>0</xdr:rowOff>
    </xdr:from>
    <xdr:to>
      <xdr:col>32</xdr:col>
      <xdr:colOff>171450</xdr:colOff>
      <xdr:row>192</xdr:row>
      <xdr:rowOff>152400</xdr:rowOff>
    </xdr:to>
    <xdr:pic>
      <xdr:nvPicPr>
        <xdr:cNvPr id="193" name="Picture@0P@" descr="@0P@">
          <a:extLst>
            <a:ext uri="{FF2B5EF4-FFF2-40B4-BE49-F238E27FC236}">
              <a16:creationId xmlns:a16="http://schemas.microsoft.com/office/drawing/2014/main" id="{1C13C013-FE9F-42C8-A5EF-FA17FCC53B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5356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193</xdr:row>
      <xdr:rowOff>0</xdr:rowOff>
    </xdr:from>
    <xdr:to>
      <xdr:col>32</xdr:col>
      <xdr:colOff>171450</xdr:colOff>
      <xdr:row>193</xdr:row>
      <xdr:rowOff>152400</xdr:rowOff>
    </xdr:to>
    <xdr:pic>
      <xdr:nvPicPr>
        <xdr:cNvPr id="194" name="Picture@0P@" descr="@0P@">
          <a:extLst>
            <a:ext uri="{FF2B5EF4-FFF2-40B4-BE49-F238E27FC236}">
              <a16:creationId xmlns:a16="http://schemas.microsoft.com/office/drawing/2014/main" id="{DB810BA3-74CF-4DD2-8B68-AB9FB9541F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5540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194</xdr:row>
      <xdr:rowOff>0</xdr:rowOff>
    </xdr:from>
    <xdr:to>
      <xdr:col>32</xdr:col>
      <xdr:colOff>171450</xdr:colOff>
      <xdr:row>194</xdr:row>
      <xdr:rowOff>152400</xdr:rowOff>
    </xdr:to>
    <xdr:pic>
      <xdr:nvPicPr>
        <xdr:cNvPr id="195" name="Picture@0P@" descr="@0P@">
          <a:extLst>
            <a:ext uri="{FF2B5EF4-FFF2-40B4-BE49-F238E27FC236}">
              <a16:creationId xmlns:a16="http://schemas.microsoft.com/office/drawing/2014/main" id="{648E3739-1333-477E-9786-B02F2EF65E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5725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195</xdr:row>
      <xdr:rowOff>0</xdr:rowOff>
    </xdr:from>
    <xdr:to>
      <xdr:col>32</xdr:col>
      <xdr:colOff>171450</xdr:colOff>
      <xdr:row>195</xdr:row>
      <xdr:rowOff>152400</xdr:rowOff>
    </xdr:to>
    <xdr:pic>
      <xdr:nvPicPr>
        <xdr:cNvPr id="196" name="Picture@0P@" descr="@0P@">
          <a:extLst>
            <a:ext uri="{FF2B5EF4-FFF2-40B4-BE49-F238E27FC236}">
              <a16:creationId xmlns:a16="http://schemas.microsoft.com/office/drawing/2014/main" id="{6D686D47-30CE-4D09-A96C-51A8EB1316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5909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196</xdr:row>
      <xdr:rowOff>0</xdr:rowOff>
    </xdr:from>
    <xdr:to>
      <xdr:col>32</xdr:col>
      <xdr:colOff>171450</xdr:colOff>
      <xdr:row>196</xdr:row>
      <xdr:rowOff>152400</xdr:rowOff>
    </xdr:to>
    <xdr:pic>
      <xdr:nvPicPr>
        <xdr:cNvPr id="197" name="Picture@0P@" descr="@0P@">
          <a:extLst>
            <a:ext uri="{FF2B5EF4-FFF2-40B4-BE49-F238E27FC236}">
              <a16:creationId xmlns:a16="http://schemas.microsoft.com/office/drawing/2014/main" id="{D4AF63B6-CC4B-4326-A5BC-BE408172E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6093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197</xdr:row>
      <xdr:rowOff>0</xdr:rowOff>
    </xdr:from>
    <xdr:to>
      <xdr:col>32</xdr:col>
      <xdr:colOff>171450</xdr:colOff>
      <xdr:row>197</xdr:row>
      <xdr:rowOff>152400</xdr:rowOff>
    </xdr:to>
    <xdr:pic>
      <xdr:nvPicPr>
        <xdr:cNvPr id="198" name="Picture@0P@" descr="@0P@">
          <a:extLst>
            <a:ext uri="{FF2B5EF4-FFF2-40B4-BE49-F238E27FC236}">
              <a16:creationId xmlns:a16="http://schemas.microsoft.com/office/drawing/2014/main" id="{36A01222-3CD8-4EAF-A3B6-17D6B755CE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6277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198</xdr:row>
      <xdr:rowOff>0</xdr:rowOff>
    </xdr:from>
    <xdr:to>
      <xdr:col>32</xdr:col>
      <xdr:colOff>171450</xdr:colOff>
      <xdr:row>198</xdr:row>
      <xdr:rowOff>152400</xdr:rowOff>
    </xdr:to>
    <xdr:pic>
      <xdr:nvPicPr>
        <xdr:cNvPr id="199" name="Picture@0P@" descr="@0P@">
          <a:extLst>
            <a:ext uri="{FF2B5EF4-FFF2-40B4-BE49-F238E27FC236}">
              <a16:creationId xmlns:a16="http://schemas.microsoft.com/office/drawing/2014/main" id="{3050ADFA-6D7F-4183-9310-10AEDB8BF8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6461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199</xdr:row>
      <xdr:rowOff>0</xdr:rowOff>
    </xdr:from>
    <xdr:to>
      <xdr:col>32</xdr:col>
      <xdr:colOff>171450</xdr:colOff>
      <xdr:row>199</xdr:row>
      <xdr:rowOff>152400</xdr:rowOff>
    </xdr:to>
    <xdr:pic>
      <xdr:nvPicPr>
        <xdr:cNvPr id="200" name="Picture@0P@" descr="@0P@">
          <a:extLst>
            <a:ext uri="{FF2B5EF4-FFF2-40B4-BE49-F238E27FC236}">
              <a16:creationId xmlns:a16="http://schemas.microsoft.com/office/drawing/2014/main" id="{B2C3BF55-94D0-4EE9-9972-17B2925D5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6645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200</xdr:row>
      <xdr:rowOff>0</xdr:rowOff>
    </xdr:from>
    <xdr:to>
      <xdr:col>32</xdr:col>
      <xdr:colOff>171450</xdr:colOff>
      <xdr:row>200</xdr:row>
      <xdr:rowOff>152400</xdr:rowOff>
    </xdr:to>
    <xdr:pic>
      <xdr:nvPicPr>
        <xdr:cNvPr id="201" name="Picture@0P@" descr="@0P@">
          <a:extLst>
            <a:ext uri="{FF2B5EF4-FFF2-40B4-BE49-F238E27FC236}">
              <a16:creationId xmlns:a16="http://schemas.microsoft.com/office/drawing/2014/main" id="{C8EB1855-E206-4627-B212-E0A0901BD5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6830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201</xdr:row>
      <xdr:rowOff>0</xdr:rowOff>
    </xdr:from>
    <xdr:to>
      <xdr:col>32</xdr:col>
      <xdr:colOff>171450</xdr:colOff>
      <xdr:row>201</xdr:row>
      <xdr:rowOff>152400</xdr:rowOff>
    </xdr:to>
    <xdr:pic>
      <xdr:nvPicPr>
        <xdr:cNvPr id="202" name="Picture@0P@" descr="@0P@">
          <a:extLst>
            <a:ext uri="{FF2B5EF4-FFF2-40B4-BE49-F238E27FC236}">
              <a16:creationId xmlns:a16="http://schemas.microsoft.com/office/drawing/2014/main" id="{5DEB3E35-26A2-4785-8748-3DE139CE0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7014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202</xdr:row>
      <xdr:rowOff>0</xdr:rowOff>
    </xdr:from>
    <xdr:to>
      <xdr:col>32</xdr:col>
      <xdr:colOff>171450</xdr:colOff>
      <xdr:row>202</xdr:row>
      <xdr:rowOff>152400</xdr:rowOff>
    </xdr:to>
    <xdr:pic>
      <xdr:nvPicPr>
        <xdr:cNvPr id="203" name="Picture@0P@" descr="@0P@">
          <a:extLst>
            <a:ext uri="{FF2B5EF4-FFF2-40B4-BE49-F238E27FC236}">
              <a16:creationId xmlns:a16="http://schemas.microsoft.com/office/drawing/2014/main" id="{F2879912-373B-47FB-A653-4B139F2D26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7198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203</xdr:row>
      <xdr:rowOff>0</xdr:rowOff>
    </xdr:from>
    <xdr:to>
      <xdr:col>32</xdr:col>
      <xdr:colOff>171450</xdr:colOff>
      <xdr:row>203</xdr:row>
      <xdr:rowOff>152400</xdr:rowOff>
    </xdr:to>
    <xdr:pic>
      <xdr:nvPicPr>
        <xdr:cNvPr id="204" name="Picture@0P@" descr="@0P@">
          <a:extLst>
            <a:ext uri="{FF2B5EF4-FFF2-40B4-BE49-F238E27FC236}">
              <a16:creationId xmlns:a16="http://schemas.microsoft.com/office/drawing/2014/main" id="{38E2CB17-7A01-43B2-964E-71631DA56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7382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204</xdr:row>
      <xdr:rowOff>0</xdr:rowOff>
    </xdr:from>
    <xdr:to>
      <xdr:col>32</xdr:col>
      <xdr:colOff>171450</xdr:colOff>
      <xdr:row>204</xdr:row>
      <xdr:rowOff>152400</xdr:rowOff>
    </xdr:to>
    <xdr:pic>
      <xdr:nvPicPr>
        <xdr:cNvPr id="205" name="Picture@0P@" descr="@0P@">
          <a:extLst>
            <a:ext uri="{FF2B5EF4-FFF2-40B4-BE49-F238E27FC236}">
              <a16:creationId xmlns:a16="http://schemas.microsoft.com/office/drawing/2014/main" id="{370F5546-E918-4D35-8DEF-83F4A5065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7566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205</xdr:row>
      <xdr:rowOff>0</xdr:rowOff>
    </xdr:from>
    <xdr:to>
      <xdr:col>32</xdr:col>
      <xdr:colOff>171450</xdr:colOff>
      <xdr:row>205</xdr:row>
      <xdr:rowOff>152400</xdr:rowOff>
    </xdr:to>
    <xdr:pic>
      <xdr:nvPicPr>
        <xdr:cNvPr id="206" name="Picture@0P@" descr="@0P@">
          <a:extLst>
            <a:ext uri="{FF2B5EF4-FFF2-40B4-BE49-F238E27FC236}">
              <a16:creationId xmlns:a16="http://schemas.microsoft.com/office/drawing/2014/main" id="{1694D149-B92C-45A0-BA91-452A834EE7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7750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206</xdr:row>
      <xdr:rowOff>0</xdr:rowOff>
    </xdr:from>
    <xdr:to>
      <xdr:col>32</xdr:col>
      <xdr:colOff>171450</xdr:colOff>
      <xdr:row>206</xdr:row>
      <xdr:rowOff>152400</xdr:rowOff>
    </xdr:to>
    <xdr:pic>
      <xdr:nvPicPr>
        <xdr:cNvPr id="207" name="Picture@0P@" descr="@0P@">
          <a:extLst>
            <a:ext uri="{FF2B5EF4-FFF2-40B4-BE49-F238E27FC236}">
              <a16:creationId xmlns:a16="http://schemas.microsoft.com/office/drawing/2014/main" id="{D696816F-3482-4E6E-9621-CC2A1586C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7934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207</xdr:row>
      <xdr:rowOff>0</xdr:rowOff>
    </xdr:from>
    <xdr:to>
      <xdr:col>32</xdr:col>
      <xdr:colOff>171450</xdr:colOff>
      <xdr:row>207</xdr:row>
      <xdr:rowOff>152400</xdr:rowOff>
    </xdr:to>
    <xdr:pic>
      <xdr:nvPicPr>
        <xdr:cNvPr id="208" name="Picture@0P@" descr="@0P@">
          <a:extLst>
            <a:ext uri="{FF2B5EF4-FFF2-40B4-BE49-F238E27FC236}">
              <a16:creationId xmlns:a16="http://schemas.microsoft.com/office/drawing/2014/main" id="{ADE0184E-E666-4597-AF62-5666D7781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8119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208</xdr:row>
      <xdr:rowOff>0</xdr:rowOff>
    </xdr:from>
    <xdr:to>
      <xdr:col>32</xdr:col>
      <xdr:colOff>171450</xdr:colOff>
      <xdr:row>208</xdr:row>
      <xdr:rowOff>152400</xdr:rowOff>
    </xdr:to>
    <xdr:pic>
      <xdr:nvPicPr>
        <xdr:cNvPr id="209" name="Picture@0P@" descr="@0P@">
          <a:extLst>
            <a:ext uri="{FF2B5EF4-FFF2-40B4-BE49-F238E27FC236}">
              <a16:creationId xmlns:a16="http://schemas.microsoft.com/office/drawing/2014/main" id="{CBDF729A-0BE9-48E9-BE71-862FAB4A03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8303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209</xdr:row>
      <xdr:rowOff>0</xdr:rowOff>
    </xdr:from>
    <xdr:to>
      <xdr:col>32</xdr:col>
      <xdr:colOff>171450</xdr:colOff>
      <xdr:row>209</xdr:row>
      <xdr:rowOff>152400</xdr:rowOff>
    </xdr:to>
    <xdr:pic>
      <xdr:nvPicPr>
        <xdr:cNvPr id="210" name="Picture@0P@" descr="@0P@">
          <a:extLst>
            <a:ext uri="{FF2B5EF4-FFF2-40B4-BE49-F238E27FC236}">
              <a16:creationId xmlns:a16="http://schemas.microsoft.com/office/drawing/2014/main" id="{01BA4FE1-3E6B-4E1B-AF28-4D2F8EC96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8487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210</xdr:row>
      <xdr:rowOff>0</xdr:rowOff>
    </xdr:from>
    <xdr:to>
      <xdr:col>32</xdr:col>
      <xdr:colOff>171450</xdr:colOff>
      <xdr:row>210</xdr:row>
      <xdr:rowOff>152400</xdr:rowOff>
    </xdr:to>
    <xdr:pic>
      <xdr:nvPicPr>
        <xdr:cNvPr id="211" name="Picture@0P@" descr="@0P@">
          <a:extLst>
            <a:ext uri="{FF2B5EF4-FFF2-40B4-BE49-F238E27FC236}">
              <a16:creationId xmlns:a16="http://schemas.microsoft.com/office/drawing/2014/main" id="{AEC5885C-D565-496A-93C6-B0AABEAD6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8671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211</xdr:row>
      <xdr:rowOff>0</xdr:rowOff>
    </xdr:from>
    <xdr:to>
      <xdr:col>32</xdr:col>
      <xdr:colOff>171450</xdr:colOff>
      <xdr:row>211</xdr:row>
      <xdr:rowOff>152400</xdr:rowOff>
    </xdr:to>
    <xdr:pic>
      <xdr:nvPicPr>
        <xdr:cNvPr id="212" name="Picture@0P@" descr="@0P@">
          <a:extLst>
            <a:ext uri="{FF2B5EF4-FFF2-40B4-BE49-F238E27FC236}">
              <a16:creationId xmlns:a16="http://schemas.microsoft.com/office/drawing/2014/main" id="{4256CAB3-6AF9-4704-92FF-A5C5BD079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8855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212</xdr:row>
      <xdr:rowOff>0</xdr:rowOff>
    </xdr:from>
    <xdr:to>
      <xdr:col>32</xdr:col>
      <xdr:colOff>171450</xdr:colOff>
      <xdr:row>212</xdr:row>
      <xdr:rowOff>152400</xdr:rowOff>
    </xdr:to>
    <xdr:pic>
      <xdr:nvPicPr>
        <xdr:cNvPr id="213" name="Picture@0P@" descr="@0P@">
          <a:extLst>
            <a:ext uri="{FF2B5EF4-FFF2-40B4-BE49-F238E27FC236}">
              <a16:creationId xmlns:a16="http://schemas.microsoft.com/office/drawing/2014/main" id="{F034E95F-CF74-4159-96AF-B18E0B26B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9039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213</xdr:row>
      <xdr:rowOff>0</xdr:rowOff>
    </xdr:from>
    <xdr:to>
      <xdr:col>32</xdr:col>
      <xdr:colOff>171450</xdr:colOff>
      <xdr:row>213</xdr:row>
      <xdr:rowOff>152400</xdr:rowOff>
    </xdr:to>
    <xdr:pic>
      <xdr:nvPicPr>
        <xdr:cNvPr id="214" name="Picture@0P@" descr="@0P@">
          <a:extLst>
            <a:ext uri="{FF2B5EF4-FFF2-40B4-BE49-F238E27FC236}">
              <a16:creationId xmlns:a16="http://schemas.microsoft.com/office/drawing/2014/main" id="{87C58A96-C9CC-45A0-AD02-52CCD2E27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9223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214</xdr:row>
      <xdr:rowOff>0</xdr:rowOff>
    </xdr:from>
    <xdr:to>
      <xdr:col>32</xdr:col>
      <xdr:colOff>171450</xdr:colOff>
      <xdr:row>214</xdr:row>
      <xdr:rowOff>152400</xdr:rowOff>
    </xdr:to>
    <xdr:pic>
      <xdr:nvPicPr>
        <xdr:cNvPr id="215" name="Picture@0P@" descr="@0P@">
          <a:extLst>
            <a:ext uri="{FF2B5EF4-FFF2-40B4-BE49-F238E27FC236}">
              <a16:creationId xmlns:a16="http://schemas.microsoft.com/office/drawing/2014/main" id="{395DF4CF-2F22-44A5-8B54-C63E67763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9408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215</xdr:row>
      <xdr:rowOff>0</xdr:rowOff>
    </xdr:from>
    <xdr:to>
      <xdr:col>32</xdr:col>
      <xdr:colOff>171450</xdr:colOff>
      <xdr:row>215</xdr:row>
      <xdr:rowOff>152400</xdr:rowOff>
    </xdr:to>
    <xdr:pic>
      <xdr:nvPicPr>
        <xdr:cNvPr id="216" name="Picture@0P@" descr="@0P@">
          <a:extLst>
            <a:ext uri="{FF2B5EF4-FFF2-40B4-BE49-F238E27FC236}">
              <a16:creationId xmlns:a16="http://schemas.microsoft.com/office/drawing/2014/main" id="{82BF71D1-6CE9-4CB0-A699-F8319E89D0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9592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216</xdr:row>
      <xdr:rowOff>0</xdr:rowOff>
    </xdr:from>
    <xdr:to>
      <xdr:col>32</xdr:col>
      <xdr:colOff>171450</xdr:colOff>
      <xdr:row>216</xdr:row>
      <xdr:rowOff>152400</xdr:rowOff>
    </xdr:to>
    <xdr:pic>
      <xdr:nvPicPr>
        <xdr:cNvPr id="217" name="Picture@0P@" descr="@0P@">
          <a:extLst>
            <a:ext uri="{FF2B5EF4-FFF2-40B4-BE49-F238E27FC236}">
              <a16:creationId xmlns:a16="http://schemas.microsoft.com/office/drawing/2014/main" id="{D6C413C4-C50A-4E8F-ADAF-AD54EE450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9776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217</xdr:row>
      <xdr:rowOff>0</xdr:rowOff>
    </xdr:from>
    <xdr:to>
      <xdr:col>32</xdr:col>
      <xdr:colOff>171450</xdr:colOff>
      <xdr:row>217</xdr:row>
      <xdr:rowOff>152400</xdr:rowOff>
    </xdr:to>
    <xdr:pic>
      <xdr:nvPicPr>
        <xdr:cNvPr id="218" name="Picture@0P@" descr="@0P@">
          <a:extLst>
            <a:ext uri="{FF2B5EF4-FFF2-40B4-BE49-F238E27FC236}">
              <a16:creationId xmlns:a16="http://schemas.microsoft.com/office/drawing/2014/main" id="{775F6348-A3D6-4F62-9FFF-7853F508B1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39960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218</xdr:row>
      <xdr:rowOff>0</xdr:rowOff>
    </xdr:from>
    <xdr:to>
      <xdr:col>32</xdr:col>
      <xdr:colOff>171450</xdr:colOff>
      <xdr:row>218</xdr:row>
      <xdr:rowOff>152400</xdr:rowOff>
    </xdr:to>
    <xdr:pic>
      <xdr:nvPicPr>
        <xdr:cNvPr id="219" name="Picture@0P@" descr="@0P@">
          <a:extLst>
            <a:ext uri="{FF2B5EF4-FFF2-40B4-BE49-F238E27FC236}">
              <a16:creationId xmlns:a16="http://schemas.microsoft.com/office/drawing/2014/main" id="{1376A779-1EAA-4DDF-A9F5-5741B2FC0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0144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219</xdr:row>
      <xdr:rowOff>0</xdr:rowOff>
    </xdr:from>
    <xdr:to>
      <xdr:col>32</xdr:col>
      <xdr:colOff>171450</xdr:colOff>
      <xdr:row>219</xdr:row>
      <xdr:rowOff>152400</xdr:rowOff>
    </xdr:to>
    <xdr:pic>
      <xdr:nvPicPr>
        <xdr:cNvPr id="220" name="Picture@0P@" descr="@0P@">
          <a:extLst>
            <a:ext uri="{FF2B5EF4-FFF2-40B4-BE49-F238E27FC236}">
              <a16:creationId xmlns:a16="http://schemas.microsoft.com/office/drawing/2014/main" id="{375AC885-AD68-4E3D-B557-8628FE7F83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0328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220</xdr:row>
      <xdr:rowOff>0</xdr:rowOff>
    </xdr:from>
    <xdr:to>
      <xdr:col>32</xdr:col>
      <xdr:colOff>171450</xdr:colOff>
      <xdr:row>220</xdr:row>
      <xdr:rowOff>152400</xdr:rowOff>
    </xdr:to>
    <xdr:pic>
      <xdr:nvPicPr>
        <xdr:cNvPr id="221" name="Picture@0P@" descr="@0P@">
          <a:extLst>
            <a:ext uri="{FF2B5EF4-FFF2-40B4-BE49-F238E27FC236}">
              <a16:creationId xmlns:a16="http://schemas.microsoft.com/office/drawing/2014/main" id="{461D328C-D1F9-4A28-88D8-C217F7E55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0513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221</xdr:row>
      <xdr:rowOff>0</xdr:rowOff>
    </xdr:from>
    <xdr:to>
      <xdr:col>32</xdr:col>
      <xdr:colOff>171450</xdr:colOff>
      <xdr:row>221</xdr:row>
      <xdr:rowOff>152400</xdr:rowOff>
    </xdr:to>
    <xdr:pic>
      <xdr:nvPicPr>
        <xdr:cNvPr id="222" name="Picture@0P@" descr="@0P@">
          <a:extLst>
            <a:ext uri="{FF2B5EF4-FFF2-40B4-BE49-F238E27FC236}">
              <a16:creationId xmlns:a16="http://schemas.microsoft.com/office/drawing/2014/main" id="{FAFC36B8-21C3-4DD1-9A95-F00200DB0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0697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222</xdr:row>
      <xdr:rowOff>0</xdr:rowOff>
    </xdr:from>
    <xdr:to>
      <xdr:col>32</xdr:col>
      <xdr:colOff>171450</xdr:colOff>
      <xdr:row>222</xdr:row>
      <xdr:rowOff>152400</xdr:rowOff>
    </xdr:to>
    <xdr:pic>
      <xdr:nvPicPr>
        <xdr:cNvPr id="223" name="Picture@0P@" descr="@0P@">
          <a:extLst>
            <a:ext uri="{FF2B5EF4-FFF2-40B4-BE49-F238E27FC236}">
              <a16:creationId xmlns:a16="http://schemas.microsoft.com/office/drawing/2014/main" id="{54F4384A-0052-4CA1-9ADB-CBAE79ED0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0881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223</xdr:row>
      <xdr:rowOff>0</xdr:rowOff>
    </xdr:from>
    <xdr:to>
      <xdr:col>32</xdr:col>
      <xdr:colOff>171450</xdr:colOff>
      <xdr:row>223</xdr:row>
      <xdr:rowOff>152400</xdr:rowOff>
    </xdr:to>
    <xdr:pic>
      <xdr:nvPicPr>
        <xdr:cNvPr id="224" name="Picture@0P@" descr="@0P@">
          <a:extLst>
            <a:ext uri="{FF2B5EF4-FFF2-40B4-BE49-F238E27FC236}">
              <a16:creationId xmlns:a16="http://schemas.microsoft.com/office/drawing/2014/main" id="{A8AAE0C8-FF6D-4487-B19C-8CB11327FD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1065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224</xdr:row>
      <xdr:rowOff>0</xdr:rowOff>
    </xdr:from>
    <xdr:to>
      <xdr:col>32</xdr:col>
      <xdr:colOff>171450</xdr:colOff>
      <xdr:row>224</xdr:row>
      <xdr:rowOff>152400</xdr:rowOff>
    </xdr:to>
    <xdr:pic>
      <xdr:nvPicPr>
        <xdr:cNvPr id="225" name="Picture@0P@" descr="@0P@">
          <a:extLst>
            <a:ext uri="{FF2B5EF4-FFF2-40B4-BE49-F238E27FC236}">
              <a16:creationId xmlns:a16="http://schemas.microsoft.com/office/drawing/2014/main" id="{190BCD3D-AD38-44E2-AF49-A884952DC1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1249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225</xdr:row>
      <xdr:rowOff>0</xdr:rowOff>
    </xdr:from>
    <xdr:to>
      <xdr:col>32</xdr:col>
      <xdr:colOff>171450</xdr:colOff>
      <xdr:row>225</xdr:row>
      <xdr:rowOff>152400</xdr:rowOff>
    </xdr:to>
    <xdr:pic>
      <xdr:nvPicPr>
        <xdr:cNvPr id="226" name="Picture@0P@" descr="@0P@">
          <a:extLst>
            <a:ext uri="{FF2B5EF4-FFF2-40B4-BE49-F238E27FC236}">
              <a16:creationId xmlns:a16="http://schemas.microsoft.com/office/drawing/2014/main" id="{DE155B43-AE4D-4B04-A728-7FA157D51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1433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226</xdr:row>
      <xdr:rowOff>0</xdr:rowOff>
    </xdr:from>
    <xdr:to>
      <xdr:col>32</xdr:col>
      <xdr:colOff>171450</xdr:colOff>
      <xdr:row>226</xdr:row>
      <xdr:rowOff>152400</xdr:rowOff>
    </xdr:to>
    <xdr:pic>
      <xdr:nvPicPr>
        <xdr:cNvPr id="227" name="Picture@0P@" descr="@0P@">
          <a:extLst>
            <a:ext uri="{FF2B5EF4-FFF2-40B4-BE49-F238E27FC236}">
              <a16:creationId xmlns:a16="http://schemas.microsoft.com/office/drawing/2014/main" id="{06D1BFFF-7DB1-43B2-B76D-5D708EF4A7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1617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227</xdr:row>
      <xdr:rowOff>0</xdr:rowOff>
    </xdr:from>
    <xdr:to>
      <xdr:col>32</xdr:col>
      <xdr:colOff>171450</xdr:colOff>
      <xdr:row>227</xdr:row>
      <xdr:rowOff>152400</xdr:rowOff>
    </xdr:to>
    <xdr:pic>
      <xdr:nvPicPr>
        <xdr:cNvPr id="228" name="Picture@0P@" descr="@0P@">
          <a:extLst>
            <a:ext uri="{FF2B5EF4-FFF2-40B4-BE49-F238E27FC236}">
              <a16:creationId xmlns:a16="http://schemas.microsoft.com/office/drawing/2014/main" id="{084F32CA-FC1E-4E1F-9E21-8FA422B26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1802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228</xdr:row>
      <xdr:rowOff>0</xdr:rowOff>
    </xdr:from>
    <xdr:to>
      <xdr:col>32</xdr:col>
      <xdr:colOff>171450</xdr:colOff>
      <xdr:row>228</xdr:row>
      <xdr:rowOff>152400</xdr:rowOff>
    </xdr:to>
    <xdr:pic>
      <xdr:nvPicPr>
        <xdr:cNvPr id="229" name="Picture@0P@" descr="@0P@">
          <a:extLst>
            <a:ext uri="{FF2B5EF4-FFF2-40B4-BE49-F238E27FC236}">
              <a16:creationId xmlns:a16="http://schemas.microsoft.com/office/drawing/2014/main" id="{E426ED86-394A-4EF3-B92B-7D2F63C473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1986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229</xdr:row>
      <xdr:rowOff>0</xdr:rowOff>
    </xdr:from>
    <xdr:to>
      <xdr:col>32</xdr:col>
      <xdr:colOff>171450</xdr:colOff>
      <xdr:row>229</xdr:row>
      <xdr:rowOff>152400</xdr:rowOff>
    </xdr:to>
    <xdr:pic>
      <xdr:nvPicPr>
        <xdr:cNvPr id="230" name="Picture@0P@" descr="@0P@">
          <a:extLst>
            <a:ext uri="{FF2B5EF4-FFF2-40B4-BE49-F238E27FC236}">
              <a16:creationId xmlns:a16="http://schemas.microsoft.com/office/drawing/2014/main" id="{23F77259-C1E7-458A-844D-061326F967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2170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230</xdr:row>
      <xdr:rowOff>0</xdr:rowOff>
    </xdr:from>
    <xdr:to>
      <xdr:col>32</xdr:col>
      <xdr:colOff>171450</xdr:colOff>
      <xdr:row>230</xdr:row>
      <xdr:rowOff>152400</xdr:rowOff>
    </xdr:to>
    <xdr:pic>
      <xdr:nvPicPr>
        <xdr:cNvPr id="231" name="Picture@0P@" descr="@0P@">
          <a:extLst>
            <a:ext uri="{FF2B5EF4-FFF2-40B4-BE49-F238E27FC236}">
              <a16:creationId xmlns:a16="http://schemas.microsoft.com/office/drawing/2014/main" id="{35E5FC50-BA6E-4911-83DC-9A48119878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2354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231</xdr:row>
      <xdr:rowOff>0</xdr:rowOff>
    </xdr:from>
    <xdr:to>
      <xdr:col>32</xdr:col>
      <xdr:colOff>171450</xdr:colOff>
      <xdr:row>231</xdr:row>
      <xdr:rowOff>152400</xdr:rowOff>
    </xdr:to>
    <xdr:pic>
      <xdr:nvPicPr>
        <xdr:cNvPr id="232" name="Picture@0P@" descr="@0P@">
          <a:extLst>
            <a:ext uri="{FF2B5EF4-FFF2-40B4-BE49-F238E27FC236}">
              <a16:creationId xmlns:a16="http://schemas.microsoft.com/office/drawing/2014/main" id="{CD765DB6-C76D-4394-BE94-2BF60BE6C0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2538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232</xdr:row>
      <xdr:rowOff>0</xdr:rowOff>
    </xdr:from>
    <xdr:to>
      <xdr:col>32</xdr:col>
      <xdr:colOff>171450</xdr:colOff>
      <xdr:row>232</xdr:row>
      <xdr:rowOff>152400</xdr:rowOff>
    </xdr:to>
    <xdr:pic>
      <xdr:nvPicPr>
        <xdr:cNvPr id="233" name="Picture@0P@" descr="@0P@">
          <a:extLst>
            <a:ext uri="{FF2B5EF4-FFF2-40B4-BE49-F238E27FC236}">
              <a16:creationId xmlns:a16="http://schemas.microsoft.com/office/drawing/2014/main" id="{517C8DAA-6C56-4116-B91D-A9B24B1E47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2722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233</xdr:row>
      <xdr:rowOff>0</xdr:rowOff>
    </xdr:from>
    <xdr:to>
      <xdr:col>32</xdr:col>
      <xdr:colOff>171450</xdr:colOff>
      <xdr:row>233</xdr:row>
      <xdr:rowOff>152400</xdr:rowOff>
    </xdr:to>
    <xdr:pic>
      <xdr:nvPicPr>
        <xdr:cNvPr id="234" name="Picture@0P@" descr="@0P@">
          <a:extLst>
            <a:ext uri="{FF2B5EF4-FFF2-40B4-BE49-F238E27FC236}">
              <a16:creationId xmlns:a16="http://schemas.microsoft.com/office/drawing/2014/main" id="{54F02C89-148D-4F53-9520-6CA2AD4797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2906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234</xdr:row>
      <xdr:rowOff>0</xdr:rowOff>
    </xdr:from>
    <xdr:to>
      <xdr:col>32</xdr:col>
      <xdr:colOff>171450</xdr:colOff>
      <xdr:row>234</xdr:row>
      <xdr:rowOff>152400</xdr:rowOff>
    </xdr:to>
    <xdr:pic>
      <xdr:nvPicPr>
        <xdr:cNvPr id="235" name="Picture@0P@" descr="@0P@">
          <a:extLst>
            <a:ext uri="{FF2B5EF4-FFF2-40B4-BE49-F238E27FC236}">
              <a16:creationId xmlns:a16="http://schemas.microsoft.com/office/drawing/2014/main" id="{9875EA89-8284-40C4-980A-759ED22F5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3091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235</xdr:row>
      <xdr:rowOff>0</xdr:rowOff>
    </xdr:from>
    <xdr:to>
      <xdr:col>32</xdr:col>
      <xdr:colOff>171450</xdr:colOff>
      <xdr:row>235</xdr:row>
      <xdr:rowOff>152400</xdr:rowOff>
    </xdr:to>
    <xdr:pic>
      <xdr:nvPicPr>
        <xdr:cNvPr id="236" name="Picture@0P@" descr="@0P@">
          <a:extLst>
            <a:ext uri="{FF2B5EF4-FFF2-40B4-BE49-F238E27FC236}">
              <a16:creationId xmlns:a16="http://schemas.microsoft.com/office/drawing/2014/main" id="{C30EBA9C-9AAF-4783-80C2-F51AF8704F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3275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236</xdr:row>
      <xdr:rowOff>0</xdr:rowOff>
    </xdr:from>
    <xdr:to>
      <xdr:col>32</xdr:col>
      <xdr:colOff>171450</xdr:colOff>
      <xdr:row>236</xdr:row>
      <xdr:rowOff>152400</xdr:rowOff>
    </xdr:to>
    <xdr:pic>
      <xdr:nvPicPr>
        <xdr:cNvPr id="237" name="Picture@0P@" descr="@0P@">
          <a:extLst>
            <a:ext uri="{FF2B5EF4-FFF2-40B4-BE49-F238E27FC236}">
              <a16:creationId xmlns:a16="http://schemas.microsoft.com/office/drawing/2014/main" id="{337876CB-8B11-42EF-9DC5-8ACA38ABCC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3459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237</xdr:row>
      <xdr:rowOff>0</xdr:rowOff>
    </xdr:from>
    <xdr:to>
      <xdr:col>32</xdr:col>
      <xdr:colOff>171450</xdr:colOff>
      <xdr:row>237</xdr:row>
      <xdr:rowOff>152400</xdr:rowOff>
    </xdr:to>
    <xdr:pic>
      <xdr:nvPicPr>
        <xdr:cNvPr id="238" name="Picture@0P@" descr="@0P@">
          <a:extLst>
            <a:ext uri="{FF2B5EF4-FFF2-40B4-BE49-F238E27FC236}">
              <a16:creationId xmlns:a16="http://schemas.microsoft.com/office/drawing/2014/main" id="{200F7069-F6F6-47E4-8DAB-0D5C15ED6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3643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238</xdr:row>
      <xdr:rowOff>0</xdr:rowOff>
    </xdr:from>
    <xdr:to>
      <xdr:col>32</xdr:col>
      <xdr:colOff>171450</xdr:colOff>
      <xdr:row>238</xdr:row>
      <xdr:rowOff>152400</xdr:rowOff>
    </xdr:to>
    <xdr:pic>
      <xdr:nvPicPr>
        <xdr:cNvPr id="239" name="Picture@0P@" descr="@0P@">
          <a:extLst>
            <a:ext uri="{FF2B5EF4-FFF2-40B4-BE49-F238E27FC236}">
              <a16:creationId xmlns:a16="http://schemas.microsoft.com/office/drawing/2014/main" id="{0D832C3C-94DB-482A-AEA3-CDCE4F409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3827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239</xdr:row>
      <xdr:rowOff>0</xdr:rowOff>
    </xdr:from>
    <xdr:to>
      <xdr:col>32</xdr:col>
      <xdr:colOff>171450</xdr:colOff>
      <xdr:row>239</xdr:row>
      <xdr:rowOff>152400</xdr:rowOff>
    </xdr:to>
    <xdr:pic>
      <xdr:nvPicPr>
        <xdr:cNvPr id="240" name="Picture@0P@" descr="@0P@">
          <a:extLst>
            <a:ext uri="{FF2B5EF4-FFF2-40B4-BE49-F238E27FC236}">
              <a16:creationId xmlns:a16="http://schemas.microsoft.com/office/drawing/2014/main" id="{E244037E-CEA7-4509-8D6C-AA0EDEFF5A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4011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240</xdr:row>
      <xdr:rowOff>0</xdr:rowOff>
    </xdr:from>
    <xdr:to>
      <xdr:col>32</xdr:col>
      <xdr:colOff>171450</xdr:colOff>
      <xdr:row>240</xdr:row>
      <xdr:rowOff>152400</xdr:rowOff>
    </xdr:to>
    <xdr:pic>
      <xdr:nvPicPr>
        <xdr:cNvPr id="241" name="Picture@0P@" descr="@0P@">
          <a:extLst>
            <a:ext uri="{FF2B5EF4-FFF2-40B4-BE49-F238E27FC236}">
              <a16:creationId xmlns:a16="http://schemas.microsoft.com/office/drawing/2014/main" id="{47ABA10B-7F30-47BF-9EC4-E16A2A677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4196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241</xdr:row>
      <xdr:rowOff>0</xdr:rowOff>
    </xdr:from>
    <xdr:to>
      <xdr:col>32</xdr:col>
      <xdr:colOff>171450</xdr:colOff>
      <xdr:row>241</xdr:row>
      <xdr:rowOff>152400</xdr:rowOff>
    </xdr:to>
    <xdr:pic>
      <xdr:nvPicPr>
        <xdr:cNvPr id="242" name="Picture@0P@" descr="@0P@">
          <a:extLst>
            <a:ext uri="{FF2B5EF4-FFF2-40B4-BE49-F238E27FC236}">
              <a16:creationId xmlns:a16="http://schemas.microsoft.com/office/drawing/2014/main" id="{78EE038B-490B-4453-959B-891F48DEB9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4380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242</xdr:row>
      <xdr:rowOff>0</xdr:rowOff>
    </xdr:from>
    <xdr:to>
      <xdr:col>32</xdr:col>
      <xdr:colOff>171450</xdr:colOff>
      <xdr:row>242</xdr:row>
      <xdr:rowOff>152400</xdr:rowOff>
    </xdr:to>
    <xdr:pic>
      <xdr:nvPicPr>
        <xdr:cNvPr id="243" name="Picture@0P@" descr="@0P@">
          <a:extLst>
            <a:ext uri="{FF2B5EF4-FFF2-40B4-BE49-F238E27FC236}">
              <a16:creationId xmlns:a16="http://schemas.microsoft.com/office/drawing/2014/main" id="{B7875B6D-2F2C-410E-8492-C8A169926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4564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243</xdr:row>
      <xdr:rowOff>0</xdr:rowOff>
    </xdr:from>
    <xdr:to>
      <xdr:col>32</xdr:col>
      <xdr:colOff>171450</xdr:colOff>
      <xdr:row>243</xdr:row>
      <xdr:rowOff>152400</xdr:rowOff>
    </xdr:to>
    <xdr:pic>
      <xdr:nvPicPr>
        <xdr:cNvPr id="244" name="Picture@0P@" descr="@0P@">
          <a:extLst>
            <a:ext uri="{FF2B5EF4-FFF2-40B4-BE49-F238E27FC236}">
              <a16:creationId xmlns:a16="http://schemas.microsoft.com/office/drawing/2014/main" id="{BE69DDF1-4C41-4019-8D53-D4330112C8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4748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244</xdr:row>
      <xdr:rowOff>0</xdr:rowOff>
    </xdr:from>
    <xdr:to>
      <xdr:col>32</xdr:col>
      <xdr:colOff>171450</xdr:colOff>
      <xdr:row>244</xdr:row>
      <xdr:rowOff>152400</xdr:rowOff>
    </xdr:to>
    <xdr:pic>
      <xdr:nvPicPr>
        <xdr:cNvPr id="245" name="Picture@0P@" descr="@0P@">
          <a:extLst>
            <a:ext uri="{FF2B5EF4-FFF2-40B4-BE49-F238E27FC236}">
              <a16:creationId xmlns:a16="http://schemas.microsoft.com/office/drawing/2014/main" id="{CA03E145-5AF1-4BDB-9F26-232011DDC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4932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245</xdr:row>
      <xdr:rowOff>0</xdr:rowOff>
    </xdr:from>
    <xdr:to>
      <xdr:col>32</xdr:col>
      <xdr:colOff>171450</xdr:colOff>
      <xdr:row>245</xdr:row>
      <xdr:rowOff>152400</xdr:rowOff>
    </xdr:to>
    <xdr:pic>
      <xdr:nvPicPr>
        <xdr:cNvPr id="246" name="Picture@0P@" descr="@0P@">
          <a:extLst>
            <a:ext uri="{FF2B5EF4-FFF2-40B4-BE49-F238E27FC236}">
              <a16:creationId xmlns:a16="http://schemas.microsoft.com/office/drawing/2014/main" id="{EFFEA6EC-2E1B-402D-AE81-EA47BF469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5116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246</xdr:row>
      <xdr:rowOff>0</xdr:rowOff>
    </xdr:from>
    <xdr:to>
      <xdr:col>32</xdr:col>
      <xdr:colOff>171450</xdr:colOff>
      <xdr:row>246</xdr:row>
      <xdr:rowOff>152400</xdr:rowOff>
    </xdr:to>
    <xdr:pic>
      <xdr:nvPicPr>
        <xdr:cNvPr id="247" name="Picture@0P@" descr="@0P@">
          <a:extLst>
            <a:ext uri="{FF2B5EF4-FFF2-40B4-BE49-F238E27FC236}">
              <a16:creationId xmlns:a16="http://schemas.microsoft.com/office/drawing/2014/main" id="{10A1CFF5-2BBE-42DE-8AD9-F4C7CC532D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5300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247</xdr:row>
      <xdr:rowOff>0</xdr:rowOff>
    </xdr:from>
    <xdr:to>
      <xdr:col>32</xdr:col>
      <xdr:colOff>171450</xdr:colOff>
      <xdr:row>247</xdr:row>
      <xdr:rowOff>152400</xdr:rowOff>
    </xdr:to>
    <xdr:pic>
      <xdr:nvPicPr>
        <xdr:cNvPr id="248" name="Picture@0P@" descr="@0P@">
          <a:extLst>
            <a:ext uri="{FF2B5EF4-FFF2-40B4-BE49-F238E27FC236}">
              <a16:creationId xmlns:a16="http://schemas.microsoft.com/office/drawing/2014/main" id="{ED3BB581-EBF7-4D3F-B752-BB114E615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5485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248</xdr:row>
      <xdr:rowOff>0</xdr:rowOff>
    </xdr:from>
    <xdr:to>
      <xdr:col>32</xdr:col>
      <xdr:colOff>171450</xdr:colOff>
      <xdr:row>248</xdr:row>
      <xdr:rowOff>152400</xdr:rowOff>
    </xdr:to>
    <xdr:pic>
      <xdr:nvPicPr>
        <xdr:cNvPr id="249" name="Picture@0P@" descr="@0P@">
          <a:extLst>
            <a:ext uri="{FF2B5EF4-FFF2-40B4-BE49-F238E27FC236}">
              <a16:creationId xmlns:a16="http://schemas.microsoft.com/office/drawing/2014/main" id="{9A5CFA9C-8828-4760-AA7E-6340F27CB0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5669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249</xdr:row>
      <xdr:rowOff>0</xdr:rowOff>
    </xdr:from>
    <xdr:to>
      <xdr:col>32</xdr:col>
      <xdr:colOff>171450</xdr:colOff>
      <xdr:row>249</xdr:row>
      <xdr:rowOff>152400</xdr:rowOff>
    </xdr:to>
    <xdr:pic>
      <xdr:nvPicPr>
        <xdr:cNvPr id="250" name="Picture@0P@" descr="@0P@">
          <a:extLst>
            <a:ext uri="{FF2B5EF4-FFF2-40B4-BE49-F238E27FC236}">
              <a16:creationId xmlns:a16="http://schemas.microsoft.com/office/drawing/2014/main" id="{12DC7883-9A73-4B4C-86D2-92FF29A07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5853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250</xdr:row>
      <xdr:rowOff>0</xdr:rowOff>
    </xdr:from>
    <xdr:to>
      <xdr:col>32</xdr:col>
      <xdr:colOff>171450</xdr:colOff>
      <xdr:row>250</xdr:row>
      <xdr:rowOff>152400</xdr:rowOff>
    </xdr:to>
    <xdr:pic>
      <xdr:nvPicPr>
        <xdr:cNvPr id="251" name="Picture@0P@" descr="@0P@">
          <a:extLst>
            <a:ext uri="{FF2B5EF4-FFF2-40B4-BE49-F238E27FC236}">
              <a16:creationId xmlns:a16="http://schemas.microsoft.com/office/drawing/2014/main" id="{23D19A2E-4FA0-42F7-83D0-2D4036A18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6037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251</xdr:row>
      <xdr:rowOff>0</xdr:rowOff>
    </xdr:from>
    <xdr:to>
      <xdr:col>32</xdr:col>
      <xdr:colOff>171450</xdr:colOff>
      <xdr:row>251</xdr:row>
      <xdr:rowOff>152400</xdr:rowOff>
    </xdr:to>
    <xdr:pic>
      <xdr:nvPicPr>
        <xdr:cNvPr id="252" name="Picture@0P@" descr="@0P@">
          <a:extLst>
            <a:ext uri="{FF2B5EF4-FFF2-40B4-BE49-F238E27FC236}">
              <a16:creationId xmlns:a16="http://schemas.microsoft.com/office/drawing/2014/main" id="{3B9090AD-615F-4389-AED2-C59398493C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6221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252</xdr:row>
      <xdr:rowOff>0</xdr:rowOff>
    </xdr:from>
    <xdr:to>
      <xdr:col>32</xdr:col>
      <xdr:colOff>171450</xdr:colOff>
      <xdr:row>252</xdr:row>
      <xdr:rowOff>152400</xdr:rowOff>
    </xdr:to>
    <xdr:pic>
      <xdr:nvPicPr>
        <xdr:cNvPr id="253" name="Picture@0P@" descr="@0P@">
          <a:extLst>
            <a:ext uri="{FF2B5EF4-FFF2-40B4-BE49-F238E27FC236}">
              <a16:creationId xmlns:a16="http://schemas.microsoft.com/office/drawing/2014/main" id="{8793590A-6F27-4E68-A1B7-E2600D8B5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6405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253</xdr:row>
      <xdr:rowOff>0</xdr:rowOff>
    </xdr:from>
    <xdr:to>
      <xdr:col>32</xdr:col>
      <xdr:colOff>171450</xdr:colOff>
      <xdr:row>253</xdr:row>
      <xdr:rowOff>152400</xdr:rowOff>
    </xdr:to>
    <xdr:pic>
      <xdr:nvPicPr>
        <xdr:cNvPr id="254" name="Picture@0P@" descr="@0P@">
          <a:extLst>
            <a:ext uri="{FF2B5EF4-FFF2-40B4-BE49-F238E27FC236}">
              <a16:creationId xmlns:a16="http://schemas.microsoft.com/office/drawing/2014/main" id="{6D54338C-591A-4243-800A-90F1A25AF6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6589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254</xdr:row>
      <xdr:rowOff>0</xdr:rowOff>
    </xdr:from>
    <xdr:to>
      <xdr:col>32</xdr:col>
      <xdr:colOff>171450</xdr:colOff>
      <xdr:row>254</xdr:row>
      <xdr:rowOff>152400</xdr:rowOff>
    </xdr:to>
    <xdr:pic>
      <xdr:nvPicPr>
        <xdr:cNvPr id="255" name="Picture@0P@" descr="@0P@">
          <a:extLst>
            <a:ext uri="{FF2B5EF4-FFF2-40B4-BE49-F238E27FC236}">
              <a16:creationId xmlns:a16="http://schemas.microsoft.com/office/drawing/2014/main" id="{D1B4EC3A-347F-4AB5-9A05-216AA5839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6774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255</xdr:row>
      <xdr:rowOff>0</xdr:rowOff>
    </xdr:from>
    <xdr:to>
      <xdr:col>32</xdr:col>
      <xdr:colOff>171450</xdr:colOff>
      <xdr:row>255</xdr:row>
      <xdr:rowOff>152400</xdr:rowOff>
    </xdr:to>
    <xdr:pic>
      <xdr:nvPicPr>
        <xdr:cNvPr id="256" name="Picture@0P@" descr="@0P@">
          <a:extLst>
            <a:ext uri="{FF2B5EF4-FFF2-40B4-BE49-F238E27FC236}">
              <a16:creationId xmlns:a16="http://schemas.microsoft.com/office/drawing/2014/main" id="{AB0B254A-77E5-490D-AC05-87AB877714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6958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256</xdr:row>
      <xdr:rowOff>0</xdr:rowOff>
    </xdr:from>
    <xdr:to>
      <xdr:col>32</xdr:col>
      <xdr:colOff>171450</xdr:colOff>
      <xdr:row>256</xdr:row>
      <xdr:rowOff>152400</xdr:rowOff>
    </xdr:to>
    <xdr:pic>
      <xdr:nvPicPr>
        <xdr:cNvPr id="257" name="Picture@0P@" descr="@0P@">
          <a:extLst>
            <a:ext uri="{FF2B5EF4-FFF2-40B4-BE49-F238E27FC236}">
              <a16:creationId xmlns:a16="http://schemas.microsoft.com/office/drawing/2014/main" id="{F9038125-E4FA-4158-9A03-A8F86FEF0B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7142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257</xdr:row>
      <xdr:rowOff>0</xdr:rowOff>
    </xdr:from>
    <xdr:to>
      <xdr:col>32</xdr:col>
      <xdr:colOff>171450</xdr:colOff>
      <xdr:row>257</xdr:row>
      <xdr:rowOff>152400</xdr:rowOff>
    </xdr:to>
    <xdr:pic>
      <xdr:nvPicPr>
        <xdr:cNvPr id="258" name="Picture@0P@" descr="@0P@">
          <a:extLst>
            <a:ext uri="{FF2B5EF4-FFF2-40B4-BE49-F238E27FC236}">
              <a16:creationId xmlns:a16="http://schemas.microsoft.com/office/drawing/2014/main" id="{76D63A40-1E32-4633-8B8E-4E7CDCE20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7326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258</xdr:row>
      <xdr:rowOff>0</xdr:rowOff>
    </xdr:from>
    <xdr:to>
      <xdr:col>32</xdr:col>
      <xdr:colOff>171450</xdr:colOff>
      <xdr:row>258</xdr:row>
      <xdr:rowOff>152400</xdr:rowOff>
    </xdr:to>
    <xdr:pic>
      <xdr:nvPicPr>
        <xdr:cNvPr id="259" name="Picture@0P@" descr="@0P@">
          <a:extLst>
            <a:ext uri="{FF2B5EF4-FFF2-40B4-BE49-F238E27FC236}">
              <a16:creationId xmlns:a16="http://schemas.microsoft.com/office/drawing/2014/main" id="{A7EFEF1A-2B3F-4DAD-9066-A2657B67C1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7510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259</xdr:row>
      <xdr:rowOff>0</xdr:rowOff>
    </xdr:from>
    <xdr:to>
      <xdr:col>32</xdr:col>
      <xdr:colOff>171450</xdr:colOff>
      <xdr:row>259</xdr:row>
      <xdr:rowOff>152400</xdr:rowOff>
    </xdr:to>
    <xdr:pic>
      <xdr:nvPicPr>
        <xdr:cNvPr id="260" name="Picture@0P@" descr="@0P@">
          <a:extLst>
            <a:ext uri="{FF2B5EF4-FFF2-40B4-BE49-F238E27FC236}">
              <a16:creationId xmlns:a16="http://schemas.microsoft.com/office/drawing/2014/main" id="{FBD0CF72-CF14-46E1-A97B-B778FA77D7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7694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260</xdr:row>
      <xdr:rowOff>0</xdr:rowOff>
    </xdr:from>
    <xdr:to>
      <xdr:col>32</xdr:col>
      <xdr:colOff>171450</xdr:colOff>
      <xdr:row>260</xdr:row>
      <xdr:rowOff>152400</xdr:rowOff>
    </xdr:to>
    <xdr:pic>
      <xdr:nvPicPr>
        <xdr:cNvPr id="261" name="Picture@0P@" descr="@0P@">
          <a:extLst>
            <a:ext uri="{FF2B5EF4-FFF2-40B4-BE49-F238E27FC236}">
              <a16:creationId xmlns:a16="http://schemas.microsoft.com/office/drawing/2014/main" id="{CC52320B-53A0-476A-AC33-BAA849760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7879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261</xdr:row>
      <xdr:rowOff>0</xdr:rowOff>
    </xdr:from>
    <xdr:to>
      <xdr:col>32</xdr:col>
      <xdr:colOff>171450</xdr:colOff>
      <xdr:row>261</xdr:row>
      <xdr:rowOff>152400</xdr:rowOff>
    </xdr:to>
    <xdr:pic>
      <xdr:nvPicPr>
        <xdr:cNvPr id="262" name="Picture@0P@" descr="@0P@">
          <a:extLst>
            <a:ext uri="{FF2B5EF4-FFF2-40B4-BE49-F238E27FC236}">
              <a16:creationId xmlns:a16="http://schemas.microsoft.com/office/drawing/2014/main" id="{37361344-B430-4A5D-9956-82BACE83F5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8063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262</xdr:row>
      <xdr:rowOff>0</xdr:rowOff>
    </xdr:from>
    <xdr:to>
      <xdr:col>32</xdr:col>
      <xdr:colOff>171450</xdr:colOff>
      <xdr:row>262</xdr:row>
      <xdr:rowOff>152400</xdr:rowOff>
    </xdr:to>
    <xdr:pic>
      <xdr:nvPicPr>
        <xdr:cNvPr id="263" name="Picture@0P@" descr="@0P@">
          <a:extLst>
            <a:ext uri="{FF2B5EF4-FFF2-40B4-BE49-F238E27FC236}">
              <a16:creationId xmlns:a16="http://schemas.microsoft.com/office/drawing/2014/main" id="{65C974D8-5782-4EAC-9DA7-9EE907EBA1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8247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263</xdr:row>
      <xdr:rowOff>0</xdr:rowOff>
    </xdr:from>
    <xdr:to>
      <xdr:col>32</xdr:col>
      <xdr:colOff>171450</xdr:colOff>
      <xdr:row>263</xdr:row>
      <xdr:rowOff>152400</xdr:rowOff>
    </xdr:to>
    <xdr:pic>
      <xdr:nvPicPr>
        <xdr:cNvPr id="264" name="Picture@0P@" descr="@0P@">
          <a:extLst>
            <a:ext uri="{FF2B5EF4-FFF2-40B4-BE49-F238E27FC236}">
              <a16:creationId xmlns:a16="http://schemas.microsoft.com/office/drawing/2014/main" id="{43883512-3320-4D7B-BD75-F0372FEC74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8431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264</xdr:row>
      <xdr:rowOff>0</xdr:rowOff>
    </xdr:from>
    <xdr:to>
      <xdr:col>32</xdr:col>
      <xdr:colOff>171450</xdr:colOff>
      <xdr:row>264</xdr:row>
      <xdr:rowOff>152400</xdr:rowOff>
    </xdr:to>
    <xdr:pic>
      <xdr:nvPicPr>
        <xdr:cNvPr id="265" name="Picture@0P@" descr="@0P@">
          <a:extLst>
            <a:ext uri="{FF2B5EF4-FFF2-40B4-BE49-F238E27FC236}">
              <a16:creationId xmlns:a16="http://schemas.microsoft.com/office/drawing/2014/main" id="{5CDDCBEF-7D79-41B6-A8C0-DB013823B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8615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265</xdr:row>
      <xdr:rowOff>0</xdr:rowOff>
    </xdr:from>
    <xdr:to>
      <xdr:col>32</xdr:col>
      <xdr:colOff>171450</xdr:colOff>
      <xdr:row>265</xdr:row>
      <xdr:rowOff>152400</xdr:rowOff>
    </xdr:to>
    <xdr:pic>
      <xdr:nvPicPr>
        <xdr:cNvPr id="266" name="Picture@0P@" descr="@0P@">
          <a:extLst>
            <a:ext uri="{FF2B5EF4-FFF2-40B4-BE49-F238E27FC236}">
              <a16:creationId xmlns:a16="http://schemas.microsoft.com/office/drawing/2014/main" id="{BE557C71-DC06-470B-91B3-79A61212D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8799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266</xdr:row>
      <xdr:rowOff>0</xdr:rowOff>
    </xdr:from>
    <xdr:to>
      <xdr:col>32</xdr:col>
      <xdr:colOff>171450</xdr:colOff>
      <xdr:row>266</xdr:row>
      <xdr:rowOff>152400</xdr:rowOff>
    </xdr:to>
    <xdr:pic>
      <xdr:nvPicPr>
        <xdr:cNvPr id="267" name="Picture@0P@" descr="@0P@">
          <a:extLst>
            <a:ext uri="{FF2B5EF4-FFF2-40B4-BE49-F238E27FC236}">
              <a16:creationId xmlns:a16="http://schemas.microsoft.com/office/drawing/2014/main" id="{D7FCB293-9623-497C-9446-A056EEA291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8983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267</xdr:row>
      <xdr:rowOff>0</xdr:rowOff>
    </xdr:from>
    <xdr:to>
      <xdr:col>32</xdr:col>
      <xdr:colOff>171450</xdr:colOff>
      <xdr:row>267</xdr:row>
      <xdr:rowOff>152400</xdr:rowOff>
    </xdr:to>
    <xdr:pic>
      <xdr:nvPicPr>
        <xdr:cNvPr id="268" name="Picture@0P@" descr="@0P@">
          <a:extLst>
            <a:ext uri="{FF2B5EF4-FFF2-40B4-BE49-F238E27FC236}">
              <a16:creationId xmlns:a16="http://schemas.microsoft.com/office/drawing/2014/main" id="{5909EC8F-AE30-47E7-8772-39DADDB91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9168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268</xdr:row>
      <xdr:rowOff>0</xdr:rowOff>
    </xdr:from>
    <xdr:to>
      <xdr:col>32</xdr:col>
      <xdr:colOff>171450</xdr:colOff>
      <xdr:row>268</xdr:row>
      <xdr:rowOff>152400</xdr:rowOff>
    </xdr:to>
    <xdr:pic>
      <xdr:nvPicPr>
        <xdr:cNvPr id="269" name="Picture@0P@" descr="@0P@">
          <a:extLst>
            <a:ext uri="{FF2B5EF4-FFF2-40B4-BE49-F238E27FC236}">
              <a16:creationId xmlns:a16="http://schemas.microsoft.com/office/drawing/2014/main" id="{CB54E4DA-C1F5-4582-8CD9-17BBC7778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9352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269</xdr:row>
      <xdr:rowOff>0</xdr:rowOff>
    </xdr:from>
    <xdr:to>
      <xdr:col>32</xdr:col>
      <xdr:colOff>171450</xdr:colOff>
      <xdr:row>269</xdr:row>
      <xdr:rowOff>152400</xdr:rowOff>
    </xdr:to>
    <xdr:pic>
      <xdr:nvPicPr>
        <xdr:cNvPr id="270" name="Picture@0P@" descr="@0P@">
          <a:extLst>
            <a:ext uri="{FF2B5EF4-FFF2-40B4-BE49-F238E27FC236}">
              <a16:creationId xmlns:a16="http://schemas.microsoft.com/office/drawing/2014/main" id="{717FCB5C-6AC9-4FAF-A607-17F9169472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9536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270</xdr:row>
      <xdr:rowOff>0</xdr:rowOff>
    </xdr:from>
    <xdr:to>
      <xdr:col>32</xdr:col>
      <xdr:colOff>171450</xdr:colOff>
      <xdr:row>270</xdr:row>
      <xdr:rowOff>152400</xdr:rowOff>
    </xdr:to>
    <xdr:pic>
      <xdr:nvPicPr>
        <xdr:cNvPr id="271" name="Picture@0P@" descr="@0P@">
          <a:extLst>
            <a:ext uri="{FF2B5EF4-FFF2-40B4-BE49-F238E27FC236}">
              <a16:creationId xmlns:a16="http://schemas.microsoft.com/office/drawing/2014/main" id="{9BF3014D-A9A8-4A90-A691-94C5B8C50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9720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271</xdr:row>
      <xdr:rowOff>0</xdr:rowOff>
    </xdr:from>
    <xdr:to>
      <xdr:col>32</xdr:col>
      <xdr:colOff>171450</xdr:colOff>
      <xdr:row>271</xdr:row>
      <xdr:rowOff>152400</xdr:rowOff>
    </xdr:to>
    <xdr:pic>
      <xdr:nvPicPr>
        <xdr:cNvPr id="272" name="Picture@0P@" descr="@0P@">
          <a:extLst>
            <a:ext uri="{FF2B5EF4-FFF2-40B4-BE49-F238E27FC236}">
              <a16:creationId xmlns:a16="http://schemas.microsoft.com/office/drawing/2014/main" id="{D83A40B4-590C-4F76-9B78-11DA89C75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49904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272</xdr:row>
      <xdr:rowOff>0</xdr:rowOff>
    </xdr:from>
    <xdr:to>
      <xdr:col>32</xdr:col>
      <xdr:colOff>171450</xdr:colOff>
      <xdr:row>272</xdr:row>
      <xdr:rowOff>152400</xdr:rowOff>
    </xdr:to>
    <xdr:pic>
      <xdr:nvPicPr>
        <xdr:cNvPr id="273" name="Picture@0P@" descr="@0P@">
          <a:extLst>
            <a:ext uri="{FF2B5EF4-FFF2-40B4-BE49-F238E27FC236}">
              <a16:creationId xmlns:a16="http://schemas.microsoft.com/office/drawing/2014/main" id="{C0C728D2-A6BA-426B-BA21-FB790A1458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0088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273</xdr:row>
      <xdr:rowOff>0</xdr:rowOff>
    </xdr:from>
    <xdr:to>
      <xdr:col>32</xdr:col>
      <xdr:colOff>171450</xdr:colOff>
      <xdr:row>273</xdr:row>
      <xdr:rowOff>152400</xdr:rowOff>
    </xdr:to>
    <xdr:pic>
      <xdr:nvPicPr>
        <xdr:cNvPr id="274" name="Picture@0P@" descr="@0P@">
          <a:extLst>
            <a:ext uri="{FF2B5EF4-FFF2-40B4-BE49-F238E27FC236}">
              <a16:creationId xmlns:a16="http://schemas.microsoft.com/office/drawing/2014/main" id="{DAA05AAF-DDAB-4145-A651-F58A3180A0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0272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274</xdr:row>
      <xdr:rowOff>0</xdr:rowOff>
    </xdr:from>
    <xdr:to>
      <xdr:col>32</xdr:col>
      <xdr:colOff>171450</xdr:colOff>
      <xdr:row>274</xdr:row>
      <xdr:rowOff>152400</xdr:rowOff>
    </xdr:to>
    <xdr:pic>
      <xdr:nvPicPr>
        <xdr:cNvPr id="275" name="Picture@0P@" descr="@0P@">
          <a:extLst>
            <a:ext uri="{FF2B5EF4-FFF2-40B4-BE49-F238E27FC236}">
              <a16:creationId xmlns:a16="http://schemas.microsoft.com/office/drawing/2014/main" id="{4791076D-DAA1-42F8-A508-29670E7BF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0457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275</xdr:row>
      <xdr:rowOff>0</xdr:rowOff>
    </xdr:from>
    <xdr:to>
      <xdr:col>32</xdr:col>
      <xdr:colOff>171450</xdr:colOff>
      <xdr:row>275</xdr:row>
      <xdr:rowOff>152400</xdr:rowOff>
    </xdr:to>
    <xdr:pic>
      <xdr:nvPicPr>
        <xdr:cNvPr id="276" name="Picture@0P@" descr="@0P@">
          <a:extLst>
            <a:ext uri="{FF2B5EF4-FFF2-40B4-BE49-F238E27FC236}">
              <a16:creationId xmlns:a16="http://schemas.microsoft.com/office/drawing/2014/main" id="{0C890295-A95B-4F7B-8592-8CC05C9927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0641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276</xdr:row>
      <xdr:rowOff>0</xdr:rowOff>
    </xdr:from>
    <xdr:to>
      <xdr:col>32</xdr:col>
      <xdr:colOff>171450</xdr:colOff>
      <xdr:row>276</xdr:row>
      <xdr:rowOff>152400</xdr:rowOff>
    </xdr:to>
    <xdr:pic>
      <xdr:nvPicPr>
        <xdr:cNvPr id="277" name="Picture@0P@" descr="@0P@">
          <a:extLst>
            <a:ext uri="{FF2B5EF4-FFF2-40B4-BE49-F238E27FC236}">
              <a16:creationId xmlns:a16="http://schemas.microsoft.com/office/drawing/2014/main" id="{F7AA71B8-552F-4B5F-BFFB-A892B5BCD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0825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277</xdr:row>
      <xdr:rowOff>0</xdr:rowOff>
    </xdr:from>
    <xdr:to>
      <xdr:col>32</xdr:col>
      <xdr:colOff>171450</xdr:colOff>
      <xdr:row>277</xdr:row>
      <xdr:rowOff>152400</xdr:rowOff>
    </xdr:to>
    <xdr:pic>
      <xdr:nvPicPr>
        <xdr:cNvPr id="278" name="Picture@0P@" descr="@0P@">
          <a:extLst>
            <a:ext uri="{FF2B5EF4-FFF2-40B4-BE49-F238E27FC236}">
              <a16:creationId xmlns:a16="http://schemas.microsoft.com/office/drawing/2014/main" id="{94E15305-DAD0-4042-B954-463A1AC907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1009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278</xdr:row>
      <xdr:rowOff>0</xdr:rowOff>
    </xdr:from>
    <xdr:to>
      <xdr:col>32</xdr:col>
      <xdr:colOff>171450</xdr:colOff>
      <xdr:row>278</xdr:row>
      <xdr:rowOff>152400</xdr:rowOff>
    </xdr:to>
    <xdr:pic>
      <xdr:nvPicPr>
        <xdr:cNvPr id="279" name="Picture@0P@" descr="@0P@">
          <a:extLst>
            <a:ext uri="{FF2B5EF4-FFF2-40B4-BE49-F238E27FC236}">
              <a16:creationId xmlns:a16="http://schemas.microsoft.com/office/drawing/2014/main" id="{52E5B1EB-DBC8-4E7C-8749-40BEE830C8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1193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279</xdr:row>
      <xdr:rowOff>0</xdr:rowOff>
    </xdr:from>
    <xdr:to>
      <xdr:col>32</xdr:col>
      <xdr:colOff>171450</xdr:colOff>
      <xdr:row>279</xdr:row>
      <xdr:rowOff>152400</xdr:rowOff>
    </xdr:to>
    <xdr:pic>
      <xdr:nvPicPr>
        <xdr:cNvPr id="280" name="Picture@0P@" descr="@0P@">
          <a:extLst>
            <a:ext uri="{FF2B5EF4-FFF2-40B4-BE49-F238E27FC236}">
              <a16:creationId xmlns:a16="http://schemas.microsoft.com/office/drawing/2014/main" id="{3EFC9D72-B398-4345-A6C9-21D234174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1377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280</xdr:row>
      <xdr:rowOff>0</xdr:rowOff>
    </xdr:from>
    <xdr:to>
      <xdr:col>32</xdr:col>
      <xdr:colOff>171450</xdr:colOff>
      <xdr:row>280</xdr:row>
      <xdr:rowOff>152400</xdr:rowOff>
    </xdr:to>
    <xdr:pic>
      <xdr:nvPicPr>
        <xdr:cNvPr id="281" name="Picture@0P@" descr="@0P@">
          <a:extLst>
            <a:ext uri="{FF2B5EF4-FFF2-40B4-BE49-F238E27FC236}">
              <a16:creationId xmlns:a16="http://schemas.microsoft.com/office/drawing/2014/main" id="{526C585F-3D5E-4A7F-8F47-B1D2603322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1562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281</xdr:row>
      <xdr:rowOff>0</xdr:rowOff>
    </xdr:from>
    <xdr:to>
      <xdr:col>32</xdr:col>
      <xdr:colOff>171450</xdr:colOff>
      <xdr:row>281</xdr:row>
      <xdr:rowOff>152400</xdr:rowOff>
    </xdr:to>
    <xdr:pic>
      <xdr:nvPicPr>
        <xdr:cNvPr id="282" name="Picture@0P@" descr="@0P@">
          <a:extLst>
            <a:ext uri="{FF2B5EF4-FFF2-40B4-BE49-F238E27FC236}">
              <a16:creationId xmlns:a16="http://schemas.microsoft.com/office/drawing/2014/main" id="{A5EBA7D1-29E3-4CB2-BE0D-93B2C664C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1746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282</xdr:row>
      <xdr:rowOff>0</xdr:rowOff>
    </xdr:from>
    <xdr:to>
      <xdr:col>32</xdr:col>
      <xdr:colOff>171450</xdr:colOff>
      <xdr:row>282</xdr:row>
      <xdr:rowOff>152400</xdr:rowOff>
    </xdr:to>
    <xdr:pic>
      <xdr:nvPicPr>
        <xdr:cNvPr id="283" name="Picture@0P@" descr="@0P@">
          <a:extLst>
            <a:ext uri="{FF2B5EF4-FFF2-40B4-BE49-F238E27FC236}">
              <a16:creationId xmlns:a16="http://schemas.microsoft.com/office/drawing/2014/main" id="{94BF4902-D377-4041-98C9-C13903545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1930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283</xdr:row>
      <xdr:rowOff>0</xdr:rowOff>
    </xdr:from>
    <xdr:to>
      <xdr:col>32</xdr:col>
      <xdr:colOff>171450</xdr:colOff>
      <xdr:row>283</xdr:row>
      <xdr:rowOff>152400</xdr:rowOff>
    </xdr:to>
    <xdr:pic>
      <xdr:nvPicPr>
        <xdr:cNvPr id="284" name="Picture@0P@" descr="@0P@">
          <a:extLst>
            <a:ext uri="{FF2B5EF4-FFF2-40B4-BE49-F238E27FC236}">
              <a16:creationId xmlns:a16="http://schemas.microsoft.com/office/drawing/2014/main" id="{67CE45C6-F43A-4D22-8143-4C94C2C0F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2114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284</xdr:row>
      <xdr:rowOff>0</xdr:rowOff>
    </xdr:from>
    <xdr:to>
      <xdr:col>32</xdr:col>
      <xdr:colOff>171450</xdr:colOff>
      <xdr:row>284</xdr:row>
      <xdr:rowOff>152400</xdr:rowOff>
    </xdr:to>
    <xdr:pic>
      <xdr:nvPicPr>
        <xdr:cNvPr id="285" name="Picture@0P@" descr="@0P@">
          <a:extLst>
            <a:ext uri="{FF2B5EF4-FFF2-40B4-BE49-F238E27FC236}">
              <a16:creationId xmlns:a16="http://schemas.microsoft.com/office/drawing/2014/main" id="{7FBCDBA6-F962-414C-B741-0E96F5A874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2298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285</xdr:row>
      <xdr:rowOff>0</xdr:rowOff>
    </xdr:from>
    <xdr:to>
      <xdr:col>32</xdr:col>
      <xdr:colOff>171450</xdr:colOff>
      <xdr:row>285</xdr:row>
      <xdr:rowOff>152400</xdr:rowOff>
    </xdr:to>
    <xdr:pic>
      <xdr:nvPicPr>
        <xdr:cNvPr id="286" name="Picture@0P@" descr="@0P@">
          <a:extLst>
            <a:ext uri="{FF2B5EF4-FFF2-40B4-BE49-F238E27FC236}">
              <a16:creationId xmlns:a16="http://schemas.microsoft.com/office/drawing/2014/main" id="{3240B33E-DC82-4A06-B9A8-6511D6E38D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2482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286</xdr:row>
      <xdr:rowOff>0</xdr:rowOff>
    </xdr:from>
    <xdr:to>
      <xdr:col>32</xdr:col>
      <xdr:colOff>171450</xdr:colOff>
      <xdr:row>286</xdr:row>
      <xdr:rowOff>152400</xdr:rowOff>
    </xdr:to>
    <xdr:pic>
      <xdr:nvPicPr>
        <xdr:cNvPr id="287" name="Picture@0P@" descr="@0P@">
          <a:extLst>
            <a:ext uri="{FF2B5EF4-FFF2-40B4-BE49-F238E27FC236}">
              <a16:creationId xmlns:a16="http://schemas.microsoft.com/office/drawing/2014/main" id="{6212F03E-3686-444E-9983-2D174A6C0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2666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287</xdr:row>
      <xdr:rowOff>0</xdr:rowOff>
    </xdr:from>
    <xdr:to>
      <xdr:col>32</xdr:col>
      <xdr:colOff>171450</xdr:colOff>
      <xdr:row>287</xdr:row>
      <xdr:rowOff>152400</xdr:rowOff>
    </xdr:to>
    <xdr:pic>
      <xdr:nvPicPr>
        <xdr:cNvPr id="288" name="Picture@0P@" descr="@0P@">
          <a:extLst>
            <a:ext uri="{FF2B5EF4-FFF2-40B4-BE49-F238E27FC236}">
              <a16:creationId xmlns:a16="http://schemas.microsoft.com/office/drawing/2014/main" id="{1E3CCB3F-8D3F-4B8C-B574-F4E6ED8AA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2851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288</xdr:row>
      <xdr:rowOff>0</xdr:rowOff>
    </xdr:from>
    <xdr:to>
      <xdr:col>32</xdr:col>
      <xdr:colOff>171450</xdr:colOff>
      <xdr:row>288</xdr:row>
      <xdr:rowOff>152400</xdr:rowOff>
    </xdr:to>
    <xdr:pic>
      <xdr:nvPicPr>
        <xdr:cNvPr id="289" name="Picture@0P@" descr="@0P@">
          <a:extLst>
            <a:ext uri="{FF2B5EF4-FFF2-40B4-BE49-F238E27FC236}">
              <a16:creationId xmlns:a16="http://schemas.microsoft.com/office/drawing/2014/main" id="{198081BD-CA1E-44E8-AB3F-2C0530C897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3035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289</xdr:row>
      <xdr:rowOff>0</xdr:rowOff>
    </xdr:from>
    <xdr:to>
      <xdr:col>32</xdr:col>
      <xdr:colOff>171450</xdr:colOff>
      <xdr:row>289</xdr:row>
      <xdr:rowOff>152400</xdr:rowOff>
    </xdr:to>
    <xdr:pic>
      <xdr:nvPicPr>
        <xdr:cNvPr id="290" name="Picture@0P@" descr="@0P@">
          <a:extLst>
            <a:ext uri="{FF2B5EF4-FFF2-40B4-BE49-F238E27FC236}">
              <a16:creationId xmlns:a16="http://schemas.microsoft.com/office/drawing/2014/main" id="{8DD1349F-F15A-43E4-B447-3DBC292D56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3219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290</xdr:row>
      <xdr:rowOff>0</xdr:rowOff>
    </xdr:from>
    <xdr:to>
      <xdr:col>32</xdr:col>
      <xdr:colOff>171450</xdr:colOff>
      <xdr:row>290</xdr:row>
      <xdr:rowOff>152400</xdr:rowOff>
    </xdr:to>
    <xdr:pic>
      <xdr:nvPicPr>
        <xdr:cNvPr id="291" name="Picture@0P@" descr="@0P@">
          <a:extLst>
            <a:ext uri="{FF2B5EF4-FFF2-40B4-BE49-F238E27FC236}">
              <a16:creationId xmlns:a16="http://schemas.microsoft.com/office/drawing/2014/main" id="{3871BFDE-469E-4D32-96A1-6560145F6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3403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291</xdr:row>
      <xdr:rowOff>0</xdr:rowOff>
    </xdr:from>
    <xdr:to>
      <xdr:col>32</xdr:col>
      <xdr:colOff>171450</xdr:colOff>
      <xdr:row>291</xdr:row>
      <xdr:rowOff>152400</xdr:rowOff>
    </xdr:to>
    <xdr:pic>
      <xdr:nvPicPr>
        <xdr:cNvPr id="292" name="Picture@0P@" descr="@0P@">
          <a:extLst>
            <a:ext uri="{FF2B5EF4-FFF2-40B4-BE49-F238E27FC236}">
              <a16:creationId xmlns:a16="http://schemas.microsoft.com/office/drawing/2014/main" id="{200076E4-8E18-4C61-913F-DE691FD64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3587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292</xdr:row>
      <xdr:rowOff>0</xdr:rowOff>
    </xdr:from>
    <xdr:to>
      <xdr:col>32</xdr:col>
      <xdr:colOff>171450</xdr:colOff>
      <xdr:row>292</xdr:row>
      <xdr:rowOff>152400</xdr:rowOff>
    </xdr:to>
    <xdr:pic>
      <xdr:nvPicPr>
        <xdr:cNvPr id="293" name="Picture@0P@" descr="@0P@">
          <a:extLst>
            <a:ext uri="{FF2B5EF4-FFF2-40B4-BE49-F238E27FC236}">
              <a16:creationId xmlns:a16="http://schemas.microsoft.com/office/drawing/2014/main" id="{B39ACEFB-68FE-44E5-9304-4496842A9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3771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293</xdr:row>
      <xdr:rowOff>0</xdr:rowOff>
    </xdr:from>
    <xdr:to>
      <xdr:col>32</xdr:col>
      <xdr:colOff>171450</xdr:colOff>
      <xdr:row>293</xdr:row>
      <xdr:rowOff>152400</xdr:rowOff>
    </xdr:to>
    <xdr:pic>
      <xdr:nvPicPr>
        <xdr:cNvPr id="294" name="Picture@0P@" descr="@0P@">
          <a:extLst>
            <a:ext uri="{FF2B5EF4-FFF2-40B4-BE49-F238E27FC236}">
              <a16:creationId xmlns:a16="http://schemas.microsoft.com/office/drawing/2014/main" id="{725C9DC9-4740-40EF-9A06-FE794C0FA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3955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294</xdr:row>
      <xdr:rowOff>0</xdr:rowOff>
    </xdr:from>
    <xdr:to>
      <xdr:col>32</xdr:col>
      <xdr:colOff>171450</xdr:colOff>
      <xdr:row>294</xdr:row>
      <xdr:rowOff>152400</xdr:rowOff>
    </xdr:to>
    <xdr:pic>
      <xdr:nvPicPr>
        <xdr:cNvPr id="295" name="Picture@0P@" descr="@0P@">
          <a:extLst>
            <a:ext uri="{FF2B5EF4-FFF2-40B4-BE49-F238E27FC236}">
              <a16:creationId xmlns:a16="http://schemas.microsoft.com/office/drawing/2014/main" id="{AD3583D8-9647-406F-BA6A-9D5A98815D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4140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295</xdr:row>
      <xdr:rowOff>0</xdr:rowOff>
    </xdr:from>
    <xdr:to>
      <xdr:col>32</xdr:col>
      <xdr:colOff>171450</xdr:colOff>
      <xdr:row>295</xdr:row>
      <xdr:rowOff>152400</xdr:rowOff>
    </xdr:to>
    <xdr:pic>
      <xdr:nvPicPr>
        <xdr:cNvPr id="296" name="Picture@0P@" descr="@0P@">
          <a:extLst>
            <a:ext uri="{FF2B5EF4-FFF2-40B4-BE49-F238E27FC236}">
              <a16:creationId xmlns:a16="http://schemas.microsoft.com/office/drawing/2014/main" id="{615C2388-8347-441B-8F4F-0C96CC7244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4324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296</xdr:row>
      <xdr:rowOff>0</xdr:rowOff>
    </xdr:from>
    <xdr:to>
      <xdr:col>32</xdr:col>
      <xdr:colOff>171450</xdr:colOff>
      <xdr:row>296</xdr:row>
      <xdr:rowOff>152400</xdr:rowOff>
    </xdr:to>
    <xdr:pic>
      <xdr:nvPicPr>
        <xdr:cNvPr id="297" name="Picture@0P@" descr="@0P@">
          <a:extLst>
            <a:ext uri="{FF2B5EF4-FFF2-40B4-BE49-F238E27FC236}">
              <a16:creationId xmlns:a16="http://schemas.microsoft.com/office/drawing/2014/main" id="{A77206AB-1654-452B-B2B6-4093048E0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4508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297</xdr:row>
      <xdr:rowOff>0</xdr:rowOff>
    </xdr:from>
    <xdr:to>
      <xdr:col>32</xdr:col>
      <xdr:colOff>171450</xdr:colOff>
      <xdr:row>297</xdr:row>
      <xdr:rowOff>152400</xdr:rowOff>
    </xdr:to>
    <xdr:pic>
      <xdr:nvPicPr>
        <xdr:cNvPr id="298" name="Picture@0P@" descr="@0P@">
          <a:extLst>
            <a:ext uri="{FF2B5EF4-FFF2-40B4-BE49-F238E27FC236}">
              <a16:creationId xmlns:a16="http://schemas.microsoft.com/office/drawing/2014/main" id="{F8945BF2-23DD-4A7E-9DFE-90EA54353C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4692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298</xdr:row>
      <xdr:rowOff>0</xdr:rowOff>
    </xdr:from>
    <xdr:to>
      <xdr:col>32</xdr:col>
      <xdr:colOff>171450</xdr:colOff>
      <xdr:row>298</xdr:row>
      <xdr:rowOff>152400</xdr:rowOff>
    </xdr:to>
    <xdr:pic>
      <xdr:nvPicPr>
        <xdr:cNvPr id="299" name="Picture@0P@" descr="@0P@">
          <a:extLst>
            <a:ext uri="{FF2B5EF4-FFF2-40B4-BE49-F238E27FC236}">
              <a16:creationId xmlns:a16="http://schemas.microsoft.com/office/drawing/2014/main" id="{31F15361-F34B-48F9-8290-C5AA2E0CAD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4876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299</xdr:row>
      <xdr:rowOff>0</xdr:rowOff>
    </xdr:from>
    <xdr:to>
      <xdr:col>32</xdr:col>
      <xdr:colOff>171450</xdr:colOff>
      <xdr:row>299</xdr:row>
      <xdr:rowOff>152400</xdr:rowOff>
    </xdr:to>
    <xdr:pic>
      <xdr:nvPicPr>
        <xdr:cNvPr id="300" name="Picture@0P@" descr="@0P@">
          <a:extLst>
            <a:ext uri="{FF2B5EF4-FFF2-40B4-BE49-F238E27FC236}">
              <a16:creationId xmlns:a16="http://schemas.microsoft.com/office/drawing/2014/main" id="{D07AF02F-C8C1-4331-BC03-94F128D9B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5060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300</xdr:row>
      <xdr:rowOff>0</xdr:rowOff>
    </xdr:from>
    <xdr:to>
      <xdr:col>32</xdr:col>
      <xdr:colOff>171450</xdr:colOff>
      <xdr:row>300</xdr:row>
      <xdr:rowOff>152400</xdr:rowOff>
    </xdr:to>
    <xdr:pic>
      <xdr:nvPicPr>
        <xdr:cNvPr id="301" name="Picture@0P@" descr="@0P@">
          <a:extLst>
            <a:ext uri="{FF2B5EF4-FFF2-40B4-BE49-F238E27FC236}">
              <a16:creationId xmlns:a16="http://schemas.microsoft.com/office/drawing/2014/main" id="{6D3A861C-BDFC-4867-B776-8A55E698CE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5245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301</xdr:row>
      <xdr:rowOff>0</xdr:rowOff>
    </xdr:from>
    <xdr:to>
      <xdr:col>32</xdr:col>
      <xdr:colOff>171450</xdr:colOff>
      <xdr:row>301</xdr:row>
      <xdr:rowOff>152400</xdr:rowOff>
    </xdr:to>
    <xdr:pic>
      <xdr:nvPicPr>
        <xdr:cNvPr id="302" name="Picture@0P@" descr="@0P@">
          <a:extLst>
            <a:ext uri="{FF2B5EF4-FFF2-40B4-BE49-F238E27FC236}">
              <a16:creationId xmlns:a16="http://schemas.microsoft.com/office/drawing/2014/main" id="{72BABE0B-D481-48E4-966D-C052A89D7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5429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302</xdr:row>
      <xdr:rowOff>0</xdr:rowOff>
    </xdr:from>
    <xdr:to>
      <xdr:col>32</xdr:col>
      <xdr:colOff>171450</xdr:colOff>
      <xdr:row>302</xdr:row>
      <xdr:rowOff>152400</xdr:rowOff>
    </xdr:to>
    <xdr:pic>
      <xdr:nvPicPr>
        <xdr:cNvPr id="303" name="Picture@0P@" descr="@0P@">
          <a:extLst>
            <a:ext uri="{FF2B5EF4-FFF2-40B4-BE49-F238E27FC236}">
              <a16:creationId xmlns:a16="http://schemas.microsoft.com/office/drawing/2014/main" id="{906DA02D-69C7-4D7D-B8F5-59E336BEAF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5613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303</xdr:row>
      <xdr:rowOff>0</xdr:rowOff>
    </xdr:from>
    <xdr:to>
      <xdr:col>32</xdr:col>
      <xdr:colOff>171450</xdr:colOff>
      <xdr:row>303</xdr:row>
      <xdr:rowOff>152400</xdr:rowOff>
    </xdr:to>
    <xdr:pic>
      <xdr:nvPicPr>
        <xdr:cNvPr id="304" name="Picture@0P@" descr="@0P@">
          <a:extLst>
            <a:ext uri="{FF2B5EF4-FFF2-40B4-BE49-F238E27FC236}">
              <a16:creationId xmlns:a16="http://schemas.microsoft.com/office/drawing/2014/main" id="{F5B20A48-8FB4-4583-A7D3-9A4554A922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5797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304</xdr:row>
      <xdr:rowOff>0</xdr:rowOff>
    </xdr:from>
    <xdr:to>
      <xdr:col>32</xdr:col>
      <xdr:colOff>171450</xdr:colOff>
      <xdr:row>304</xdr:row>
      <xdr:rowOff>152400</xdr:rowOff>
    </xdr:to>
    <xdr:pic>
      <xdr:nvPicPr>
        <xdr:cNvPr id="305" name="Picture@0P@" descr="@0P@">
          <a:extLst>
            <a:ext uri="{FF2B5EF4-FFF2-40B4-BE49-F238E27FC236}">
              <a16:creationId xmlns:a16="http://schemas.microsoft.com/office/drawing/2014/main" id="{D98540C3-E47F-4255-B7FD-F78750AC4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5981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305</xdr:row>
      <xdr:rowOff>0</xdr:rowOff>
    </xdr:from>
    <xdr:to>
      <xdr:col>32</xdr:col>
      <xdr:colOff>171450</xdr:colOff>
      <xdr:row>305</xdr:row>
      <xdr:rowOff>152400</xdr:rowOff>
    </xdr:to>
    <xdr:pic>
      <xdr:nvPicPr>
        <xdr:cNvPr id="306" name="Picture@0P@" descr="@0P@">
          <a:extLst>
            <a:ext uri="{FF2B5EF4-FFF2-40B4-BE49-F238E27FC236}">
              <a16:creationId xmlns:a16="http://schemas.microsoft.com/office/drawing/2014/main" id="{E8F5E2B0-7A1F-481D-AF83-1623B290D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6165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306</xdr:row>
      <xdr:rowOff>0</xdr:rowOff>
    </xdr:from>
    <xdr:to>
      <xdr:col>32</xdr:col>
      <xdr:colOff>171450</xdr:colOff>
      <xdr:row>306</xdr:row>
      <xdr:rowOff>152400</xdr:rowOff>
    </xdr:to>
    <xdr:pic>
      <xdr:nvPicPr>
        <xdr:cNvPr id="307" name="Picture@0P@" descr="@0P@">
          <a:extLst>
            <a:ext uri="{FF2B5EF4-FFF2-40B4-BE49-F238E27FC236}">
              <a16:creationId xmlns:a16="http://schemas.microsoft.com/office/drawing/2014/main" id="{8D27A8D0-D4F0-4CBB-9BBC-3ADC6383A3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6349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307</xdr:row>
      <xdr:rowOff>0</xdr:rowOff>
    </xdr:from>
    <xdr:to>
      <xdr:col>32</xdr:col>
      <xdr:colOff>171450</xdr:colOff>
      <xdr:row>307</xdr:row>
      <xdr:rowOff>152400</xdr:rowOff>
    </xdr:to>
    <xdr:pic>
      <xdr:nvPicPr>
        <xdr:cNvPr id="308" name="Picture@0P@" descr="@0P@">
          <a:extLst>
            <a:ext uri="{FF2B5EF4-FFF2-40B4-BE49-F238E27FC236}">
              <a16:creationId xmlns:a16="http://schemas.microsoft.com/office/drawing/2014/main" id="{BDF09562-2BF7-46DB-9E90-BF2DB46B3C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6534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308</xdr:row>
      <xdr:rowOff>0</xdr:rowOff>
    </xdr:from>
    <xdr:to>
      <xdr:col>32</xdr:col>
      <xdr:colOff>171450</xdr:colOff>
      <xdr:row>308</xdr:row>
      <xdr:rowOff>152400</xdr:rowOff>
    </xdr:to>
    <xdr:pic>
      <xdr:nvPicPr>
        <xdr:cNvPr id="309" name="Picture@0P@" descr="@0P@">
          <a:extLst>
            <a:ext uri="{FF2B5EF4-FFF2-40B4-BE49-F238E27FC236}">
              <a16:creationId xmlns:a16="http://schemas.microsoft.com/office/drawing/2014/main" id="{5E173E9C-0074-4773-BF5D-C1B33A2C9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6718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309</xdr:row>
      <xdr:rowOff>0</xdr:rowOff>
    </xdr:from>
    <xdr:to>
      <xdr:col>32</xdr:col>
      <xdr:colOff>171450</xdr:colOff>
      <xdr:row>309</xdr:row>
      <xdr:rowOff>152400</xdr:rowOff>
    </xdr:to>
    <xdr:pic>
      <xdr:nvPicPr>
        <xdr:cNvPr id="310" name="Picture@0P@" descr="@0P@">
          <a:extLst>
            <a:ext uri="{FF2B5EF4-FFF2-40B4-BE49-F238E27FC236}">
              <a16:creationId xmlns:a16="http://schemas.microsoft.com/office/drawing/2014/main" id="{40B0E773-9B23-46C3-ACFA-4127BE877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6902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310</xdr:row>
      <xdr:rowOff>0</xdr:rowOff>
    </xdr:from>
    <xdr:to>
      <xdr:col>32</xdr:col>
      <xdr:colOff>171450</xdr:colOff>
      <xdr:row>310</xdr:row>
      <xdr:rowOff>152400</xdr:rowOff>
    </xdr:to>
    <xdr:pic>
      <xdr:nvPicPr>
        <xdr:cNvPr id="311" name="Picture@0P@" descr="@0P@">
          <a:extLst>
            <a:ext uri="{FF2B5EF4-FFF2-40B4-BE49-F238E27FC236}">
              <a16:creationId xmlns:a16="http://schemas.microsoft.com/office/drawing/2014/main" id="{B03EC598-01C2-4137-95C9-DD74EAD81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7086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311</xdr:row>
      <xdr:rowOff>0</xdr:rowOff>
    </xdr:from>
    <xdr:to>
      <xdr:col>32</xdr:col>
      <xdr:colOff>171450</xdr:colOff>
      <xdr:row>311</xdr:row>
      <xdr:rowOff>152400</xdr:rowOff>
    </xdr:to>
    <xdr:pic>
      <xdr:nvPicPr>
        <xdr:cNvPr id="312" name="Picture@0P@" descr="@0P@">
          <a:extLst>
            <a:ext uri="{FF2B5EF4-FFF2-40B4-BE49-F238E27FC236}">
              <a16:creationId xmlns:a16="http://schemas.microsoft.com/office/drawing/2014/main" id="{49488AD3-2684-4E35-9BD5-C11E38C4F0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7270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312</xdr:row>
      <xdr:rowOff>0</xdr:rowOff>
    </xdr:from>
    <xdr:to>
      <xdr:col>32</xdr:col>
      <xdr:colOff>171450</xdr:colOff>
      <xdr:row>312</xdr:row>
      <xdr:rowOff>152400</xdr:rowOff>
    </xdr:to>
    <xdr:pic>
      <xdr:nvPicPr>
        <xdr:cNvPr id="313" name="Picture@0P@" descr="@0P@">
          <a:extLst>
            <a:ext uri="{FF2B5EF4-FFF2-40B4-BE49-F238E27FC236}">
              <a16:creationId xmlns:a16="http://schemas.microsoft.com/office/drawing/2014/main" id="{AB7906B6-D4FC-44FE-BD30-5A1CBB565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7454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313</xdr:row>
      <xdr:rowOff>0</xdr:rowOff>
    </xdr:from>
    <xdr:to>
      <xdr:col>32</xdr:col>
      <xdr:colOff>171450</xdr:colOff>
      <xdr:row>313</xdr:row>
      <xdr:rowOff>152400</xdr:rowOff>
    </xdr:to>
    <xdr:pic>
      <xdr:nvPicPr>
        <xdr:cNvPr id="314" name="Picture@0P@" descr="@0P@">
          <a:extLst>
            <a:ext uri="{FF2B5EF4-FFF2-40B4-BE49-F238E27FC236}">
              <a16:creationId xmlns:a16="http://schemas.microsoft.com/office/drawing/2014/main" id="{6B11F348-3828-4C93-9477-112C4547C2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7638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314</xdr:row>
      <xdr:rowOff>0</xdr:rowOff>
    </xdr:from>
    <xdr:to>
      <xdr:col>32</xdr:col>
      <xdr:colOff>171450</xdr:colOff>
      <xdr:row>314</xdr:row>
      <xdr:rowOff>152400</xdr:rowOff>
    </xdr:to>
    <xdr:pic>
      <xdr:nvPicPr>
        <xdr:cNvPr id="315" name="Picture@0P@" descr="@0P@">
          <a:extLst>
            <a:ext uri="{FF2B5EF4-FFF2-40B4-BE49-F238E27FC236}">
              <a16:creationId xmlns:a16="http://schemas.microsoft.com/office/drawing/2014/main" id="{B8F4D6CE-AEB0-4FF2-A7B6-B6CDF305AF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7823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315</xdr:row>
      <xdr:rowOff>0</xdr:rowOff>
    </xdr:from>
    <xdr:to>
      <xdr:col>32</xdr:col>
      <xdr:colOff>171450</xdr:colOff>
      <xdr:row>315</xdr:row>
      <xdr:rowOff>152400</xdr:rowOff>
    </xdr:to>
    <xdr:pic>
      <xdr:nvPicPr>
        <xdr:cNvPr id="316" name="Picture@0P@" descr="@0P@">
          <a:extLst>
            <a:ext uri="{FF2B5EF4-FFF2-40B4-BE49-F238E27FC236}">
              <a16:creationId xmlns:a16="http://schemas.microsoft.com/office/drawing/2014/main" id="{4DFA0BBA-58C1-40D6-B5BA-727C1958AC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8007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316</xdr:row>
      <xdr:rowOff>0</xdr:rowOff>
    </xdr:from>
    <xdr:to>
      <xdr:col>32</xdr:col>
      <xdr:colOff>171450</xdr:colOff>
      <xdr:row>316</xdr:row>
      <xdr:rowOff>152400</xdr:rowOff>
    </xdr:to>
    <xdr:pic>
      <xdr:nvPicPr>
        <xdr:cNvPr id="317" name="Picture@0P@" descr="@0P@">
          <a:extLst>
            <a:ext uri="{FF2B5EF4-FFF2-40B4-BE49-F238E27FC236}">
              <a16:creationId xmlns:a16="http://schemas.microsoft.com/office/drawing/2014/main" id="{E1AB3400-677F-4924-A98A-948C97774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8191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317</xdr:row>
      <xdr:rowOff>0</xdr:rowOff>
    </xdr:from>
    <xdr:to>
      <xdr:col>32</xdr:col>
      <xdr:colOff>171450</xdr:colOff>
      <xdr:row>317</xdr:row>
      <xdr:rowOff>152400</xdr:rowOff>
    </xdr:to>
    <xdr:pic>
      <xdr:nvPicPr>
        <xdr:cNvPr id="318" name="Picture@0P@" descr="@0P@">
          <a:extLst>
            <a:ext uri="{FF2B5EF4-FFF2-40B4-BE49-F238E27FC236}">
              <a16:creationId xmlns:a16="http://schemas.microsoft.com/office/drawing/2014/main" id="{9CB10101-332C-4CD2-A9DF-D023B1CAA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83755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318</xdr:row>
      <xdr:rowOff>0</xdr:rowOff>
    </xdr:from>
    <xdr:to>
      <xdr:col>32</xdr:col>
      <xdr:colOff>171450</xdr:colOff>
      <xdr:row>318</xdr:row>
      <xdr:rowOff>152400</xdr:rowOff>
    </xdr:to>
    <xdr:pic>
      <xdr:nvPicPr>
        <xdr:cNvPr id="319" name="Picture@0P@" descr="@0P@">
          <a:extLst>
            <a:ext uri="{FF2B5EF4-FFF2-40B4-BE49-F238E27FC236}">
              <a16:creationId xmlns:a16="http://schemas.microsoft.com/office/drawing/2014/main" id="{1431277C-FEF9-4B88-AE17-98451FBA2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85597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319</xdr:row>
      <xdr:rowOff>0</xdr:rowOff>
    </xdr:from>
    <xdr:to>
      <xdr:col>32</xdr:col>
      <xdr:colOff>171450</xdr:colOff>
      <xdr:row>319</xdr:row>
      <xdr:rowOff>152400</xdr:rowOff>
    </xdr:to>
    <xdr:pic>
      <xdr:nvPicPr>
        <xdr:cNvPr id="320" name="Picture@0P@" descr="@0P@">
          <a:extLst>
            <a:ext uri="{FF2B5EF4-FFF2-40B4-BE49-F238E27FC236}">
              <a16:creationId xmlns:a16="http://schemas.microsoft.com/office/drawing/2014/main" id="{403299C9-5FEB-45CD-BCF7-D266A9DB93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87438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320</xdr:row>
      <xdr:rowOff>0</xdr:rowOff>
    </xdr:from>
    <xdr:to>
      <xdr:col>32</xdr:col>
      <xdr:colOff>171450</xdr:colOff>
      <xdr:row>320</xdr:row>
      <xdr:rowOff>152400</xdr:rowOff>
    </xdr:to>
    <xdr:pic>
      <xdr:nvPicPr>
        <xdr:cNvPr id="321" name="Picture@0P@" descr="@0P@">
          <a:extLst>
            <a:ext uri="{FF2B5EF4-FFF2-40B4-BE49-F238E27FC236}">
              <a16:creationId xmlns:a16="http://schemas.microsoft.com/office/drawing/2014/main" id="{F0F2D64B-5CF2-4D7A-AA5F-F15AD2CB09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89280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321</xdr:row>
      <xdr:rowOff>0</xdr:rowOff>
    </xdr:from>
    <xdr:to>
      <xdr:col>32</xdr:col>
      <xdr:colOff>171450</xdr:colOff>
      <xdr:row>321</xdr:row>
      <xdr:rowOff>152400</xdr:rowOff>
    </xdr:to>
    <xdr:pic>
      <xdr:nvPicPr>
        <xdr:cNvPr id="322" name="Picture@0P@" descr="@0P@">
          <a:extLst>
            <a:ext uri="{FF2B5EF4-FFF2-40B4-BE49-F238E27FC236}">
              <a16:creationId xmlns:a16="http://schemas.microsoft.com/office/drawing/2014/main" id="{20F8A4E2-E86D-43AF-B665-22B7888D5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91121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322</xdr:row>
      <xdr:rowOff>0</xdr:rowOff>
    </xdr:from>
    <xdr:to>
      <xdr:col>32</xdr:col>
      <xdr:colOff>171450</xdr:colOff>
      <xdr:row>322</xdr:row>
      <xdr:rowOff>152400</xdr:rowOff>
    </xdr:to>
    <xdr:pic>
      <xdr:nvPicPr>
        <xdr:cNvPr id="323" name="Picture@0P@" descr="@0P@">
          <a:extLst>
            <a:ext uri="{FF2B5EF4-FFF2-40B4-BE49-F238E27FC236}">
              <a16:creationId xmlns:a16="http://schemas.microsoft.com/office/drawing/2014/main" id="{EAD84243-531C-40F7-B34D-2A7B01B9C5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92963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323</xdr:row>
      <xdr:rowOff>0</xdr:rowOff>
    </xdr:from>
    <xdr:to>
      <xdr:col>32</xdr:col>
      <xdr:colOff>171450</xdr:colOff>
      <xdr:row>323</xdr:row>
      <xdr:rowOff>152400</xdr:rowOff>
    </xdr:to>
    <xdr:pic>
      <xdr:nvPicPr>
        <xdr:cNvPr id="324" name="Picture@0P@" descr="@0P@">
          <a:extLst>
            <a:ext uri="{FF2B5EF4-FFF2-40B4-BE49-F238E27FC236}">
              <a16:creationId xmlns:a16="http://schemas.microsoft.com/office/drawing/2014/main" id="{0E15284D-00E8-46A1-B7B7-67560C5A8D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94804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324</xdr:row>
      <xdr:rowOff>0</xdr:rowOff>
    </xdr:from>
    <xdr:to>
      <xdr:col>32</xdr:col>
      <xdr:colOff>171450</xdr:colOff>
      <xdr:row>324</xdr:row>
      <xdr:rowOff>152400</xdr:rowOff>
    </xdr:to>
    <xdr:pic>
      <xdr:nvPicPr>
        <xdr:cNvPr id="325" name="Picture@0P@" descr="@0P@">
          <a:extLst>
            <a:ext uri="{FF2B5EF4-FFF2-40B4-BE49-F238E27FC236}">
              <a16:creationId xmlns:a16="http://schemas.microsoft.com/office/drawing/2014/main" id="{F4DC4B20-8824-4928-9C7B-86F16DE92D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96646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325</xdr:row>
      <xdr:rowOff>0</xdr:rowOff>
    </xdr:from>
    <xdr:to>
      <xdr:col>32</xdr:col>
      <xdr:colOff>171450</xdr:colOff>
      <xdr:row>325</xdr:row>
      <xdr:rowOff>152400</xdr:rowOff>
    </xdr:to>
    <xdr:pic>
      <xdr:nvPicPr>
        <xdr:cNvPr id="326" name="Picture@0P@" descr="@0P@">
          <a:extLst>
            <a:ext uri="{FF2B5EF4-FFF2-40B4-BE49-F238E27FC236}">
              <a16:creationId xmlns:a16="http://schemas.microsoft.com/office/drawing/2014/main" id="{5C756F02-1560-493E-9B97-1B6E997A59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598487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326</xdr:row>
      <xdr:rowOff>0</xdr:rowOff>
    </xdr:from>
    <xdr:to>
      <xdr:col>32</xdr:col>
      <xdr:colOff>171450</xdr:colOff>
      <xdr:row>326</xdr:row>
      <xdr:rowOff>152400</xdr:rowOff>
    </xdr:to>
    <xdr:pic>
      <xdr:nvPicPr>
        <xdr:cNvPr id="327" name="Picture@0P@" descr="@0P@">
          <a:extLst>
            <a:ext uri="{FF2B5EF4-FFF2-40B4-BE49-F238E27FC236}">
              <a16:creationId xmlns:a16="http://schemas.microsoft.com/office/drawing/2014/main" id="{D8D3FC02-1BD9-4DA7-87C8-2C6755D4A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00329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327</xdr:row>
      <xdr:rowOff>0</xdr:rowOff>
    </xdr:from>
    <xdr:to>
      <xdr:col>32</xdr:col>
      <xdr:colOff>171450</xdr:colOff>
      <xdr:row>327</xdr:row>
      <xdr:rowOff>152400</xdr:rowOff>
    </xdr:to>
    <xdr:pic>
      <xdr:nvPicPr>
        <xdr:cNvPr id="328" name="Picture@0P@" descr="@0P@">
          <a:extLst>
            <a:ext uri="{FF2B5EF4-FFF2-40B4-BE49-F238E27FC236}">
              <a16:creationId xmlns:a16="http://schemas.microsoft.com/office/drawing/2014/main" id="{2BE10166-739C-414D-832D-ABC08E146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02170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328</xdr:row>
      <xdr:rowOff>0</xdr:rowOff>
    </xdr:from>
    <xdr:to>
      <xdr:col>32</xdr:col>
      <xdr:colOff>171450</xdr:colOff>
      <xdr:row>328</xdr:row>
      <xdr:rowOff>152400</xdr:rowOff>
    </xdr:to>
    <xdr:pic>
      <xdr:nvPicPr>
        <xdr:cNvPr id="329" name="Picture@0P@" descr="@0P@">
          <a:extLst>
            <a:ext uri="{FF2B5EF4-FFF2-40B4-BE49-F238E27FC236}">
              <a16:creationId xmlns:a16="http://schemas.microsoft.com/office/drawing/2014/main" id="{0F9FC826-9D64-4DA1-B708-153E7A8B5F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04012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329</xdr:row>
      <xdr:rowOff>0</xdr:rowOff>
    </xdr:from>
    <xdr:to>
      <xdr:col>32</xdr:col>
      <xdr:colOff>171450</xdr:colOff>
      <xdr:row>329</xdr:row>
      <xdr:rowOff>152400</xdr:rowOff>
    </xdr:to>
    <xdr:pic>
      <xdr:nvPicPr>
        <xdr:cNvPr id="330" name="Picture@0P@" descr="@0P@">
          <a:extLst>
            <a:ext uri="{FF2B5EF4-FFF2-40B4-BE49-F238E27FC236}">
              <a16:creationId xmlns:a16="http://schemas.microsoft.com/office/drawing/2014/main" id="{6C8427A8-ECD0-4524-BB10-04A4E25667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05853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330</xdr:row>
      <xdr:rowOff>0</xdr:rowOff>
    </xdr:from>
    <xdr:to>
      <xdr:col>32</xdr:col>
      <xdr:colOff>171450</xdr:colOff>
      <xdr:row>330</xdr:row>
      <xdr:rowOff>152400</xdr:rowOff>
    </xdr:to>
    <xdr:pic>
      <xdr:nvPicPr>
        <xdr:cNvPr id="331" name="Picture@0P@" descr="@0P@">
          <a:extLst>
            <a:ext uri="{FF2B5EF4-FFF2-40B4-BE49-F238E27FC236}">
              <a16:creationId xmlns:a16="http://schemas.microsoft.com/office/drawing/2014/main" id="{06308AFD-BB21-4A23-862C-AA40F2D92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07695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331</xdr:row>
      <xdr:rowOff>0</xdr:rowOff>
    </xdr:from>
    <xdr:to>
      <xdr:col>32</xdr:col>
      <xdr:colOff>171450</xdr:colOff>
      <xdr:row>331</xdr:row>
      <xdr:rowOff>152400</xdr:rowOff>
    </xdr:to>
    <xdr:pic>
      <xdr:nvPicPr>
        <xdr:cNvPr id="332" name="Picture@0P@" descr="@0P@">
          <a:extLst>
            <a:ext uri="{FF2B5EF4-FFF2-40B4-BE49-F238E27FC236}">
              <a16:creationId xmlns:a16="http://schemas.microsoft.com/office/drawing/2014/main" id="{A639ABAF-82D1-45D8-A21F-0CDCC5FA6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09536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332</xdr:row>
      <xdr:rowOff>0</xdr:rowOff>
    </xdr:from>
    <xdr:to>
      <xdr:col>32</xdr:col>
      <xdr:colOff>171450</xdr:colOff>
      <xdr:row>332</xdr:row>
      <xdr:rowOff>152400</xdr:rowOff>
    </xdr:to>
    <xdr:pic>
      <xdr:nvPicPr>
        <xdr:cNvPr id="333" name="Picture@0P@" descr="@0P@">
          <a:extLst>
            <a:ext uri="{FF2B5EF4-FFF2-40B4-BE49-F238E27FC236}">
              <a16:creationId xmlns:a16="http://schemas.microsoft.com/office/drawing/2014/main" id="{0501E1E4-DCDE-4FBE-AC9C-181C8420E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11378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333</xdr:row>
      <xdr:rowOff>0</xdr:rowOff>
    </xdr:from>
    <xdr:to>
      <xdr:col>32</xdr:col>
      <xdr:colOff>171450</xdr:colOff>
      <xdr:row>333</xdr:row>
      <xdr:rowOff>152400</xdr:rowOff>
    </xdr:to>
    <xdr:pic>
      <xdr:nvPicPr>
        <xdr:cNvPr id="334" name="Picture@0P@" descr="@0P@">
          <a:extLst>
            <a:ext uri="{FF2B5EF4-FFF2-40B4-BE49-F238E27FC236}">
              <a16:creationId xmlns:a16="http://schemas.microsoft.com/office/drawing/2014/main" id="{D5EF6737-41D3-4823-9479-C33604C72C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13219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334</xdr:row>
      <xdr:rowOff>0</xdr:rowOff>
    </xdr:from>
    <xdr:to>
      <xdr:col>32</xdr:col>
      <xdr:colOff>171450</xdr:colOff>
      <xdr:row>334</xdr:row>
      <xdr:rowOff>152400</xdr:rowOff>
    </xdr:to>
    <xdr:pic>
      <xdr:nvPicPr>
        <xdr:cNvPr id="335" name="Picture@0P@" descr="@0P@">
          <a:extLst>
            <a:ext uri="{FF2B5EF4-FFF2-40B4-BE49-F238E27FC236}">
              <a16:creationId xmlns:a16="http://schemas.microsoft.com/office/drawing/2014/main" id="{E312EBE0-F07F-4DD9-8E18-5708A98A4D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15061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335</xdr:row>
      <xdr:rowOff>0</xdr:rowOff>
    </xdr:from>
    <xdr:to>
      <xdr:col>32</xdr:col>
      <xdr:colOff>171450</xdr:colOff>
      <xdr:row>335</xdr:row>
      <xdr:rowOff>152400</xdr:rowOff>
    </xdr:to>
    <xdr:pic>
      <xdr:nvPicPr>
        <xdr:cNvPr id="336" name="Picture@0P@" descr="@0P@">
          <a:extLst>
            <a:ext uri="{FF2B5EF4-FFF2-40B4-BE49-F238E27FC236}">
              <a16:creationId xmlns:a16="http://schemas.microsoft.com/office/drawing/2014/main" id="{F0697035-3C53-4FA9-A15D-950C0A761C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169025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32</xdr:col>
      <xdr:colOff>19050</xdr:colOff>
      <xdr:row>336</xdr:row>
      <xdr:rowOff>0</xdr:rowOff>
    </xdr:from>
    <xdr:to>
      <xdr:col>32</xdr:col>
      <xdr:colOff>171450</xdr:colOff>
      <xdr:row>336</xdr:row>
      <xdr:rowOff>152400</xdr:rowOff>
    </xdr:to>
    <xdr:pic>
      <xdr:nvPicPr>
        <xdr:cNvPr id="337" name="Picture@0P@" descr="@0P@">
          <a:extLst>
            <a:ext uri="{FF2B5EF4-FFF2-40B4-BE49-F238E27FC236}">
              <a16:creationId xmlns:a16="http://schemas.microsoft.com/office/drawing/2014/main" id="{97FB1838-3EB1-40BC-8455-85B91983D0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 bwMode="auto">
        <a:xfrm>
          <a:off x="32289750" y="61874400"/>
          <a:ext cx="152400" cy="15240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ndre.augusto\Desktop\SimuladorPedidos_25T1_M2_01.xlsb" TargetMode="External"/><Relationship Id="rId1" Type="http://schemas.openxmlformats.org/officeDocument/2006/relationships/externalLinkPath" Target="https://hypermarcas-my.sharepoint.com/personal/alexandre_augusto_hypera_com_br/Documents/&#193;rea%20de%20Trabalho/SimuladorPedidos_25T1_M2_01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ndre.augusto\Desktop\SimuladorPedidos_24T3_M3_02.xlsb" TargetMode="External"/><Relationship Id="rId1" Type="http://schemas.openxmlformats.org/officeDocument/2006/relationships/externalLinkPath" Target="https://hypermarcas-my.sharepoint.com/personal/alexandre_augusto_hypera_com_br/Documents/&#193;rea%20de%20Trabalho/SimuladorPedidos_24T3_M3_0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PPP"/>
      <sheetName val="SIMULADOR"/>
      <sheetName val="MKP Dist + Vits"/>
      <sheetName val="SIMULAÇÃO"/>
      <sheetName val="Ações Venda Mais"/>
      <sheetName val="CALCULADORA"/>
      <sheetName val="Tabela de Preços"/>
      <sheetName val="CONFIGURACAO"/>
      <sheetName val="MUDANCA_COD."/>
      <sheetName val="REF_DERMOS"/>
      <sheetName val="POL_25T1_00"/>
      <sheetName val="COP_Jan.25"/>
      <sheetName val="FCI_Comunicado"/>
      <sheetName val="FCI_Trib_Origem"/>
      <sheetName val="SOP_274"/>
      <sheetName val="REFERENCIA"/>
      <sheetName val="LOG"/>
    </sheetNames>
    <sheetDataSet>
      <sheetData sheetId="0"/>
      <sheetData sheetId="1"/>
      <sheetData sheetId="2"/>
      <sheetData sheetId="3"/>
      <sheetData sheetId="4"/>
      <sheetData sheetId="5">
        <row r="1">
          <cell r="A1">
            <v>762</v>
          </cell>
        </row>
        <row r="2">
          <cell r="A2" t="str">
            <v>Fonte:</v>
          </cell>
          <cell r="BH2" t="str">
            <v>POLITICA</v>
          </cell>
        </row>
        <row r="3">
          <cell r="A3" t="str">
            <v>Fórmula:</v>
          </cell>
          <cell r="BH3" t="str">
            <v>=SEERRO(PROCV(A9;POLITICA_COMERCIAL;AP$4;FALSO);"#ERRO")</v>
          </cell>
        </row>
        <row r="4">
          <cell r="A4" t="str">
            <v>Referência:</v>
          </cell>
          <cell r="BH4">
            <v>11</v>
          </cell>
        </row>
        <row r="5">
          <cell r="A5" t="str">
            <v xml:space="preserve">Coluna: </v>
          </cell>
          <cell r="BH5">
            <v>60</v>
          </cell>
        </row>
        <row r="6">
          <cell r="A6" t="str">
            <v>#ERRO</v>
          </cell>
          <cell r="BH6">
            <v>0</v>
          </cell>
        </row>
        <row r="7">
          <cell r="A7" t="str">
            <v>Input</v>
          </cell>
        </row>
        <row r="8">
          <cell r="A8" t="str">
            <v>CADASTRO PRODUTO&gt;&gt;</v>
          </cell>
        </row>
        <row r="10">
          <cell r="A10" t="str">
            <v>SKU</v>
          </cell>
          <cell r="BH10" t="str">
            <v>%
POLITICA</v>
          </cell>
        </row>
        <row r="11">
          <cell r="A11" t="str">
            <v>12466-0</v>
          </cell>
          <cell r="BH11">
            <v>0.59760000000000002</v>
          </cell>
        </row>
        <row r="12">
          <cell r="A12" t="str">
            <v>12465-0</v>
          </cell>
          <cell r="BH12">
            <v>0.66059999999999997</v>
          </cell>
        </row>
        <row r="13">
          <cell r="A13" t="str">
            <v>19476-0</v>
          </cell>
          <cell r="BH13">
            <v>0.81830000000000003</v>
          </cell>
        </row>
        <row r="14">
          <cell r="A14" t="str">
            <v>17944-0</v>
          </cell>
          <cell r="BH14">
            <v>0.91590000000000005</v>
          </cell>
        </row>
        <row r="15">
          <cell r="A15" t="str">
            <v>18557-0</v>
          </cell>
          <cell r="BH15">
            <v>0.65490000000000004</v>
          </cell>
        </row>
        <row r="16">
          <cell r="A16" t="str">
            <v>12393-0</v>
          </cell>
          <cell r="BH16">
            <v>0.70730000000000004</v>
          </cell>
        </row>
        <row r="17">
          <cell r="A17" t="str">
            <v>12419-0</v>
          </cell>
          <cell r="BH17">
            <v>0.79700000000000004</v>
          </cell>
        </row>
        <row r="18">
          <cell r="A18" t="str">
            <v>19940-0</v>
          </cell>
          <cell r="BH18">
            <v>0.50600000000000001</v>
          </cell>
        </row>
        <row r="19">
          <cell r="A19" t="str">
            <v>12386-0</v>
          </cell>
          <cell r="BH19">
            <v>0.65149999999999997</v>
          </cell>
        </row>
        <row r="20">
          <cell r="A20" t="str">
            <v>19052-0</v>
          </cell>
          <cell r="BH20">
            <v>0.66439999999999999</v>
          </cell>
        </row>
        <row r="21">
          <cell r="A21" t="str">
            <v>19061-0</v>
          </cell>
          <cell r="BH21">
            <v>0.76939999999999997</v>
          </cell>
        </row>
        <row r="22">
          <cell r="A22" t="str">
            <v>19651-0</v>
          </cell>
          <cell r="BH22">
            <v>0.5746</v>
          </cell>
        </row>
        <row r="23">
          <cell r="A23" t="str">
            <v>19652-0</v>
          </cell>
          <cell r="BH23">
            <v>0.66559999999999997</v>
          </cell>
        </row>
        <row r="24">
          <cell r="A24" t="str">
            <v>19653-0</v>
          </cell>
          <cell r="BH24">
            <v>0.69530000000000003</v>
          </cell>
        </row>
        <row r="25">
          <cell r="A25" t="str">
            <v>19654-0</v>
          </cell>
          <cell r="BH25">
            <v>0.69530000000000003</v>
          </cell>
        </row>
        <row r="26">
          <cell r="A26" t="str">
            <v>19163-0</v>
          </cell>
          <cell r="BH26">
            <v>0.74680000000000002</v>
          </cell>
        </row>
        <row r="27">
          <cell r="A27" t="str">
            <v>18454-0</v>
          </cell>
          <cell r="BH27">
            <v>0.82789999999999997</v>
          </cell>
        </row>
        <row r="28">
          <cell r="A28" t="str">
            <v>12456-0</v>
          </cell>
          <cell r="BH28">
            <v>0.94850000000000001</v>
          </cell>
        </row>
        <row r="29">
          <cell r="A29" t="str">
            <v>19612-0</v>
          </cell>
          <cell r="BH29">
            <v>0.73180000000000001</v>
          </cell>
        </row>
        <row r="30">
          <cell r="A30" t="str">
            <v>19613-0</v>
          </cell>
          <cell r="BH30">
            <v>0.79379999999999995</v>
          </cell>
        </row>
        <row r="31">
          <cell r="A31" t="str">
            <v>12467-0</v>
          </cell>
          <cell r="BH31">
            <v>0.72750000000000004</v>
          </cell>
        </row>
        <row r="32">
          <cell r="A32" t="str">
            <v>13906-0</v>
          </cell>
          <cell r="BH32">
            <v>0.80169999999999997</v>
          </cell>
        </row>
        <row r="33">
          <cell r="A33" t="str">
            <v>13908-0</v>
          </cell>
          <cell r="BH33">
            <v>0.78259999999999996</v>
          </cell>
        </row>
        <row r="34">
          <cell r="A34" t="str">
            <v>12421-0</v>
          </cell>
          <cell r="BH34">
            <v>0.79500000000000004</v>
          </cell>
        </row>
        <row r="35">
          <cell r="A35" t="str">
            <v>12422-0</v>
          </cell>
          <cell r="BH35">
            <v>0.73509999999999998</v>
          </cell>
        </row>
        <row r="36">
          <cell r="A36" t="str">
            <v>20895-0</v>
          </cell>
          <cell r="BH36">
            <v>0.6694</v>
          </cell>
        </row>
        <row r="37">
          <cell r="A37" t="str">
            <v>19586-0</v>
          </cell>
          <cell r="BH37">
            <v>0.75829999999999997</v>
          </cell>
        </row>
        <row r="38">
          <cell r="A38" t="str">
            <v>14822-0</v>
          </cell>
          <cell r="BH38">
            <v>0.7863</v>
          </cell>
        </row>
        <row r="39">
          <cell r="A39" t="str">
            <v>15473-0</v>
          </cell>
          <cell r="BH39">
            <v>0.69399999999999995</v>
          </cell>
        </row>
        <row r="40">
          <cell r="A40" t="str">
            <v>13851-0</v>
          </cell>
          <cell r="BH40">
            <v>0.90039999999999998</v>
          </cell>
        </row>
        <row r="41">
          <cell r="A41" t="str">
            <v>13852-0</v>
          </cell>
          <cell r="BH41">
            <v>0.92789999999999995</v>
          </cell>
        </row>
        <row r="42">
          <cell r="A42" t="str">
            <v>20616-0</v>
          </cell>
          <cell r="BH42">
            <v>0.81730000000000003</v>
          </cell>
        </row>
        <row r="43">
          <cell r="A43" t="str">
            <v>21783-0</v>
          </cell>
          <cell r="BH43">
            <v>0.66690000000000005</v>
          </cell>
        </row>
        <row r="44">
          <cell r="A44" t="str">
            <v>21784-0</v>
          </cell>
          <cell r="BH44">
            <v>0.71009999999999995</v>
          </cell>
        </row>
        <row r="45">
          <cell r="A45" t="str">
            <v>20901-1</v>
          </cell>
          <cell r="BH45">
            <v>0.45610000000000001</v>
          </cell>
        </row>
        <row r="46">
          <cell r="A46" t="str">
            <v>20900-1</v>
          </cell>
          <cell r="BH46">
            <v>0.47970000000000002</v>
          </cell>
        </row>
        <row r="47">
          <cell r="A47" t="str">
            <v>12392-0</v>
          </cell>
          <cell r="BH47">
            <v>0.54869999999999997</v>
          </cell>
        </row>
        <row r="48">
          <cell r="A48" t="str">
            <v>15972-0</v>
          </cell>
          <cell r="BH48">
            <v>0.72840000000000005</v>
          </cell>
        </row>
        <row r="49">
          <cell r="A49" t="str">
            <v>15971-0</v>
          </cell>
          <cell r="BH49">
            <v>0.65029999999999999</v>
          </cell>
        </row>
        <row r="50">
          <cell r="A50" t="str">
            <v>12485-0</v>
          </cell>
          <cell r="BH50">
            <v>0.86770000000000003</v>
          </cell>
        </row>
        <row r="51">
          <cell r="A51" t="str">
            <v>12435-0</v>
          </cell>
          <cell r="BH51">
            <v>0.7349</v>
          </cell>
        </row>
        <row r="52">
          <cell r="A52" t="str">
            <v>12409-0</v>
          </cell>
          <cell r="BH52">
            <v>0.57179999999999997</v>
          </cell>
        </row>
        <row r="53">
          <cell r="A53" t="str">
            <v>12407-0</v>
          </cell>
          <cell r="BH53">
            <v>0.57669999999999999</v>
          </cell>
        </row>
        <row r="54">
          <cell r="A54" t="str">
            <v>12423-0</v>
          </cell>
          <cell r="BH54">
            <v>0.40539999999999998</v>
          </cell>
        </row>
        <row r="55">
          <cell r="A55" t="str">
            <v>19678-0</v>
          </cell>
          <cell r="BH55">
            <v>0.75280000000000002</v>
          </cell>
        </row>
        <row r="56">
          <cell r="A56" t="str">
            <v>12499-0</v>
          </cell>
          <cell r="BH56">
            <v>0.3644</v>
          </cell>
        </row>
        <row r="57">
          <cell r="A57" t="str">
            <v>13920-0</v>
          </cell>
          <cell r="BH57">
            <v>0.84050000000000002</v>
          </cell>
        </row>
        <row r="58">
          <cell r="A58" t="str">
            <v>20504-0</v>
          </cell>
          <cell r="BH58">
            <v>0.73570000000000002</v>
          </cell>
        </row>
        <row r="59">
          <cell r="A59" t="str">
            <v>20503-0</v>
          </cell>
          <cell r="BH59">
            <v>0.76380000000000003</v>
          </cell>
        </row>
        <row r="60">
          <cell r="A60" t="str">
            <v>20713-0</v>
          </cell>
          <cell r="BH60">
            <v>0.60060000000000002</v>
          </cell>
        </row>
        <row r="61">
          <cell r="A61" t="str">
            <v>20714-0</v>
          </cell>
          <cell r="BH61">
            <v>0.52429999999999999</v>
          </cell>
        </row>
        <row r="62">
          <cell r="A62" t="str">
            <v>17042-0</v>
          </cell>
          <cell r="BH62">
            <v>0.49980000000000002</v>
          </cell>
        </row>
        <row r="63">
          <cell r="A63" t="str">
            <v>12597-0</v>
          </cell>
          <cell r="BH63">
            <v>0.73560000000000003</v>
          </cell>
        </row>
        <row r="64">
          <cell r="A64" t="str">
            <v>12598-0</v>
          </cell>
          <cell r="BH64">
            <v>0.68489999999999995</v>
          </cell>
        </row>
        <row r="65">
          <cell r="A65" t="str">
            <v>19882-0</v>
          </cell>
          <cell r="BH65">
            <v>0.62270000000000003</v>
          </cell>
        </row>
        <row r="66">
          <cell r="A66" t="str">
            <v>19883-0</v>
          </cell>
          <cell r="BH66">
            <v>0.60289999999999999</v>
          </cell>
        </row>
        <row r="67">
          <cell r="A67" t="str">
            <v>21786-0</v>
          </cell>
          <cell r="BH67">
            <v>0.5413</v>
          </cell>
        </row>
        <row r="68">
          <cell r="A68" t="str">
            <v>21785-0</v>
          </cell>
          <cell r="BH68">
            <v>0.57540000000000002</v>
          </cell>
        </row>
        <row r="69">
          <cell r="A69" t="str">
            <v>12517-0</v>
          </cell>
          <cell r="BH69">
            <v>0.71220000000000006</v>
          </cell>
        </row>
        <row r="70">
          <cell r="A70" t="str">
            <v>12516-0</v>
          </cell>
          <cell r="BH70">
            <v>0.78359999999999996</v>
          </cell>
        </row>
        <row r="71">
          <cell r="A71" t="str">
            <v>12417-0</v>
          </cell>
          <cell r="BH71">
            <v>0.56330000000000002</v>
          </cell>
        </row>
        <row r="72">
          <cell r="A72" t="str">
            <v>14090-0</v>
          </cell>
          <cell r="BH72">
            <v>0.89570000000000005</v>
          </cell>
        </row>
        <row r="73">
          <cell r="A73" t="str">
            <v>17839-0</v>
          </cell>
          <cell r="BH73">
            <v>0.79630000000000001</v>
          </cell>
        </row>
        <row r="74">
          <cell r="A74" t="str">
            <v>19001-0</v>
          </cell>
          <cell r="BH74">
            <v>0.63129999999999997</v>
          </cell>
        </row>
        <row r="75">
          <cell r="A75" t="str">
            <v>19000-0</v>
          </cell>
          <cell r="BH75">
            <v>0.63119999999999998</v>
          </cell>
        </row>
        <row r="76">
          <cell r="A76" t="str">
            <v>13600-0</v>
          </cell>
          <cell r="BH76">
            <v>0.67920000000000003</v>
          </cell>
        </row>
        <row r="77">
          <cell r="A77" t="str">
            <v>13598-0</v>
          </cell>
          <cell r="BH77">
            <v>7.85E-2</v>
          </cell>
        </row>
        <row r="78">
          <cell r="A78" t="str">
            <v>19483-0</v>
          </cell>
          <cell r="BH78">
            <v>0.80669999999999997</v>
          </cell>
        </row>
        <row r="79">
          <cell r="A79" t="str">
            <v>19482-0</v>
          </cell>
          <cell r="BH79">
            <v>0.81020000000000003</v>
          </cell>
        </row>
        <row r="80">
          <cell r="A80" t="str">
            <v>16023-0</v>
          </cell>
          <cell r="BH80">
            <v>0.61270000000000002</v>
          </cell>
        </row>
        <row r="81">
          <cell r="A81" t="str">
            <v>19589-0</v>
          </cell>
          <cell r="BH81">
            <v>0.72450000000000003</v>
          </cell>
        </row>
        <row r="82">
          <cell r="A82" t="str">
            <v>20865-0</v>
          </cell>
          <cell r="BH82">
            <v>0.48630000000000001</v>
          </cell>
        </row>
        <row r="83">
          <cell r="A83" t="str">
            <v>19887-0</v>
          </cell>
          <cell r="BH83">
            <v>0.74639999999999995</v>
          </cell>
        </row>
        <row r="84">
          <cell r="A84" t="str">
            <v>21641-0</v>
          </cell>
          <cell r="BH84">
            <v>0.42059999999999997</v>
          </cell>
        </row>
        <row r="85">
          <cell r="A85" t="str">
            <v>12708-0</v>
          </cell>
          <cell r="BH85">
            <v>0.74719999999999998</v>
          </cell>
        </row>
        <row r="86">
          <cell r="A86" t="str">
            <v>12795-0</v>
          </cell>
          <cell r="BH86">
            <v>0.71430000000000005</v>
          </cell>
        </row>
        <row r="87">
          <cell r="A87" t="str">
            <v>19305-0</v>
          </cell>
          <cell r="BH87">
            <v>0.71130000000000004</v>
          </cell>
        </row>
        <row r="88">
          <cell r="A88" t="str">
            <v>19304-0</v>
          </cell>
          <cell r="BH88">
            <v>0.71199999999999997</v>
          </cell>
        </row>
        <row r="89">
          <cell r="A89" t="str">
            <v>19546-0</v>
          </cell>
          <cell r="BH89">
            <v>0.70489999999999997</v>
          </cell>
        </row>
        <row r="90">
          <cell r="A90" t="str">
            <v>20854-0</v>
          </cell>
          <cell r="BH90">
            <v>7.17E-2</v>
          </cell>
        </row>
        <row r="91">
          <cell r="A91" t="str">
            <v>20855-0</v>
          </cell>
          <cell r="BH91">
            <v>7.2999999999999995E-2</v>
          </cell>
        </row>
        <row r="92">
          <cell r="A92" t="str">
            <v>14075-0</v>
          </cell>
          <cell r="BH92">
            <v>0.73509999999999998</v>
          </cell>
        </row>
        <row r="93">
          <cell r="A93" t="str">
            <v>19587-0</v>
          </cell>
          <cell r="BH93">
            <v>0.78149999999999997</v>
          </cell>
        </row>
        <row r="94">
          <cell r="A94" t="str">
            <v>19588-0</v>
          </cell>
          <cell r="BH94">
            <v>0.81320000000000003</v>
          </cell>
        </row>
        <row r="95">
          <cell r="A95" t="str">
            <v>13350-0</v>
          </cell>
          <cell r="BH95">
            <v>0.57250000000000001</v>
          </cell>
        </row>
        <row r="96">
          <cell r="A96" t="str">
            <v>12502-0</v>
          </cell>
          <cell r="BH96">
            <v>0.54239999999999999</v>
          </cell>
        </row>
        <row r="97">
          <cell r="A97" t="str">
            <v>21273-0</v>
          </cell>
          <cell r="BH97">
            <v>0.47970000000000002</v>
          </cell>
        </row>
        <row r="98">
          <cell r="A98" t="str">
            <v>20867-0</v>
          </cell>
          <cell r="BH98">
            <v>0.71970000000000001</v>
          </cell>
        </row>
        <row r="99">
          <cell r="A99" t="str">
            <v>20353-1</v>
          </cell>
          <cell r="BH99">
            <v>0.78169999999999995</v>
          </cell>
        </row>
        <row r="100">
          <cell r="A100" t="str">
            <v>19655-0</v>
          </cell>
          <cell r="BH100">
            <v>0.626</v>
          </cell>
        </row>
        <row r="101">
          <cell r="A101" t="str">
            <v>19514-0</v>
          </cell>
          <cell r="BH101">
            <v>0.72529999999999994</v>
          </cell>
        </row>
        <row r="102">
          <cell r="A102" t="str">
            <v>19954-0</v>
          </cell>
          <cell r="BH102">
            <v>0.6593</v>
          </cell>
        </row>
        <row r="103">
          <cell r="A103" t="str">
            <v>12364-0</v>
          </cell>
          <cell r="BH103">
            <v>0.47849999999999998</v>
          </cell>
        </row>
        <row r="104">
          <cell r="A104" t="str">
            <v>16014-0</v>
          </cell>
          <cell r="BH104">
            <v>0.51500000000000001</v>
          </cell>
        </row>
        <row r="105">
          <cell r="A105" t="str">
            <v>13365-0</v>
          </cell>
          <cell r="BH105">
            <v>0.72489999999999999</v>
          </cell>
        </row>
        <row r="106">
          <cell r="A106" t="str">
            <v>20757-0</v>
          </cell>
          <cell r="BH106">
            <v>0.66610000000000003</v>
          </cell>
        </row>
        <row r="107">
          <cell r="A107" t="str">
            <v>12537-0</v>
          </cell>
          <cell r="BH107">
            <v>0.5635</v>
          </cell>
        </row>
        <row r="108">
          <cell r="A108" t="str">
            <v>21904-0</v>
          </cell>
          <cell r="BH108">
            <v>0.75</v>
          </cell>
        </row>
        <row r="109">
          <cell r="A109" t="str">
            <v>21903-0</v>
          </cell>
          <cell r="BH109">
            <v>0.79490000000000005</v>
          </cell>
        </row>
        <row r="110">
          <cell r="A110" t="str">
            <v>15770-0</v>
          </cell>
          <cell r="BH110">
            <v>0.74939999999999996</v>
          </cell>
        </row>
        <row r="111">
          <cell r="A111" t="str">
            <v>15771-0</v>
          </cell>
          <cell r="BH111">
            <v>0.78879999999999995</v>
          </cell>
        </row>
        <row r="112">
          <cell r="A112" t="str">
            <v>20536-0</v>
          </cell>
          <cell r="BH112">
            <v>0.55389999999999995</v>
          </cell>
        </row>
        <row r="113">
          <cell r="A113" t="str">
            <v>15578-0</v>
          </cell>
          <cell r="BH113">
            <v>0.73680000000000001</v>
          </cell>
        </row>
        <row r="114">
          <cell r="A114" t="str">
            <v>12658-0</v>
          </cell>
          <cell r="BH114">
            <v>0.68169999999999997</v>
          </cell>
        </row>
        <row r="115">
          <cell r="A115" t="str">
            <v>20898-0</v>
          </cell>
          <cell r="BH115">
            <v>0.83250000000000002</v>
          </cell>
        </row>
        <row r="116">
          <cell r="A116" t="str">
            <v>17153-0</v>
          </cell>
          <cell r="BH116">
            <v>0.63629999999999998</v>
          </cell>
        </row>
        <row r="117">
          <cell r="A117" t="str">
            <v>12511-0</v>
          </cell>
          <cell r="BH117">
            <v>0.61060000000000003</v>
          </cell>
        </row>
        <row r="118">
          <cell r="A118" t="str">
            <v>12512-0</v>
          </cell>
          <cell r="BH118">
            <v>0.73909999999999998</v>
          </cell>
        </row>
        <row r="119">
          <cell r="A119" t="str">
            <v>15603-0</v>
          </cell>
          <cell r="BH119">
            <v>0.90480000000000005</v>
          </cell>
        </row>
        <row r="120">
          <cell r="A120" t="str">
            <v>18328-0</v>
          </cell>
          <cell r="BH120">
            <v>0.69450000000000001</v>
          </cell>
        </row>
        <row r="121">
          <cell r="A121" t="str">
            <v>12535-0</v>
          </cell>
          <cell r="BH121">
            <v>0.6915</v>
          </cell>
        </row>
        <row r="122">
          <cell r="A122" t="str">
            <v>12410-0</v>
          </cell>
          <cell r="BH122">
            <v>0.63319999999999999</v>
          </cell>
        </row>
        <row r="123">
          <cell r="A123" t="str">
            <v>19592-0</v>
          </cell>
          <cell r="BH123">
            <v>0.53690000000000004</v>
          </cell>
        </row>
        <row r="124">
          <cell r="A124" t="str">
            <v>19593-0</v>
          </cell>
          <cell r="BH124">
            <v>0.83279999999999998</v>
          </cell>
        </row>
        <row r="125">
          <cell r="A125" t="str">
            <v>19591-0</v>
          </cell>
          <cell r="BH125">
            <v>0.73899999999999999</v>
          </cell>
        </row>
        <row r="126">
          <cell r="A126" t="str">
            <v>19572-0</v>
          </cell>
          <cell r="BH126">
            <v>0.66100000000000003</v>
          </cell>
        </row>
        <row r="127">
          <cell r="A127" t="str">
            <v>12339-0</v>
          </cell>
          <cell r="BH127">
            <v>0.65410000000000001</v>
          </cell>
        </row>
        <row r="128">
          <cell r="A128" t="str">
            <v>12304-0</v>
          </cell>
          <cell r="BH128">
            <v>0.65059999999999996</v>
          </cell>
        </row>
        <row r="129">
          <cell r="A129" t="str">
            <v>12307-0</v>
          </cell>
          <cell r="BH129">
            <v>0.69279999999999997</v>
          </cell>
        </row>
        <row r="130">
          <cell r="A130" t="str">
            <v>12503-0</v>
          </cell>
          <cell r="BH130">
            <v>0.93789999999999996</v>
          </cell>
        </row>
        <row r="131">
          <cell r="A131" t="str">
            <v>15871-0</v>
          </cell>
          <cell r="BH131">
            <v>0.3644</v>
          </cell>
        </row>
        <row r="132">
          <cell r="A132" t="str">
            <v>15852-0</v>
          </cell>
          <cell r="BH132">
            <v>0.37009999999999998</v>
          </cell>
        </row>
        <row r="133">
          <cell r="A133" t="str">
            <v>19705-0</v>
          </cell>
          <cell r="BH133">
            <v>0.88219999999999998</v>
          </cell>
        </row>
        <row r="134">
          <cell r="A134" t="str">
            <v>18964-0</v>
          </cell>
          <cell r="BH134">
            <v>0.84230000000000005</v>
          </cell>
        </row>
        <row r="135">
          <cell r="A135" t="str">
            <v>20754-0</v>
          </cell>
          <cell r="BH135">
            <v>0.57630000000000003</v>
          </cell>
        </row>
        <row r="136">
          <cell r="A136" t="str">
            <v>12432-0</v>
          </cell>
          <cell r="BH136">
            <v>0.61919999999999997</v>
          </cell>
        </row>
        <row r="137">
          <cell r="A137" t="str">
            <v>21106-0</v>
          </cell>
          <cell r="BH137">
            <v>0.58750000000000002</v>
          </cell>
        </row>
        <row r="138">
          <cell r="A138" t="str">
            <v>20534-0</v>
          </cell>
          <cell r="BH138">
            <v>0.52470000000000006</v>
          </cell>
        </row>
        <row r="139">
          <cell r="A139" t="str">
            <v>19799-0</v>
          </cell>
          <cell r="BH139">
            <v>0.53280000000000005</v>
          </cell>
        </row>
        <row r="140">
          <cell r="A140" t="str">
            <v>19801-0</v>
          </cell>
          <cell r="BH140">
            <v>0.5726</v>
          </cell>
        </row>
        <row r="141">
          <cell r="A141" t="str">
            <v>21097-1</v>
          </cell>
          <cell r="BH141">
            <v>0.64119999999999999</v>
          </cell>
        </row>
        <row r="142">
          <cell r="A142" t="str">
            <v>20575-0</v>
          </cell>
          <cell r="BH142">
            <v>0.55659999999999998</v>
          </cell>
        </row>
        <row r="143">
          <cell r="A143" t="str">
            <v>20576-0</v>
          </cell>
          <cell r="BH143">
            <v>0.59630000000000005</v>
          </cell>
        </row>
        <row r="144">
          <cell r="A144" t="str">
            <v>20746-0</v>
          </cell>
          <cell r="BH144">
            <v>0.46439999999999998</v>
          </cell>
        </row>
        <row r="145">
          <cell r="A145" t="str">
            <v>12469-0</v>
          </cell>
          <cell r="BH145">
            <v>0.30819999999999997</v>
          </cell>
        </row>
        <row r="146">
          <cell r="A146" t="str">
            <v>12468-0</v>
          </cell>
          <cell r="BH146">
            <v>0.42930000000000001</v>
          </cell>
        </row>
        <row r="147">
          <cell r="A147" t="str">
            <v>12562-0</v>
          </cell>
          <cell r="BH147">
            <v>0.1094</v>
          </cell>
        </row>
        <row r="148">
          <cell r="A148" t="str">
            <v>12564-0</v>
          </cell>
          <cell r="BH148">
            <v>0.72089999999999999</v>
          </cell>
        </row>
        <row r="149">
          <cell r="A149" t="str">
            <v>12614-0</v>
          </cell>
          <cell r="BH149">
            <v>0.66320000000000001</v>
          </cell>
        </row>
        <row r="150">
          <cell r="A150" t="str">
            <v>17579-0</v>
          </cell>
          <cell r="BH150">
            <v>0.26069999999999999</v>
          </cell>
        </row>
        <row r="151">
          <cell r="A151" t="str">
            <v>20707-0</v>
          </cell>
          <cell r="BH151">
            <v>0.79810000000000003</v>
          </cell>
        </row>
        <row r="152">
          <cell r="A152" t="str">
            <v>12589-0</v>
          </cell>
          <cell r="BH152">
            <v>0.74680000000000002</v>
          </cell>
        </row>
        <row r="153">
          <cell r="A153" t="str">
            <v>19511-0</v>
          </cell>
          <cell r="BH153">
            <v>0.66769999999999996</v>
          </cell>
        </row>
        <row r="154">
          <cell r="A154" t="str">
            <v>18039-0</v>
          </cell>
          <cell r="BH154">
            <v>0.67249999999999999</v>
          </cell>
        </row>
        <row r="155">
          <cell r="A155" t="str">
            <v>12303-0</v>
          </cell>
          <cell r="BH155">
            <v>0.69630000000000003</v>
          </cell>
        </row>
        <row r="156">
          <cell r="A156" t="str">
            <v>15579-0</v>
          </cell>
          <cell r="BH156">
            <v>0.93200000000000005</v>
          </cell>
        </row>
        <row r="157">
          <cell r="A157" t="str">
            <v>19669-0</v>
          </cell>
          <cell r="BH157">
            <v>0.53779999999999994</v>
          </cell>
        </row>
        <row r="158">
          <cell r="A158" t="str">
            <v>20418-0</v>
          </cell>
          <cell r="BH158">
            <v>0.58479999999999999</v>
          </cell>
        </row>
        <row r="159">
          <cell r="A159" t="str">
            <v>19759-0</v>
          </cell>
          <cell r="BH159">
            <v>0.76719999999999999</v>
          </cell>
        </row>
        <row r="160">
          <cell r="A160" t="str">
            <v>18335-0</v>
          </cell>
          <cell r="BH160">
            <v>0.57150000000000001</v>
          </cell>
        </row>
        <row r="161">
          <cell r="A161" t="str">
            <v>12334-0</v>
          </cell>
          <cell r="BH161">
            <v>0.3039</v>
          </cell>
        </row>
        <row r="162">
          <cell r="A162" t="str">
            <v>12321-0</v>
          </cell>
          <cell r="BH162">
            <v>0.6482</v>
          </cell>
        </row>
        <row r="163">
          <cell r="A163" t="str">
            <v>16047-0</v>
          </cell>
          <cell r="BH163">
            <v>0.73740000000000006</v>
          </cell>
        </row>
        <row r="164">
          <cell r="A164" t="str">
            <v>19711-0</v>
          </cell>
          <cell r="BH164">
            <v>0.66710000000000003</v>
          </cell>
        </row>
        <row r="165">
          <cell r="A165" t="str">
            <v>21733-0</v>
          </cell>
          <cell r="BH165">
            <v>0.60519999999999996</v>
          </cell>
        </row>
        <row r="166">
          <cell r="A166" t="str">
            <v>22852-0</v>
          </cell>
          <cell r="BH166">
            <v>0.4763</v>
          </cell>
        </row>
        <row r="167">
          <cell r="A167" t="str">
            <v>12384-0</v>
          </cell>
          <cell r="BH167">
            <v>0.51900000000000002</v>
          </cell>
        </row>
        <row r="168">
          <cell r="A168" t="str">
            <v>20929-0</v>
          </cell>
          <cell r="BH168">
            <v>0.57950000000000002</v>
          </cell>
        </row>
        <row r="169">
          <cell r="A169" t="str">
            <v>12310-0</v>
          </cell>
          <cell r="BH169">
            <v>0.57179999999999997</v>
          </cell>
        </row>
        <row r="170">
          <cell r="A170" t="str">
            <v>12309-0</v>
          </cell>
          <cell r="BH170">
            <v>0.54820000000000002</v>
          </cell>
        </row>
        <row r="171">
          <cell r="A171" t="str">
            <v>12571-0</v>
          </cell>
          <cell r="BH171">
            <v>0.874</v>
          </cell>
        </row>
        <row r="172">
          <cell r="A172" t="str">
            <v>12362-0</v>
          </cell>
          <cell r="BH172">
            <v>0.53939999999999999</v>
          </cell>
        </row>
        <row r="173">
          <cell r="A173" t="str">
            <v>12361-0</v>
          </cell>
          <cell r="BH173">
            <v>0.44500000000000001</v>
          </cell>
        </row>
        <row r="174">
          <cell r="A174" t="str">
            <v>18002-0</v>
          </cell>
          <cell r="BH174">
            <v>0.90239999999999998</v>
          </cell>
        </row>
        <row r="175">
          <cell r="A175" t="str">
            <v>12508-0</v>
          </cell>
          <cell r="BH175">
            <v>0.4536</v>
          </cell>
        </row>
        <row r="176">
          <cell r="A176" t="str">
            <v>12433-1</v>
          </cell>
          <cell r="BH176">
            <v>0.68230000000000002</v>
          </cell>
        </row>
        <row r="177">
          <cell r="A177" t="str">
            <v>12494-0</v>
          </cell>
          <cell r="BH177">
            <v>0.54949999999999999</v>
          </cell>
        </row>
        <row r="178">
          <cell r="A178" t="str">
            <v>19803-0</v>
          </cell>
          <cell r="BH178">
            <v>0.42080000000000001</v>
          </cell>
        </row>
        <row r="179">
          <cell r="A179" t="str">
            <v>12449-0</v>
          </cell>
          <cell r="BH179">
            <v>0.27229999999999999</v>
          </cell>
        </row>
        <row r="180">
          <cell r="A180" t="str">
            <v>19802-0</v>
          </cell>
          <cell r="BH180">
            <v>0.56720000000000004</v>
          </cell>
        </row>
        <row r="181">
          <cell r="A181" t="str">
            <v>12489-0</v>
          </cell>
          <cell r="BH181">
            <v>0.60460000000000003</v>
          </cell>
        </row>
        <row r="182">
          <cell r="A182" t="str">
            <v>18972-0</v>
          </cell>
          <cell r="BH182">
            <v>0.56289999999999996</v>
          </cell>
        </row>
        <row r="183">
          <cell r="A183" t="str">
            <v>18973-0</v>
          </cell>
          <cell r="BH183">
            <v>0.44419999999999998</v>
          </cell>
        </row>
        <row r="184">
          <cell r="A184" t="str">
            <v>18302-0</v>
          </cell>
          <cell r="BH184">
            <v>0.82189999999999996</v>
          </cell>
        </row>
        <row r="185">
          <cell r="A185" t="str">
            <v>19098-0</v>
          </cell>
          <cell r="BH185">
            <v>0.55520000000000003</v>
          </cell>
        </row>
        <row r="186">
          <cell r="A186" t="str">
            <v>20497-0</v>
          </cell>
          <cell r="BH186">
            <v>0.49109999999999998</v>
          </cell>
        </row>
        <row r="187">
          <cell r="A187" t="str">
            <v>19644-0</v>
          </cell>
          <cell r="BH187">
            <v>0.60919999999999996</v>
          </cell>
        </row>
        <row r="188">
          <cell r="A188" t="str">
            <v>19645-0</v>
          </cell>
          <cell r="BH188">
            <v>0.62970000000000004</v>
          </cell>
        </row>
        <row r="189">
          <cell r="A189" t="str">
            <v>19395-0</v>
          </cell>
          <cell r="BH189">
            <v>0.86570000000000003</v>
          </cell>
        </row>
        <row r="190">
          <cell r="A190" t="str">
            <v>19396-0</v>
          </cell>
          <cell r="BH190">
            <v>0.86670000000000003</v>
          </cell>
        </row>
        <row r="191">
          <cell r="A191" t="str">
            <v>12472-0</v>
          </cell>
          <cell r="BH191">
            <v>0.82</v>
          </cell>
        </row>
        <row r="192">
          <cell r="A192" t="str">
            <v>12454-0</v>
          </cell>
          <cell r="BH192">
            <v>0.64200000000000002</v>
          </cell>
        </row>
        <row r="193">
          <cell r="A193" t="str">
            <v>12349-0</v>
          </cell>
          <cell r="BH193">
            <v>0.68100000000000005</v>
          </cell>
        </row>
        <row r="194">
          <cell r="A194" t="str">
            <v>12378-0</v>
          </cell>
          <cell r="BH194">
            <v>0.39290000000000003</v>
          </cell>
        </row>
        <row r="195">
          <cell r="A195" t="str">
            <v>20727-0</v>
          </cell>
          <cell r="BH195">
            <v>0.8095</v>
          </cell>
        </row>
        <row r="196">
          <cell r="A196" t="str">
            <v>20728-0</v>
          </cell>
          <cell r="BH196">
            <v>0.76900000000000002</v>
          </cell>
        </row>
        <row r="197">
          <cell r="A197" t="str">
            <v>20729-0</v>
          </cell>
          <cell r="BH197">
            <v>0.77470000000000006</v>
          </cell>
        </row>
        <row r="198">
          <cell r="A198" t="str">
            <v>20950-0</v>
          </cell>
          <cell r="BH198">
            <v>0.66759999999999997</v>
          </cell>
        </row>
        <row r="199">
          <cell r="A199" t="str">
            <v>20949-0</v>
          </cell>
          <cell r="BH199">
            <v>0.73199999999999998</v>
          </cell>
        </row>
        <row r="200">
          <cell r="A200" t="str">
            <v>12440-0</v>
          </cell>
          <cell r="BH200">
            <v>0.73419999999999996</v>
          </cell>
        </row>
        <row r="201">
          <cell r="A201" t="str">
            <v>12441-0</v>
          </cell>
          <cell r="BH201">
            <v>0.71319999999999995</v>
          </cell>
        </row>
        <row r="202">
          <cell r="A202" t="str">
            <v>12661-0</v>
          </cell>
          <cell r="BH202">
            <v>0.73550000000000004</v>
          </cell>
        </row>
        <row r="203">
          <cell r="A203" t="str">
            <v>12662-0</v>
          </cell>
          <cell r="BH203">
            <v>0.73519999999999996</v>
          </cell>
        </row>
        <row r="204">
          <cell r="A204" t="str">
            <v>19744-0</v>
          </cell>
          <cell r="BH204">
            <v>0.4501</v>
          </cell>
        </row>
        <row r="205">
          <cell r="A205" t="str">
            <v>19743-0</v>
          </cell>
          <cell r="BH205">
            <v>0.48799999999999999</v>
          </cell>
        </row>
        <row r="206">
          <cell r="A206" t="str">
            <v>12601-0</v>
          </cell>
          <cell r="BH206">
            <v>0.72299999999999998</v>
          </cell>
        </row>
        <row r="207">
          <cell r="A207" t="str">
            <v>12602-0</v>
          </cell>
          <cell r="BH207">
            <v>0.89810000000000001</v>
          </cell>
        </row>
        <row r="208">
          <cell r="A208" t="str">
            <v>12600-0</v>
          </cell>
          <cell r="BH208">
            <v>0.754</v>
          </cell>
        </row>
        <row r="209">
          <cell r="A209" t="str">
            <v>21888-0</v>
          </cell>
          <cell r="BH209">
            <v>0.95709999999999995</v>
          </cell>
        </row>
        <row r="210">
          <cell r="A210" t="str">
            <v>21889-0</v>
          </cell>
          <cell r="BH210">
            <v>0.95499999999999996</v>
          </cell>
        </row>
        <row r="211">
          <cell r="A211" t="str">
            <v>21890-0</v>
          </cell>
          <cell r="BH211">
            <v>0.95709999999999995</v>
          </cell>
        </row>
        <row r="212">
          <cell r="A212" t="str">
            <v>21891-0</v>
          </cell>
          <cell r="BH212">
            <v>0.9486</v>
          </cell>
        </row>
        <row r="213">
          <cell r="A213" t="str">
            <v>21892-0</v>
          </cell>
          <cell r="BH213">
            <v>0.95709999999999995</v>
          </cell>
        </row>
        <row r="214">
          <cell r="A214" t="str">
            <v>21887-0</v>
          </cell>
          <cell r="BH214">
            <v>0.92810000000000004</v>
          </cell>
        </row>
        <row r="215">
          <cell r="A215" t="str">
            <v>13197-0</v>
          </cell>
          <cell r="BH215">
            <v>0.51459999999999995</v>
          </cell>
        </row>
        <row r="216">
          <cell r="A216" t="str">
            <v>13198-0</v>
          </cell>
          <cell r="BH216">
            <v>0.23549999999999999</v>
          </cell>
        </row>
        <row r="217">
          <cell r="A217" t="str">
            <v>13199-0</v>
          </cell>
          <cell r="BH217">
            <v>0.1181</v>
          </cell>
        </row>
        <row r="218">
          <cell r="A218" t="str">
            <v>20412-0</v>
          </cell>
          <cell r="BH218">
            <v>0.83689999999999998</v>
          </cell>
        </row>
        <row r="219">
          <cell r="A219" t="str">
            <v>12500-0</v>
          </cell>
          <cell r="BH219">
            <v>0.77539999999999998</v>
          </cell>
        </row>
        <row r="220">
          <cell r="A220" t="str">
            <v>13351-0</v>
          </cell>
          <cell r="BH220">
            <v>0.51719999999999999</v>
          </cell>
        </row>
        <row r="221">
          <cell r="A221" t="str">
            <v>19507-0</v>
          </cell>
          <cell r="BH221">
            <v>0.91149999999999998</v>
          </cell>
        </row>
        <row r="222">
          <cell r="A222" t="str">
            <v>19508-0</v>
          </cell>
          <cell r="BH222">
            <v>0.9123</v>
          </cell>
        </row>
        <row r="223">
          <cell r="A223" t="str">
            <v>19496-0</v>
          </cell>
          <cell r="BH223">
            <v>0.86929999999999996</v>
          </cell>
        </row>
        <row r="224">
          <cell r="A224" t="str">
            <v>19497-0</v>
          </cell>
          <cell r="BH224">
            <v>0.91810000000000003</v>
          </cell>
        </row>
        <row r="225">
          <cell r="A225" t="str">
            <v>12509-0</v>
          </cell>
          <cell r="BH225">
            <v>0.78969999999999996</v>
          </cell>
        </row>
        <row r="226">
          <cell r="A226" t="str">
            <v>12490-0</v>
          </cell>
          <cell r="BH226">
            <v>0.73499999999999999</v>
          </cell>
        </row>
        <row r="227">
          <cell r="A227" t="str">
            <v>21115-0</v>
          </cell>
          <cell r="BH227">
            <v>0.89880000000000004</v>
          </cell>
        </row>
        <row r="228">
          <cell r="A228" t="str">
            <v>21114-0</v>
          </cell>
          <cell r="BH228">
            <v>0.92430000000000001</v>
          </cell>
        </row>
        <row r="229">
          <cell r="A229" t="str">
            <v>19564-0</v>
          </cell>
          <cell r="BH229">
            <v>0.68479999999999996</v>
          </cell>
        </row>
        <row r="230">
          <cell r="A230" t="str">
            <v>17078-0</v>
          </cell>
          <cell r="BH230">
            <v>0.65329999999999999</v>
          </cell>
        </row>
        <row r="231">
          <cell r="A231" t="str">
            <v>20758-0</v>
          </cell>
          <cell r="BH231">
            <v>0.64780000000000004</v>
          </cell>
        </row>
        <row r="232">
          <cell r="A232" t="str">
            <v>20755-0</v>
          </cell>
          <cell r="BH232">
            <v>0.69410000000000005</v>
          </cell>
        </row>
        <row r="233">
          <cell r="A233" t="str">
            <v>17031-0</v>
          </cell>
          <cell r="BH233">
            <v>0.6764</v>
          </cell>
        </row>
        <row r="234">
          <cell r="A234" t="str">
            <v>19209-0</v>
          </cell>
          <cell r="BH234">
            <v>0.75749999999999995</v>
          </cell>
        </row>
        <row r="235">
          <cell r="A235" t="str">
            <v>18766-0</v>
          </cell>
          <cell r="BH235">
            <v>0.74509999999999998</v>
          </cell>
        </row>
        <row r="236">
          <cell r="A236" t="str">
            <v>13795-0</v>
          </cell>
          <cell r="BH236">
            <v>0.69220000000000004</v>
          </cell>
        </row>
        <row r="237">
          <cell r="A237" t="str">
            <v>12606-0</v>
          </cell>
          <cell r="BH237">
            <v>0.67959999999999998</v>
          </cell>
        </row>
        <row r="238">
          <cell r="A238" t="str">
            <v>12426-0</v>
          </cell>
          <cell r="BH238">
            <v>0.69379999999999997</v>
          </cell>
        </row>
        <row r="239">
          <cell r="A239" t="str">
            <v>12493-0</v>
          </cell>
          <cell r="BH239">
            <v>0.56010000000000004</v>
          </cell>
        </row>
        <row r="240">
          <cell r="A240" t="str">
            <v>18044-0</v>
          </cell>
          <cell r="BH240">
            <v>0.46050000000000002</v>
          </cell>
        </row>
        <row r="241">
          <cell r="A241" t="str">
            <v>18046-0</v>
          </cell>
          <cell r="BH241">
            <v>0.51819999999999999</v>
          </cell>
        </row>
        <row r="242">
          <cell r="A242" t="str">
            <v>18042-0</v>
          </cell>
          <cell r="BH242">
            <v>0.69750000000000001</v>
          </cell>
        </row>
        <row r="243">
          <cell r="A243" t="str">
            <v>17459-0</v>
          </cell>
          <cell r="BH243">
            <v>0.2301</v>
          </cell>
        </row>
        <row r="244">
          <cell r="A244" t="str">
            <v>12746-0</v>
          </cell>
          <cell r="BH244">
            <v>0.36670000000000003</v>
          </cell>
        </row>
        <row r="245">
          <cell r="A245" t="str">
            <v>12731-0</v>
          </cell>
          <cell r="BH245">
            <v>0.7349</v>
          </cell>
        </row>
        <row r="246">
          <cell r="A246" t="str">
            <v>12730-0</v>
          </cell>
          <cell r="BH246">
            <v>0.66910000000000003</v>
          </cell>
        </row>
        <row r="247">
          <cell r="A247" t="str">
            <v>19938-0</v>
          </cell>
          <cell r="BH247">
            <v>0.42249999999999999</v>
          </cell>
        </row>
        <row r="248">
          <cell r="A248" t="str">
            <v>21638-0</v>
          </cell>
          <cell r="BH248">
            <v>0.72289999999999999</v>
          </cell>
        </row>
        <row r="249">
          <cell r="A249" t="str">
            <v>21637-0</v>
          </cell>
          <cell r="BH249">
            <v>0.66110000000000002</v>
          </cell>
        </row>
        <row r="250">
          <cell r="A250" t="str">
            <v>21565-0</v>
          </cell>
          <cell r="BH250">
            <v>0.65039999999999998</v>
          </cell>
        </row>
        <row r="251">
          <cell r="A251" t="str">
            <v>21916-0</v>
          </cell>
          <cell r="BH251">
            <v>0.55069999999999997</v>
          </cell>
        </row>
        <row r="252">
          <cell r="A252" t="str">
            <v>20574-0</v>
          </cell>
          <cell r="BH252">
            <v>0.52949999999999997</v>
          </cell>
        </row>
        <row r="253">
          <cell r="A253" t="str">
            <v>21538-1</v>
          </cell>
          <cell r="BH253">
            <v>0.59360000000000002</v>
          </cell>
        </row>
        <row r="254">
          <cell r="A254" t="str">
            <v>21729-0</v>
          </cell>
          <cell r="BH254">
            <v>0.64319999999999999</v>
          </cell>
        </row>
        <row r="255">
          <cell r="A255" t="str">
            <v>21731-0</v>
          </cell>
          <cell r="BH255">
            <v>0.73229999999999995</v>
          </cell>
        </row>
        <row r="256">
          <cell r="A256" t="str">
            <v>19796-0</v>
          </cell>
          <cell r="BH256">
            <v>0.30590000000000001</v>
          </cell>
        </row>
        <row r="257">
          <cell r="A257" t="str">
            <v>21958-0</v>
          </cell>
          <cell r="BH257">
            <v>0.77459999999999996</v>
          </cell>
        </row>
        <row r="258">
          <cell r="A258" t="str">
            <v>17044-0</v>
          </cell>
          <cell r="BH258">
            <v>0.67900000000000005</v>
          </cell>
        </row>
        <row r="259">
          <cell r="A259" t="str">
            <v>22071-0</v>
          </cell>
          <cell r="BH259">
            <v>0.89259999999999995</v>
          </cell>
        </row>
        <row r="260">
          <cell r="A260" t="str">
            <v>22072-0</v>
          </cell>
          <cell r="BH260">
            <v>0.88</v>
          </cell>
        </row>
        <row r="261">
          <cell r="A261" t="str">
            <v>22073-0</v>
          </cell>
          <cell r="BH261">
            <v>0.85860000000000003</v>
          </cell>
        </row>
        <row r="262">
          <cell r="A262" t="str">
            <v>21943-0</v>
          </cell>
          <cell r="BH262">
            <v>0.72189999999999999</v>
          </cell>
        </row>
        <row r="263">
          <cell r="A263" t="str">
            <v>21947-0</v>
          </cell>
          <cell r="BH263">
            <v>0.72189999999999999</v>
          </cell>
        </row>
        <row r="264">
          <cell r="A264" t="str">
            <v>21787-0</v>
          </cell>
          <cell r="BH264">
            <v>0.78969999999999996</v>
          </cell>
        </row>
        <row r="265">
          <cell r="A265" t="str">
            <v>21636-0</v>
          </cell>
          <cell r="BH265">
            <v>0.79790000000000005</v>
          </cell>
        </row>
        <row r="266">
          <cell r="A266" t="str">
            <v>22036-0</v>
          </cell>
          <cell r="BH266">
            <v>0.51680000000000004</v>
          </cell>
        </row>
        <row r="267">
          <cell r="A267" t="str">
            <v>22035-0</v>
          </cell>
          <cell r="BH267">
            <v>0.22220000000000001</v>
          </cell>
        </row>
        <row r="268">
          <cell r="A268" t="str">
            <v>21900-0</v>
          </cell>
          <cell r="BH268">
            <v>0.2984</v>
          </cell>
        </row>
        <row r="269">
          <cell r="A269" t="str">
            <v>21901-0</v>
          </cell>
          <cell r="BH269">
            <v>0.32769999999999999</v>
          </cell>
        </row>
        <row r="270">
          <cell r="A270" t="str">
            <v>21902-0</v>
          </cell>
          <cell r="BH270">
            <v>0.37909999999999999</v>
          </cell>
        </row>
        <row r="271">
          <cell r="A271" t="str">
            <v>21980-0</v>
          </cell>
          <cell r="BH271">
            <v>0.69599999999999995</v>
          </cell>
        </row>
        <row r="272">
          <cell r="A272" t="str">
            <v>20940-0</v>
          </cell>
          <cell r="BH272">
            <v>0.59519999999999995</v>
          </cell>
        </row>
        <row r="273">
          <cell r="A273" t="str">
            <v>22086-0</v>
          </cell>
          <cell r="BH273">
            <v>0.45569999999999999</v>
          </cell>
        </row>
        <row r="274">
          <cell r="A274" t="str">
            <v>22085-0</v>
          </cell>
          <cell r="BH274">
            <v>0.45879999999999999</v>
          </cell>
        </row>
        <row r="275">
          <cell r="A275" t="str">
            <v>22084-0</v>
          </cell>
          <cell r="BH275">
            <v>0.46079999999999999</v>
          </cell>
        </row>
        <row r="276">
          <cell r="A276" t="str">
            <v>22083-0</v>
          </cell>
          <cell r="BH276">
            <v>0.441</v>
          </cell>
        </row>
        <row r="277">
          <cell r="A277" t="str">
            <v>22232-0</v>
          </cell>
          <cell r="BH277">
            <v>0.58940000000000003</v>
          </cell>
        </row>
        <row r="278">
          <cell r="A278" t="str">
            <v>22231-0</v>
          </cell>
          <cell r="BH278">
            <v>0.65669999999999995</v>
          </cell>
        </row>
        <row r="279">
          <cell r="A279" t="str">
            <v>22230-0</v>
          </cell>
          <cell r="BH279">
            <v>0.60840000000000005</v>
          </cell>
        </row>
        <row r="280">
          <cell r="A280" t="str">
            <v>22229-0</v>
          </cell>
          <cell r="BH280">
            <v>0.68810000000000004</v>
          </cell>
        </row>
        <row r="281">
          <cell r="A281" t="str">
            <v>22235-0</v>
          </cell>
          <cell r="BH281">
            <v>0.58940000000000003</v>
          </cell>
        </row>
        <row r="282">
          <cell r="A282" t="str">
            <v>22234-0</v>
          </cell>
          <cell r="BH282">
            <v>0.65669999999999995</v>
          </cell>
        </row>
        <row r="283">
          <cell r="A283" t="str">
            <v>22236-0</v>
          </cell>
          <cell r="BH283">
            <v>0.60840000000000005</v>
          </cell>
        </row>
        <row r="284">
          <cell r="A284" t="str">
            <v>22233-0</v>
          </cell>
          <cell r="BH284">
            <v>0.68810000000000004</v>
          </cell>
        </row>
        <row r="285">
          <cell r="A285" t="str">
            <v>18977-0</v>
          </cell>
          <cell r="BH285">
            <v>0.77049999999999996</v>
          </cell>
        </row>
        <row r="286">
          <cell r="A286" t="str">
            <v>18978-0</v>
          </cell>
          <cell r="BH286">
            <v>0.79949999999999999</v>
          </cell>
        </row>
        <row r="287">
          <cell r="A287" t="str">
            <v>18979-0</v>
          </cell>
          <cell r="BH287">
            <v>0.83699999999999997</v>
          </cell>
        </row>
        <row r="288">
          <cell r="A288" t="str">
            <v>22062-0</v>
          </cell>
          <cell r="BH288">
            <v>0.81299999999999994</v>
          </cell>
        </row>
        <row r="289">
          <cell r="A289" t="str">
            <v>22061-0</v>
          </cell>
          <cell r="BH289">
            <v>0.51449999999999996</v>
          </cell>
        </row>
        <row r="290">
          <cell r="A290" t="str">
            <v>22060-0</v>
          </cell>
          <cell r="BH290">
            <v>0.79049999999999998</v>
          </cell>
        </row>
        <row r="291">
          <cell r="A291" t="str">
            <v>22059-0</v>
          </cell>
          <cell r="BH291">
            <v>0.64700000000000002</v>
          </cell>
        </row>
        <row r="292">
          <cell r="A292" t="str">
            <v>22038-0</v>
          </cell>
          <cell r="BH292">
            <v>0.73560000000000003</v>
          </cell>
        </row>
        <row r="293">
          <cell r="A293" t="str">
            <v>22037-0</v>
          </cell>
          <cell r="BH293">
            <v>0.6744</v>
          </cell>
        </row>
        <row r="294">
          <cell r="A294" t="str">
            <v>22148-0</v>
          </cell>
          <cell r="BH294">
            <v>0.34300000000000003</v>
          </cell>
        </row>
        <row r="295">
          <cell r="A295" t="str">
            <v>22395-0</v>
          </cell>
          <cell r="BH295">
            <v>0.80689999999999995</v>
          </cell>
        </row>
        <row r="296">
          <cell r="A296" t="str">
            <v>21006-0</v>
          </cell>
          <cell r="BH296">
            <v>0.84650000000000003</v>
          </cell>
        </row>
        <row r="297">
          <cell r="A297" t="str">
            <v>22224-0</v>
          </cell>
          <cell r="BH297">
            <v>0.8276</v>
          </cell>
        </row>
        <row r="298">
          <cell r="A298" t="str">
            <v>22225-0</v>
          </cell>
          <cell r="BH298">
            <v>0.84319999999999995</v>
          </cell>
        </row>
        <row r="299">
          <cell r="A299" t="str">
            <v>22156-0</v>
          </cell>
          <cell r="BH299">
            <v>0.60640000000000005</v>
          </cell>
        </row>
        <row r="300">
          <cell r="A300" t="str">
            <v>22340-0</v>
          </cell>
          <cell r="BH300">
            <v>0.78979999999999995</v>
          </cell>
        </row>
        <row r="301">
          <cell r="A301" t="str">
            <v>22341-0</v>
          </cell>
          <cell r="BH301">
            <v>0.80230000000000001</v>
          </cell>
        </row>
        <row r="302">
          <cell r="A302" t="str">
            <v>22342-0</v>
          </cell>
          <cell r="BH302">
            <v>0.8599</v>
          </cell>
        </row>
        <row r="303">
          <cell r="A303" t="str">
            <v>22343-0</v>
          </cell>
          <cell r="BH303">
            <v>0.6996</v>
          </cell>
        </row>
        <row r="304">
          <cell r="A304" t="str">
            <v>22344-0</v>
          </cell>
          <cell r="BH304">
            <v>0.87290000000000001</v>
          </cell>
        </row>
        <row r="305">
          <cell r="A305" t="str">
            <v>22345-0</v>
          </cell>
          <cell r="BH305">
            <v>0.88239999999999996</v>
          </cell>
        </row>
        <row r="306">
          <cell r="A306" t="str">
            <v>22238-0</v>
          </cell>
          <cell r="BH306">
            <v>0.29849999999999999</v>
          </cell>
        </row>
        <row r="307">
          <cell r="A307" t="str">
            <v>22239-0</v>
          </cell>
          <cell r="BH307">
            <v>0.3135</v>
          </cell>
        </row>
        <row r="308">
          <cell r="A308" t="str">
            <v>22237-0</v>
          </cell>
          <cell r="BH308">
            <v>0.72070000000000001</v>
          </cell>
        </row>
        <row r="309">
          <cell r="A309" t="str">
            <v>22240-0</v>
          </cell>
          <cell r="BH309">
            <v>0.68769999999999998</v>
          </cell>
        </row>
        <row r="310">
          <cell r="A310" t="str">
            <v>22152-0</v>
          </cell>
          <cell r="BH310">
            <v>0.38729999999999998</v>
          </cell>
        </row>
        <row r="311">
          <cell r="A311" t="str">
            <v>22184-0</v>
          </cell>
          <cell r="BH311">
            <v>0.42870000000000003</v>
          </cell>
        </row>
        <row r="312">
          <cell r="A312" t="str">
            <v>22194-0</v>
          </cell>
          <cell r="BH312">
            <v>0.49690000000000001</v>
          </cell>
        </row>
        <row r="313">
          <cell r="A313" t="str">
            <v>22195-0</v>
          </cell>
          <cell r="BH313">
            <v>0.47349999999999998</v>
          </cell>
        </row>
        <row r="314">
          <cell r="A314" t="str">
            <v>22196-0</v>
          </cell>
          <cell r="BH314">
            <v>0.48780000000000001</v>
          </cell>
        </row>
        <row r="315">
          <cell r="A315" t="str">
            <v>22589-0</v>
          </cell>
          <cell r="BH315">
            <v>0.27239999999999998</v>
          </cell>
        </row>
        <row r="316">
          <cell r="A316" t="str">
            <v>21949-0</v>
          </cell>
          <cell r="BH316">
            <v>0.29120000000000001</v>
          </cell>
        </row>
        <row r="317">
          <cell r="A317" t="str">
            <v>22161-0</v>
          </cell>
          <cell r="BH317">
            <v>0.51439999999999997</v>
          </cell>
        </row>
        <row r="318">
          <cell r="A318" t="str">
            <v>21974-0</v>
          </cell>
          <cell r="BH318">
            <v>0.4294</v>
          </cell>
        </row>
        <row r="319">
          <cell r="A319" t="str">
            <v>21972-0</v>
          </cell>
          <cell r="BH319">
            <v>0.42309999999999998</v>
          </cell>
        </row>
        <row r="320">
          <cell r="A320" t="str">
            <v>22165-0</v>
          </cell>
          <cell r="BH320">
            <v>0.4486</v>
          </cell>
        </row>
        <row r="321">
          <cell r="A321" t="str">
            <v>22219-0</v>
          </cell>
          <cell r="BH321">
            <v>0.1663</v>
          </cell>
        </row>
        <row r="322">
          <cell r="A322" t="str">
            <v>22567-0</v>
          </cell>
          <cell r="BH322">
            <v>0.46970000000000001</v>
          </cell>
        </row>
        <row r="323">
          <cell r="A323" t="str">
            <v>22886-0</v>
          </cell>
          <cell r="BH323">
            <v>0.38529999999999998</v>
          </cell>
        </row>
        <row r="324">
          <cell r="A324" t="str">
            <v>22247-0</v>
          </cell>
          <cell r="BH324">
            <v>0.46239999999999998</v>
          </cell>
        </row>
        <row r="325">
          <cell r="A325" t="str">
            <v>23082-0</v>
          </cell>
          <cell r="BH325">
            <v>0.41189999999999999</v>
          </cell>
        </row>
        <row r="326">
          <cell r="A326" t="str">
            <v>23083-0</v>
          </cell>
          <cell r="BH326">
            <v>0.4365</v>
          </cell>
        </row>
        <row r="327">
          <cell r="A327" t="str">
            <v>23084-0</v>
          </cell>
          <cell r="BH327">
            <v>0.45800000000000002</v>
          </cell>
        </row>
        <row r="328">
          <cell r="A328" t="str">
            <v>22398-0</v>
          </cell>
          <cell r="BH328">
            <v>0.48599999999999999</v>
          </cell>
        </row>
        <row r="329">
          <cell r="A329" t="str">
            <v>22946-1</v>
          </cell>
          <cell r="BH329">
            <v>0.3044</v>
          </cell>
        </row>
        <row r="330">
          <cell r="A330" t="str">
            <v>22577-0</v>
          </cell>
          <cell r="BH330">
            <v>0.30249999999999999</v>
          </cell>
        </row>
        <row r="331">
          <cell r="A331" t="str">
            <v>23003-0</v>
          </cell>
          <cell r="BH331">
            <v>0.51470000000000005</v>
          </cell>
        </row>
        <row r="332">
          <cell r="A332" t="str">
            <v>23004-0</v>
          </cell>
          <cell r="BH332">
            <v>0.57940000000000003</v>
          </cell>
        </row>
        <row r="333">
          <cell r="A333" t="str">
            <v>22835-0</v>
          </cell>
          <cell r="BH333">
            <v>0.45610000000000001</v>
          </cell>
        </row>
        <row r="334">
          <cell r="A334" t="str">
            <v>22826-0</v>
          </cell>
          <cell r="BH334">
            <v>0.63360000000000005</v>
          </cell>
        </row>
        <row r="335">
          <cell r="A335" t="str">
            <v>23011-0</v>
          </cell>
          <cell r="BH335">
            <v>0.62719999999999998</v>
          </cell>
        </row>
        <row r="336">
          <cell r="A336" t="str">
            <v>23025-0</v>
          </cell>
          <cell r="BH336">
            <v>0.5494</v>
          </cell>
        </row>
        <row r="337">
          <cell r="A337" t="str">
            <v>23026-0</v>
          </cell>
          <cell r="BH337">
            <v>0.63029999999999997</v>
          </cell>
        </row>
        <row r="338">
          <cell r="A338" t="str">
            <v>23027-0</v>
          </cell>
          <cell r="BH338">
            <v>0.7097</v>
          </cell>
        </row>
        <row r="339">
          <cell r="A339" t="str">
            <v>23028-0</v>
          </cell>
          <cell r="BH339">
            <v>0.51729999999999998</v>
          </cell>
        </row>
        <row r="340">
          <cell r="A340" t="str">
            <v>23029-0</v>
          </cell>
          <cell r="BH340">
            <v>0.6925</v>
          </cell>
        </row>
        <row r="341">
          <cell r="A341" t="str">
            <v>23030-0</v>
          </cell>
          <cell r="BH341">
            <v>0.69040000000000001</v>
          </cell>
        </row>
        <row r="342">
          <cell r="A342" t="str">
            <v>22978-0</v>
          </cell>
          <cell r="BH342">
            <v>0.49980000000000002</v>
          </cell>
        </row>
        <row r="343">
          <cell r="A343" t="str">
            <v>21928-0</v>
          </cell>
          <cell r="BH343">
            <v>0.66439999999999999</v>
          </cell>
        </row>
        <row r="344">
          <cell r="A344" t="str">
            <v>21922-0</v>
          </cell>
          <cell r="BH344">
            <v>0.70530000000000004</v>
          </cell>
        </row>
        <row r="345">
          <cell r="A345" t="str">
            <v>21921-0</v>
          </cell>
          <cell r="BH345">
            <v>0.5353</v>
          </cell>
        </row>
        <row r="346">
          <cell r="A346" t="str">
            <v>22392-0</v>
          </cell>
          <cell r="BH346">
            <v>0.80700000000000005</v>
          </cell>
        </row>
        <row r="347">
          <cell r="A347" t="str">
            <v>21781-1</v>
          </cell>
          <cell r="BH347">
            <v>0.8024</v>
          </cell>
        </row>
        <row r="348">
          <cell r="A348" t="str">
            <v>21616-1</v>
          </cell>
          <cell r="BH348">
            <v>0.77470000000000006</v>
          </cell>
        </row>
        <row r="349">
          <cell r="A349" t="str">
            <v>21625-1</v>
          </cell>
          <cell r="BH349">
            <v>0.73170000000000002</v>
          </cell>
        </row>
        <row r="350">
          <cell r="A350" t="str">
            <v>21959-0</v>
          </cell>
          <cell r="BH350">
            <v>0.82350000000000001</v>
          </cell>
        </row>
        <row r="351">
          <cell r="A351" t="str">
            <v>21925-0</v>
          </cell>
          <cell r="BH351">
            <v>0.85650000000000004</v>
          </cell>
        </row>
        <row r="352">
          <cell r="A352" t="str">
            <v>21617-1</v>
          </cell>
          <cell r="BH352">
            <v>0.76949999999999996</v>
          </cell>
        </row>
        <row r="353">
          <cell r="A353" t="str">
            <v>21628-1</v>
          </cell>
          <cell r="BH353">
            <v>0.70569999999999999</v>
          </cell>
        </row>
        <row r="354">
          <cell r="A354" t="str">
            <v>21618-1</v>
          </cell>
          <cell r="BH354">
            <v>0.77470000000000006</v>
          </cell>
        </row>
        <row r="355">
          <cell r="A355" t="str">
            <v>21957-0</v>
          </cell>
          <cell r="BH355">
            <v>0.75549999999999995</v>
          </cell>
        </row>
        <row r="356">
          <cell r="A356" t="str">
            <v>21956-0</v>
          </cell>
          <cell r="BH356">
            <v>0.6976</v>
          </cell>
        </row>
        <row r="357">
          <cell r="A357" t="str">
            <v>22851-0</v>
          </cell>
          <cell r="BH357">
            <v>0.4531</v>
          </cell>
        </row>
        <row r="358">
          <cell r="A358" t="str">
            <v>22849-0</v>
          </cell>
          <cell r="BH358">
            <v>0.50390000000000001</v>
          </cell>
        </row>
        <row r="359">
          <cell r="A359" t="str">
            <v>22850-0</v>
          </cell>
          <cell r="BH359">
            <v>0.46650000000000003</v>
          </cell>
        </row>
        <row r="360">
          <cell r="A360" t="str">
            <v>12774-0</v>
          </cell>
          <cell r="BH360">
            <v>0.62719999999999998</v>
          </cell>
        </row>
        <row r="361">
          <cell r="A361" t="str">
            <v>12496-0</v>
          </cell>
          <cell r="BH361">
            <v>0.37769999999999998</v>
          </cell>
        </row>
        <row r="362">
          <cell r="A362" t="str">
            <v>23047-0</v>
          </cell>
          <cell r="BH362">
            <v>0.85809999999999997</v>
          </cell>
        </row>
        <row r="363">
          <cell r="A363" t="str">
            <v>22701-0</v>
          </cell>
          <cell r="BH363">
            <v>0.59570000000000001</v>
          </cell>
        </row>
        <row r="364">
          <cell r="A364" t="str">
            <v>22702-0</v>
          </cell>
          <cell r="BH364">
            <v>0.64280000000000004</v>
          </cell>
        </row>
        <row r="365">
          <cell r="A365" t="str">
            <v>22754-0</v>
          </cell>
          <cell r="BH365">
            <v>0.81520000000000004</v>
          </cell>
        </row>
        <row r="366">
          <cell r="A366" t="str">
            <v>22381-0</v>
          </cell>
          <cell r="BH366">
            <v>0.72050000000000003</v>
          </cell>
        </row>
        <row r="367">
          <cell r="A367" t="str">
            <v>22210-0</v>
          </cell>
          <cell r="BH367">
            <v>0.36230000000000001</v>
          </cell>
        </row>
        <row r="368">
          <cell r="A368" t="str">
            <v>22212-0</v>
          </cell>
          <cell r="BH368">
            <v>0.22539999999999999</v>
          </cell>
        </row>
        <row r="369">
          <cell r="A369" t="str">
            <v>22213-0</v>
          </cell>
          <cell r="BH369">
            <v>0.36409999999999998</v>
          </cell>
        </row>
        <row r="370">
          <cell r="A370" t="str">
            <v>22524-0</v>
          </cell>
          <cell r="BH370">
            <v>0.41899999999999998</v>
          </cell>
        </row>
        <row r="371">
          <cell r="A371" t="str">
            <v>22525-0</v>
          </cell>
          <cell r="BH371">
            <v>0.55979999999999996</v>
          </cell>
        </row>
        <row r="372">
          <cell r="A372" t="str">
            <v>22680-0</v>
          </cell>
          <cell r="BH372">
            <v>0.58120000000000005</v>
          </cell>
        </row>
        <row r="373">
          <cell r="A373" t="str">
            <v>22387-0</v>
          </cell>
          <cell r="BH373">
            <v>0.51790000000000003</v>
          </cell>
        </row>
        <row r="374">
          <cell r="A374" t="str">
            <v>22383-0</v>
          </cell>
          <cell r="BH374">
            <v>0.51080000000000003</v>
          </cell>
        </row>
        <row r="375">
          <cell r="A375" t="str">
            <v>23005-0</v>
          </cell>
          <cell r="BH375">
            <v>0.76029999999999998</v>
          </cell>
        </row>
        <row r="376">
          <cell r="A376" t="str">
            <v>23006-0</v>
          </cell>
          <cell r="BH376">
            <v>0.75839999999999996</v>
          </cell>
        </row>
        <row r="377">
          <cell r="A377" t="str">
            <v>22526-0</v>
          </cell>
          <cell r="BH377">
            <v>0.57010000000000005</v>
          </cell>
        </row>
        <row r="378">
          <cell r="A378" t="str">
            <v>23187-0</v>
          </cell>
          <cell r="BH378">
            <v>0.68200000000000005</v>
          </cell>
        </row>
        <row r="379">
          <cell r="A379" t="str">
            <v>23186-0</v>
          </cell>
          <cell r="BH379">
            <v>0.68200000000000005</v>
          </cell>
        </row>
        <row r="380">
          <cell r="A380" t="str">
            <v>22979-0</v>
          </cell>
          <cell r="BH380">
            <v>0.4128</v>
          </cell>
        </row>
        <row r="381">
          <cell r="A381" t="str">
            <v>22980-0</v>
          </cell>
          <cell r="BH381">
            <v>0.40400000000000003</v>
          </cell>
        </row>
        <row r="382">
          <cell r="A382" t="str">
            <v>20814-0</v>
          </cell>
          <cell r="BH382">
            <v>0.31850000000000001</v>
          </cell>
        </row>
        <row r="383">
          <cell r="A383" t="str">
            <v>23221-0</v>
          </cell>
          <cell r="BH383">
            <v>0.80789999999999995</v>
          </cell>
        </row>
        <row r="384">
          <cell r="A384" t="str">
            <v>19488-1</v>
          </cell>
          <cell r="BH384">
            <v>0.42830000000000001</v>
          </cell>
        </row>
        <row r="385">
          <cell r="A385" t="str">
            <v>22853-0</v>
          </cell>
          <cell r="BH385">
            <v>0.72119999999999995</v>
          </cell>
        </row>
        <row r="386">
          <cell r="A386" t="str">
            <v>22854-0</v>
          </cell>
          <cell r="BH386">
            <v>0.60299999999999998</v>
          </cell>
        </row>
        <row r="387">
          <cell r="A387" t="str">
            <v>19489-1</v>
          </cell>
          <cell r="BH387">
            <v>0.49340000000000001</v>
          </cell>
        </row>
        <row r="388">
          <cell r="A388" t="str">
            <v>22831-0</v>
          </cell>
          <cell r="BH388">
            <v>0.68379999999999996</v>
          </cell>
        </row>
        <row r="389">
          <cell r="A389" t="str">
            <v>22834-0</v>
          </cell>
          <cell r="BH389">
            <v>0.54669999999999996</v>
          </cell>
        </row>
        <row r="390">
          <cell r="A390" t="str">
            <v>22832-0</v>
          </cell>
          <cell r="BH390">
            <v>0.57520000000000004</v>
          </cell>
        </row>
        <row r="391">
          <cell r="A391" t="str">
            <v>22830-0</v>
          </cell>
          <cell r="BH391">
            <v>0.59789999999999999</v>
          </cell>
        </row>
        <row r="392">
          <cell r="A392" t="str">
            <v>22887-0</v>
          </cell>
          <cell r="BH392">
            <v>0.33079999999999998</v>
          </cell>
        </row>
        <row r="393">
          <cell r="A393" t="str">
            <v>22888-0</v>
          </cell>
          <cell r="BH393">
            <v>0.37590000000000001</v>
          </cell>
        </row>
        <row r="394">
          <cell r="A394" t="str">
            <v>22889-0</v>
          </cell>
          <cell r="BH394">
            <v>0.3735</v>
          </cell>
        </row>
        <row r="395">
          <cell r="A395" t="str">
            <v>22004-1</v>
          </cell>
          <cell r="BH395">
            <v>0.69550000000000001</v>
          </cell>
        </row>
        <row r="396">
          <cell r="A396" t="str">
            <v>22859-0</v>
          </cell>
          <cell r="BH396">
            <v>0.70660000000000001</v>
          </cell>
        </row>
        <row r="397">
          <cell r="A397" t="str">
            <v>15980-1</v>
          </cell>
          <cell r="BH397">
            <v>0.65129999999999999</v>
          </cell>
        </row>
        <row r="398">
          <cell r="A398" t="str">
            <v>19490-1</v>
          </cell>
          <cell r="BH398">
            <v>0.51400000000000001</v>
          </cell>
        </row>
        <row r="399">
          <cell r="A399" t="str">
            <v>22836-1</v>
          </cell>
          <cell r="BH399">
            <v>0.45610000000000001</v>
          </cell>
        </row>
        <row r="400">
          <cell r="A400" t="str">
            <v>21619-2</v>
          </cell>
          <cell r="BH400">
            <v>0.77470000000000006</v>
          </cell>
        </row>
        <row r="401">
          <cell r="A401" t="str">
            <v>23195-0</v>
          </cell>
          <cell r="BH401">
            <v>0.32169999999999999</v>
          </cell>
        </row>
        <row r="402">
          <cell r="A402" t="str">
            <v>23000-0</v>
          </cell>
          <cell r="BH402">
            <v>0.28210000000000002</v>
          </cell>
        </row>
        <row r="403">
          <cell r="A403" t="str">
            <v>23192-0</v>
          </cell>
          <cell r="BH403">
            <v>0.28210000000000002</v>
          </cell>
        </row>
        <row r="404">
          <cell r="A404" t="str">
            <v>23060-0</v>
          </cell>
          <cell r="BH404">
            <v>0.41510000000000002</v>
          </cell>
        </row>
        <row r="405">
          <cell r="A405" t="str">
            <v>23061-0</v>
          </cell>
          <cell r="BH405">
            <v>0.38009999999999999</v>
          </cell>
        </row>
        <row r="406">
          <cell r="A406" t="str">
            <v>21988-0</v>
          </cell>
          <cell r="BH406">
            <v>3.3500000000000002E-2</v>
          </cell>
        </row>
        <row r="407">
          <cell r="A407" t="str">
            <v>23199-0</v>
          </cell>
          <cell r="BH407">
            <v>0.50060000000000004</v>
          </cell>
        </row>
        <row r="408">
          <cell r="A408" t="str">
            <v>23200-0</v>
          </cell>
          <cell r="BH408">
            <v>0.64759999999999995</v>
          </cell>
        </row>
        <row r="409">
          <cell r="A409" t="str">
            <v>23279-0</v>
          </cell>
          <cell r="BH409">
            <v>0.82220000000000004</v>
          </cell>
        </row>
        <row r="410">
          <cell r="A410" t="str">
            <v>23360-0</v>
          </cell>
          <cell r="BH410">
            <v>0.72829999999999995</v>
          </cell>
        </row>
        <row r="411">
          <cell r="A411" t="str">
            <v>23362-0</v>
          </cell>
          <cell r="BH411">
            <v>0.72829999999999995</v>
          </cell>
        </row>
        <row r="412">
          <cell r="A412" t="str">
            <v>23364-0</v>
          </cell>
          <cell r="BH412">
            <v>0.67779999999999996</v>
          </cell>
        </row>
        <row r="413">
          <cell r="A413" t="str">
            <v>23365-0</v>
          </cell>
          <cell r="BH413">
            <v>0.67779999999999996</v>
          </cell>
        </row>
        <row r="414">
          <cell r="A414" t="str">
            <v>23366-0</v>
          </cell>
          <cell r="BH414">
            <v>0.67779999999999996</v>
          </cell>
        </row>
        <row r="415">
          <cell r="A415" t="str">
            <v>22510-0</v>
          </cell>
          <cell r="BH415">
            <v>0.6008</v>
          </cell>
        </row>
        <row r="416">
          <cell r="A416" t="str">
            <v>22509-0</v>
          </cell>
          <cell r="BH416">
            <v>0.60129999999999995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DOR"/>
      <sheetName val="SIMULAÇÃO"/>
      <sheetName val="CALCULADORA"/>
      <sheetName val="CONFIGURACAO"/>
      <sheetName val="MUDANCA_COD."/>
      <sheetName val="REF_DERMOS"/>
      <sheetName val="POL_24T3_00"/>
      <sheetName val="COP_Ago.24"/>
      <sheetName val="FCI"/>
      <sheetName val="REFERENCIA"/>
      <sheetName val="SOP_270"/>
      <sheetName val="LOG"/>
    </sheetNames>
    <sheetDataSet>
      <sheetData sheetId="0"/>
      <sheetData sheetId="1"/>
      <sheetData sheetId="2">
        <row r="1">
          <cell r="A1">
            <v>800</v>
          </cell>
        </row>
        <row r="2">
          <cell r="A2" t="str">
            <v>Fonte:</v>
          </cell>
          <cell r="B2" t="str">
            <v>CADASTRO SOP</v>
          </cell>
          <cell r="C2" t="str">
            <v>CADASTRO SOP</v>
          </cell>
          <cell r="D2" t="str">
            <v>CADASTRO SOP</v>
          </cell>
          <cell r="E2" t="str">
            <v>SIMULADOR</v>
          </cell>
          <cell r="F2" t="str">
            <v>CADASTRO SOP</v>
          </cell>
          <cell r="G2" t="str">
            <v>GRADE</v>
          </cell>
          <cell r="H2" t="str">
            <v>SAP</v>
          </cell>
          <cell r="I2" t="str">
            <v>SAP</v>
          </cell>
          <cell r="J2" t="str">
            <v>CONTROLADORIA</v>
          </cell>
          <cell r="K2" t="str">
            <v>CONTROLADORIA</v>
          </cell>
          <cell r="AX2" t="str">
            <v>FORMULA</v>
          </cell>
          <cell r="AY2" t="str">
            <v>FORMULA</v>
          </cell>
          <cell r="AZ2" t="str">
            <v>REFERENCIA</v>
          </cell>
          <cell r="BA2" t="str">
            <v>REFERENCIA</v>
          </cell>
          <cell r="BB2" t="str">
            <v>REFERENCIA</v>
          </cell>
          <cell r="BC2" t="str">
            <v>FORMULA</v>
          </cell>
          <cell r="BD2" t="str">
            <v>REFERENCIA</v>
          </cell>
          <cell r="BE2" t="str">
            <v>REFERENCIA</v>
          </cell>
          <cell r="BF2" t="str">
            <v>REFERENCIA</v>
          </cell>
          <cell r="BG2" t="str">
            <v>FORMULA</v>
          </cell>
          <cell r="BH2" t="str">
            <v>POLITICA</v>
          </cell>
          <cell r="BI2" t="str">
            <v>FORMULA</v>
          </cell>
          <cell r="BJ2" t="str">
            <v>FORMULA</v>
          </cell>
          <cell r="BK2" t="str">
            <v>POLITICA</v>
          </cell>
          <cell r="BL2" t="str">
            <v>FORMULA</v>
          </cell>
          <cell r="BM2" t="str">
            <v>FORMULA</v>
          </cell>
          <cell r="BN2" t="str">
            <v>POLITICA</v>
          </cell>
          <cell r="BO2" t="str">
            <v>REFERENCIA</v>
          </cell>
          <cell r="BP2" t="str">
            <v>FORMULA</v>
          </cell>
          <cell r="BR2" t="str">
            <v>SIMULADOR</v>
          </cell>
          <cell r="BS2" t="str">
            <v>REFERENCIA</v>
          </cell>
          <cell r="BT2" t="str">
            <v>POLITICA</v>
          </cell>
          <cell r="BX2" t="str">
            <v>SIMULADOR</v>
          </cell>
          <cell r="BY2" t="str">
            <v>POLITICA</v>
          </cell>
        </row>
        <row r="3">
          <cell r="A3" t="str">
            <v>Fórmula:</v>
          </cell>
          <cell r="B3" t="str">
            <v>-</v>
          </cell>
          <cell r="C3" t="str">
            <v>-</v>
          </cell>
          <cell r="D3" t="str">
            <v>-</v>
          </cell>
          <cell r="E3" t="str">
            <v>-</v>
          </cell>
          <cell r="F3" t="str">
            <v>-</v>
          </cell>
          <cell r="G3" t="str">
            <v>=SEERRO(PROCV(B10;REFERENCIA_GRADE;G$4;FALSO);"#ERRO")</v>
          </cell>
          <cell r="H3" t="str">
            <v>MANUAL</v>
          </cell>
          <cell r="I3" t="str">
            <v>=SEERRO(PROCV(A10;REFERENCIA_CX_EMBARQUE;I$4;FALSO);"#ERRO")</v>
          </cell>
          <cell r="J3" t="str">
            <v>=SEERRO(MAIÚSCULA(ÍNDICE([20210201_SimuladorEvolucao_Fev2021_vApoio.xlsx]TABELA_PRECO!$F:$F;CORRESP(A9;[20210201_SimuladorEvolucao_Fev2021_vApoio.xlsx]TABELA_PRECO!$K:$K;0)));"#ERRO")</v>
          </cell>
          <cell r="K3" t="str">
            <v>=SEERRO(MAIÚSCULA(PROCV(A9;'20210201_SimuladorEvolucao_Fev2021_vApoio.xlsx'!APOIO_TABELA_PRECO;J$4;FALSO));"#ERRO")</v>
          </cell>
          <cell r="M3" t="str">
            <v>=SE(OU(H11=1;H11=2;H11=6;H11=7);"IMPORTADO";"NACIONAL")</v>
          </cell>
          <cell r="P3" t="str">
            <v>=SEERRO(PROCV($A9;'20210201_SimuladorEvolucao_Fev2021_vApoio.xlsx'!APOIO_TABELA_PRECO;V$4;FALSO);"#ERRO")</v>
          </cell>
          <cell r="Q3" t="str">
            <v>-</v>
          </cell>
          <cell r="R3" t="str">
            <v>-</v>
          </cell>
          <cell r="S3" t="str">
            <v>-</v>
          </cell>
          <cell r="T3" t="str">
            <v>-</v>
          </cell>
          <cell r="U3" t="str">
            <v>-</v>
          </cell>
          <cell r="V3" t="str">
            <v>-</v>
          </cell>
          <cell r="W3" t="str">
            <v>-</v>
          </cell>
          <cell r="X3" t="str">
            <v>-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G3" t="str">
            <v>-</v>
          </cell>
          <cell r="AH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X3" t="str">
            <v>=SOMASE($M$8:$U$8;AI9;M9:U9)</v>
          </cell>
          <cell r="AY3" t="str">
            <v>=SOMASE($W$8:$AE$8;AI9;W9:AE9)</v>
          </cell>
          <cell r="AZ3" t="str">
            <v>=SEERRO(PROCV(AR9;ALIQUOTA_REGIONAL;AI$4;FALSO);"#ERRO")</v>
          </cell>
          <cell r="BA3" t="str">
            <v>=SEERRO(PROCV(AR9;ALIQUOTA_REGIONAL;AJ$4;FALSO);"#ERRO")</v>
          </cell>
          <cell r="BB3" t="str">
            <v>=SE(UF="SP";SEERRO(PROCV(A9;ALIQUOTA_BASE_ST_SP;AK$4;FALSO);"#ERRO");"-")</v>
          </cell>
          <cell r="BC3" t="str">
            <v>=SE(UF="SP";AK9*AI9;"-")</v>
          </cell>
          <cell r="BD3" t="str">
            <v>=SE(UF="SP";SEERRO(PROCV(A9;ALIQUOTA_BASE_ST_SP;AM$4;FALSO);"#ERRO");"-")</v>
          </cell>
          <cell r="BE3" t="str">
            <v>=SE(UF="MG";SEERRO(PROCV(A9;ALIQUOTA_AJUSTE_MG;AN$4;FALSO);"#ERRO");"-")</v>
          </cell>
          <cell r="BF3" t="str">
            <v>=SE(M11="IMPORTADO";100%;1-AM11)</v>
          </cell>
          <cell r="BG3" t="str">
            <v>=SEERRO(SE(UF="MG";SE(J9="ALIMENTO FUNCIONAL";1-(1-AI9)/(1-AJ9);0);1-(1-AI9)/(1-AJ9));"#ERRO")</v>
          </cell>
          <cell r="BH3" t="str">
            <v>=SEERRO(PROCV(A9;POLITICA_COMERCIAL;AP$4;FALSO);"#ERRO")</v>
          </cell>
          <cell r="BI3" t="str">
            <v>=SEERRO(ARRED(AG9*(1-AO9)*(1-AP9);2);"#ERRO")</v>
          </cell>
          <cell r="BJ3" t="str">
            <v>=SE(UF="MG";AQ9*(1+AN9);SE(UF="SP";AQ9+MÁXIMO(AL9-(AQ9*AJ9);0);"-"))</v>
          </cell>
          <cell r="BK3" t="str">
            <v>=SE(BA11="SIM";SOMASES(REFERENCIA!BX:BX;REFERENCIA!BW:BW;UF;REFERENCIA!BV:BV;CLIENTE;REFERENCIA!BU:BU;CALCULADORA!A11);SEERRO(PROCV(A11;POLITICA_COMERCIAL;SE(AZ11="SIM";ÍNDICE(POLITICA!$V$2:$AV$2;CORRESP(UF;POLITICA!$V$5:$AV$5;0));$AW$4);FALSO);"#ERRO"))</v>
          </cell>
          <cell r="BL3" t="str">
            <v>=SEERRO(ARRED(AJ11*(1-AS11)*(1-AW11);2);"#ERRO")*SE(TRIBUTACAO_CLIENTE="ZF-ALC";AR11;1)</v>
          </cell>
          <cell r="BM3" t="str">
            <v>=SE(UF="MG";AT9*(1+AN9);SE(UF="SP";AT9+MÁXIMO(AL9-(AT9*AJ9);0);"-"))</v>
          </cell>
          <cell r="BN3" t="str">
            <v>=SE(SOMASES(POLITICA!V:V;POLITICA!C:C;A9)&gt;0;"SIM";"NÃO")</v>
          </cell>
          <cell r="BO3" t="str">
            <v>=SE(SOMASES(REFERENCIA!BX:BX;REFERENCIA!BW:BW;UF;REFERENCIA!BV:BV;CLIENTE;REFERENCIA!BU:BU;CALCULADORA!A11)&gt;0;"SIM";"NÃO")</v>
          </cell>
          <cell r="BP3" t="str">
            <v>=UF&amp;"|"&amp;E9&amp;"|"&amp;L9&amp;"|"&amp;K9&amp;"|"&amp;J9</v>
          </cell>
        </row>
        <row r="4">
          <cell r="A4" t="str">
            <v>Referência:</v>
          </cell>
          <cell r="B4">
            <v>3</v>
          </cell>
          <cell r="C4">
            <v>6</v>
          </cell>
          <cell r="D4">
            <v>45173</v>
          </cell>
          <cell r="E4" t="str">
            <v>-</v>
          </cell>
          <cell r="F4">
            <v>19</v>
          </cell>
          <cell r="G4">
            <v>3</v>
          </cell>
          <cell r="H4" t="str">
            <v>MANUAL</v>
          </cell>
          <cell r="I4">
            <v>2</v>
          </cell>
          <cell r="J4" t="str">
            <v>-</v>
          </cell>
          <cell r="K4">
            <v>27</v>
          </cell>
          <cell r="M4" t="str">
            <v>-</v>
          </cell>
          <cell r="P4">
            <v>6</v>
          </cell>
          <cell r="Q4">
            <v>7</v>
          </cell>
          <cell r="R4">
            <v>8</v>
          </cell>
          <cell r="S4">
            <v>9</v>
          </cell>
          <cell r="T4">
            <v>10</v>
          </cell>
          <cell r="U4">
            <v>11</v>
          </cell>
          <cell r="V4">
            <v>12</v>
          </cell>
          <cell r="W4">
            <v>13</v>
          </cell>
          <cell r="X4">
            <v>14</v>
          </cell>
          <cell r="Y4">
            <v>15</v>
          </cell>
          <cell r="Z4">
            <v>16</v>
          </cell>
          <cell r="AA4">
            <v>17</v>
          </cell>
          <cell r="AB4">
            <v>18</v>
          </cell>
          <cell r="AC4">
            <v>19</v>
          </cell>
          <cell r="AD4">
            <v>20</v>
          </cell>
          <cell r="AE4">
            <v>21</v>
          </cell>
          <cell r="AF4">
            <v>5</v>
          </cell>
          <cell r="AG4">
            <v>16</v>
          </cell>
          <cell r="AH4">
            <v>17</v>
          </cell>
          <cell r="AI4">
            <v>18</v>
          </cell>
          <cell r="AJ4">
            <v>19</v>
          </cell>
          <cell r="AK4">
            <v>20</v>
          </cell>
          <cell r="AL4">
            <v>21</v>
          </cell>
          <cell r="AM4">
            <v>22</v>
          </cell>
          <cell r="AN4">
            <v>23</v>
          </cell>
          <cell r="AO4">
            <v>24</v>
          </cell>
          <cell r="AP4">
            <v>25</v>
          </cell>
          <cell r="AQ4">
            <v>26</v>
          </cell>
          <cell r="AR4">
            <v>27</v>
          </cell>
          <cell r="AS4">
            <v>28</v>
          </cell>
          <cell r="AT4">
            <v>29</v>
          </cell>
          <cell r="AU4">
            <v>30</v>
          </cell>
          <cell r="AV4">
            <v>31</v>
          </cell>
          <cell r="AZ4">
            <v>7</v>
          </cell>
          <cell r="BA4">
            <v>8</v>
          </cell>
          <cell r="BB4">
            <v>2</v>
          </cell>
          <cell r="BC4" t="str">
            <v>-</v>
          </cell>
          <cell r="BD4">
            <v>3</v>
          </cell>
          <cell r="BE4">
            <v>2</v>
          </cell>
          <cell r="BF4" t="str">
            <v>-</v>
          </cell>
          <cell r="BG4" t="str">
            <v>-</v>
          </cell>
          <cell r="BH4">
            <v>11</v>
          </cell>
          <cell r="BI4" t="str">
            <v>-</v>
          </cell>
          <cell r="BJ4" t="str">
            <v>-</v>
          </cell>
          <cell r="BK4">
            <v>13</v>
          </cell>
          <cell r="BL4" t="str">
            <v>-</v>
          </cell>
          <cell r="BM4" t="str">
            <v>-</v>
          </cell>
          <cell r="BN4" t="str">
            <v>-</v>
          </cell>
          <cell r="BO4" t="str">
            <v>-</v>
          </cell>
          <cell r="BP4" t="str">
            <v>-</v>
          </cell>
          <cell r="BS4">
            <v>17</v>
          </cell>
          <cell r="BT4">
            <v>17</v>
          </cell>
          <cell r="BY4">
            <v>17</v>
          </cell>
        </row>
        <row r="5">
          <cell r="A5" t="str">
            <v xml:space="preserve">Coluna: </v>
          </cell>
          <cell r="D5">
            <v>4</v>
          </cell>
          <cell r="E5">
            <v>5</v>
          </cell>
          <cell r="F5">
            <v>6</v>
          </cell>
          <cell r="G5">
            <v>7</v>
          </cell>
          <cell r="H5">
            <v>8</v>
          </cell>
          <cell r="I5">
            <v>9</v>
          </cell>
          <cell r="J5">
            <v>10</v>
          </cell>
          <cell r="K5">
            <v>11</v>
          </cell>
          <cell r="L5">
            <v>12</v>
          </cell>
          <cell r="M5">
            <v>13</v>
          </cell>
          <cell r="N5">
            <v>14</v>
          </cell>
          <cell r="P5">
            <v>16</v>
          </cell>
          <cell r="Q5">
            <v>17</v>
          </cell>
          <cell r="R5">
            <v>18</v>
          </cell>
          <cell r="S5">
            <v>19</v>
          </cell>
          <cell r="T5">
            <v>20</v>
          </cell>
          <cell r="U5">
            <v>21</v>
          </cell>
          <cell r="V5">
            <v>22</v>
          </cell>
          <cell r="W5">
            <v>23</v>
          </cell>
          <cell r="X5">
            <v>24</v>
          </cell>
          <cell r="Y5">
            <v>25</v>
          </cell>
          <cell r="Z5">
            <v>26</v>
          </cell>
          <cell r="AA5">
            <v>27</v>
          </cell>
          <cell r="AB5">
            <v>28</v>
          </cell>
          <cell r="AC5">
            <v>29</v>
          </cell>
          <cell r="AD5">
            <v>30</v>
          </cell>
          <cell r="AE5">
            <v>31</v>
          </cell>
          <cell r="AF5">
            <v>32</v>
          </cell>
          <cell r="AG5">
            <v>33</v>
          </cell>
          <cell r="AH5">
            <v>34</v>
          </cell>
          <cell r="AI5">
            <v>35</v>
          </cell>
          <cell r="AJ5">
            <v>36</v>
          </cell>
          <cell r="AK5">
            <v>37</v>
          </cell>
          <cell r="AL5">
            <v>38</v>
          </cell>
          <cell r="AM5">
            <v>39</v>
          </cell>
          <cell r="AN5">
            <v>40</v>
          </cell>
          <cell r="AO5">
            <v>41</v>
          </cell>
          <cell r="AP5">
            <v>42</v>
          </cell>
          <cell r="AQ5">
            <v>43</v>
          </cell>
          <cell r="AR5">
            <v>44</v>
          </cell>
          <cell r="AS5">
            <v>45</v>
          </cell>
          <cell r="AT5">
            <v>46</v>
          </cell>
          <cell r="AU5">
            <v>47</v>
          </cell>
          <cell r="AV5">
            <v>48</v>
          </cell>
          <cell r="AW5">
            <v>49</v>
          </cell>
          <cell r="AX5">
            <v>50</v>
          </cell>
          <cell r="AY5">
            <v>51</v>
          </cell>
          <cell r="AZ5">
            <v>52</v>
          </cell>
          <cell r="BA5">
            <v>53</v>
          </cell>
          <cell r="BB5">
            <v>54</v>
          </cell>
          <cell r="BC5">
            <v>55</v>
          </cell>
          <cell r="BD5">
            <v>56</v>
          </cell>
          <cell r="BE5">
            <v>57</v>
          </cell>
          <cell r="BF5">
            <v>58</v>
          </cell>
          <cell r="BG5">
            <v>59</v>
          </cell>
          <cell r="BH5">
            <v>60</v>
          </cell>
          <cell r="BI5">
            <v>61</v>
          </cell>
          <cell r="BJ5">
            <v>62</v>
          </cell>
          <cell r="BK5">
            <v>63</v>
          </cell>
          <cell r="BL5">
            <v>64</v>
          </cell>
          <cell r="BM5">
            <v>65</v>
          </cell>
          <cell r="BN5">
            <v>66</v>
          </cell>
          <cell r="BO5">
            <v>67</v>
          </cell>
          <cell r="BP5">
            <v>68</v>
          </cell>
          <cell r="BR5">
            <v>70</v>
          </cell>
          <cell r="BS5">
            <v>71</v>
          </cell>
          <cell r="BT5">
            <v>72</v>
          </cell>
          <cell r="BU5">
            <v>73</v>
          </cell>
          <cell r="BV5">
            <v>74</v>
          </cell>
          <cell r="BX5">
            <v>76</v>
          </cell>
          <cell r="BY5">
            <v>77</v>
          </cell>
          <cell r="BZ5">
            <v>78</v>
          </cell>
          <cell r="CA5">
            <v>79</v>
          </cell>
          <cell r="CB5">
            <v>80</v>
          </cell>
        </row>
        <row r="6">
          <cell r="A6" t="str">
            <v>#ERRO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R6">
            <v>0</v>
          </cell>
          <cell r="BS6">
            <v>0</v>
          </cell>
          <cell r="BT6">
            <v>400</v>
          </cell>
          <cell r="BU6">
            <v>0</v>
          </cell>
          <cell r="BV6">
            <v>0</v>
          </cell>
          <cell r="BX6">
            <v>0</v>
          </cell>
          <cell r="BY6">
            <v>0</v>
          </cell>
          <cell r="BZ6">
            <v>0</v>
          </cell>
          <cell r="CA6">
            <v>400</v>
          </cell>
          <cell r="CB6">
            <v>0</v>
          </cell>
        </row>
        <row r="7">
          <cell r="A7" t="str">
            <v>Input</v>
          </cell>
          <cell r="B7" t="str">
            <v>Input</v>
          </cell>
          <cell r="C7" t="str">
            <v>Input</v>
          </cell>
          <cell r="D7" t="str">
            <v>Input</v>
          </cell>
          <cell r="F7" t="str">
            <v>Input</v>
          </cell>
          <cell r="H7" t="str">
            <v>Input</v>
          </cell>
          <cell r="J7" t="str">
            <v>Input</v>
          </cell>
          <cell r="K7" t="str">
            <v>Input</v>
          </cell>
          <cell r="L7" t="str">
            <v>Input</v>
          </cell>
        </row>
        <row r="8">
          <cell r="A8" t="str">
            <v>CADASTRO PRODUTO&gt;&gt;</v>
          </cell>
          <cell r="P8" t="str">
            <v>PF&gt;&gt;</v>
          </cell>
          <cell r="AG8" t="str">
            <v>PMC&gt;&gt;</v>
          </cell>
          <cell r="AX8" t="str">
            <v>CALCULO&gt;&gt;</v>
          </cell>
          <cell r="BR8" t="str">
            <v>CALCULO INVERNO&gt;&gt;</v>
          </cell>
          <cell r="BX8" t="str">
            <v>CALCULO COMBO ADICIONAL&gt;&gt;</v>
          </cell>
        </row>
        <row r="9">
          <cell r="P9" t="str">
            <v>ZF-ALC</v>
          </cell>
          <cell r="Q9" t="str">
            <v>NORMAL</v>
          </cell>
          <cell r="R9" t="str">
            <v>NORMAL</v>
          </cell>
          <cell r="S9" t="str">
            <v>NORMAL</v>
          </cell>
          <cell r="T9" t="str">
            <v>NORMAL</v>
          </cell>
          <cell r="U9" t="str">
            <v>NORMAL</v>
          </cell>
          <cell r="V9" t="str">
            <v>ZF-ALC</v>
          </cell>
          <cell r="W9" t="str">
            <v>ZF-ALC</v>
          </cell>
          <cell r="X9" t="str">
            <v>NORMAL</v>
          </cell>
          <cell r="Y9" t="str">
            <v>ZF-ALC</v>
          </cell>
          <cell r="Z9" t="str">
            <v>ZF-ALC</v>
          </cell>
          <cell r="AA9" t="str">
            <v>NORMAL</v>
          </cell>
          <cell r="AB9" t="str">
            <v>NORMAL</v>
          </cell>
          <cell r="AC9" t="str">
            <v>NORMAL</v>
          </cell>
          <cell r="AD9" t="str">
            <v>ZF-ALC</v>
          </cell>
          <cell r="AE9" t="str">
            <v>NORMAL</v>
          </cell>
          <cell r="AG9" t="str">
            <v>ZF-ALC</v>
          </cell>
          <cell r="AH9" t="str">
            <v>NORMAL</v>
          </cell>
          <cell r="AI9" t="str">
            <v>NORMAL</v>
          </cell>
          <cell r="AJ9" t="str">
            <v>NORMAL</v>
          </cell>
          <cell r="AK9" t="str">
            <v>NORMAL</v>
          </cell>
          <cell r="AL9" t="str">
            <v>NORMAL</v>
          </cell>
          <cell r="AM9" t="str">
            <v>ZF-ALC</v>
          </cell>
          <cell r="AN9" t="str">
            <v>ZF-ALC</v>
          </cell>
          <cell r="AO9" t="str">
            <v>NORMAL</v>
          </cell>
          <cell r="AP9" t="str">
            <v>ZF-ALC</v>
          </cell>
          <cell r="AQ9" t="str">
            <v>ZF-ALC</v>
          </cell>
          <cell r="AR9" t="str">
            <v>NORMAL</v>
          </cell>
          <cell r="AS9" t="str">
            <v>NORMAL</v>
          </cell>
          <cell r="AT9" t="str">
            <v>NORMAL</v>
          </cell>
          <cell r="AU9" t="str">
            <v>ZF-ALC</v>
          </cell>
          <cell r="AV9" t="str">
            <v>NORMAL</v>
          </cell>
          <cell r="AZ9" t="str">
            <v>NORMAL</v>
          </cell>
        </row>
        <row r="10">
          <cell r="A10" t="str">
            <v>SKU</v>
          </cell>
          <cell r="B10" t="str">
            <v>SKU PAI</v>
          </cell>
          <cell r="C10" t="str">
            <v>EAN</v>
          </cell>
          <cell r="D10" t="str">
            <v>DESCRIÇÃO</v>
          </cell>
          <cell r="E10" t="str">
            <v>SIMULADOR?</v>
          </cell>
          <cell r="F10" t="str">
            <v>LINHA</v>
          </cell>
          <cell r="G10" t="str">
            <v>GRADE</v>
          </cell>
          <cell r="H10" t="str">
            <v>ORIGEM</v>
          </cell>
          <cell r="I10" t="str">
            <v>CX
EMBARQUE</v>
          </cell>
          <cell r="J10" t="str">
            <v>CMED</v>
          </cell>
          <cell r="K10" t="str">
            <v>LISTA</v>
          </cell>
          <cell r="L10" t="str">
            <v>BENEFÍCIO</v>
          </cell>
          <cell r="M10" t="str">
            <v>TIPO
PRODUTO</v>
          </cell>
          <cell r="N10" t="str">
            <v>TIPO
REPASSE</v>
          </cell>
          <cell r="O10" t="str">
            <v>_</v>
          </cell>
          <cell r="P10">
            <v>0.17</v>
          </cell>
          <cell r="Q10">
            <v>0.17</v>
          </cell>
          <cell r="R10">
            <v>0.18</v>
          </cell>
          <cell r="S10">
            <v>0.19</v>
          </cell>
          <cell r="T10">
            <v>0.12</v>
          </cell>
          <cell r="U10">
            <v>0.17499999999999999</v>
          </cell>
          <cell r="V10">
            <v>0.17499999999999999</v>
          </cell>
          <cell r="W10">
            <v>0.18</v>
          </cell>
          <cell r="X10">
            <v>0.2</v>
          </cell>
          <cell r="Y10">
            <v>0.19</v>
          </cell>
          <cell r="Z10">
            <v>0.2</v>
          </cell>
          <cell r="AA10">
            <v>0.21</v>
          </cell>
          <cell r="AB10">
            <v>0.22</v>
          </cell>
          <cell r="AC10">
            <v>0.19500000000000001</v>
          </cell>
          <cell r="AD10">
            <v>0.19500000000000001</v>
          </cell>
          <cell r="AE10">
            <v>0.20499999999999999</v>
          </cell>
          <cell r="AF10" t="str">
            <v>% VAR
PF</v>
          </cell>
          <cell r="AG10">
            <v>0.17</v>
          </cell>
          <cell r="AH10">
            <v>0.17</v>
          </cell>
          <cell r="AI10">
            <v>0.18</v>
          </cell>
          <cell r="AJ10">
            <v>0.19</v>
          </cell>
          <cell r="AK10">
            <v>0.12</v>
          </cell>
          <cell r="AL10">
            <v>0.17499999999999999</v>
          </cell>
          <cell r="AM10">
            <v>0.17499999999999999</v>
          </cell>
          <cell r="AN10">
            <v>0.18</v>
          </cell>
          <cell r="AO10">
            <v>0.2</v>
          </cell>
          <cell r="AP10">
            <v>0.19</v>
          </cell>
          <cell r="AQ10">
            <v>0.2</v>
          </cell>
          <cell r="AR10">
            <v>0.21</v>
          </cell>
          <cell r="AS10">
            <v>0.22</v>
          </cell>
          <cell r="AT10">
            <v>0.19500000000000001</v>
          </cell>
          <cell r="AU10">
            <v>0.19500000000000001</v>
          </cell>
          <cell r="AV10">
            <v>0.20499999999999999</v>
          </cell>
          <cell r="AW10" t="str">
            <v>_</v>
          </cell>
          <cell r="AX10" t="str">
            <v>PF</v>
          </cell>
          <cell r="AY10" t="str">
            <v>PMC</v>
          </cell>
          <cell r="AZ10" t="str">
            <v>ICMS
INTRA</v>
          </cell>
          <cell r="BA10" t="str">
            <v>ICMS
INTER</v>
          </cell>
          <cell r="BB10" t="str">
            <v>BASE ST SP</v>
          </cell>
          <cell r="BC10" t="str">
            <v>ICMS
SP</v>
          </cell>
          <cell r="BD10" t="str">
            <v>P/C
SP</v>
          </cell>
          <cell r="BE10" t="str">
            <v>AJUSTE
MG</v>
          </cell>
          <cell r="BF10" t="str">
            <v>AJUSTE
ZF</v>
          </cell>
          <cell r="BG10" t="str">
            <v>REPASSE</v>
          </cell>
          <cell r="BH10" t="str">
            <v>%
POLITICA</v>
          </cell>
          <cell r="BI10" t="str">
            <v>PX
POLITICA</v>
          </cell>
          <cell r="BJ10" t="str">
            <v>CO
POLITICA</v>
          </cell>
          <cell r="BK10" t="str">
            <v>%
PARCERIA</v>
          </cell>
          <cell r="BL10" t="str">
            <v>PX
PARCERIA</v>
          </cell>
          <cell r="BM10" t="str">
            <v>CO
PARCERIA</v>
          </cell>
          <cell r="BN10" t="str">
            <v>REGIONALIZADO</v>
          </cell>
          <cell r="BO10" t="str">
            <v>DESC POR
CLIENTE</v>
          </cell>
          <cell r="BP10" t="str">
            <v>CHAVE</v>
          </cell>
          <cell r="BQ10" t="str">
            <v>_</v>
          </cell>
          <cell r="BR10" t="str">
            <v>COMBO?</v>
          </cell>
          <cell r="BS10" t="str">
            <v>% DIF
INVERNO</v>
          </cell>
          <cell r="BT10" t="str">
            <v>%
INVERNO</v>
          </cell>
          <cell r="BU10" t="str">
            <v>PX
COMBO</v>
          </cell>
          <cell r="BV10" t="str">
            <v>CO
COMBO</v>
          </cell>
          <cell r="BW10" t="str">
            <v>_</v>
          </cell>
          <cell r="BX10" t="str">
            <v>COMBO
AD?</v>
          </cell>
          <cell r="BY10" t="str">
            <v>%
COMBO AD</v>
          </cell>
          <cell r="BZ10" t="str">
            <v>%
DESC</v>
          </cell>
          <cell r="CA10" t="str">
            <v>PX
COMBO</v>
          </cell>
          <cell r="CB10" t="str">
            <v>CO
COMBO</v>
          </cell>
        </row>
        <row r="11">
          <cell r="A11" t="str">
            <v>12466-0</v>
          </cell>
          <cell r="B11" t="str">
            <v>12466-0</v>
          </cell>
          <cell r="C11">
            <v>7896714214146</v>
          </cell>
          <cell r="D11" t="str">
            <v>ACEBROFILINA 10MG/ML XPE AD FR 1X120ML</v>
          </cell>
          <cell r="E11" t="str">
            <v>SIM</v>
          </cell>
          <cell r="F11" t="str">
            <v>G</v>
          </cell>
          <cell r="G11" t="str">
            <v>LINHA</v>
          </cell>
          <cell r="H11">
            <v>5</v>
          </cell>
          <cell r="I11">
            <v>60</v>
          </cell>
          <cell r="J11" t="str">
            <v>Monitorado</v>
          </cell>
          <cell r="K11" t="str">
            <v>Positiva</v>
          </cell>
          <cell r="L11" t="str">
            <v>Sim</v>
          </cell>
          <cell r="M11" t="str">
            <v>NACIONAL</v>
          </cell>
          <cell r="N11" t="str">
            <v>NACIONAL</v>
          </cell>
          <cell r="P11">
            <v>29.11</v>
          </cell>
          <cell r="Q11">
            <v>29.11</v>
          </cell>
          <cell r="R11">
            <v>29.46</v>
          </cell>
          <cell r="S11">
            <v>29.83</v>
          </cell>
          <cell r="T11">
            <v>27.45</v>
          </cell>
          <cell r="U11">
            <v>29.28</v>
          </cell>
          <cell r="V11">
            <v>29.28</v>
          </cell>
          <cell r="W11">
            <v>29.46</v>
          </cell>
          <cell r="X11">
            <v>30.2</v>
          </cell>
          <cell r="Y11">
            <v>29.83</v>
          </cell>
          <cell r="Z11">
            <v>30.2</v>
          </cell>
          <cell r="AA11">
            <v>30.58</v>
          </cell>
          <cell r="AB11">
            <v>30.97</v>
          </cell>
          <cell r="AC11">
            <v>30.01</v>
          </cell>
          <cell r="AD11">
            <v>30.01</v>
          </cell>
          <cell r="AE11">
            <v>30.39</v>
          </cell>
          <cell r="AF11">
            <v>0</v>
          </cell>
          <cell r="AG11">
            <v>40.24</v>
          </cell>
          <cell r="AH11">
            <v>40.24</v>
          </cell>
          <cell r="AI11">
            <v>40.729999999999997</v>
          </cell>
          <cell r="AJ11">
            <v>41.24</v>
          </cell>
          <cell r="AK11">
            <v>37.950000000000003</v>
          </cell>
          <cell r="AL11">
            <v>40.479999999999997</v>
          </cell>
          <cell r="AM11">
            <v>40.479999999999997</v>
          </cell>
          <cell r="AN11">
            <v>40.729999999999997</v>
          </cell>
          <cell r="AO11">
            <v>41.75</v>
          </cell>
          <cell r="AP11">
            <v>41.24</v>
          </cell>
          <cell r="AQ11">
            <v>41.75</v>
          </cell>
          <cell r="AR11">
            <v>42.28</v>
          </cell>
          <cell r="AS11">
            <v>42.81</v>
          </cell>
          <cell r="AT11">
            <v>41.49</v>
          </cell>
          <cell r="AU11">
            <v>41.49</v>
          </cell>
          <cell r="AV11">
            <v>42.01</v>
          </cell>
          <cell r="AX11">
            <v>29.11</v>
          </cell>
          <cell r="AY11">
            <v>40.24</v>
          </cell>
          <cell r="AZ11">
            <v>0.17</v>
          </cell>
          <cell r="BA11">
            <v>0.12</v>
          </cell>
          <cell r="BB11" t="str">
            <v>#_NA</v>
          </cell>
          <cell r="BC11" t="str">
            <v>#_NA</v>
          </cell>
          <cell r="BD11" t="str">
            <v>#_NA</v>
          </cell>
          <cell r="BE11" t="str">
            <v>-</v>
          </cell>
          <cell r="BF11" t="str">
            <v>-</v>
          </cell>
          <cell r="BG11">
            <v>5.6820000000000002E-2</v>
          </cell>
          <cell r="BH11">
            <v>0.59760000000000002</v>
          </cell>
          <cell r="BI11">
            <v>11.05</v>
          </cell>
          <cell r="BJ11" t="str">
            <v>-</v>
          </cell>
          <cell r="BK11">
            <v>0.61680000000000001</v>
          </cell>
          <cell r="BL11">
            <v>10.52</v>
          </cell>
          <cell r="BM11" t="str">
            <v>-</v>
          </cell>
          <cell r="BN11" t="str">
            <v>NÃO</v>
          </cell>
          <cell r="BO11" t="str">
            <v>NÃO</v>
          </cell>
          <cell r="BP11" t="str">
            <v>MS|G|NACIONAL|Sim|Positiva</v>
          </cell>
          <cell r="BR11" t="str">
            <v>TBD</v>
          </cell>
          <cell r="BS11">
            <v>0</v>
          </cell>
          <cell r="BT11" t="str">
            <v>#ERRO</v>
          </cell>
          <cell r="BU11">
            <v>10.52</v>
          </cell>
          <cell r="BV11" t="str">
            <v>-</v>
          </cell>
          <cell r="BX11" t="str">
            <v>TBD</v>
          </cell>
          <cell r="BY11" t="str">
            <v>TBD</v>
          </cell>
          <cell r="BZ11" t="str">
            <v>TBD</v>
          </cell>
          <cell r="CA11" t="str">
            <v>#ERRO</v>
          </cell>
          <cell r="CB11" t="str">
            <v>-</v>
          </cell>
        </row>
        <row r="12">
          <cell r="A12" t="str">
            <v>12465-0</v>
          </cell>
          <cell r="B12" t="str">
            <v>12465-0</v>
          </cell>
          <cell r="C12">
            <v>7896714214115</v>
          </cell>
          <cell r="D12" t="str">
            <v>ACEBROFILINA 5MG/ML XPE INF VD 1X120ML</v>
          </cell>
          <cell r="E12" t="str">
            <v>SIM</v>
          </cell>
          <cell r="F12" t="str">
            <v>G</v>
          </cell>
          <cell r="G12" t="str">
            <v>LINHA</v>
          </cell>
          <cell r="H12">
            <v>5</v>
          </cell>
          <cell r="I12">
            <v>60</v>
          </cell>
          <cell r="J12" t="str">
            <v>Monitorado</v>
          </cell>
          <cell r="K12" t="str">
            <v>Positiva</v>
          </cell>
          <cell r="L12" t="str">
            <v>Sim</v>
          </cell>
          <cell r="M12" t="str">
            <v>NACIONAL</v>
          </cell>
          <cell r="N12" t="str">
            <v>NACIONAL</v>
          </cell>
          <cell r="P12">
            <v>21.45</v>
          </cell>
          <cell r="Q12">
            <v>21.45</v>
          </cell>
          <cell r="R12">
            <v>21.71</v>
          </cell>
          <cell r="S12">
            <v>21.98</v>
          </cell>
          <cell r="T12">
            <v>20.23</v>
          </cell>
          <cell r="U12">
            <v>21.58</v>
          </cell>
          <cell r="V12">
            <v>21.58</v>
          </cell>
          <cell r="W12">
            <v>21.71</v>
          </cell>
          <cell r="X12">
            <v>22.25</v>
          </cell>
          <cell r="Y12">
            <v>21.98</v>
          </cell>
          <cell r="Z12">
            <v>22.25</v>
          </cell>
          <cell r="AA12">
            <v>22.53</v>
          </cell>
          <cell r="AB12">
            <v>22.82</v>
          </cell>
          <cell r="AC12">
            <v>22.11</v>
          </cell>
          <cell r="AD12">
            <v>22.11</v>
          </cell>
          <cell r="AE12">
            <v>22.39</v>
          </cell>
          <cell r="AF12">
            <v>0</v>
          </cell>
          <cell r="AG12">
            <v>29.65</v>
          </cell>
          <cell r="AH12">
            <v>29.65</v>
          </cell>
          <cell r="AI12">
            <v>30.01</v>
          </cell>
          <cell r="AJ12">
            <v>30.39</v>
          </cell>
          <cell r="AK12">
            <v>27.97</v>
          </cell>
          <cell r="AL12">
            <v>29.83</v>
          </cell>
          <cell r="AM12">
            <v>29.83</v>
          </cell>
          <cell r="AN12">
            <v>30.01</v>
          </cell>
          <cell r="AO12">
            <v>30.76</v>
          </cell>
          <cell r="AP12">
            <v>30.39</v>
          </cell>
          <cell r="AQ12">
            <v>30.76</v>
          </cell>
          <cell r="AR12">
            <v>31.15</v>
          </cell>
          <cell r="AS12">
            <v>31.55</v>
          </cell>
          <cell r="AT12">
            <v>30.57</v>
          </cell>
          <cell r="AU12">
            <v>30.57</v>
          </cell>
          <cell r="AV12">
            <v>30.95</v>
          </cell>
          <cell r="AX12">
            <v>21.45</v>
          </cell>
          <cell r="AY12">
            <v>29.65</v>
          </cell>
          <cell r="AZ12">
            <v>0.17</v>
          </cell>
          <cell r="BA12">
            <v>0.12</v>
          </cell>
          <cell r="BB12" t="str">
            <v>#_NA</v>
          </cell>
          <cell r="BC12" t="str">
            <v>#_NA</v>
          </cell>
          <cell r="BD12" t="str">
            <v>#_NA</v>
          </cell>
          <cell r="BE12" t="str">
            <v>-</v>
          </cell>
          <cell r="BF12" t="str">
            <v>-</v>
          </cell>
          <cell r="BG12">
            <v>5.6820000000000002E-2</v>
          </cell>
          <cell r="BH12">
            <v>0.66059999999999997</v>
          </cell>
          <cell r="BI12">
            <v>6.87</v>
          </cell>
          <cell r="BJ12" t="str">
            <v>-</v>
          </cell>
          <cell r="BK12">
            <v>0.67669999999999997</v>
          </cell>
          <cell r="BL12">
            <v>6.54</v>
          </cell>
          <cell r="BM12" t="str">
            <v>-</v>
          </cell>
          <cell r="BN12" t="str">
            <v>NÃO</v>
          </cell>
          <cell r="BO12" t="str">
            <v>NÃO</v>
          </cell>
          <cell r="BP12" t="str">
            <v>MS|G|NACIONAL|Sim|Positiva</v>
          </cell>
          <cell r="BR12" t="str">
            <v>TBD</v>
          </cell>
          <cell r="BS12">
            <v>0</v>
          </cell>
          <cell r="BT12" t="str">
            <v>#ERRO</v>
          </cell>
          <cell r="BU12">
            <v>6.54</v>
          </cell>
          <cell r="BV12" t="str">
            <v>-</v>
          </cell>
          <cell r="BX12" t="str">
            <v>TBD</v>
          </cell>
          <cell r="BY12" t="str">
            <v>TBD</v>
          </cell>
          <cell r="BZ12" t="str">
            <v>TBD</v>
          </cell>
          <cell r="CA12" t="str">
            <v>#ERRO</v>
          </cell>
          <cell r="CB12" t="str">
            <v>-</v>
          </cell>
        </row>
        <row r="13">
          <cell r="A13" t="str">
            <v>19476-0</v>
          </cell>
          <cell r="B13" t="str">
            <v>19476-0</v>
          </cell>
          <cell r="C13">
            <v>7896714265308</v>
          </cell>
          <cell r="D13" t="str">
            <v>ACICLOVIR 50MG/G CR BG ALUM 1X10G</v>
          </cell>
          <cell r="E13" t="str">
            <v>SIM</v>
          </cell>
          <cell r="F13" t="str">
            <v>G</v>
          </cell>
          <cell r="G13" t="str">
            <v>LINHA</v>
          </cell>
          <cell r="H13">
            <v>5</v>
          </cell>
          <cell r="I13">
            <v>100</v>
          </cell>
          <cell r="J13" t="str">
            <v>Monitorado</v>
          </cell>
          <cell r="K13" t="str">
            <v>Negativa</v>
          </cell>
          <cell r="L13" t="str">
            <v>Sim</v>
          </cell>
          <cell r="M13" t="str">
            <v>NACIONAL</v>
          </cell>
          <cell r="N13" t="str">
            <v>NACIONAL</v>
          </cell>
          <cell r="P13">
            <v>21.3</v>
          </cell>
          <cell r="Q13">
            <v>24.47</v>
          </cell>
          <cell r="R13">
            <v>24.81</v>
          </cell>
          <cell r="S13">
            <v>25.17</v>
          </cell>
          <cell r="T13">
            <v>22.88</v>
          </cell>
          <cell r="U13">
            <v>24.64</v>
          </cell>
          <cell r="V13">
            <v>21.43</v>
          </cell>
          <cell r="W13">
            <v>21.56</v>
          </cell>
          <cell r="X13">
            <v>25.53</v>
          </cell>
          <cell r="Y13">
            <v>21.83</v>
          </cell>
          <cell r="Z13">
            <v>22.1</v>
          </cell>
          <cell r="AA13">
            <v>25.9</v>
          </cell>
          <cell r="AB13">
            <v>26.29</v>
          </cell>
          <cell r="AC13">
            <v>25.35</v>
          </cell>
          <cell r="AD13">
            <v>21.96</v>
          </cell>
          <cell r="AE13">
            <v>25.72</v>
          </cell>
          <cell r="AF13">
            <v>0</v>
          </cell>
          <cell r="AG13">
            <v>29.45</v>
          </cell>
          <cell r="AH13">
            <v>32.619999999999997</v>
          </cell>
          <cell r="AI13">
            <v>33.049999999999997</v>
          </cell>
          <cell r="AJ13">
            <v>33.520000000000003</v>
          </cell>
          <cell r="AK13">
            <v>30.56</v>
          </cell>
          <cell r="AL13">
            <v>32.840000000000003</v>
          </cell>
          <cell r="AM13">
            <v>29.63</v>
          </cell>
          <cell r="AN13">
            <v>29.81</v>
          </cell>
          <cell r="AO13">
            <v>33.979999999999997</v>
          </cell>
          <cell r="AP13">
            <v>30.18</v>
          </cell>
          <cell r="AQ13">
            <v>30.55</v>
          </cell>
          <cell r="AR13">
            <v>34.46</v>
          </cell>
          <cell r="AS13">
            <v>34.96</v>
          </cell>
          <cell r="AT13">
            <v>33.75</v>
          </cell>
          <cell r="AU13">
            <v>30.36</v>
          </cell>
          <cell r="AV13">
            <v>34.229999999999997</v>
          </cell>
          <cell r="AX13">
            <v>24.47</v>
          </cell>
          <cell r="AY13">
            <v>32.619999999999997</v>
          </cell>
          <cell r="AZ13">
            <v>0.17</v>
          </cell>
          <cell r="BA13">
            <v>0.12</v>
          </cell>
          <cell r="BB13" t="str">
            <v>#_NA</v>
          </cell>
          <cell r="BC13" t="str">
            <v>#_NA</v>
          </cell>
          <cell r="BD13" t="str">
            <v>#_NA</v>
          </cell>
          <cell r="BE13" t="str">
            <v>-</v>
          </cell>
          <cell r="BF13" t="str">
            <v>-</v>
          </cell>
          <cell r="BG13">
            <v>5.6820000000000002E-2</v>
          </cell>
          <cell r="BH13">
            <v>0.81830000000000003</v>
          </cell>
          <cell r="BI13">
            <v>4.1900000000000004</v>
          </cell>
          <cell r="BJ13" t="str">
            <v>-</v>
          </cell>
          <cell r="BK13">
            <v>0.84989999999999999</v>
          </cell>
          <cell r="BL13">
            <v>3.46</v>
          </cell>
          <cell r="BM13" t="str">
            <v>-</v>
          </cell>
          <cell r="BN13" t="str">
            <v>NÃO</v>
          </cell>
          <cell r="BO13" t="str">
            <v>NÃO</v>
          </cell>
          <cell r="BP13" t="str">
            <v>MS|G|NACIONAL|Sim|Negativa</v>
          </cell>
          <cell r="BR13" t="str">
            <v>TBD</v>
          </cell>
          <cell r="BS13">
            <v>0</v>
          </cell>
          <cell r="BT13" t="str">
            <v>#ERRO</v>
          </cell>
          <cell r="BU13">
            <v>3.46</v>
          </cell>
          <cell r="BV13" t="str">
            <v>-</v>
          </cell>
          <cell r="BX13" t="str">
            <v>TBD</v>
          </cell>
          <cell r="BY13" t="str">
            <v>TBD</v>
          </cell>
          <cell r="BZ13" t="str">
            <v>TBD</v>
          </cell>
          <cell r="CA13" t="str">
            <v>#ERRO</v>
          </cell>
          <cell r="CB13" t="str">
            <v>-</v>
          </cell>
        </row>
        <row r="14">
          <cell r="A14" t="str">
            <v>17944-0</v>
          </cell>
          <cell r="B14" t="str">
            <v>17944-0</v>
          </cell>
          <cell r="C14">
            <v>7896714231204</v>
          </cell>
          <cell r="D14" t="str">
            <v>ALENDRONATO SODIO TRI 70MG CP CT BL 1X4</v>
          </cell>
          <cell r="E14" t="str">
            <v>SIM</v>
          </cell>
          <cell r="F14" t="str">
            <v>G</v>
          </cell>
          <cell r="G14" t="str">
            <v>LINHA</v>
          </cell>
          <cell r="H14">
            <v>5</v>
          </cell>
          <cell r="I14">
            <v>60</v>
          </cell>
          <cell r="J14" t="str">
            <v>Monitorado</v>
          </cell>
          <cell r="K14" t="str">
            <v>Positiva</v>
          </cell>
          <cell r="L14" t="str">
            <v>Sim</v>
          </cell>
          <cell r="M14" t="str">
            <v>NACIONAL</v>
          </cell>
          <cell r="N14" t="str">
            <v>NACIONAL</v>
          </cell>
          <cell r="P14">
            <v>30.84</v>
          </cell>
          <cell r="Q14">
            <v>30.84</v>
          </cell>
          <cell r="R14">
            <v>31.22</v>
          </cell>
          <cell r="S14">
            <v>31.6</v>
          </cell>
          <cell r="T14">
            <v>29.09</v>
          </cell>
          <cell r="U14">
            <v>31.03</v>
          </cell>
          <cell r="V14">
            <v>31.03</v>
          </cell>
          <cell r="W14">
            <v>31.22</v>
          </cell>
          <cell r="X14">
            <v>32</v>
          </cell>
          <cell r="Y14">
            <v>31.6</v>
          </cell>
          <cell r="Z14">
            <v>32</v>
          </cell>
          <cell r="AA14">
            <v>32.409999999999997</v>
          </cell>
          <cell r="AB14">
            <v>32.82</v>
          </cell>
          <cell r="AC14">
            <v>31.8</v>
          </cell>
          <cell r="AD14">
            <v>31.8</v>
          </cell>
          <cell r="AE14">
            <v>32.200000000000003</v>
          </cell>
          <cell r="AF14">
            <v>0</v>
          </cell>
          <cell r="AG14">
            <v>42.63</v>
          </cell>
          <cell r="AH14">
            <v>42.63</v>
          </cell>
          <cell r="AI14">
            <v>43.16</v>
          </cell>
          <cell r="AJ14">
            <v>43.69</v>
          </cell>
          <cell r="AK14">
            <v>40.22</v>
          </cell>
          <cell r="AL14">
            <v>42.9</v>
          </cell>
          <cell r="AM14">
            <v>42.9</v>
          </cell>
          <cell r="AN14">
            <v>43.16</v>
          </cell>
          <cell r="AO14">
            <v>44.24</v>
          </cell>
          <cell r="AP14">
            <v>43.69</v>
          </cell>
          <cell r="AQ14">
            <v>44.24</v>
          </cell>
          <cell r="AR14">
            <v>44.8</v>
          </cell>
          <cell r="AS14">
            <v>45.37</v>
          </cell>
          <cell r="AT14">
            <v>43.96</v>
          </cell>
          <cell r="AU14">
            <v>43.96</v>
          </cell>
          <cell r="AV14">
            <v>44.51</v>
          </cell>
          <cell r="AX14">
            <v>30.84</v>
          </cell>
          <cell r="AY14">
            <v>42.63</v>
          </cell>
          <cell r="AZ14">
            <v>0.17</v>
          </cell>
          <cell r="BA14">
            <v>0.12</v>
          </cell>
          <cell r="BB14" t="str">
            <v>#_NA</v>
          </cell>
          <cell r="BC14" t="str">
            <v>#_NA</v>
          </cell>
          <cell r="BD14" t="str">
            <v>#_NA</v>
          </cell>
          <cell r="BE14" t="str">
            <v>-</v>
          </cell>
          <cell r="BF14" t="str">
            <v>-</v>
          </cell>
          <cell r="BG14">
            <v>5.6820000000000002E-2</v>
          </cell>
          <cell r="BH14">
            <v>0.91590000000000005</v>
          </cell>
          <cell r="BI14">
            <v>2.4500000000000002</v>
          </cell>
          <cell r="BJ14" t="str">
            <v>-</v>
          </cell>
          <cell r="BK14">
            <v>0.91990000000000005</v>
          </cell>
          <cell r="BL14">
            <v>2.33</v>
          </cell>
          <cell r="BM14" t="str">
            <v>-</v>
          </cell>
          <cell r="BN14" t="str">
            <v>NÃO</v>
          </cell>
          <cell r="BO14" t="str">
            <v>NÃO</v>
          </cell>
          <cell r="BP14" t="str">
            <v>MS|G|NACIONAL|Sim|Positiva</v>
          </cell>
          <cell r="BR14" t="str">
            <v>TBD</v>
          </cell>
          <cell r="BS14">
            <v>0</v>
          </cell>
          <cell r="BT14" t="str">
            <v>#ERRO</v>
          </cell>
          <cell r="BU14">
            <v>2.33</v>
          </cell>
          <cell r="BV14" t="str">
            <v>-</v>
          </cell>
          <cell r="BX14" t="str">
            <v>TBD</v>
          </cell>
          <cell r="BY14" t="str">
            <v>TBD</v>
          </cell>
          <cell r="BZ14" t="str">
            <v>TBD</v>
          </cell>
          <cell r="CA14" t="str">
            <v>#ERRO</v>
          </cell>
          <cell r="CB14" t="str">
            <v>-</v>
          </cell>
        </row>
        <row r="15">
          <cell r="A15" t="str">
            <v>18557-0</v>
          </cell>
          <cell r="B15" t="str">
            <v>18557-1</v>
          </cell>
          <cell r="C15">
            <v>7896714205731</v>
          </cell>
          <cell r="D15" t="str">
            <v>AMOXICILINA 250MG/5ML PO EXT VD 1X150ML</v>
          </cell>
          <cell r="E15" t="str">
            <v>SIM</v>
          </cell>
          <cell r="F15" t="str">
            <v>G</v>
          </cell>
          <cell r="G15" t="str">
            <v>LINHA</v>
          </cell>
          <cell r="H15">
            <v>5</v>
          </cell>
          <cell r="I15">
            <v>30</v>
          </cell>
          <cell r="J15" t="str">
            <v>Monitorado</v>
          </cell>
          <cell r="K15" t="str">
            <v>Positiva</v>
          </cell>
          <cell r="L15" t="str">
            <v>Sim</v>
          </cell>
          <cell r="M15" t="str">
            <v>NACIONAL</v>
          </cell>
          <cell r="N15" t="str">
            <v>NACIONAL</v>
          </cell>
          <cell r="P15">
            <v>27.25</v>
          </cell>
          <cell r="Q15">
            <v>27.25</v>
          </cell>
          <cell r="R15">
            <v>27.59</v>
          </cell>
          <cell r="S15">
            <v>27.93</v>
          </cell>
          <cell r="T15">
            <v>25.7</v>
          </cell>
          <cell r="U15">
            <v>27.42</v>
          </cell>
          <cell r="V15">
            <v>27.42</v>
          </cell>
          <cell r="W15">
            <v>27.59</v>
          </cell>
          <cell r="X15">
            <v>28.28</v>
          </cell>
          <cell r="Y15">
            <v>27.93</v>
          </cell>
          <cell r="Z15">
            <v>28.28</v>
          </cell>
          <cell r="AA15">
            <v>28.63</v>
          </cell>
          <cell r="AB15">
            <v>29</v>
          </cell>
          <cell r="AC15">
            <v>28.1</v>
          </cell>
          <cell r="AD15">
            <v>28.1</v>
          </cell>
          <cell r="AE15">
            <v>28.45</v>
          </cell>
          <cell r="AF15">
            <v>0</v>
          </cell>
          <cell r="AG15">
            <v>37.67</v>
          </cell>
          <cell r="AH15">
            <v>37.67</v>
          </cell>
          <cell r="AI15">
            <v>38.14</v>
          </cell>
          <cell r="AJ15">
            <v>38.61</v>
          </cell>
          <cell r="AK15">
            <v>35.53</v>
          </cell>
          <cell r="AL15">
            <v>37.909999999999997</v>
          </cell>
          <cell r="AM15">
            <v>37.909999999999997</v>
          </cell>
          <cell r="AN15">
            <v>38.14</v>
          </cell>
          <cell r="AO15">
            <v>39.1</v>
          </cell>
          <cell r="AP15">
            <v>38.61</v>
          </cell>
          <cell r="AQ15">
            <v>39.1</v>
          </cell>
          <cell r="AR15">
            <v>39.58</v>
          </cell>
          <cell r="AS15">
            <v>40.090000000000003</v>
          </cell>
          <cell r="AT15">
            <v>38.85</v>
          </cell>
          <cell r="AU15">
            <v>38.85</v>
          </cell>
          <cell r="AV15">
            <v>39.33</v>
          </cell>
          <cell r="AX15">
            <v>27.25</v>
          </cell>
          <cell r="AY15">
            <v>37.67</v>
          </cell>
          <cell r="AZ15">
            <v>0.17</v>
          </cell>
          <cell r="BA15">
            <v>0.12</v>
          </cell>
          <cell r="BB15" t="str">
            <v>#_NA</v>
          </cell>
          <cell r="BC15" t="str">
            <v>#_NA</v>
          </cell>
          <cell r="BD15" t="str">
            <v>#_NA</v>
          </cell>
          <cell r="BE15" t="str">
            <v>-</v>
          </cell>
          <cell r="BF15" t="str">
            <v>-</v>
          </cell>
          <cell r="BG15">
            <v>5.6820000000000002E-2</v>
          </cell>
          <cell r="BH15">
            <v>0.65490000000000004</v>
          </cell>
          <cell r="BI15">
            <v>8.8699999999999992</v>
          </cell>
          <cell r="BJ15" t="str">
            <v>-</v>
          </cell>
          <cell r="BK15">
            <v>0.67169999999999996</v>
          </cell>
          <cell r="BL15">
            <v>8.44</v>
          </cell>
          <cell r="BM15" t="str">
            <v>-</v>
          </cell>
          <cell r="BN15" t="str">
            <v>NÃO</v>
          </cell>
          <cell r="BO15" t="str">
            <v>NÃO</v>
          </cell>
          <cell r="BP15" t="str">
            <v>MS|G|NACIONAL|Sim|Positiva</v>
          </cell>
          <cell r="BR15" t="str">
            <v>TBD</v>
          </cell>
          <cell r="BS15">
            <v>0</v>
          </cell>
          <cell r="BT15" t="str">
            <v>#ERRO</v>
          </cell>
          <cell r="BU15">
            <v>8.44</v>
          </cell>
          <cell r="BV15" t="str">
            <v>-</v>
          </cell>
          <cell r="BX15" t="str">
            <v>TBD</v>
          </cell>
          <cell r="BY15" t="str">
            <v>TBD</v>
          </cell>
          <cell r="BZ15" t="str">
            <v>TBD</v>
          </cell>
          <cell r="CA15" t="str">
            <v>#ERRO</v>
          </cell>
          <cell r="CB15" t="str">
            <v>-</v>
          </cell>
        </row>
        <row r="16">
          <cell r="A16" t="str">
            <v>12393-0</v>
          </cell>
          <cell r="B16" t="str">
            <v>12393-0</v>
          </cell>
          <cell r="C16">
            <v>7896714204079</v>
          </cell>
          <cell r="D16" t="str">
            <v>AMOXICILINA 500MG CAP CT BL 3X5</v>
          </cell>
          <cell r="E16" t="str">
            <v>SIM</v>
          </cell>
          <cell r="F16" t="str">
            <v>G</v>
          </cell>
          <cell r="G16" t="str">
            <v>LINHA</v>
          </cell>
          <cell r="H16">
            <v>5</v>
          </cell>
          <cell r="I16">
            <v>60</v>
          </cell>
          <cell r="J16" t="str">
            <v>Monitorado</v>
          </cell>
          <cell r="K16" t="str">
            <v>Positiva</v>
          </cell>
          <cell r="L16" t="str">
            <v>Sim</v>
          </cell>
          <cell r="M16" t="str">
            <v>NACIONAL</v>
          </cell>
          <cell r="N16" t="str">
            <v>NACIONAL</v>
          </cell>
          <cell r="P16">
            <v>26.51</v>
          </cell>
          <cell r="Q16">
            <v>26.51</v>
          </cell>
          <cell r="R16">
            <v>26.83</v>
          </cell>
          <cell r="S16">
            <v>27.16</v>
          </cell>
          <cell r="T16">
            <v>25</v>
          </cell>
          <cell r="U16">
            <v>26.67</v>
          </cell>
          <cell r="V16">
            <v>26.67</v>
          </cell>
          <cell r="W16">
            <v>26.83</v>
          </cell>
          <cell r="X16">
            <v>27.5</v>
          </cell>
          <cell r="Y16">
            <v>27.16</v>
          </cell>
          <cell r="Z16">
            <v>27.5</v>
          </cell>
          <cell r="AA16">
            <v>27.85</v>
          </cell>
          <cell r="AB16">
            <v>28.21</v>
          </cell>
          <cell r="AC16">
            <v>27.33</v>
          </cell>
          <cell r="AD16">
            <v>27.33</v>
          </cell>
          <cell r="AE16">
            <v>27.67</v>
          </cell>
          <cell r="AF16">
            <v>0</v>
          </cell>
          <cell r="AG16">
            <v>36.65</v>
          </cell>
          <cell r="AH16">
            <v>36.65</v>
          </cell>
          <cell r="AI16">
            <v>37.090000000000003</v>
          </cell>
          <cell r="AJ16">
            <v>37.549999999999997</v>
          </cell>
          <cell r="AK16">
            <v>34.56</v>
          </cell>
          <cell r="AL16">
            <v>36.869999999999997</v>
          </cell>
          <cell r="AM16">
            <v>36.869999999999997</v>
          </cell>
          <cell r="AN16">
            <v>37.090000000000003</v>
          </cell>
          <cell r="AO16">
            <v>38.020000000000003</v>
          </cell>
          <cell r="AP16">
            <v>37.549999999999997</v>
          </cell>
          <cell r="AQ16">
            <v>38.020000000000003</v>
          </cell>
          <cell r="AR16">
            <v>38.5</v>
          </cell>
          <cell r="AS16">
            <v>39</v>
          </cell>
          <cell r="AT16">
            <v>37.78</v>
          </cell>
          <cell r="AU16">
            <v>37.78</v>
          </cell>
          <cell r="AV16">
            <v>38.25</v>
          </cell>
          <cell r="AX16">
            <v>26.51</v>
          </cell>
          <cell r="AY16">
            <v>36.65</v>
          </cell>
          <cell r="AZ16">
            <v>0.17</v>
          </cell>
          <cell r="BA16">
            <v>0.12</v>
          </cell>
          <cell r="BB16" t="str">
            <v>#_NA</v>
          </cell>
          <cell r="BC16" t="str">
            <v>#_NA</v>
          </cell>
          <cell r="BD16" t="str">
            <v>#_NA</v>
          </cell>
          <cell r="BE16" t="str">
            <v>-</v>
          </cell>
          <cell r="BF16" t="str">
            <v>-</v>
          </cell>
          <cell r="BG16">
            <v>5.6820000000000002E-2</v>
          </cell>
          <cell r="BH16">
            <v>0.70730000000000004</v>
          </cell>
          <cell r="BI16">
            <v>7.32</v>
          </cell>
          <cell r="BJ16" t="str">
            <v>-</v>
          </cell>
          <cell r="BK16">
            <v>0.72119999999999995</v>
          </cell>
          <cell r="BL16">
            <v>6.97</v>
          </cell>
          <cell r="BM16" t="str">
            <v>-</v>
          </cell>
          <cell r="BN16" t="str">
            <v>NÃO</v>
          </cell>
          <cell r="BO16" t="str">
            <v>NÃO</v>
          </cell>
          <cell r="BP16" t="str">
            <v>MS|G|NACIONAL|Sim|Positiva</v>
          </cell>
          <cell r="BR16" t="str">
            <v>TBD</v>
          </cell>
          <cell r="BS16">
            <v>0</v>
          </cell>
          <cell r="BT16" t="str">
            <v>#ERRO</v>
          </cell>
          <cell r="BU16">
            <v>6.97</v>
          </cell>
          <cell r="BV16" t="str">
            <v>-</v>
          </cell>
          <cell r="BX16" t="str">
            <v>TBD</v>
          </cell>
          <cell r="BY16" t="str">
            <v>TBD</v>
          </cell>
          <cell r="BZ16" t="str">
            <v>TBD</v>
          </cell>
          <cell r="CA16" t="str">
            <v>#ERRO</v>
          </cell>
          <cell r="CB16" t="str">
            <v>-</v>
          </cell>
        </row>
        <row r="17">
          <cell r="A17" t="str">
            <v>12419-0</v>
          </cell>
          <cell r="B17" t="str">
            <v>12419-0</v>
          </cell>
          <cell r="C17">
            <v>7896714207384</v>
          </cell>
          <cell r="D17" t="str">
            <v>AMOXICILINA 500MG CAP CT BL 3X7</v>
          </cell>
          <cell r="E17" t="str">
            <v>SIM</v>
          </cell>
          <cell r="F17" t="str">
            <v>G</v>
          </cell>
          <cell r="G17" t="str">
            <v>LINHA</v>
          </cell>
          <cell r="H17">
            <v>5</v>
          </cell>
          <cell r="I17">
            <v>60</v>
          </cell>
          <cell r="J17" t="str">
            <v>Monitorado</v>
          </cell>
          <cell r="K17" t="str">
            <v>Positiva</v>
          </cell>
          <cell r="L17" t="str">
            <v>Sim</v>
          </cell>
          <cell r="M17" t="str">
            <v>NACIONAL</v>
          </cell>
          <cell r="N17" t="str">
            <v>NACIONAL</v>
          </cell>
          <cell r="P17">
            <v>34.11</v>
          </cell>
          <cell r="Q17">
            <v>34.11</v>
          </cell>
          <cell r="R17">
            <v>34.520000000000003</v>
          </cell>
          <cell r="S17">
            <v>34.950000000000003</v>
          </cell>
          <cell r="T17">
            <v>32.17</v>
          </cell>
          <cell r="U17">
            <v>34.32</v>
          </cell>
          <cell r="V17">
            <v>34.32</v>
          </cell>
          <cell r="W17">
            <v>34.520000000000003</v>
          </cell>
          <cell r="X17">
            <v>35.39</v>
          </cell>
          <cell r="Y17">
            <v>34.950000000000003</v>
          </cell>
          <cell r="Z17">
            <v>35.39</v>
          </cell>
          <cell r="AA17">
            <v>35.840000000000003</v>
          </cell>
          <cell r="AB17">
            <v>36.29</v>
          </cell>
          <cell r="AC17">
            <v>35.17</v>
          </cell>
          <cell r="AD17">
            <v>35.17</v>
          </cell>
          <cell r="AE17">
            <v>35.61</v>
          </cell>
          <cell r="AF17">
            <v>0</v>
          </cell>
          <cell r="AG17">
            <v>47.16</v>
          </cell>
          <cell r="AH17">
            <v>47.16</v>
          </cell>
          <cell r="AI17">
            <v>47.72</v>
          </cell>
          <cell r="AJ17">
            <v>48.32</v>
          </cell>
          <cell r="AK17">
            <v>44.47</v>
          </cell>
          <cell r="AL17">
            <v>47.45</v>
          </cell>
          <cell r="AM17">
            <v>47.45</v>
          </cell>
          <cell r="AN17">
            <v>47.72</v>
          </cell>
          <cell r="AO17">
            <v>48.92</v>
          </cell>
          <cell r="AP17">
            <v>48.32</v>
          </cell>
          <cell r="AQ17">
            <v>48.92</v>
          </cell>
          <cell r="AR17">
            <v>49.55</v>
          </cell>
          <cell r="AS17">
            <v>50.17</v>
          </cell>
          <cell r="AT17">
            <v>48.62</v>
          </cell>
          <cell r="AU17">
            <v>48.62</v>
          </cell>
          <cell r="AV17">
            <v>49.23</v>
          </cell>
          <cell r="AX17">
            <v>34.11</v>
          </cell>
          <cell r="AY17">
            <v>47.16</v>
          </cell>
          <cell r="AZ17">
            <v>0.17</v>
          </cell>
          <cell r="BA17">
            <v>0.12</v>
          </cell>
          <cell r="BB17" t="str">
            <v>#_NA</v>
          </cell>
          <cell r="BC17" t="str">
            <v>#_NA</v>
          </cell>
          <cell r="BD17" t="str">
            <v>#_NA</v>
          </cell>
          <cell r="BE17" t="str">
            <v>-</v>
          </cell>
          <cell r="BF17" t="str">
            <v>-</v>
          </cell>
          <cell r="BG17">
            <v>5.6820000000000002E-2</v>
          </cell>
          <cell r="BH17">
            <v>0.79700000000000004</v>
          </cell>
          <cell r="BI17">
            <v>6.53</v>
          </cell>
          <cell r="BJ17" t="str">
            <v>-</v>
          </cell>
          <cell r="BK17">
            <v>0.80669999999999997</v>
          </cell>
          <cell r="BL17">
            <v>6.22</v>
          </cell>
          <cell r="BM17" t="str">
            <v>-</v>
          </cell>
          <cell r="BN17" t="str">
            <v>NÃO</v>
          </cell>
          <cell r="BO17" t="str">
            <v>NÃO</v>
          </cell>
          <cell r="BP17" t="str">
            <v>MS|G|NACIONAL|Sim|Positiva</v>
          </cell>
          <cell r="BR17" t="str">
            <v>TBD</v>
          </cell>
          <cell r="BS17">
            <v>0</v>
          </cell>
          <cell r="BT17" t="str">
            <v>#ERRO</v>
          </cell>
          <cell r="BU17">
            <v>6.22</v>
          </cell>
          <cell r="BV17" t="str">
            <v>-</v>
          </cell>
          <cell r="BX17" t="str">
            <v>TBD</v>
          </cell>
          <cell r="BY17" t="str">
            <v>TBD</v>
          </cell>
          <cell r="BZ17" t="str">
            <v>TBD</v>
          </cell>
          <cell r="CA17" t="str">
            <v>#ERRO</v>
          </cell>
          <cell r="CB17" t="str">
            <v>-</v>
          </cell>
        </row>
        <row r="18">
          <cell r="A18" t="str">
            <v>19940-0</v>
          </cell>
          <cell r="B18" t="str">
            <v>19940-0</v>
          </cell>
          <cell r="C18">
            <v>7896714273723</v>
          </cell>
          <cell r="D18" t="str">
            <v>ARIPIPRAZOL 15MG C1 CT BL 30 COMP</v>
          </cell>
          <cell r="E18" t="str">
            <v>SIM</v>
          </cell>
          <cell r="F18" t="str">
            <v>G</v>
          </cell>
          <cell r="G18" t="str">
            <v>LINHA</v>
          </cell>
          <cell r="H18">
            <v>2</v>
          </cell>
          <cell r="I18">
            <v>42</v>
          </cell>
          <cell r="J18" t="str">
            <v>Monitorado</v>
          </cell>
          <cell r="K18" t="str">
            <v>Positiva</v>
          </cell>
          <cell r="L18" t="str">
            <v>Não</v>
          </cell>
          <cell r="M18" t="str">
            <v>IMPORTADO</v>
          </cell>
          <cell r="N18" t="str">
            <v>IMPORTADO</v>
          </cell>
          <cell r="P18">
            <v>282.83999999999997</v>
          </cell>
          <cell r="Q18">
            <v>282.83999999999997</v>
          </cell>
          <cell r="R18">
            <v>286.29000000000002</v>
          </cell>
          <cell r="S18">
            <v>289.83</v>
          </cell>
          <cell r="T18">
            <v>266.77</v>
          </cell>
          <cell r="U18">
            <v>284.56</v>
          </cell>
          <cell r="V18">
            <v>284.56</v>
          </cell>
          <cell r="W18">
            <v>286.29000000000002</v>
          </cell>
          <cell r="X18">
            <v>293.45</v>
          </cell>
          <cell r="Y18">
            <v>289.83</v>
          </cell>
          <cell r="Z18">
            <v>293.45</v>
          </cell>
          <cell r="AA18">
            <v>297.16000000000003</v>
          </cell>
          <cell r="AB18">
            <v>300.97000000000003</v>
          </cell>
          <cell r="AC18">
            <v>291.63</v>
          </cell>
          <cell r="AD18">
            <v>291.63</v>
          </cell>
          <cell r="AE18">
            <v>295.3</v>
          </cell>
          <cell r="AF18">
            <v>0</v>
          </cell>
          <cell r="AG18">
            <v>391.01</v>
          </cell>
          <cell r="AH18">
            <v>391.01</v>
          </cell>
          <cell r="AI18">
            <v>395.78</v>
          </cell>
          <cell r="AJ18">
            <v>400.67</v>
          </cell>
          <cell r="AK18">
            <v>368.79</v>
          </cell>
          <cell r="AL18">
            <v>393.39</v>
          </cell>
          <cell r="AM18">
            <v>393.39</v>
          </cell>
          <cell r="AN18">
            <v>395.78</v>
          </cell>
          <cell r="AO18">
            <v>405.68</v>
          </cell>
          <cell r="AP18">
            <v>400.67</v>
          </cell>
          <cell r="AQ18">
            <v>405.68</v>
          </cell>
          <cell r="AR18">
            <v>410.81</v>
          </cell>
          <cell r="AS18">
            <v>416.07</v>
          </cell>
          <cell r="AT18">
            <v>403.16</v>
          </cell>
          <cell r="AU18">
            <v>403.16</v>
          </cell>
          <cell r="AV18">
            <v>408.23</v>
          </cell>
          <cell r="AX18">
            <v>282.83999999999997</v>
          </cell>
          <cell r="AY18">
            <v>391.01</v>
          </cell>
          <cell r="AZ18">
            <v>0.17</v>
          </cell>
          <cell r="BA18">
            <v>0.04</v>
          </cell>
          <cell r="BB18" t="str">
            <v>#_NA</v>
          </cell>
          <cell r="BC18" t="str">
            <v>#_NA</v>
          </cell>
          <cell r="BD18" t="str">
            <v>#_NA</v>
          </cell>
          <cell r="BE18" t="str">
            <v>-</v>
          </cell>
          <cell r="BF18" t="str">
            <v>-</v>
          </cell>
          <cell r="BG18">
            <v>0.13542000000000001</v>
          </cell>
          <cell r="BH18">
            <v>0.50600000000000001</v>
          </cell>
          <cell r="BI18">
            <v>120.8</v>
          </cell>
          <cell r="BJ18" t="str">
            <v>-</v>
          </cell>
          <cell r="BK18">
            <v>0.52949999999999997</v>
          </cell>
          <cell r="BL18">
            <v>115.06</v>
          </cell>
          <cell r="BM18" t="str">
            <v>-</v>
          </cell>
          <cell r="BN18" t="str">
            <v>NÃO</v>
          </cell>
          <cell r="BO18" t="str">
            <v>NÃO</v>
          </cell>
          <cell r="BP18" t="str">
            <v>MS|G|IMPORTADO|Não|Positiva</v>
          </cell>
          <cell r="BR18" t="str">
            <v>TBD</v>
          </cell>
          <cell r="BS18">
            <v>0</v>
          </cell>
          <cell r="BT18" t="str">
            <v>#ERRO</v>
          </cell>
          <cell r="BU18">
            <v>115.06</v>
          </cell>
          <cell r="BV18" t="str">
            <v>-</v>
          </cell>
          <cell r="BX18" t="str">
            <v>TBD</v>
          </cell>
          <cell r="BY18" t="str">
            <v>TBD</v>
          </cell>
          <cell r="BZ18" t="str">
            <v>TBD</v>
          </cell>
          <cell r="CA18" t="str">
            <v>#ERRO</v>
          </cell>
          <cell r="CB18" t="str">
            <v>-</v>
          </cell>
        </row>
        <row r="19">
          <cell r="A19" t="str">
            <v>17170-0</v>
          </cell>
          <cell r="B19" t="str">
            <v>17170-0</v>
          </cell>
          <cell r="C19">
            <v>7896714241104</v>
          </cell>
          <cell r="D19" t="str">
            <v>ASSEPTCARE 10MG/ML FR PL AMB 30ML+APL</v>
          </cell>
          <cell r="E19" t="str">
            <v>SIM</v>
          </cell>
          <cell r="F19" t="str">
            <v>S</v>
          </cell>
          <cell r="G19" t="str">
            <v>Linha</v>
          </cell>
          <cell r="H19">
            <v>5</v>
          </cell>
          <cell r="I19">
            <v>60</v>
          </cell>
          <cell r="J19" t="str">
            <v>Liberado</v>
          </cell>
          <cell r="K19" t="str">
            <v>Negativa</v>
          </cell>
          <cell r="L19" t="str">
            <v>Sim</v>
          </cell>
          <cell r="M19" t="str">
            <v>NACIONAL</v>
          </cell>
          <cell r="N19" t="str">
            <v>NACIONAL</v>
          </cell>
          <cell r="P19">
            <v>12.72</v>
          </cell>
          <cell r="Q19">
            <v>14.61</v>
          </cell>
          <cell r="R19">
            <v>14.81</v>
          </cell>
          <cell r="S19">
            <v>15.02</v>
          </cell>
          <cell r="T19">
            <v>13.66</v>
          </cell>
          <cell r="U19">
            <v>14.71</v>
          </cell>
          <cell r="V19">
            <v>12.79</v>
          </cell>
          <cell r="W19">
            <v>12.87</v>
          </cell>
          <cell r="X19">
            <v>15.24</v>
          </cell>
          <cell r="Y19">
            <v>13.03</v>
          </cell>
          <cell r="Z19">
            <v>13.19</v>
          </cell>
          <cell r="AA19">
            <v>15.46</v>
          </cell>
          <cell r="AB19">
            <v>15.7</v>
          </cell>
          <cell r="AC19">
            <v>15.13</v>
          </cell>
          <cell r="AD19">
            <v>13.11</v>
          </cell>
          <cell r="AE19">
            <v>15.35</v>
          </cell>
          <cell r="AF19">
            <v>0</v>
          </cell>
          <cell r="AG19">
            <v>17.579999999999998</v>
          </cell>
          <cell r="AH19">
            <v>19.47</v>
          </cell>
          <cell r="AI19">
            <v>19.73</v>
          </cell>
          <cell r="AJ19">
            <v>20</v>
          </cell>
          <cell r="AK19">
            <v>18.25</v>
          </cell>
          <cell r="AL19">
            <v>19.600000000000001</v>
          </cell>
          <cell r="AM19">
            <v>17.68</v>
          </cell>
          <cell r="AN19">
            <v>17.79</v>
          </cell>
          <cell r="AO19">
            <v>20.28</v>
          </cell>
          <cell r="AP19">
            <v>18.010000000000002</v>
          </cell>
          <cell r="AQ19">
            <v>18.23</v>
          </cell>
          <cell r="AR19">
            <v>20.57</v>
          </cell>
          <cell r="AS19">
            <v>20.88</v>
          </cell>
          <cell r="AT19">
            <v>20.14</v>
          </cell>
          <cell r="AU19">
            <v>18.12</v>
          </cell>
          <cell r="AV19">
            <v>20.43</v>
          </cell>
          <cell r="AX19">
            <v>14.61</v>
          </cell>
          <cell r="AY19">
            <v>19.47</v>
          </cell>
          <cell r="AZ19">
            <v>0.17</v>
          </cell>
          <cell r="BA19">
            <v>0.12</v>
          </cell>
          <cell r="BB19" t="str">
            <v>#_NA</v>
          </cell>
          <cell r="BC19" t="str">
            <v>#_NA</v>
          </cell>
          <cell r="BD19" t="str">
            <v>#_NA</v>
          </cell>
          <cell r="BE19" t="str">
            <v>-</v>
          </cell>
          <cell r="BF19" t="str">
            <v>-</v>
          </cell>
          <cell r="BG19">
            <v>5.6820000000000002E-2</v>
          </cell>
          <cell r="BH19">
            <v>0.65080000000000005</v>
          </cell>
          <cell r="BI19">
            <v>4.8099999999999996</v>
          </cell>
          <cell r="BJ19" t="str">
            <v>-</v>
          </cell>
          <cell r="BK19">
            <v>0.71160000000000001</v>
          </cell>
          <cell r="BL19">
            <v>3.97</v>
          </cell>
          <cell r="BM19" t="str">
            <v>-</v>
          </cell>
          <cell r="BN19" t="str">
            <v>NÃO</v>
          </cell>
          <cell r="BO19" t="str">
            <v>NÃO</v>
          </cell>
          <cell r="BP19" t="str">
            <v>MS|S|NACIONAL|Sim|Negativa</v>
          </cell>
          <cell r="BR19" t="str">
            <v>TBD</v>
          </cell>
          <cell r="BS19">
            <v>0</v>
          </cell>
          <cell r="BT19" t="str">
            <v>#ERRO</v>
          </cell>
          <cell r="BU19">
            <v>3.97</v>
          </cell>
          <cell r="BV19" t="str">
            <v>-</v>
          </cell>
          <cell r="BX19" t="str">
            <v>TBD</v>
          </cell>
          <cell r="BY19" t="str">
            <v>TBD</v>
          </cell>
          <cell r="BZ19" t="str">
            <v>TBD</v>
          </cell>
          <cell r="CA19" t="str">
            <v>#ERRO</v>
          </cell>
          <cell r="CB19" t="str">
            <v>-</v>
          </cell>
        </row>
        <row r="20">
          <cell r="A20" t="str">
            <v>12386-0</v>
          </cell>
          <cell r="B20" t="str">
            <v>12386-0</v>
          </cell>
          <cell r="C20">
            <v>7896714231198</v>
          </cell>
          <cell r="D20" t="str">
            <v>ASSEPTCARE 10MG/ML SOL SPRAY FR 1X50ML</v>
          </cell>
          <cell r="E20" t="str">
            <v>SIM</v>
          </cell>
          <cell r="F20" t="str">
            <v>S</v>
          </cell>
          <cell r="G20" t="str">
            <v>LINHA</v>
          </cell>
          <cell r="H20">
            <v>5</v>
          </cell>
          <cell r="I20">
            <v>60</v>
          </cell>
          <cell r="J20" t="str">
            <v>Liberado</v>
          </cell>
          <cell r="K20" t="str">
            <v>Negativa</v>
          </cell>
          <cell r="L20" t="str">
            <v>Sim</v>
          </cell>
          <cell r="M20" t="str">
            <v>NACIONAL</v>
          </cell>
          <cell r="N20" t="str">
            <v>NACIONAL</v>
          </cell>
          <cell r="P20">
            <v>18.97</v>
          </cell>
          <cell r="Q20">
            <v>21.79</v>
          </cell>
          <cell r="R20">
            <v>22.09</v>
          </cell>
          <cell r="S20">
            <v>22.41</v>
          </cell>
          <cell r="T20">
            <v>20.37</v>
          </cell>
          <cell r="U20">
            <v>21.94</v>
          </cell>
          <cell r="V20">
            <v>19.079999999999998</v>
          </cell>
          <cell r="W20">
            <v>19.2</v>
          </cell>
          <cell r="X20">
            <v>22.73</v>
          </cell>
          <cell r="Y20">
            <v>19.43</v>
          </cell>
          <cell r="Z20">
            <v>19.68</v>
          </cell>
          <cell r="AA20">
            <v>23.07</v>
          </cell>
          <cell r="AB20">
            <v>23.41</v>
          </cell>
          <cell r="AC20">
            <v>22.57</v>
          </cell>
          <cell r="AD20">
            <v>19.55</v>
          </cell>
          <cell r="AE20">
            <v>22.9</v>
          </cell>
          <cell r="AF20">
            <v>0</v>
          </cell>
          <cell r="AG20">
            <v>26.22</v>
          </cell>
          <cell r="AH20">
            <v>29.04</v>
          </cell>
          <cell r="AI20">
            <v>29.43</v>
          </cell>
          <cell r="AJ20">
            <v>29.84</v>
          </cell>
          <cell r="AK20">
            <v>27.21</v>
          </cell>
          <cell r="AL20">
            <v>29.24</v>
          </cell>
          <cell r="AM20">
            <v>26.38</v>
          </cell>
          <cell r="AN20">
            <v>26.54</v>
          </cell>
          <cell r="AO20">
            <v>30.25</v>
          </cell>
          <cell r="AP20">
            <v>26.86</v>
          </cell>
          <cell r="AQ20">
            <v>27.21</v>
          </cell>
          <cell r="AR20">
            <v>30.69</v>
          </cell>
          <cell r="AS20">
            <v>31.13</v>
          </cell>
          <cell r="AT20">
            <v>30.05</v>
          </cell>
          <cell r="AU20">
            <v>27.03</v>
          </cell>
          <cell r="AV20">
            <v>30.47</v>
          </cell>
          <cell r="AX20">
            <v>21.79</v>
          </cell>
          <cell r="AY20">
            <v>29.04</v>
          </cell>
          <cell r="AZ20">
            <v>0.17</v>
          </cell>
          <cell r="BA20">
            <v>0.12</v>
          </cell>
          <cell r="BB20" t="str">
            <v>#_NA</v>
          </cell>
          <cell r="BC20" t="str">
            <v>#_NA</v>
          </cell>
          <cell r="BD20" t="str">
            <v>#_NA</v>
          </cell>
          <cell r="BE20" t="str">
            <v>-</v>
          </cell>
          <cell r="BF20" t="str">
            <v>-</v>
          </cell>
          <cell r="BG20">
            <v>5.6820000000000002E-2</v>
          </cell>
          <cell r="BH20">
            <v>0.65149999999999997</v>
          </cell>
          <cell r="BI20">
            <v>7.16</v>
          </cell>
          <cell r="BJ20" t="str">
            <v>-</v>
          </cell>
          <cell r="BK20">
            <v>0.71230000000000004</v>
          </cell>
          <cell r="BL20">
            <v>5.91</v>
          </cell>
          <cell r="BM20" t="str">
            <v>-</v>
          </cell>
          <cell r="BN20" t="str">
            <v>NÃO</v>
          </cell>
          <cell r="BO20" t="str">
            <v>NÃO</v>
          </cell>
          <cell r="BP20" t="str">
            <v>MS|S|NACIONAL|Sim|Negativa</v>
          </cell>
          <cell r="BR20" t="str">
            <v>TBD</v>
          </cell>
          <cell r="BS20">
            <v>0</v>
          </cell>
          <cell r="BT20" t="str">
            <v>#ERRO</v>
          </cell>
          <cell r="BU20">
            <v>5.91</v>
          </cell>
          <cell r="BV20" t="str">
            <v>-</v>
          </cell>
          <cell r="BX20" t="str">
            <v>TBD</v>
          </cell>
          <cell r="BY20" t="str">
            <v>TBD</v>
          </cell>
          <cell r="BZ20" t="str">
            <v>TBD</v>
          </cell>
          <cell r="CA20" t="str">
            <v>#ERRO</v>
          </cell>
          <cell r="CB20" t="str">
            <v>-</v>
          </cell>
        </row>
        <row r="21">
          <cell r="A21" t="str">
            <v>19052-0</v>
          </cell>
          <cell r="B21" t="str">
            <v>19052-0</v>
          </cell>
          <cell r="C21">
            <v>7896714262031</v>
          </cell>
          <cell r="D21" t="str">
            <v>ATENOLOL 25MG COMP CT BL 1X30</v>
          </cell>
          <cell r="E21" t="str">
            <v>SIM</v>
          </cell>
          <cell r="F21" t="str">
            <v>G</v>
          </cell>
          <cell r="G21" t="str">
            <v>LINHA</v>
          </cell>
          <cell r="H21">
            <v>5</v>
          </cell>
          <cell r="I21">
            <v>60</v>
          </cell>
          <cell r="J21" t="str">
            <v>Monitorado</v>
          </cell>
          <cell r="K21" t="str">
            <v>Positiva</v>
          </cell>
          <cell r="L21" t="str">
            <v>Sim</v>
          </cell>
          <cell r="M21" t="str">
            <v>NACIONAL</v>
          </cell>
          <cell r="N21" t="str">
            <v>NACIONAL</v>
          </cell>
          <cell r="P21">
            <v>5.67</v>
          </cell>
          <cell r="Q21">
            <v>5.67</v>
          </cell>
          <cell r="R21">
            <v>5.74</v>
          </cell>
          <cell r="S21">
            <v>5.81</v>
          </cell>
          <cell r="T21">
            <v>5.35</v>
          </cell>
          <cell r="U21">
            <v>5.71</v>
          </cell>
          <cell r="V21">
            <v>5.71</v>
          </cell>
          <cell r="W21">
            <v>5.74</v>
          </cell>
          <cell r="X21">
            <v>5.89</v>
          </cell>
          <cell r="Y21">
            <v>5.81</v>
          </cell>
          <cell r="Z21">
            <v>5.89</v>
          </cell>
          <cell r="AA21">
            <v>5.96</v>
          </cell>
          <cell r="AB21">
            <v>6.04</v>
          </cell>
          <cell r="AC21">
            <v>5.85</v>
          </cell>
          <cell r="AD21">
            <v>5.85</v>
          </cell>
          <cell r="AE21">
            <v>5.92</v>
          </cell>
          <cell r="AF21">
            <v>0</v>
          </cell>
          <cell r="AG21">
            <v>7.84</v>
          </cell>
          <cell r="AH21">
            <v>7.84</v>
          </cell>
          <cell r="AI21">
            <v>7.94</v>
          </cell>
          <cell r="AJ21">
            <v>8.0299999999999994</v>
          </cell>
          <cell r="AK21">
            <v>7.4</v>
          </cell>
          <cell r="AL21">
            <v>7.89</v>
          </cell>
          <cell r="AM21">
            <v>7.89</v>
          </cell>
          <cell r="AN21">
            <v>7.94</v>
          </cell>
          <cell r="AO21">
            <v>8.14</v>
          </cell>
          <cell r="AP21">
            <v>8.0299999999999994</v>
          </cell>
          <cell r="AQ21">
            <v>8.14</v>
          </cell>
          <cell r="AR21">
            <v>8.24</v>
          </cell>
          <cell r="AS21">
            <v>8.35</v>
          </cell>
          <cell r="AT21">
            <v>8.09</v>
          </cell>
          <cell r="AU21">
            <v>8.09</v>
          </cell>
          <cell r="AV21">
            <v>8.18</v>
          </cell>
          <cell r="AX21">
            <v>5.67</v>
          </cell>
          <cell r="AY21">
            <v>7.84</v>
          </cell>
          <cell r="AZ21">
            <v>0.17</v>
          </cell>
          <cell r="BA21">
            <v>0.12</v>
          </cell>
          <cell r="BB21" t="str">
            <v>#_NA</v>
          </cell>
          <cell r="BC21" t="str">
            <v>#_NA</v>
          </cell>
          <cell r="BD21" t="str">
            <v>#_NA</v>
          </cell>
          <cell r="BE21" t="str">
            <v>-</v>
          </cell>
          <cell r="BF21" t="str">
            <v>-</v>
          </cell>
          <cell r="BG21">
            <v>5.6820000000000002E-2</v>
          </cell>
          <cell r="BH21">
            <v>0.66439999999999999</v>
          </cell>
          <cell r="BI21">
            <v>1.8</v>
          </cell>
          <cell r="BJ21" t="str">
            <v>-</v>
          </cell>
          <cell r="BK21">
            <v>0.68220000000000003</v>
          </cell>
          <cell r="BL21">
            <v>1.7</v>
          </cell>
          <cell r="BM21" t="str">
            <v>-</v>
          </cell>
          <cell r="BN21" t="str">
            <v>NÃO</v>
          </cell>
          <cell r="BO21" t="str">
            <v>NÃO</v>
          </cell>
          <cell r="BP21" t="str">
            <v>MS|G|NACIONAL|Sim|Positiva</v>
          </cell>
          <cell r="BR21" t="str">
            <v>TBD</v>
          </cell>
          <cell r="BS21">
            <v>0</v>
          </cell>
          <cell r="BT21" t="str">
            <v>#ERRO</v>
          </cell>
          <cell r="BU21">
            <v>1.7</v>
          </cell>
          <cell r="BV21" t="str">
            <v>-</v>
          </cell>
          <cell r="BX21" t="str">
            <v>TBD</v>
          </cell>
          <cell r="BY21" t="str">
            <v>TBD</v>
          </cell>
          <cell r="BZ21" t="str">
            <v>TBD</v>
          </cell>
          <cell r="CA21" t="str">
            <v>#ERRO</v>
          </cell>
          <cell r="CB21" t="str">
            <v>-</v>
          </cell>
        </row>
        <row r="22">
          <cell r="A22" t="str">
            <v>19061-0</v>
          </cell>
          <cell r="B22" t="str">
            <v>19061-0</v>
          </cell>
          <cell r="C22">
            <v>7896714215129</v>
          </cell>
          <cell r="D22" t="str">
            <v>ATENOLOL 50MG COMP CT BL 2X15</v>
          </cell>
          <cell r="E22" t="str">
            <v>SIM</v>
          </cell>
          <cell r="F22" t="str">
            <v>G</v>
          </cell>
          <cell r="G22" t="str">
            <v>LINHA</v>
          </cell>
          <cell r="H22">
            <v>5</v>
          </cell>
          <cell r="I22">
            <v>60</v>
          </cell>
          <cell r="J22" t="str">
            <v>Monitorado</v>
          </cell>
          <cell r="K22" t="str">
            <v>Positiva</v>
          </cell>
          <cell r="L22" t="str">
            <v>Sim</v>
          </cell>
          <cell r="M22" t="str">
            <v>NACIONAL</v>
          </cell>
          <cell r="N22" t="str">
            <v>NACIONAL</v>
          </cell>
          <cell r="P22">
            <v>12.84</v>
          </cell>
          <cell r="Q22">
            <v>12.84</v>
          </cell>
          <cell r="R22">
            <v>13</v>
          </cell>
          <cell r="S22">
            <v>13.16</v>
          </cell>
          <cell r="T22">
            <v>12.11</v>
          </cell>
          <cell r="U22">
            <v>12.92</v>
          </cell>
          <cell r="V22">
            <v>12.92</v>
          </cell>
          <cell r="W22">
            <v>13</v>
          </cell>
          <cell r="X22">
            <v>13.33</v>
          </cell>
          <cell r="Y22">
            <v>13.16</v>
          </cell>
          <cell r="Z22">
            <v>13.33</v>
          </cell>
          <cell r="AA22">
            <v>13.49</v>
          </cell>
          <cell r="AB22">
            <v>13.67</v>
          </cell>
          <cell r="AC22">
            <v>13.24</v>
          </cell>
          <cell r="AD22">
            <v>13.24</v>
          </cell>
          <cell r="AE22">
            <v>13.41</v>
          </cell>
          <cell r="AF22">
            <v>0</v>
          </cell>
          <cell r="AG22">
            <v>17.75</v>
          </cell>
          <cell r="AH22">
            <v>17.75</v>
          </cell>
          <cell r="AI22">
            <v>17.97</v>
          </cell>
          <cell r="AJ22">
            <v>18.190000000000001</v>
          </cell>
          <cell r="AK22">
            <v>16.739999999999998</v>
          </cell>
          <cell r="AL22">
            <v>17.86</v>
          </cell>
          <cell r="AM22">
            <v>17.86</v>
          </cell>
          <cell r="AN22">
            <v>17.97</v>
          </cell>
          <cell r="AO22">
            <v>18.43</v>
          </cell>
          <cell r="AP22">
            <v>18.190000000000001</v>
          </cell>
          <cell r="AQ22">
            <v>18.43</v>
          </cell>
          <cell r="AR22">
            <v>18.649999999999999</v>
          </cell>
          <cell r="AS22">
            <v>18.899999999999999</v>
          </cell>
          <cell r="AT22">
            <v>18.3</v>
          </cell>
          <cell r="AU22">
            <v>18.3</v>
          </cell>
          <cell r="AV22">
            <v>18.54</v>
          </cell>
          <cell r="AX22">
            <v>12.84</v>
          </cell>
          <cell r="AY22">
            <v>17.75</v>
          </cell>
          <cell r="AZ22">
            <v>0.17</v>
          </cell>
          <cell r="BA22">
            <v>0.12</v>
          </cell>
          <cell r="BB22" t="str">
            <v>#_NA</v>
          </cell>
          <cell r="BC22" t="str">
            <v>#_NA</v>
          </cell>
          <cell r="BD22" t="str">
            <v>#_NA</v>
          </cell>
          <cell r="BE22" t="str">
            <v>-</v>
          </cell>
          <cell r="BF22" t="str">
            <v>-</v>
          </cell>
          <cell r="BG22">
            <v>5.6820000000000002E-2</v>
          </cell>
          <cell r="BH22">
            <v>0.76939999999999997</v>
          </cell>
          <cell r="BI22">
            <v>2.79</v>
          </cell>
          <cell r="BJ22" t="str">
            <v>-</v>
          </cell>
          <cell r="BK22">
            <v>0.78029999999999999</v>
          </cell>
          <cell r="BL22">
            <v>2.66</v>
          </cell>
          <cell r="BM22" t="str">
            <v>-</v>
          </cell>
          <cell r="BN22" t="str">
            <v>NÃO</v>
          </cell>
          <cell r="BO22" t="str">
            <v>NÃO</v>
          </cell>
          <cell r="BP22" t="str">
            <v>MS|G|NACIONAL|Sim|Positiva</v>
          </cell>
          <cell r="BR22" t="str">
            <v>TBD</v>
          </cell>
          <cell r="BS22">
            <v>0</v>
          </cell>
          <cell r="BT22" t="str">
            <v>#ERRO</v>
          </cell>
          <cell r="BU22">
            <v>2.66</v>
          </cell>
          <cell r="BV22" t="str">
            <v>-</v>
          </cell>
          <cell r="BX22" t="str">
            <v>TBD</v>
          </cell>
          <cell r="BY22" t="str">
            <v>TBD</v>
          </cell>
          <cell r="BZ22" t="str">
            <v>TBD</v>
          </cell>
          <cell r="CA22" t="str">
            <v>#ERRO</v>
          </cell>
          <cell r="CB22" t="str">
            <v>-</v>
          </cell>
        </row>
        <row r="23">
          <cell r="A23" t="str">
            <v>19651-0</v>
          </cell>
          <cell r="B23" t="str">
            <v>19651-0</v>
          </cell>
          <cell r="C23">
            <v>7896714215891</v>
          </cell>
          <cell r="D23" t="str">
            <v>AZITROMICINA 500MG CT BL 3 COMP REV</v>
          </cell>
          <cell r="E23" t="str">
            <v>SIM</v>
          </cell>
          <cell r="F23" t="str">
            <v>G</v>
          </cell>
          <cell r="G23" t="str">
            <v>LINHA</v>
          </cell>
          <cell r="H23">
            <v>3</v>
          </cell>
          <cell r="I23">
            <v>60</v>
          </cell>
          <cell r="J23" t="str">
            <v>Monitorado</v>
          </cell>
          <cell r="K23" t="str">
            <v>Positiva</v>
          </cell>
          <cell r="L23" t="str">
            <v>Sim</v>
          </cell>
          <cell r="M23" t="str">
            <v>NACIONAL</v>
          </cell>
          <cell r="N23" t="str">
            <v>IMPORTADO</v>
          </cell>
          <cell r="P23">
            <v>15.42</v>
          </cell>
          <cell r="Q23">
            <v>15.42</v>
          </cell>
          <cell r="R23">
            <v>15.61</v>
          </cell>
          <cell r="S23">
            <v>15.8</v>
          </cell>
          <cell r="T23">
            <v>14.55</v>
          </cell>
          <cell r="U23">
            <v>15.52</v>
          </cell>
          <cell r="V23">
            <v>15.52</v>
          </cell>
          <cell r="W23">
            <v>15.61</v>
          </cell>
          <cell r="X23">
            <v>16</v>
          </cell>
          <cell r="Y23">
            <v>15.8</v>
          </cell>
          <cell r="Z23">
            <v>16</v>
          </cell>
          <cell r="AA23">
            <v>16.2</v>
          </cell>
          <cell r="AB23">
            <v>16.41</v>
          </cell>
          <cell r="AC23">
            <v>15.9</v>
          </cell>
          <cell r="AD23">
            <v>15.9</v>
          </cell>
          <cell r="AE23">
            <v>16.100000000000001</v>
          </cell>
          <cell r="AF23">
            <v>0</v>
          </cell>
          <cell r="AG23">
            <v>21.32</v>
          </cell>
          <cell r="AH23">
            <v>21.32</v>
          </cell>
          <cell r="AI23">
            <v>21.58</v>
          </cell>
          <cell r="AJ23">
            <v>21.84</v>
          </cell>
          <cell r="AK23">
            <v>20.11</v>
          </cell>
          <cell r="AL23">
            <v>21.46</v>
          </cell>
          <cell r="AM23">
            <v>21.46</v>
          </cell>
          <cell r="AN23">
            <v>21.58</v>
          </cell>
          <cell r="AO23">
            <v>22.12</v>
          </cell>
          <cell r="AP23">
            <v>21.84</v>
          </cell>
          <cell r="AQ23">
            <v>22.12</v>
          </cell>
          <cell r="AR23">
            <v>22.4</v>
          </cell>
          <cell r="AS23">
            <v>22.69</v>
          </cell>
          <cell r="AT23">
            <v>21.98</v>
          </cell>
          <cell r="AU23">
            <v>21.98</v>
          </cell>
          <cell r="AV23">
            <v>22.26</v>
          </cell>
          <cell r="AX23">
            <v>15.42</v>
          </cell>
          <cell r="AY23">
            <v>21.32</v>
          </cell>
          <cell r="AZ23">
            <v>0.17</v>
          </cell>
          <cell r="BA23">
            <v>0.04</v>
          </cell>
          <cell r="BB23" t="str">
            <v>#_NA</v>
          </cell>
          <cell r="BC23" t="str">
            <v>#_NA</v>
          </cell>
          <cell r="BD23" t="str">
            <v>#_NA</v>
          </cell>
          <cell r="BE23" t="str">
            <v>-</v>
          </cell>
          <cell r="BF23" t="str">
            <v>-</v>
          </cell>
          <cell r="BG23">
            <v>0.13542000000000001</v>
          </cell>
          <cell r="BH23">
            <v>0.5746</v>
          </cell>
          <cell r="BI23">
            <v>5.67</v>
          </cell>
          <cell r="BJ23" t="str">
            <v>-</v>
          </cell>
          <cell r="BK23">
            <v>0.59489999999999998</v>
          </cell>
          <cell r="BL23">
            <v>5.4</v>
          </cell>
          <cell r="BM23" t="str">
            <v>-</v>
          </cell>
          <cell r="BN23" t="str">
            <v>NÃO</v>
          </cell>
          <cell r="BO23" t="str">
            <v>NÃO</v>
          </cell>
          <cell r="BP23" t="str">
            <v>MS|G|IMPORTADO|Sim|Positiva</v>
          </cell>
          <cell r="BR23" t="str">
            <v>TBD</v>
          </cell>
          <cell r="BS23">
            <v>0</v>
          </cell>
          <cell r="BT23" t="str">
            <v>#ERRO</v>
          </cell>
          <cell r="BU23">
            <v>5.4</v>
          </cell>
          <cell r="BV23" t="str">
            <v>-</v>
          </cell>
          <cell r="BX23" t="str">
            <v>TBD</v>
          </cell>
          <cell r="BY23" t="str">
            <v>TBD</v>
          </cell>
          <cell r="BZ23" t="str">
            <v>TBD</v>
          </cell>
          <cell r="CA23" t="str">
            <v>#ERRO</v>
          </cell>
          <cell r="CB23" t="str">
            <v>-</v>
          </cell>
        </row>
        <row r="24">
          <cell r="A24" t="str">
            <v>19652-0</v>
          </cell>
          <cell r="B24" t="str">
            <v>19652-0</v>
          </cell>
          <cell r="C24">
            <v>7896714208145</v>
          </cell>
          <cell r="D24" t="str">
            <v>AZITROMICINA 500MG CT BL 5 COMP REV</v>
          </cell>
          <cell r="E24" t="str">
            <v>SIM</v>
          </cell>
          <cell r="F24" t="str">
            <v>G</v>
          </cell>
          <cell r="G24" t="str">
            <v>LINHA</v>
          </cell>
          <cell r="H24">
            <v>3</v>
          </cell>
          <cell r="I24">
            <v>60</v>
          </cell>
          <cell r="J24" t="str">
            <v>Monitorado</v>
          </cell>
          <cell r="K24" t="str">
            <v>Positiva</v>
          </cell>
          <cell r="L24" t="str">
            <v>Sim</v>
          </cell>
          <cell r="M24" t="str">
            <v>NACIONAL</v>
          </cell>
          <cell r="N24" t="str">
            <v>IMPORTADO</v>
          </cell>
          <cell r="P24">
            <v>29.78</v>
          </cell>
          <cell r="Q24">
            <v>29.78</v>
          </cell>
          <cell r="R24">
            <v>30.15</v>
          </cell>
          <cell r="S24">
            <v>30.52</v>
          </cell>
          <cell r="T24">
            <v>28.09</v>
          </cell>
          <cell r="U24">
            <v>29.96</v>
          </cell>
          <cell r="V24">
            <v>29.96</v>
          </cell>
          <cell r="W24">
            <v>30.15</v>
          </cell>
          <cell r="X24">
            <v>30.9</v>
          </cell>
          <cell r="Y24">
            <v>30.52</v>
          </cell>
          <cell r="Z24">
            <v>30.9</v>
          </cell>
          <cell r="AA24">
            <v>31.29</v>
          </cell>
          <cell r="AB24">
            <v>31.69</v>
          </cell>
          <cell r="AC24">
            <v>30.71</v>
          </cell>
          <cell r="AD24">
            <v>30.71</v>
          </cell>
          <cell r="AE24">
            <v>31.09</v>
          </cell>
          <cell r="AF24">
            <v>0</v>
          </cell>
          <cell r="AG24">
            <v>41.17</v>
          </cell>
          <cell r="AH24">
            <v>41.17</v>
          </cell>
          <cell r="AI24">
            <v>41.68</v>
          </cell>
          <cell r="AJ24">
            <v>42.19</v>
          </cell>
          <cell r="AK24">
            <v>38.83</v>
          </cell>
          <cell r="AL24">
            <v>41.42</v>
          </cell>
          <cell r="AM24">
            <v>41.42</v>
          </cell>
          <cell r="AN24">
            <v>41.68</v>
          </cell>
          <cell r="AO24">
            <v>42.72</v>
          </cell>
          <cell r="AP24">
            <v>42.19</v>
          </cell>
          <cell r="AQ24">
            <v>42.72</v>
          </cell>
          <cell r="AR24">
            <v>43.26</v>
          </cell>
          <cell r="AS24">
            <v>43.81</v>
          </cell>
          <cell r="AT24">
            <v>42.45</v>
          </cell>
          <cell r="AU24">
            <v>42.45</v>
          </cell>
          <cell r="AV24">
            <v>42.98</v>
          </cell>
          <cell r="AX24">
            <v>29.78</v>
          </cell>
          <cell r="AY24">
            <v>41.17</v>
          </cell>
          <cell r="AZ24">
            <v>0.17</v>
          </cell>
          <cell r="BA24">
            <v>0.04</v>
          </cell>
          <cell r="BB24" t="str">
            <v>#_NA</v>
          </cell>
          <cell r="BC24" t="str">
            <v>#_NA</v>
          </cell>
          <cell r="BD24" t="str">
            <v>#_NA</v>
          </cell>
          <cell r="BE24" t="str">
            <v>-</v>
          </cell>
          <cell r="BF24" t="str">
            <v>-</v>
          </cell>
          <cell r="BG24">
            <v>0.13542000000000001</v>
          </cell>
          <cell r="BH24">
            <v>0.66559999999999997</v>
          </cell>
          <cell r="BI24">
            <v>8.61</v>
          </cell>
          <cell r="BJ24" t="str">
            <v>-</v>
          </cell>
          <cell r="BK24">
            <v>0.68159999999999998</v>
          </cell>
          <cell r="BL24">
            <v>8.1999999999999993</v>
          </cell>
          <cell r="BM24" t="str">
            <v>-</v>
          </cell>
          <cell r="BN24" t="str">
            <v>NÃO</v>
          </cell>
          <cell r="BO24" t="str">
            <v>NÃO</v>
          </cell>
          <cell r="BP24" t="str">
            <v>MS|G|IMPORTADO|Sim|Positiva</v>
          </cell>
          <cell r="BR24" t="str">
            <v>TBD</v>
          </cell>
          <cell r="BS24">
            <v>0</v>
          </cell>
          <cell r="BT24" t="str">
            <v>#ERRO</v>
          </cell>
          <cell r="BU24">
            <v>8.1999999999999993</v>
          </cell>
          <cell r="BV24" t="str">
            <v>-</v>
          </cell>
          <cell r="BX24" t="str">
            <v>TBD</v>
          </cell>
          <cell r="BY24" t="str">
            <v>TBD</v>
          </cell>
          <cell r="BZ24" t="str">
            <v>TBD</v>
          </cell>
          <cell r="CA24" t="str">
            <v>#ERRO</v>
          </cell>
          <cell r="CB24" t="str">
            <v>-</v>
          </cell>
        </row>
        <row r="25">
          <cell r="A25" t="str">
            <v>19653-0</v>
          </cell>
          <cell r="B25" t="str">
            <v>19653-0</v>
          </cell>
          <cell r="C25">
            <v>7896714215501</v>
          </cell>
          <cell r="D25" t="str">
            <v>AZITROMICINA PO SUSP EXT FR 600MG</v>
          </cell>
          <cell r="E25" t="str">
            <v>SIM</v>
          </cell>
          <cell r="F25" t="str">
            <v>G</v>
          </cell>
          <cell r="G25" t="str">
            <v>LINHA</v>
          </cell>
          <cell r="H25">
            <v>5</v>
          </cell>
          <cell r="I25">
            <v>24</v>
          </cell>
          <cell r="J25" t="str">
            <v>Monitorado</v>
          </cell>
          <cell r="K25" t="str">
            <v>Positiva</v>
          </cell>
          <cell r="L25" t="str">
            <v>Sim</v>
          </cell>
          <cell r="M25" t="str">
            <v>NACIONAL</v>
          </cell>
          <cell r="N25" t="str">
            <v>NACIONAL</v>
          </cell>
          <cell r="P25">
            <v>48.93</v>
          </cell>
          <cell r="Q25">
            <v>48.93</v>
          </cell>
          <cell r="R25">
            <v>49.52</v>
          </cell>
          <cell r="S25">
            <v>50.14</v>
          </cell>
          <cell r="T25">
            <v>46.15</v>
          </cell>
          <cell r="U25">
            <v>49.22</v>
          </cell>
          <cell r="V25">
            <v>49.22</v>
          </cell>
          <cell r="W25">
            <v>49.52</v>
          </cell>
          <cell r="X25">
            <v>50.76</v>
          </cell>
          <cell r="Y25">
            <v>50.14</v>
          </cell>
          <cell r="Z25">
            <v>50.76</v>
          </cell>
          <cell r="AA25">
            <v>51.41</v>
          </cell>
          <cell r="AB25">
            <v>52.06</v>
          </cell>
          <cell r="AC25">
            <v>50.45</v>
          </cell>
          <cell r="AD25">
            <v>50.45</v>
          </cell>
          <cell r="AE25">
            <v>51.08</v>
          </cell>
          <cell r="AF25">
            <v>0</v>
          </cell>
          <cell r="AG25">
            <v>67.64</v>
          </cell>
          <cell r="AH25">
            <v>67.64</v>
          </cell>
          <cell r="AI25">
            <v>68.459999999999994</v>
          </cell>
          <cell r="AJ25">
            <v>69.319999999999993</v>
          </cell>
          <cell r="AK25">
            <v>63.8</v>
          </cell>
          <cell r="AL25">
            <v>68.040000000000006</v>
          </cell>
          <cell r="AM25">
            <v>68.040000000000006</v>
          </cell>
          <cell r="AN25">
            <v>68.459999999999994</v>
          </cell>
          <cell r="AO25">
            <v>70.17</v>
          </cell>
          <cell r="AP25">
            <v>69.319999999999993</v>
          </cell>
          <cell r="AQ25">
            <v>70.17</v>
          </cell>
          <cell r="AR25">
            <v>71.069999999999993</v>
          </cell>
          <cell r="AS25">
            <v>71.97</v>
          </cell>
          <cell r="AT25">
            <v>69.739999999999995</v>
          </cell>
          <cell r="AU25">
            <v>69.739999999999995</v>
          </cell>
          <cell r="AV25">
            <v>70.62</v>
          </cell>
          <cell r="AX25">
            <v>48.93</v>
          </cell>
          <cell r="AY25">
            <v>67.64</v>
          </cell>
          <cell r="AZ25">
            <v>0.17</v>
          </cell>
          <cell r="BA25">
            <v>0.12</v>
          </cell>
          <cell r="BB25" t="str">
            <v>#_NA</v>
          </cell>
          <cell r="BC25" t="str">
            <v>#_NA</v>
          </cell>
          <cell r="BD25" t="str">
            <v>#_NA</v>
          </cell>
          <cell r="BE25" t="str">
            <v>-</v>
          </cell>
          <cell r="BF25" t="str">
            <v>-</v>
          </cell>
          <cell r="BG25">
            <v>5.6820000000000002E-2</v>
          </cell>
          <cell r="BH25">
            <v>0.69530000000000003</v>
          </cell>
          <cell r="BI25">
            <v>14.06</v>
          </cell>
          <cell r="BJ25" t="str">
            <v>-</v>
          </cell>
          <cell r="BK25">
            <v>0.70979999999999999</v>
          </cell>
          <cell r="BL25">
            <v>13.39</v>
          </cell>
          <cell r="BM25" t="str">
            <v>-</v>
          </cell>
          <cell r="BN25" t="str">
            <v>NÃO</v>
          </cell>
          <cell r="BO25" t="str">
            <v>NÃO</v>
          </cell>
          <cell r="BP25" t="str">
            <v>MS|G|NACIONAL|Sim|Positiva</v>
          </cell>
          <cell r="BR25" t="str">
            <v>TBD</v>
          </cell>
          <cell r="BS25">
            <v>0</v>
          </cell>
          <cell r="BT25" t="str">
            <v>#ERRO</v>
          </cell>
          <cell r="BU25">
            <v>13.39</v>
          </cell>
          <cell r="BV25" t="str">
            <v>-</v>
          </cell>
          <cell r="BX25" t="str">
            <v>TBD</v>
          </cell>
          <cell r="BY25" t="str">
            <v>TBD</v>
          </cell>
          <cell r="BZ25" t="str">
            <v>TBD</v>
          </cell>
          <cell r="CA25" t="str">
            <v>#ERRO</v>
          </cell>
          <cell r="CB25" t="str">
            <v>-</v>
          </cell>
        </row>
        <row r="26">
          <cell r="A26" t="str">
            <v>19654-0</v>
          </cell>
          <cell r="B26" t="str">
            <v>19654-0</v>
          </cell>
          <cell r="C26">
            <v>7896714215495</v>
          </cell>
          <cell r="D26" t="str">
            <v>AZITROMICINA PO SUSP EXT FR 900MG</v>
          </cell>
          <cell r="E26" t="str">
            <v>SIM</v>
          </cell>
          <cell r="F26" t="str">
            <v>G</v>
          </cell>
          <cell r="G26" t="str">
            <v>LINHA</v>
          </cell>
          <cell r="H26">
            <v>5</v>
          </cell>
          <cell r="I26">
            <v>24</v>
          </cell>
          <cell r="J26" t="str">
            <v>Monitorado</v>
          </cell>
          <cell r="K26" t="str">
            <v>Positiva</v>
          </cell>
          <cell r="L26" t="str">
            <v>Sim</v>
          </cell>
          <cell r="M26" t="str">
            <v>NACIONAL</v>
          </cell>
          <cell r="N26" t="str">
            <v>NACIONAL</v>
          </cell>
          <cell r="P26">
            <v>60.25</v>
          </cell>
          <cell r="Q26">
            <v>60.25</v>
          </cell>
          <cell r="R26">
            <v>60.99</v>
          </cell>
          <cell r="S26">
            <v>61.74</v>
          </cell>
          <cell r="T26">
            <v>56.83</v>
          </cell>
          <cell r="U26">
            <v>60.62</v>
          </cell>
          <cell r="V26">
            <v>60.62</v>
          </cell>
          <cell r="W26">
            <v>60.99</v>
          </cell>
          <cell r="X26">
            <v>62.51</v>
          </cell>
          <cell r="Y26">
            <v>61.74</v>
          </cell>
          <cell r="Z26">
            <v>62.51</v>
          </cell>
          <cell r="AA26">
            <v>63.3</v>
          </cell>
          <cell r="AB26">
            <v>64.12</v>
          </cell>
          <cell r="AC26">
            <v>62.12</v>
          </cell>
          <cell r="AD26">
            <v>62.12</v>
          </cell>
          <cell r="AE26">
            <v>62.91</v>
          </cell>
          <cell r="AF26">
            <v>0</v>
          </cell>
          <cell r="AG26">
            <v>83.29</v>
          </cell>
          <cell r="AH26">
            <v>83.29</v>
          </cell>
          <cell r="AI26">
            <v>84.32</v>
          </cell>
          <cell r="AJ26">
            <v>85.35</v>
          </cell>
          <cell r="AK26">
            <v>78.56</v>
          </cell>
          <cell r="AL26">
            <v>83.8</v>
          </cell>
          <cell r="AM26">
            <v>83.8</v>
          </cell>
          <cell r="AN26">
            <v>84.32</v>
          </cell>
          <cell r="AO26">
            <v>86.42</v>
          </cell>
          <cell r="AP26">
            <v>85.35</v>
          </cell>
          <cell r="AQ26">
            <v>86.42</v>
          </cell>
          <cell r="AR26">
            <v>87.51</v>
          </cell>
          <cell r="AS26">
            <v>88.64</v>
          </cell>
          <cell r="AT26">
            <v>85.88</v>
          </cell>
          <cell r="AU26">
            <v>85.88</v>
          </cell>
          <cell r="AV26">
            <v>86.97</v>
          </cell>
          <cell r="AX26">
            <v>60.25</v>
          </cell>
          <cell r="AY26">
            <v>83.29</v>
          </cell>
          <cell r="AZ26">
            <v>0.17</v>
          </cell>
          <cell r="BA26">
            <v>0.12</v>
          </cell>
          <cell r="BB26" t="str">
            <v>#_NA</v>
          </cell>
          <cell r="BC26" t="str">
            <v>#_NA</v>
          </cell>
          <cell r="BD26" t="str">
            <v>#_NA</v>
          </cell>
          <cell r="BE26" t="str">
            <v>-</v>
          </cell>
          <cell r="BF26" t="str">
            <v>-</v>
          </cell>
          <cell r="BG26">
            <v>5.6820000000000002E-2</v>
          </cell>
          <cell r="BH26">
            <v>0.69530000000000003</v>
          </cell>
          <cell r="BI26">
            <v>17.32</v>
          </cell>
          <cell r="BJ26" t="str">
            <v>-</v>
          </cell>
          <cell r="BK26">
            <v>0.70979999999999999</v>
          </cell>
          <cell r="BL26">
            <v>16.489999999999998</v>
          </cell>
          <cell r="BM26" t="str">
            <v>-</v>
          </cell>
          <cell r="BN26" t="str">
            <v>NÃO</v>
          </cell>
          <cell r="BO26" t="str">
            <v>NÃO</v>
          </cell>
          <cell r="BP26" t="str">
            <v>MS|G|NACIONAL|Sim|Positiva</v>
          </cell>
          <cell r="BR26" t="str">
            <v>TBD</v>
          </cell>
          <cell r="BS26">
            <v>0</v>
          </cell>
          <cell r="BT26" t="str">
            <v>#ERRO</v>
          </cell>
          <cell r="BU26">
            <v>16.489999999999998</v>
          </cell>
          <cell r="BV26" t="str">
            <v>-</v>
          </cell>
          <cell r="BX26" t="str">
            <v>TBD</v>
          </cell>
          <cell r="BY26" t="str">
            <v>TBD</v>
          </cell>
          <cell r="BZ26" t="str">
            <v>TBD</v>
          </cell>
          <cell r="CA26" t="str">
            <v>#ERRO</v>
          </cell>
          <cell r="CB26" t="str">
            <v>-</v>
          </cell>
        </row>
        <row r="27">
          <cell r="A27" t="str">
            <v>19163-0</v>
          </cell>
          <cell r="B27" t="str">
            <v>19163-0</v>
          </cell>
          <cell r="C27">
            <v>7896714265858</v>
          </cell>
          <cell r="D27" t="str">
            <v>BECLONATO SUSP INJ CT AMP VD 1ML+SER</v>
          </cell>
          <cell r="E27" t="str">
            <v>SIM</v>
          </cell>
          <cell r="F27" t="str">
            <v>S</v>
          </cell>
          <cell r="G27" t="str">
            <v>LINHA</v>
          </cell>
          <cell r="H27">
            <v>5</v>
          </cell>
          <cell r="I27">
            <v>60</v>
          </cell>
          <cell r="J27" t="str">
            <v>Monitorado</v>
          </cell>
          <cell r="K27" t="str">
            <v>Positiva</v>
          </cell>
          <cell r="L27" t="str">
            <v>Sim</v>
          </cell>
          <cell r="M27" t="str">
            <v>NACIONAL</v>
          </cell>
          <cell r="N27" t="str">
            <v>NACIONAL</v>
          </cell>
          <cell r="P27">
            <v>20.93</v>
          </cell>
          <cell r="Q27">
            <v>20.93</v>
          </cell>
          <cell r="R27">
            <v>21.18</v>
          </cell>
          <cell r="S27">
            <v>21.44</v>
          </cell>
          <cell r="T27">
            <v>19.739999999999998</v>
          </cell>
          <cell r="U27">
            <v>21.05</v>
          </cell>
          <cell r="V27">
            <v>21.05</v>
          </cell>
          <cell r="W27">
            <v>21.18</v>
          </cell>
          <cell r="X27">
            <v>21.71</v>
          </cell>
          <cell r="Y27">
            <v>21.44</v>
          </cell>
          <cell r="Z27">
            <v>21.71</v>
          </cell>
          <cell r="AA27">
            <v>21.99</v>
          </cell>
          <cell r="AB27">
            <v>22.27</v>
          </cell>
          <cell r="AC27">
            <v>21.58</v>
          </cell>
          <cell r="AD27">
            <v>21.58</v>
          </cell>
          <cell r="AE27">
            <v>21.85</v>
          </cell>
          <cell r="AF27">
            <v>0</v>
          </cell>
          <cell r="AG27">
            <v>28.93</v>
          </cell>
          <cell r="AH27">
            <v>28.93</v>
          </cell>
          <cell r="AI27">
            <v>29.28</v>
          </cell>
          <cell r="AJ27">
            <v>29.64</v>
          </cell>
          <cell r="AK27">
            <v>27.29</v>
          </cell>
          <cell r="AL27">
            <v>29.1</v>
          </cell>
          <cell r="AM27">
            <v>29.1</v>
          </cell>
          <cell r="AN27">
            <v>29.28</v>
          </cell>
          <cell r="AO27">
            <v>30.01</v>
          </cell>
          <cell r="AP27">
            <v>29.64</v>
          </cell>
          <cell r="AQ27">
            <v>30.01</v>
          </cell>
          <cell r="AR27">
            <v>30.4</v>
          </cell>
          <cell r="AS27">
            <v>30.79</v>
          </cell>
          <cell r="AT27">
            <v>29.83</v>
          </cell>
          <cell r="AU27">
            <v>29.83</v>
          </cell>
          <cell r="AV27">
            <v>30.21</v>
          </cell>
          <cell r="AX27">
            <v>20.93</v>
          </cell>
          <cell r="AY27">
            <v>28.93</v>
          </cell>
          <cell r="AZ27">
            <v>0.17</v>
          </cell>
          <cell r="BA27">
            <v>0.12</v>
          </cell>
          <cell r="BB27" t="str">
            <v>#_NA</v>
          </cell>
          <cell r="BC27" t="str">
            <v>#_NA</v>
          </cell>
          <cell r="BD27" t="str">
            <v>#_NA</v>
          </cell>
          <cell r="BE27" t="str">
            <v>-</v>
          </cell>
          <cell r="BF27" t="str">
            <v>-</v>
          </cell>
          <cell r="BG27">
            <v>5.6820000000000002E-2</v>
          </cell>
          <cell r="BH27">
            <v>0.74680000000000002</v>
          </cell>
          <cell r="BI27">
            <v>5</v>
          </cell>
          <cell r="BJ27" t="str">
            <v>-</v>
          </cell>
          <cell r="BK27">
            <v>0.75890000000000002</v>
          </cell>
          <cell r="BL27">
            <v>4.76</v>
          </cell>
          <cell r="BM27" t="str">
            <v>-</v>
          </cell>
          <cell r="BN27" t="str">
            <v>NÃO</v>
          </cell>
          <cell r="BO27" t="str">
            <v>NÃO</v>
          </cell>
          <cell r="BP27" t="str">
            <v>MS|S|NACIONAL|Sim|Positiva</v>
          </cell>
          <cell r="BR27" t="str">
            <v>TBD</v>
          </cell>
          <cell r="BS27">
            <v>0</v>
          </cell>
          <cell r="BT27" t="str">
            <v>#ERRO</v>
          </cell>
          <cell r="BU27">
            <v>4.76</v>
          </cell>
          <cell r="BV27" t="str">
            <v>-</v>
          </cell>
          <cell r="BX27" t="str">
            <v>TBD</v>
          </cell>
          <cell r="BY27" t="str">
            <v>TBD</v>
          </cell>
          <cell r="BZ27" t="str">
            <v>TBD</v>
          </cell>
          <cell r="CA27" t="str">
            <v>#ERRO</v>
          </cell>
          <cell r="CB27" t="str">
            <v>-</v>
          </cell>
        </row>
        <row r="28">
          <cell r="A28" t="str">
            <v>18454-0</v>
          </cell>
          <cell r="B28" t="str">
            <v>18454-0</v>
          </cell>
          <cell r="C28">
            <v>7896714211312</v>
          </cell>
          <cell r="D28" t="str">
            <v>BESILATO ANLODIPINO 10MG COMP CT BL 2X15</v>
          </cell>
          <cell r="E28" t="str">
            <v>SIM</v>
          </cell>
          <cell r="F28" t="str">
            <v>G</v>
          </cell>
          <cell r="G28" t="str">
            <v>LINHA</v>
          </cell>
          <cell r="H28">
            <v>5</v>
          </cell>
          <cell r="I28">
            <v>60</v>
          </cell>
          <cell r="J28" t="str">
            <v>Monitorado</v>
          </cell>
          <cell r="K28" t="str">
            <v>Positiva</v>
          </cell>
          <cell r="L28" t="str">
            <v>Sim</v>
          </cell>
          <cell r="M28" t="str">
            <v>NACIONAL</v>
          </cell>
          <cell r="N28" t="str">
            <v>NACIONAL</v>
          </cell>
          <cell r="P28">
            <v>21.48</v>
          </cell>
          <cell r="Q28">
            <v>21.48</v>
          </cell>
          <cell r="R28">
            <v>21.74</v>
          </cell>
          <cell r="S28">
            <v>22.01</v>
          </cell>
          <cell r="T28">
            <v>20.260000000000002</v>
          </cell>
          <cell r="U28">
            <v>21.61</v>
          </cell>
          <cell r="V28">
            <v>21.61</v>
          </cell>
          <cell r="W28">
            <v>21.74</v>
          </cell>
          <cell r="X28">
            <v>22.29</v>
          </cell>
          <cell r="Y28">
            <v>22.01</v>
          </cell>
          <cell r="Z28">
            <v>22.29</v>
          </cell>
          <cell r="AA28">
            <v>22.57</v>
          </cell>
          <cell r="AB28">
            <v>22.86</v>
          </cell>
          <cell r="AC28">
            <v>22.15</v>
          </cell>
          <cell r="AD28">
            <v>22.15</v>
          </cell>
          <cell r="AE28">
            <v>22.43</v>
          </cell>
          <cell r="AF28">
            <v>0</v>
          </cell>
          <cell r="AG28">
            <v>29.69</v>
          </cell>
          <cell r="AH28">
            <v>29.69</v>
          </cell>
          <cell r="AI28">
            <v>30.05</v>
          </cell>
          <cell r="AJ28">
            <v>30.43</v>
          </cell>
          <cell r="AK28">
            <v>28.01</v>
          </cell>
          <cell r="AL28">
            <v>29.87</v>
          </cell>
          <cell r="AM28">
            <v>29.87</v>
          </cell>
          <cell r="AN28">
            <v>30.05</v>
          </cell>
          <cell r="AO28">
            <v>30.81</v>
          </cell>
          <cell r="AP28">
            <v>30.43</v>
          </cell>
          <cell r="AQ28">
            <v>30.81</v>
          </cell>
          <cell r="AR28">
            <v>31.2</v>
          </cell>
          <cell r="AS28">
            <v>31.6</v>
          </cell>
          <cell r="AT28">
            <v>30.62</v>
          </cell>
          <cell r="AU28">
            <v>30.62</v>
          </cell>
          <cell r="AV28">
            <v>31.01</v>
          </cell>
          <cell r="AX28">
            <v>21.48</v>
          </cell>
          <cell r="AY28">
            <v>29.69</v>
          </cell>
          <cell r="AZ28">
            <v>0.17</v>
          </cell>
          <cell r="BA28">
            <v>0.12</v>
          </cell>
          <cell r="BB28" t="str">
            <v>#_NA</v>
          </cell>
          <cell r="BC28" t="str">
            <v>#_NA</v>
          </cell>
          <cell r="BD28" t="str">
            <v>#_NA</v>
          </cell>
          <cell r="BE28" t="str">
            <v>-</v>
          </cell>
          <cell r="BF28" t="str">
            <v>-</v>
          </cell>
          <cell r="BG28">
            <v>5.6820000000000002E-2</v>
          </cell>
          <cell r="BH28">
            <v>0.82789999999999997</v>
          </cell>
          <cell r="BI28">
            <v>3.49</v>
          </cell>
          <cell r="BJ28" t="str">
            <v>-</v>
          </cell>
          <cell r="BK28">
            <v>0.83609999999999995</v>
          </cell>
          <cell r="BL28">
            <v>3.32</v>
          </cell>
          <cell r="BM28" t="str">
            <v>-</v>
          </cell>
          <cell r="BN28" t="str">
            <v>NÃO</v>
          </cell>
          <cell r="BO28" t="str">
            <v>NÃO</v>
          </cell>
          <cell r="BP28" t="str">
            <v>MS|G|NACIONAL|Sim|Positiva</v>
          </cell>
          <cell r="BR28" t="str">
            <v>TBD</v>
          </cell>
          <cell r="BS28">
            <v>0</v>
          </cell>
          <cell r="BT28" t="str">
            <v>#ERRO</v>
          </cell>
          <cell r="BU28">
            <v>3.32</v>
          </cell>
          <cell r="BV28" t="str">
            <v>-</v>
          </cell>
          <cell r="BX28" t="str">
            <v>TBD</v>
          </cell>
          <cell r="BY28" t="str">
            <v>TBD</v>
          </cell>
          <cell r="BZ28" t="str">
            <v>TBD</v>
          </cell>
          <cell r="CA28" t="str">
            <v>#ERRO</v>
          </cell>
          <cell r="CB28" t="str">
            <v>-</v>
          </cell>
        </row>
        <row r="29">
          <cell r="A29" t="str">
            <v>12456-0</v>
          </cell>
          <cell r="B29" t="str">
            <v>12456-0</v>
          </cell>
          <cell r="C29">
            <v>7896714211305</v>
          </cell>
          <cell r="D29" t="str">
            <v>BESILATO ANLODIPINO 5MG COMP CT BL 2X15</v>
          </cell>
          <cell r="E29" t="str">
            <v>SIM</v>
          </cell>
          <cell r="F29" t="str">
            <v>G</v>
          </cell>
          <cell r="G29" t="str">
            <v>FOCO GENERICOS</v>
          </cell>
          <cell r="H29">
            <v>5</v>
          </cell>
          <cell r="I29">
            <v>60</v>
          </cell>
          <cell r="J29" t="str">
            <v>Monitorado</v>
          </cell>
          <cell r="K29" t="str">
            <v>Positiva</v>
          </cell>
          <cell r="L29" t="str">
            <v>Sim</v>
          </cell>
          <cell r="M29" t="str">
            <v>NACIONAL</v>
          </cell>
          <cell r="N29" t="str">
            <v>NACIONAL</v>
          </cell>
          <cell r="P29">
            <v>32.630000000000003</v>
          </cell>
          <cell r="Q29">
            <v>32.630000000000003</v>
          </cell>
          <cell r="R29">
            <v>33.020000000000003</v>
          </cell>
          <cell r="S29">
            <v>33.43</v>
          </cell>
          <cell r="T29">
            <v>30.77</v>
          </cell>
          <cell r="U29">
            <v>32.82</v>
          </cell>
          <cell r="V29">
            <v>32.82</v>
          </cell>
          <cell r="W29">
            <v>33.020000000000003</v>
          </cell>
          <cell r="X29">
            <v>33.85</v>
          </cell>
          <cell r="Y29">
            <v>33.43</v>
          </cell>
          <cell r="Z29">
            <v>33.85</v>
          </cell>
          <cell r="AA29">
            <v>34.28</v>
          </cell>
          <cell r="AB29">
            <v>34.72</v>
          </cell>
          <cell r="AC29">
            <v>33.64</v>
          </cell>
          <cell r="AD29">
            <v>33.64</v>
          </cell>
          <cell r="AE29">
            <v>34.06</v>
          </cell>
          <cell r="AF29">
            <v>0</v>
          </cell>
          <cell r="AG29">
            <v>45.11</v>
          </cell>
          <cell r="AH29">
            <v>45.11</v>
          </cell>
          <cell r="AI29">
            <v>45.65</v>
          </cell>
          <cell r="AJ29">
            <v>46.22</v>
          </cell>
          <cell r="AK29">
            <v>42.54</v>
          </cell>
          <cell r="AL29">
            <v>45.37</v>
          </cell>
          <cell r="AM29">
            <v>45.37</v>
          </cell>
          <cell r="AN29">
            <v>45.65</v>
          </cell>
          <cell r="AO29">
            <v>46.8</v>
          </cell>
          <cell r="AP29">
            <v>46.22</v>
          </cell>
          <cell r="AQ29">
            <v>46.8</v>
          </cell>
          <cell r="AR29">
            <v>47.39</v>
          </cell>
          <cell r="AS29">
            <v>48</v>
          </cell>
          <cell r="AT29">
            <v>46.51</v>
          </cell>
          <cell r="AU29">
            <v>46.51</v>
          </cell>
          <cell r="AV29">
            <v>47.09</v>
          </cell>
          <cell r="AX29">
            <v>32.630000000000003</v>
          </cell>
          <cell r="AY29">
            <v>45.11</v>
          </cell>
          <cell r="AZ29">
            <v>0.17</v>
          </cell>
          <cell r="BA29">
            <v>0.12</v>
          </cell>
          <cell r="BB29" t="str">
            <v>#_NA</v>
          </cell>
          <cell r="BC29" t="str">
            <v>#_NA</v>
          </cell>
          <cell r="BD29" t="str">
            <v>#_NA</v>
          </cell>
          <cell r="BE29" t="str">
            <v>-</v>
          </cell>
          <cell r="BF29" t="str">
            <v>-</v>
          </cell>
          <cell r="BG29">
            <v>5.6820000000000002E-2</v>
          </cell>
          <cell r="BH29">
            <v>0.94850000000000001</v>
          </cell>
          <cell r="BI29">
            <v>1.59</v>
          </cell>
          <cell r="BJ29" t="str">
            <v>-</v>
          </cell>
          <cell r="BK29">
            <v>0.95089999999999997</v>
          </cell>
          <cell r="BL29">
            <v>1.51</v>
          </cell>
          <cell r="BM29" t="str">
            <v>-</v>
          </cell>
          <cell r="BN29" t="str">
            <v>NÃO</v>
          </cell>
          <cell r="BO29" t="str">
            <v>NÃO</v>
          </cell>
          <cell r="BP29" t="str">
            <v>MS|G|NACIONAL|Sim|Positiva</v>
          </cell>
          <cell r="BR29" t="str">
            <v>TBD</v>
          </cell>
          <cell r="BS29">
            <v>0</v>
          </cell>
          <cell r="BT29" t="str">
            <v>#ERRO</v>
          </cell>
          <cell r="BU29">
            <v>1.51</v>
          </cell>
          <cell r="BV29" t="str">
            <v>-</v>
          </cell>
          <cell r="BX29" t="str">
            <v>TBD</v>
          </cell>
          <cell r="BY29" t="str">
            <v>TBD</v>
          </cell>
          <cell r="BZ29" t="str">
            <v>TBD</v>
          </cell>
          <cell r="CA29" t="str">
            <v>#ERRO</v>
          </cell>
          <cell r="CB29" t="str">
            <v>-</v>
          </cell>
        </row>
        <row r="30">
          <cell r="A30" t="str">
            <v>19612-0</v>
          </cell>
          <cell r="B30" t="str">
            <v>19612-0</v>
          </cell>
          <cell r="C30">
            <v>7896714234885</v>
          </cell>
          <cell r="D30" t="str">
            <v>BISSULFATO CLOPIDOGREL 75MG CT BL 14CPRV</v>
          </cell>
          <cell r="E30" t="str">
            <v>SIM</v>
          </cell>
          <cell r="F30" t="str">
            <v>G</v>
          </cell>
          <cell r="G30" t="str">
            <v>LINHA</v>
          </cell>
          <cell r="H30">
            <v>5</v>
          </cell>
          <cell r="I30">
            <v>30</v>
          </cell>
          <cell r="J30" t="str">
            <v>Monitorado</v>
          </cell>
          <cell r="K30" t="str">
            <v>Positiva</v>
          </cell>
          <cell r="L30" t="str">
            <v>Sim</v>
          </cell>
          <cell r="M30" t="str">
            <v>NACIONAL</v>
          </cell>
          <cell r="N30" t="str">
            <v>NACIONAL</v>
          </cell>
          <cell r="P30">
            <v>44.2</v>
          </cell>
          <cell r="Q30">
            <v>44.2</v>
          </cell>
          <cell r="R30">
            <v>44.74</v>
          </cell>
          <cell r="S30">
            <v>45.3</v>
          </cell>
          <cell r="T30">
            <v>41.69</v>
          </cell>
          <cell r="U30">
            <v>44.47</v>
          </cell>
          <cell r="V30">
            <v>44.47</v>
          </cell>
          <cell r="W30">
            <v>44.74</v>
          </cell>
          <cell r="X30">
            <v>45.86</v>
          </cell>
          <cell r="Y30">
            <v>45.3</v>
          </cell>
          <cell r="Z30">
            <v>45.86</v>
          </cell>
          <cell r="AA30">
            <v>46.44</v>
          </cell>
          <cell r="AB30">
            <v>47.04</v>
          </cell>
          <cell r="AC30">
            <v>45.58</v>
          </cell>
          <cell r="AD30">
            <v>45.58</v>
          </cell>
          <cell r="AE30">
            <v>46.15</v>
          </cell>
          <cell r="AF30">
            <v>0</v>
          </cell>
          <cell r="AG30">
            <v>61.1</v>
          </cell>
          <cell r="AH30">
            <v>61.1</v>
          </cell>
          <cell r="AI30">
            <v>61.85</v>
          </cell>
          <cell r="AJ30">
            <v>62.62</v>
          </cell>
          <cell r="AK30">
            <v>57.63</v>
          </cell>
          <cell r="AL30">
            <v>61.48</v>
          </cell>
          <cell r="AM30">
            <v>61.48</v>
          </cell>
          <cell r="AN30">
            <v>61.85</v>
          </cell>
          <cell r="AO30">
            <v>63.4</v>
          </cell>
          <cell r="AP30">
            <v>62.62</v>
          </cell>
          <cell r="AQ30">
            <v>63.4</v>
          </cell>
          <cell r="AR30">
            <v>64.2</v>
          </cell>
          <cell r="AS30">
            <v>65.03</v>
          </cell>
          <cell r="AT30">
            <v>63.01</v>
          </cell>
          <cell r="AU30">
            <v>63.01</v>
          </cell>
          <cell r="AV30">
            <v>63.8</v>
          </cell>
          <cell r="AX30">
            <v>44.2</v>
          </cell>
          <cell r="AY30">
            <v>61.1</v>
          </cell>
          <cell r="AZ30">
            <v>0.17</v>
          </cell>
          <cell r="BA30">
            <v>0.12</v>
          </cell>
          <cell r="BB30" t="str">
            <v>#_NA</v>
          </cell>
          <cell r="BC30" t="str">
            <v>#_NA</v>
          </cell>
          <cell r="BD30" t="str">
            <v>#_NA</v>
          </cell>
          <cell r="BE30" t="str">
            <v>-</v>
          </cell>
          <cell r="BF30" t="str">
            <v>-</v>
          </cell>
          <cell r="BG30">
            <v>5.6820000000000002E-2</v>
          </cell>
          <cell r="BH30">
            <v>0.73180000000000001</v>
          </cell>
          <cell r="BI30">
            <v>11.18</v>
          </cell>
          <cell r="BJ30" t="str">
            <v>-</v>
          </cell>
          <cell r="BK30">
            <v>0.74480000000000002</v>
          </cell>
          <cell r="BL30">
            <v>10.64</v>
          </cell>
          <cell r="BM30" t="str">
            <v>-</v>
          </cell>
          <cell r="BN30" t="str">
            <v>NÃO</v>
          </cell>
          <cell r="BO30" t="str">
            <v>NÃO</v>
          </cell>
          <cell r="BP30" t="str">
            <v>MS|G|NACIONAL|Sim|Positiva</v>
          </cell>
          <cell r="BR30" t="str">
            <v>TBD</v>
          </cell>
          <cell r="BS30">
            <v>0</v>
          </cell>
          <cell r="BT30" t="str">
            <v>#ERRO</v>
          </cell>
          <cell r="BU30">
            <v>10.64</v>
          </cell>
          <cell r="BV30" t="str">
            <v>-</v>
          </cell>
          <cell r="BX30" t="str">
            <v>TBD</v>
          </cell>
          <cell r="BY30" t="str">
            <v>TBD</v>
          </cell>
          <cell r="BZ30" t="str">
            <v>TBD</v>
          </cell>
          <cell r="CA30" t="str">
            <v>#ERRO</v>
          </cell>
          <cell r="CB30" t="str">
            <v>-</v>
          </cell>
        </row>
        <row r="31">
          <cell r="A31" t="str">
            <v>19613-0</v>
          </cell>
          <cell r="B31" t="str">
            <v>19613-0</v>
          </cell>
          <cell r="C31">
            <v>7896714234892</v>
          </cell>
          <cell r="D31" t="str">
            <v>BISSULFATO CLOPIDOGREL 75MG CT BL 28CPRV</v>
          </cell>
          <cell r="E31" t="str">
            <v>SIM</v>
          </cell>
          <cell r="F31" t="str">
            <v>G</v>
          </cell>
          <cell r="G31" t="str">
            <v>LINHA</v>
          </cell>
          <cell r="H31">
            <v>5</v>
          </cell>
          <cell r="I31">
            <v>24</v>
          </cell>
          <cell r="J31" t="str">
            <v>Monitorado</v>
          </cell>
          <cell r="K31" t="str">
            <v>Positiva</v>
          </cell>
          <cell r="L31" t="str">
            <v>Sim</v>
          </cell>
          <cell r="M31" t="str">
            <v>NACIONAL</v>
          </cell>
          <cell r="N31" t="str">
            <v>NACIONAL</v>
          </cell>
          <cell r="P31">
            <v>88.76</v>
          </cell>
          <cell r="Q31">
            <v>88.76</v>
          </cell>
          <cell r="R31">
            <v>89.84</v>
          </cell>
          <cell r="S31">
            <v>90.95</v>
          </cell>
          <cell r="T31">
            <v>83.72</v>
          </cell>
          <cell r="U31">
            <v>89.3</v>
          </cell>
          <cell r="V31">
            <v>89.3</v>
          </cell>
          <cell r="W31">
            <v>89.84</v>
          </cell>
          <cell r="X31">
            <v>92.09</v>
          </cell>
          <cell r="Y31">
            <v>90.95</v>
          </cell>
          <cell r="Z31">
            <v>92.09</v>
          </cell>
          <cell r="AA31">
            <v>93.25</v>
          </cell>
          <cell r="AB31">
            <v>94.45</v>
          </cell>
          <cell r="AC31">
            <v>91.52</v>
          </cell>
          <cell r="AD31">
            <v>91.52</v>
          </cell>
          <cell r="AE31">
            <v>92.67</v>
          </cell>
          <cell r="AF31">
            <v>0</v>
          </cell>
          <cell r="AG31">
            <v>122.71</v>
          </cell>
          <cell r="AH31">
            <v>122.71</v>
          </cell>
          <cell r="AI31">
            <v>124.2</v>
          </cell>
          <cell r="AJ31">
            <v>125.73</v>
          </cell>
          <cell r="AK31">
            <v>115.74</v>
          </cell>
          <cell r="AL31">
            <v>123.45</v>
          </cell>
          <cell r="AM31">
            <v>123.45</v>
          </cell>
          <cell r="AN31">
            <v>124.2</v>
          </cell>
          <cell r="AO31">
            <v>127.31</v>
          </cell>
          <cell r="AP31">
            <v>125.73</v>
          </cell>
          <cell r="AQ31">
            <v>127.31</v>
          </cell>
          <cell r="AR31">
            <v>128.91</v>
          </cell>
          <cell r="AS31">
            <v>130.57</v>
          </cell>
          <cell r="AT31">
            <v>126.52</v>
          </cell>
          <cell r="AU31">
            <v>126.52</v>
          </cell>
          <cell r="AV31">
            <v>128.11000000000001</v>
          </cell>
          <cell r="AX31">
            <v>88.76</v>
          </cell>
          <cell r="AY31">
            <v>122.71</v>
          </cell>
          <cell r="AZ31">
            <v>0.17</v>
          </cell>
          <cell r="BA31">
            <v>0.12</v>
          </cell>
          <cell r="BB31" t="str">
            <v>#_NA</v>
          </cell>
          <cell r="BC31" t="str">
            <v>#_NA</v>
          </cell>
          <cell r="BD31" t="str">
            <v>#_NA</v>
          </cell>
          <cell r="BE31" t="str">
            <v>-</v>
          </cell>
          <cell r="BF31" t="str">
            <v>-</v>
          </cell>
          <cell r="BG31">
            <v>5.6820000000000002E-2</v>
          </cell>
          <cell r="BH31">
            <v>0.79379999999999995</v>
          </cell>
          <cell r="BI31">
            <v>17.260000000000002</v>
          </cell>
          <cell r="BJ31" t="str">
            <v>-</v>
          </cell>
          <cell r="BK31">
            <v>0.80359999999999998</v>
          </cell>
          <cell r="BL31">
            <v>16.440000000000001</v>
          </cell>
          <cell r="BM31" t="str">
            <v>-</v>
          </cell>
          <cell r="BN31" t="str">
            <v>NÃO</v>
          </cell>
          <cell r="BO31" t="str">
            <v>NÃO</v>
          </cell>
          <cell r="BP31" t="str">
            <v>MS|G|NACIONAL|Sim|Positiva</v>
          </cell>
          <cell r="BR31" t="str">
            <v>TBD</v>
          </cell>
          <cell r="BS31">
            <v>0</v>
          </cell>
          <cell r="BT31" t="str">
            <v>#ERRO</v>
          </cell>
          <cell r="BU31">
            <v>16.440000000000001</v>
          </cell>
          <cell r="BV31" t="str">
            <v>-</v>
          </cell>
          <cell r="BX31" t="str">
            <v>TBD</v>
          </cell>
          <cell r="BY31" t="str">
            <v>TBD</v>
          </cell>
          <cell r="BZ31" t="str">
            <v>TBD</v>
          </cell>
          <cell r="CA31" t="str">
            <v>#ERRO</v>
          </cell>
          <cell r="CB31" t="str">
            <v>-</v>
          </cell>
        </row>
        <row r="32">
          <cell r="A32" t="str">
            <v>12467-0</v>
          </cell>
          <cell r="B32" t="str">
            <v>12467-0</v>
          </cell>
          <cell r="C32">
            <v>7896714214337</v>
          </cell>
          <cell r="D32" t="str">
            <v>BROM IPRATROPIO 0,25MG/ML SOL FR 1X20ML</v>
          </cell>
          <cell r="E32" t="str">
            <v>SIM</v>
          </cell>
          <cell r="F32" t="str">
            <v>G</v>
          </cell>
          <cell r="G32" t="str">
            <v>LINHA</v>
          </cell>
          <cell r="H32">
            <v>5</v>
          </cell>
          <cell r="I32">
            <v>60</v>
          </cell>
          <cell r="J32" t="str">
            <v>Monitorado</v>
          </cell>
          <cell r="K32" t="str">
            <v>Positiva</v>
          </cell>
          <cell r="L32" t="str">
            <v>Sim</v>
          </cell>
          <cell r="M32" t="str">
            <v>NACIONAL</v>
          </cell>
          <cell r="N32" t="str">
            <v>NACIONAL</v>
          </cell>
          <cell r="P32">
            <v>13.4</v>
          </cell>
          <cell r="Q32">
            <v>13.4</v>
          </cell>
          <cell r="R32">
            <v>13.56</v>
          </cell>
          <cell r="S32">
            <v>13.73</v>
          </cell>
          <cell r="T32">
            <v>12.64</v>
          </cell>
          <cell r="U32">
            <v>13.48</v>
          </cell>
          <cell r="V32">
            <v>13.48</v>
          </cell>
          <cell r="W32">
            <v>13.56</v>
          </cell>
          <cell r="X32">
            <v>13.9</v>
          </cell>
          <cell r="Y32">
            <v>13.73</v>
          </cell>
          <cell r="Z32">
            <v>13.9</v>
          </cell>
          <cell r="AA32">
            <v>14.08</v>
          </cell>
          <cell r="AB32">
            <v>14.26</v>
          </cell>
          <cell r="AC32">
            <v>13.81</v>
          </cell>
          <cell r="AD32">
            <v>13.81</v>
          </cell>
          <cell r="AE32">
            <v>13.99</v>
          </cell>
          <cell r="AF32">
            <v>0</v>
          </cell>
          <cell r="AG32">
            <v>18.52</v>
          </cell>
          <cell r="AH32">
            <v>18.52</v>
          </cell>
          <cell r="AI32">
            <v>18.75</v>
          </cell>
          <cell r="AJ32">
            <v>18.98</v>
          </cell>
          <cell r="AK32">
            <v>17.47</v>
          </cell>
          <cell r="AL32">
            <v>18.64</v>
          </cell>
          <cell r="AM32">
            <v>18.64</v>
          </cell>
          <cell r="AN32">
            <v>18.75</v>
          </cell>
          <cell r="AO32">
            <v>19.22</v>
          </cell>
          <cell r="AP32">
            <v>18.98</v>
          </cell>
          <cell r="AQ32">
            <v>19.22</v>
          </cell>
          <cell r="AR32">
            <v>19.46</v>
          </cell>
          <cell r="AS32">
            <v>19.71</v>
          </cell>
          <cell r="AT32">
            <v>19.09</v>
          </cell>
          <cell r="AU32">
            <v>19.09</v>
          </cell>
          <cell r="AV32">
            <v>19.34</v>
          </cell>
          <cell r="AX32">
            <v>13.4</v>
          </cell>
          <cell r="AY32">
            <v>18.52</v>
          </cell>
          <cell r="AZ32">
            <v>0.17</v>
          </cell>
          <cell r="BA32">
            <v>0.12</v>
          </cell>
          <cell r="BB32" t="str">
            <v>#_NA</v>
          </cell>
          <cell r="BC32" t="str">
            <v>#_NA</v>
          </cell>
          <cell r="BD32" t="str">
            <v>#_NA</v>
          </cell>
          <cell r="BE32" t="str">
            <v>-</v>
          </cell>
          <cell r="BF32" t="str">
            <v>-</v>
          </cell>
          <cell r="BG32">
            <v>5.6820000000000002E-2</v>
          </cell>
          <cell r="BH32">
            <v>0.61040000000000005</v>
          </cell>
          <cell r="BI32">
            <v>4.92</v>
          </cell>
          <cell r="BJ32" t="str">
            <v>-</v>
          </cell>
          <cell r="BK32">
            <v>0.629</v>
          </cell>
          <cell r="BL32">
            <v>4.6900000000000004</v>
          </cell>
          <cell r="BM32" t="str">
            <v>-</v>
          </cell>
          <cell r="BN32" t="str">
            <v>NÃO</v>
          </cell>
          <cell r="BO32" t="str">
            <v>NÃO</v>
          </cell>
          <cell r="BP32" t="str">
            <v>MS|G|NACIONAL|Sim|Positiva</v>
          </cell>
          <cell r="BR32" t="str">
            <v>TBD</v>
          </cell>
          <cell r="BS32">
            <v>0</v>
          </cell>
          <cell r="BT32" t="str">
            <v>#ERRO</v>
          </cell>
          <cell r="BU32">
            <v>4.6900000000000004</v>
          </cell>
          <cell r="BV32" t="str">
            <v>-</v>
          </cell>
          <cell r="BX32" t="str">
            <v>TBD</v>
          </cell>
          <cell r="BY32" t="str">
            <v>TBD</v>
          </cell>
          <cell r="BZ32" t="str">
            <v>TBD</v>
          </cell>
          <cell r="CA32" t="str">
            <v>#ERRO</v>
          </cell>
          <cell r="CB32" t="str">
            <v>-</v>
          </cell>
        </row>
        <row r="33">
          <cell r="A33" t="str">
            <v>13906-0</v>
          </cell>
          <cell r="B33" t="str">
            <v>13906-0</v>
          </cell>
          <cell r="C33">
            <v>7896714212203</v>
          </cell>
          <cell r="D33" t="str">
            <v>BROMAZEPAM 3MG B-1 COMP CT BL 2X15</v>
          </cell>
          <cell r="E33" t="str">
            <v>SIM</v>
          </cell>
          <cell r="F33" t="str">
            <v>G</v>
          </cell>
          <cell r="G33" t="str">
            <v>LINHA</v>
          </cell>
          <cell r="H33">
            <v>5</v>
          </cell>
          <cell r="I33">
            <v>60</v>
          </cell>
          <cell r="J33" t="str">
            <v>Monitorado</v>
          </cell>
          <cell r="K33" t="str">
            <v>Positiva</v>
          </cell>
          <cell r="L33" t="str">
            <v>Sim</v>
          </cell>
          <cell r="M33" t="str">
            <v>NACIONAL</v>
          </cell>
          <cell r="N33" t="str">
            <v>NACIONAL</v>
          </cell>
          <cell r="P33">
            <v>17.86</v>
          </cell>
          <cell r="Q33">
            <v>17.86</v>
          </cell>
          <cell r="R33">
            <v>18.07</v>
          </cell>
          <cell r="S33">
            <v>18.3</v>
          </cell>
          <cell r="T33">
            <v>16.84</v>
          </cell>
          <cell r="U33">
            <v>17.96</v>
          </cell>
          <cell r="V33">
            <v>17.96</v>
          </cell>
          <cell r="W33">
            <v>18.07</v>
          </cell>
          <cell r="X33">
            <v>18.53</v>
          </cell>
          <cell r="Y33">
            <v>18.3</v>
          </cell>
          <cell r="Z33">
            <v>18.53</v>
          </cell>
          <cell r="AA33">
            <v>18.760000000000002</v>
          </cell>
          <cell r="AB33">
            <v>19</v>
          </cell>
          <cell r="AC33">
            <v>18.41</v>
          </cell>
          <cell r="AD33">
            <v>18.41</v>
          </cell>
          <cell r="AE33">
            <v>18.64</v>
          </cell>
          <cell r="AF33">
            <v>0</v>
          </cell>
          <cell r="AG33">
            <v>24.69</v>
          </cell>
          <cell r="AH33">
            <v>24.69</v>
          </cell>
          <cell r="AI33">
            <v>24.98</v>
          </cell>
          <cell r="AJ33">
            <v>25.3</v>
          </cell>
          <cell r="AK33">
            <v>23.28</v>
          </cell>
          <cell r="AL33">
            <v>24.83</v>
          </cell>
          <cell r="AM33">
            <v>24.83</v>
          </cell>
          <cell r="AN33">
            <v>24.98</v>
          </cell>
          <cell r="AO33">
            <v>25.62</v>
          </cell>
          <cell r="AP33">
            <v>25.3</v>
          </cell>
          <cell r="AQ33">
            <v>25.62</v>
          </cell>
          <cell r="AR33">
            <v>25.93</v>
          </cell>
          <cell r="AS33">
            <v>26.27</v>
          </cell>
          <cell r="AT33">
            <v>25.45</v>
          </cell>
          <cell r="AU33">
            <v>25.45</v>
          </cell>
          <cell r="AV33">
            <v>25.77</v>
          </cell>
          <cell r="AX33">
            <v>17.86</v>
          </cell>
          <cell r="AY33">
            <v>24.69</v>
          </cell>
          <cell r="AZ33">
            <v>0.17</v>
          </cell>
          <cell r="BA33">
            <v>0.12</v>
          </cell>
          <cell r="BB33" t="str">
            <v>#_NA</v>
          </cell>
          <cell r="BC33" t="str">
            <v>#_NA</v>
          </cell>
          <cell r="BD33" t="str">
            <v>#_NA</v>
          </cell>
          <cell r="BE33" t="str">
            <v>-</v>
          </cell>
          <cell r="BF33" t="str">
            <v>-</v>
          </cell>
          <cell r="BG33">
            <v>5.6820000000000002E-2</v>
          </cell>
          <cell r="BH33">
            <v>0.80169999999999997</v>
          </cell>
          <cell r="BI33">
            <v>3.34</v>
          </cell>
          <cell r="BJ33" t="str">
            <v>-</v>
          </cell>
          <cell r="BK33">
            <v>0.81120000000000003</v>
          </cell>
          <cell r="BL33">
            <v>3.18</v>
          </cell>
          <cell r="BM33" t="str">
            <v>-</v>
          </cell>
          <cell r="BN33" t="str">
            <v>NÃO</v>
          </cell>
          <cell r="BO33" t="str">
            <v>NÃO</v>
          </cell>
          <cell r="BP33" t="str">
            <v>MS|G|NACIONAL|Sim|Positiva</v>
          </cell>
          <cell r="BR33" t="str">
            <v>TBD</v>
          </cell>
          <cell r="BS33">
            <v>0</v>
          </cell>
          <cell r="BT33" t="str">
            <v>#ERRO</v>
          </cell>
          <cell r="BU33">
            <v>3.18</v>
          </cell>
          <cell r="BV33" t="str">
            <v>-</v>
          </cell>
          <cell r="BX33" t="str">
            <v>TBD</v>
          </cell>
          <cell r="BY33" t="str">
            <v>TBD</v>
          </cell>
          <cell r="BZ33" t="str">
            <v>TBD</v>
          </cell>
          <cell r="CA33" t="str">
            <v>#ERRO</v>
          </cell>
          <cell r="CB33" t="str">
            <v>-</v>
          </cell>
        </row>
        <row r="34">
          <cell r="A34" t="str">
            <v>13908-0</v>
          </cell>
          <cell r="B34" t="str">
            <v>13908-0</v>
          </cell>
          <cell r="C34">
            <v>7896714212371</v>
          </cell>
          <cell r="D34" t="str">
            <v>BROMAZEPAM 6MG B-1 COMP CT BL 2X15</v>
          </cell>
          <cell r="E34" t="str">
            <v>SIM</v>
          </cell>
          <cell r="F34" t="str">
            <v>G</v>
          </cell>
          <cell r="G34" t="str">
            <v>LINHA</v>
          </cell>
          <cell r="H34">
            <v>5</v>
          </cell>
          <cell r="I34">
            <v>60</v>
          </cell>
          <cell r="J34" t="str">
            <v>Monitorado</v>
          </cell>
          <cell r="K34" t="str">
            <v>Positiva</v>
          </cell>
          <cell r="L34" t="str">
            <v>Sim</v>
          </cell>
          <cell r="M34" t="str">
            <v>NACIONAL</v>
          </cell>
          <cell r="N34" t="str">
            <v>NACIONAL</v>
          </cell>
          <cell r="P34">
            <v>29.24</v>
          </cell>
          <cell r="Q34">
            <v>29.24</v>
          </cell>
          <cell r="R34">
            <v>29.6</v>
          </cell>
          <cell r="S34">
            <v>29.96</v>
          </cell>
          <cell r="T34">
            <v>27.58</v>
          </cell>
          <cell r="U34">
            <v>29.42</v>
          </cell>
          <cell r="V34">
            <v>29.42</v>
          </cell>
          <cell r="W34">
            <v>29.6</v>
          </cell>
          <cell r="X34">
            <v>30.34</v>
          </cell>
          <cell r="Y34">
            <v>29.96</v>
          </cell>
          <cell r="Z34">
            <v>30.34</v>
          </cell>
          <cell r="AA34">
            <v>30.72</v>
          </cell>
          <cell r="AB34">
            <v>31.12</v>
          </cell>
          <cell r="AC34">
            <v>30.15</v>
          </cell>
          <cell r="AD34">
            <v>30.15</v>
          </cell>
          <cell r="AE34">
            <v>30.53</v>
          </cell>
          <cell r="AF34">
            <v>0</v>
          </cell>
          <cell r="AG34">
            <v>40.42</v>
          </cell>
          <cell r="AH34">
            <v>40.42</v>
          </cell>
          <cell r="AI34">
            <v>40.92</v>
          </cell>
          <cell r="AJ34">
            <v>41.42</v>
          </cell>
          <cell r="AK34">
            <v>38.130000000000003</v>
          </cell>
          <cell r="AL34">
            <v>40.67</v>
          </cell>
          <cell r="AM34">
            <v>40.67</v>
          </cell>
          <cell r="AN34">
            <v>40.92</v>
          </cell>
          <cell r="AO34">
            <v>41.94</v>
          </cell>
          <cell r="AP34">
            <v>41.42</v>
          </cell>
          <cell r="AQ34">
            <v>41.94</v>
          </cell>
          <cell r="AR34">
            <v>42.47</v>
          </cell>
          <cell r="AS34">
            <v>43.02</v>
          </cell>
          <cell r="AT34">
            <v>41.68</v>
          </cell>
          <cell r="AU34">
            <v>41.68</v>
          </cell>
          <cell r="AV34">
            <v>42.21</v>
          </cell>
          <cell r="AX34">
            <v>29.24</v>
          </cell>
          <cell r="AY34">
            <v>40.42</v>
          </cell>
          <cell r="AZ34">
            <v>0.17</v>
          </cell>
          <cell r="BA34">
            <v>0.12</v>
          </cell>
          <cell r="BB34" t="str">
            <v>#_NA</v>
          </cell>
          <cell r="BC34" t="str">
            <v>#_NA</v>
          </cell>
          <cell r="BD34" t="str">
            <v>#_NA</v>
          </cell>
          <cell r="BE34" t="str">
            <v>-</v>
          </cell>
          <cell r="BF34" t="str">
            <v>-</v>
          </cell>
          <cell r="BG34">
            <v>5.6820000000000002E-2</v>
          </cell>
          <cell r="BH34">
            <v>0.78259999999999996</v>
          </cell>
          <cell r="BI34">
            <v>6</v>
          </cell>
          <cell r="BJ34" t="str">
            <v>-</v>
          </cell>
          <cell r="BK34">
            <v>0.79330000000000001</v>
          </cell>
          <cell r="BL34">
            <v>5.7</v>
          </cell>
          <cell r="BM34" t="str">
            <v>-</v>
          </cell>
          <cell r="BN34" t="str">
            <v>NÃO</v>
          </cell>
          <cell r="BO34" t="str">
            <v>NÃO</v>
          </cell>
          <cell r="BP34" t="str">
            <v>MS|G|NACIONAL|Sim|Positiva</v>
          </cell>
          <cell r="BR34" t="str">
            <v>TBD</v>
          </cell>
          <cell r="BS34">
            <v>0</v>
          </cell>
          <cell r="BT34" t="str">
            <v>#ERRO</v>
          </cell>
          <cell r="BU34">
            <v>5.7</v>
          </cell>
          <cell r="BV34" t="str">
            <v>-</v>
          </cell>
          <cell r="BX34" t="str">
            <v>TBD</v>
          </cell>
          <cell r="BY34" t="str">
            <v>TBD</v>
          </cell>
          <cell r="BZ34" t="str">
            <v>TBD</v>
          </cell>
          <cell r="CA34" t="str">
            <v>#ERRO</v>
          </cell>
          <cell r="CB34" t="str">
            <v>-</v>
          </cell>
        </row>
        <row r="35">
          <cell r="A35" t="str">
            <v>12421-0</v>
          </cell>
          <cell r="B35" t="str">
            <v>12421-0</v>
          </cell>
          <cell r="C35">
            <v>7896714205687</v>
          </cell>
          <cell r="D35" t="str">
            <v>CAPTOPRIL 25MG COMP CT BL 2X15</v>
          </cell>
          <cell r="E35" t="str">
            <v>SIM</v>
          </cell>
          <cell r="F35" t="str">
            <v>G</v>
          </cell>
          <cell r="G35" t="str">
            <v>LINHA</v>
          </cell>
          <cell r="H35">
            <v>5</v>
          </cell>
          <cell r="I35">
            <v>60</v>
          </cell>
          <cell r="J35" t="str">
            <v>Monitorado</v>
          </cell>
          <cell r="K35" t="str">
            <v>Positiva</v>
          </cell>
          <cell r="L35" t="str">
            <v>Sim</v>
          </cell>
          <cell r="M35" t="str">
            <v>NACIONAL</v>
          </cell>
          <cell r="N35" t="str">
            <v>NACIONAL</v>
          </cell>
          <cell r="P35">
            <v>9.2899999999999991</v>
          </cell>
          <cell r="Q35">
            <v>9.2899999999999991</v>
          </cell>
          <cell r="R35">
            <v>9.4</v>
          </cell>
          <cell r="S35">
            <v>9.52</v>
          </cell>
          <cell r="T35">
            <v>8.76</v>
          </cell>
          <cell r="U35">
            <v>9.35</v>
          </cell>
          <cell r="V35">
            <v>9.35</v>
          </cell>
          <cell r="W35">
            <v>9.4</v>
          </cell>
          <cell r="X35">
            <v>9.64</v>
          </cell>
          <cell r="Y35">
            <v>9.52</v>
          </cell>
          <cell r="Z35">
            <v>9.64</v>
          </cell>
          <cell r="AA35">
            <v>9.76</v>
          </cell>
          <cell r="AB35">
            <v>9.8800000000000008</v>
          </cell>
          <cell r="AC35">
            <v>9.58</v>
          </cell>
          <cell r="AD35">
            <v>9.58</v>
          </cell>
          <cell r="AE35">
            <v>9.6999999999999993</v>
          </cell>
          <cell r="AF35">
            <v>0</v>
          </cell>
          <cell r="AG35">
            <v>12.84</v>
          </cell>
          <cell r="AH35">
            <v>12.84</v>
          </cell>
          <cell r="AI35">
            <v>12.99</v>
          </cell>
          <cell r="AJ35">
            <v>13.16</v>
          </cell>
          <cell r="AK35">
            <v>12.11</v>
          </cell>
          <cell r="AL35">
            <v>12.93</v>
          </cell>
          <cell r="AM35">
            <v>12.93</v>
          </cell>
          <cell r="AN35">
            <v>12.99</v>
          </cell>
          <cell r="AO35">
            <v>13.33</v>
          </cell>
          <cell r="AP35">
            <v>13.16</v>
          </cell>
          <cell r="AQ35">
            <v>13.33</v>
          </cell>
          <cell r="AR35">
            <v>13.49</v>
          </cell>
          <cell r="AS35">
            <v>13.66</v>
          </cell>
          <cell r="AT35">
            <v>13.24</v>
          </cell>
          <cell r="AU35">
            <v>13.24</v>
          </cell>
          <cell r="AV35">
            <v>13.41</v>
          </cell>
          <cell r="AX35">
            <v>9.2899999999999991</v>
          </cell>
          <cell r="AY35">
            <v>12.84</v>
          </cell>
          <cell r="AZ35">
            <v>0.17</v>
          </cell>
          <cell r="BA35">
            <v>0.12</v>
          </cell>
          <cell r="BB35" t="str">
            <v>#_NA</v>
          </cell>
          <cell r="BC35" t="str">
            <v>#_NA</v>
          </cell>
          <cell r="BD35" t="str">
            <v>#_NA</v>
          </cell>
          <cell r="BE35" t="str">
            <v>-</v>
          </cell>
          <cell r="BF35" t="str">
            <v>-</v>
          </cell>
          <cell r="BG35">
            <v>5.6820000000000002E-2</v>
          </cell>
          <cell r="BH35">
            <v>0.79500000000000004</v>
          </cell>
          <cell r="BI35">
            <v>1.8</v>
          </cell>
          <cell r="BJ35" t="str">
            <v>-</v>
          </cell>
          <cell r="BK35">
            <v>0.80589999999999995</v>
          </cell>
          <cell r="BL35">
            <v>1.7</v>
          </cell>
          <cell r="BM35" t="str">
            <v>-</v>
          </cell>
          <cell r="BN35" t="str">
            <v>NÃO</v>
          </cell>
          <cell r="BO35" t="str">
            <v>NÃO</v>
          </cell>
          <cell r="BP35" t="str">
            <v>MS|G|NACIONAL|Sim|Positiva</v>
          </cell>
          <cell r="BR35" t="str">
            <v>TBD</v>
          </cell>
          <cell r="BS35">
            <v>0</v>
          </cell>
          <cell r="BT35" t="str">
            <v>#ERRO</v>
          </cell>
          <cell r="BU35">
            <v>1.7</v>
          </cell>
          <cell r="BV35" t="str">
            <v>-</v>
          </cell>
          <cell r="BX35" t="str">
            <v>TBD</v>
          </cell>
          <cell r="BY35" t="str">
            <v>TBD</v>
          </cell>
          <cell r="BZ35" t="str">
            <v>TBD</v>
          </cell>
          <cell r="CA35" t="str">
            <v>#ERRO</v>
          </cell>
          <cell r="CB35" t="str">
            <v>-</v>
          </cell>
        </row>
        <row r="36">
          <cell r="A36" t="str">
            <v>12422-0</v>
          </cell>
          <cell r="B36" t="str">
            <v>12422-0</v>
          </cell>
          <cell r="C36">
            <v>7896714208084</v>
          </cell>
          <cell r="D36" t="str">
            <v>CAPTOPRIL 50MG COMP CT BL 3X10</v>
          </cell>
          <cell r="E36" t="str">
            <v>SIM</v>
          </cell>
          <cell r="F36" t="str">
            <v>G</v>
          </cell>
          <cell r="G36" t="str">
            <v>LINHA</v>
          </cell>
          <cell r="H36">
            <v>5</v>
          </cell>
          <cell r="I36">
            <v>60</v>
          </cell>
          <cell r="J36" t="str">
            <v>Monitorado</v>
          </cell>
          <cell r="K36" t="str">
            <v>Positiva</v>
          </cell>
          <cell r="L36" t="str">
            <v>Sim</v>
          </cell>
          <cell r="M36" t="str">
            <v>NACIONAL</v>
          </cell>
          <cell r="N36" t="str">
            <v>NACIONAL</v>
          </cell>
          <cell r="P36">
            <v>54.71</v>
          </cell>
          <cell r="Q36">
            <v>54.71</v>
          </cell>
          <cell r="R36">
            <v>55.38</v>
          </cell>
          <cell r="S36">
            <v>56.06</v>
          </cell>
          <cell r="T36">
            <v>51.6</v>
          </cell>
          <cell r="U36">
            <v>55.04</v>
          </cell>
          <cell r="V36">
            <v>55.04</v>
          </cell>
          <cell r="W36">
            <v>55.38</v>
          </cell>
          <cell r="X36">
            <v>56.76</v>
          </cell>
          <cell r="Y36">
            <v>56.06</v>
          </cell>
          <cell r="Z36">
            <v>56.76</v>
          </cell>
          <cell r="AA36">
            <v>57.48</v>
          </cell>
          <cell r="AB36">
            <v>58.22</v>
          </cell>
          <cell r="AC36">
            <v>56.41</v>
          </cell>
          <cell r="AD36">
            <v>56.41</v>
          </cell>
          <cell r="AE36">
            <v>57.12</v>
          </cell>
          <cell r="AF36">
            <v>0</v>
          </cell>
          <cell r="AG36">
            <v>75.63</v>
          </cell>
          <cell r="AH36">
            <v>75.63</v>
          </cell>
          <cell r="AI36">
            <v>76.56</v>
          </cell>
          <cell r="AJ36">
            <v>77.5</v>
          </cell>
          <cell r="AK36">
            <v>71.33</v>
          </cell>
          <cell r="AL36">
            <v>76.09</v>
          </cell>
          <cell r="AM36">
            <v>76.09</v>
          </cell>
          <cell r="AN36">
            <v>76.56</v>
          </cell>
          <cell r="AO36">
            <v>78.47</v>
          </cell>
          <cell r="AP36">
            <v>77.5</v>
          </cell>
          <cell r="AQ36">
            <v>78.47</v>
          </cell>
          <cell r="AR36">
            <v>79.459999999999994</v>
          </cell>
          <cell r="AS36">
            <v>80.489999999999995</v>
          </cell>
          <cell r="AT36">
            <v>77.98</v>
          </cell>
          <cell r="AU36">
            <v>77.98</v>
          </cell>
          <cell r="AV36">
            <v>78.97</v>
          </cell>
          <cell r="AX36">
            <v>54.71</v>
          </cell>
          <cell r="AY36">
            <v>75.63</v>
          </cell>
          <cell r="AZ36">
            <v>0.17</v>
          </cell>
          <cell r="BA36">
            <v>0.12</v>
          </cell>
          <cell r="BB36" t="str">
            <v>#_NA</v>
          </cell>
          <cell r="BC36" t="str">
            <v>#_NA</v>
          </cell>
          <cell r="BD36" t="str">
            <v>#_NA</v>
          </cell>
          <cell r="BE36" t="str">
            <v>-</v>
          </cell>
          <cell r="BF36" t="str">
            <v>-</v>
          </cell>
          <cell r="BG36">
            <v>5.6820000000000002E-2</v>
          </cell>
          <cell r="BH36">
            <v>0.73509999999999998</v>
          </cell>
          <cell r="BI36">
            <v>13.67</v>
          </cell>
          <cell r="BJ36" t="str">
            <v>-</v>
          </cell>
          <cell r="BK36">
            <v>0.74770000000000003</v>
          </cell>
          <cell r="BL36">
            <v>13.02</v>
          </cell>
          <cell r="BM36" t="str">
            <v>-</v>
          </cell>
          <cell r="BN36" t="str">
            <v>NÃO</v>
          </cell>
          <cell r="BO36" t="str">
            <v>NÃO</v>
          </cell>
          <cell r="BP36" t="str">
            <v>MS|G|NACIONAL|Sim|Positiva</v>
          </cell>
          <cell r="BR36" t="str">
            <v>TBD</v>
          </cell>
          <cell r="BS36">
            <v>0</v>
          </cell>
          <cell r="BT36" t="str">
            <v>#ERRO</v>
          </cell>
          <cell r="BU36">
            <v>13.02</v>
          </cell>
          <cell r="BV36" t="str">
            <v>-</v>
          </cell>
          <cell r="BX36" t="str">
            <v>TBD</v>
          </cell>
          <cell r="BY36" t="str">
            <v>TBD</v>
          </cell>
          <cell r="BZ36" t="str">
            <v>TBD</v>
          </cell>
          <cell r="CA36" t="str">
            <v>#ERRO</v>
          </cell>
          <cell r="CB36" t="str">
            <v>-</v>
          </cell>
        </row>
        <row r="37">
          <cell r="A37" t="str">
            <v>20895-0</v>
          </cell>
          <cell r="B37" t="str">
            <v>20895-0</v>
          </cell>
          <cell r="C37">
            <v>7896714274713</v>
          </cell>
          <cell r="D37" t="str">
            <v>CELECOXIBE 200MG 10 CAPSULAS C1</v>
          </cell>
          <cell r="E37" t="str">
            <v>SIM</v>
          </cell>
          <cell r="F37" t="str">
            <v>G</v>
          </cell>
          <cell r="G37" t="str">
            <v>LINHA</v>
          </cell>
          <cell r="H37">
            <v>2</v>
          </cell>
          <cell r="I37">
            <v>24</v>
          </cell>
          <cell r="J37" t="str">
            <v>Monitorado</v>
          </cell>
          <cell r="K37" t="str">
            <v>Positiva</v>
          </cell>
          <cell r="L37" t="str">
            <v>Não</v>
          </cell>
          <cell r="M37" t="str">
            <v>IMPORTADO</v>
          </cell>
          <cell r="N37" t="str">
            <v>IMPORTADO</v>
          </cell>
          <cell r="P37">
            <v>29.01</v>
          </cell>
          <cell r="Q37">
            <v>29.01</v>
          </cell>
          <cell r="R37">
            <v>29.37</v>
          </cell>
          <cell r="S37">
            <v>29.73</v>
          </cell>
          <cell r="T37">
            <v>27.36</v>
          </cell>
          <cell r="U37">
            <v>29.19</v>
          </cell>
          <cell r="V37">
            <v>29.19</v>
          </cell>
          <cell r="W37">
            <v>29.37</v>
          </cell>
          <cell r="X37">
            <v>30.1</v>
          </cell>
          <cell r="Y37">
            <v>29.73</v>
          </cell>
          <cell r="Z37">
            <v>30.1</v>
          </cell>
          <cell r="AA37">
            <v>30.48</v>
          </cell>
          <cell r="AB37">
            <v>30.87</v>
          </cell>
          <cell r="AC37">
            <v>29.91</v>
          </cell>
          <cell r="AD37">
            <v>29.91</v>
          </cell>
          <cell r="AE37">
            <v>30.29</v>
          </cell>
          <cell r="AF37">
            <v>0</v>
          </cell>
          <cell r="AG37">
            <v>40.1</v>
          </cell>
          <cell r="AH37">
            <v>40.1</v>
          </cell>
          <cell r="AI37">
            <v>40.6</v>
          </cell>
          <cell r="AJ37">
            <v>41.1</v>
          </cell>
          <cell r="AK37">
            <v>37.82</v>
          </cell>
          <cell r="AL37">
            <v>40.35</v>
          </cell>
          <cell r="AM37">
            <v>40.35</v>
          </cell>
          <cell r="AN37">
            <v>40.6</v>
          </cell>
          <cell r="AO37">
            <v>41.61</v>
          </cell>
          <cell r="AP37">
            <v>41.1</v>
          </cell>
          <cell r="AQ37">
            <v>41.61</v>
          </cell>
          <cell r="AR37">
            <v>42.14</v>
          </cell>
          <cell r="AS37">
            <v>42.68</v>
          </cell>
          <cell r="AT37">
            <v>41.35</v>
          </cell>
          <cell r="AU37">
            <v>41.35</v>
          </cell>
          <cell r="AV37">
            <v>41.87</v>
          </cell>
          <cell r="AX37">
            <v>29.01</v>
          </cell>
          <cell r="AY37">
            <v>40.1</v>
          </cell>
          <cell r="AZ37">
            <v>0.17</v>
          </cell>
          <cell r="BA37">
            <v>0.04</v>
          </cell>
          <cell r="BB37" t="str">
            <v>#_NA</v>
          </cell>
          <cell r="BC37" t="str">
            <v>#_NA</v>
          </cell>
          <cell r="BD37" t="str">
            <v>#_NA</v>
          </cell>
          <cell r="BE37" t="str">
            <v>-</v>
          </cell>
          <cell r="BF37" t="str">
            <v>-</v>
          </cell>
          <cell r="BG37">
            <v>0.13542000000000001</v>
          </cell>
          <cell r="BH37">
            <v>0.6694</v>
          </cell>
          <cell r="BI37">
            <v>8.2899999999999991</v>
          </cell>
          <cell r="BJ37" t="str">
            <v>-</v>
          </cell>
          <cell r="BK37">
            <v>0.68500000000000005</v>
          </cell>
          <cell r="BL37">
            <v>7.9</v>
          </cell>
          <cell r="BM37" t="str">
            <v>-</v>
          </cell>
          <cell r="BN37" t="str">
            <v>NÃO</v>
          </cell>
          <cell r="BO37" t="str">
            <v>NÃO</v>
          </cell>
          <cell r="BP37" t="str">
            <v>MS|G|IMPORTADO|Não|Positiva</v>
          </cell>
          <cell r="BR37" t="str">
            <v>TBD</v>
          </cell>
          <cell r="BS37">
            <v>0</v>
          </cell>
          <cell r="BT37" t="str">
            <v>#ERRO</v>
          </cell>
          <cell r="BU37">
            <v>7.9</v>
          </cell>
          <cell r="BV37" t="str">
            <v>-</v>
          </cell>
          <cell r="BX37" t="str">
            <v>TBD</v>
          </cell>
          <cell r="BY37" t="str">
            <v>TBD</v>
          </cell>
          <cell r="BZ37" t="str">
            <v>TBD</v>
          </cell>
          <cell r="CA37" t="str">
            <v>#ERRO</v>
          </cell>
          <cell r="CB37" t="str">
            <v>-</v>
          </cell>
        </row>
        <row r="38">
          <cell r="A38" t="str">
            <v>19586-0</v>
          </cell>
          <cell r="B38" t="str">
            <v>19586-0</v>
          </cell>
          <cell r="C38">
            <v>7896714203416</v>
          </cell>
          <cell r="D38" t="str">
            <v>CETOCONAZOL 20MG/G CR BG ALUM 30G</v>
          </cell>
          <cell r="E38" t="str">
            <v>SIM</v>
          </cell>
          <cell r="F38" t="str">
            <v>G</v>
          </cell>
          <cell r="G38" t="str">
            <v>LINHA</v>
          </cell>
          <cell r="H38">
            <v>5</v>
          </cell>
          <cell r="I38">
            <v>100</v>
          </cell>
          <cell r="J38" t="str">
            <v>Liberado</v>
          </cell>
          <cell r="K38" t="str">
            <v>Negativa</v>
          </cell>
          <cell r="L38" t="str">
            <v>Sim</v>
          </cell>
          <cell r="M38" t="str">
            <v>NACIONAL</v>
          </cell>
          <cell r="N38" t="str">
            <v>NACIONAL</v>
          </cell>
          <cell r="P38">
            <v>17.34</v>
          </cell>
          <cell r="Q38">
            <v>19.920000000000002</v>
          </cell>
          <cell r="R38">
            <v>20.2</v>
          </cell>
          <cell r="S38">
            <v>20.49</v>
          </cell>
          <cell r="T38">
            <v>18.63</v>
          </cell>
          <cell r="U38">
            <v>20.059999999999999</v>
          </cell>
          <cell r="V38">
            <v>17.45</v>
          </cell>
          <cell r="W38">
            <v>17.55</v>
          </cell>
          <cell r="X38">
            <v>20.78</v>
          </cell>
          <cell r="Y38">
            <v>17.77</v>
          </cell>
          <cell r="Z38">
            <v>17.989999999999998</v>
          </cell>
          <cell r="AA38">
            <v>21.09</v>
          </cell>
          <cell r="AB38">
            <v>21.4</v>
          </cell>
          <cell r="AC38">
            <v>20.64</v>
          </cell>
          <cell r="AD38">
            <v>17.88</v>
          </cell>
          <cell r="AE38">
            <v>20.94</v>
          </cell>
          <cell r="AF38">
            <v>0</v>
          </cell>
          <cell r="AG38">
            <v>23.97</v>
          </cell>
          <cell r="AH38">
            <v>26.55</v>
          </cell>
          <cell r="AI38">
            <v>26.91</v>
          </cell>
          <cell r="AJ38">
            <v>27.29</v>
          </cell>
          <cell r="AK38">
            <v>24.89</v>
          </cell>
          <cell r="AL38">
            <v>26.73</v>
          </cell>
          <cell r="AM38">
            <v>24.12</v>
          </cell>
          <cell r="AN38">
            <v>24.26</v>
          </cell>
          <cell r="AO38">
            <v>27.66</v>
          </cell>
          <cell r="AP38">
            <v>24.57</v>
          </cell>
          <cell r="AQ38">
            <v>24.87</v>
          </cell>
          <cell r="AR38">
            <v>28.06</v>
          </cell>
          <cell r="AS38">
            <v>28.46</v>
          </cell>
          <cell r="AT38">
            <v>27.48</v>
          </cell>
          <cell r="AU38">
            <v>24.72</v>
          </cell>
          <cell r="AV38">
            <v>27.86</v>
          </cell>
          <cell r="AX38">
            <v>19.920000000000002</v>
          </cell>
          <cell r="AY38">
            <v>26.55</v>
          </cell>
          <cell r="AZ38">
            <v>0.17</v>
          </cell>
          <cell r="BA38">
            <v>0.12</v>
          </cell>
          <cell r="BB38" t="str">
            <v>#_NA</v>
          </cell>
          <cell r="BC38" t="str">
            <v>#_NA</v>
          </cell>
          <cell r="BD38" t="str">
            <v>#_NA</v>
          </cell>
          <cell r="BE38" t="str">
            <v>-</v>
          </cell>
          <cell r="BF38" t="str">
            <v>-</v>
          </cell>
          <cell r="BG38">
            <v>5.6820000000000002E-2</v>
          </cell>
          <cell r="BH38">
            <v>0.75829999999999997</v>
          </cell>
          <cell r="BI38">
            <v>4.54</v>
          </cell>
          <cell r="BJ38" t="str">
            <v>-</v>
          </cell>
          <cell r="BK38">
            <v>0.80059999999999998</v>
          </cell>
          <cell r="BL38">
            <v>3.75</v>
          </cell>
          <cell r="BM38" t="str">
            <v>-</v>
          </cell>
          <cell r="BN38" t="str">
            <v>NÃO</v>
          </cell>
          <cell r="BO38" t="str">
            <v>NÃO</v>
          </cell>
          <cell r="BP38" t="str">
            <v>MS|G|NACIONAL|Sim|Negativa</v>
          </cell>
          <cell r="BR38" t="str">
            <v>TBD</v>
          </cell>
          <cell r="BS38">
            <v>0</v>
          </cell>
          <cell r="BT38" t="str">
            <v>#ERRO</v>
          </cell>
          <cell r="BU38">
            <v>3.75</v>
          </cell>
          <cell r="BV38" t="str">
            <v>-</v>
          </cell>
          <cell r="BX38" t="str">
            <v>TBD</v>
          </cell>
          <cell r="BY38" t="str">
            <v>TBD</v>
          </cell>
          <cell r="BZ38" t="str">
            <v>TBD</v>
          </cell>
          <cell r="CA38" t="str">
            <v>#ERRO</v>
          </cell>
          <cell r="CB38" t="str">
            <v>-</v>
          </cell>
        </row>
        <row r="39">
          <cell r="A39" t="str">
            <v>14822-0</v>
          </cell>
          <cell r="B39" t="str">
            <v>14822-0</v>
          </cell>
          <cell r="C39">
            <v>7896714215976</v>
          </cell>
          <cell r="D39" t="str">
            <v>CIPROFIBRATO 100MG COMP CT BL 2X15</v>
          </cell>
          <cell r="E39" t="str">
            <v>SIM</v>
          </cell>
          <cell r="F39" t="str">
            <v>G</v>
          </cell>
          <cell r="G39" t="str">
            <v>LINHA</v>
          </cell>
          <cell r="H39">
            <v>5</v>
          </cell>
          <cell r="I39">
            <v>60</v>
          </cell>
          <cell r="J39" t="str">
            <v>Monitorado</v>
          </cell>
          <cell r="K39" t="str">
            <v>Positiva</v>
          </cell>
          <cell r="L39" t="str">
            <v>Sim</v>
          </cell>
          <cell r="M39" t="str">
            <v>NACIONAL</v>
          </cell>
          <cell r="N39" t="str">
            <v>NACIONAL</v>
          </cell>
          <cell r="P39">
            <v>61.27</v>
          </cell>
          <cell r="Q39">
            <v>61.27</v>
          </cell>
          <cell r="R39">
            <v>62.01</v>
          </cell>
          <cell r="S39">
            <v>62.78</v>
          </cell>
          <cell r="T39">
            <v>57.78</v>
          </cell>
          <cell r="U39">
            <v>61.64</v>
          </cell>
          <cell r="V39">
            <v>61.64</v>
          </cell>
          <cell r="W39">
            <v>62.01</v>
          </cell>
          <cell r="X39">
            <v>63.56</v>
          </cell>
          <cell r="Y39">
            <v>62.78</v>
          </cell>
          <cell r="Z39">
            <v>63.56</v>
          </cell>
          <cell r="AA39">
            <v>64.37</v>
          </cell>
          <cell r="AB39">
            <v>65.19</v>
          </cell>
          <cell r="AC39">
            <v>63.17</v>
          </cell>
          <cell r="AD39">
            <v>63.17</v>
          </cell>
          <cell r="AE39">
            <v>63.96</v>
          </cell>
          <cell r="AF39">
            <v>0</v>
          </cell>
          <cell r="AG39">
            <v>84.7</v>
          </cell>
          <cell r="AH39">
            <v>84.7</v>
          </cell>
          <cell r="AI39">
            <v>85.73</v>
          </cell>
          <cell r="AJ39">
            <v>86.79</v>
          </cell>
          <cell r="AK39">
            <v>79.88</v>
          </cell>
          <cell r="AL39">
            <v>85.21</v>
          </cell>
          <cell r="AM39">
            <v>85.21</v>
          </cell>
          <cell r="AN39">
            <v>85.73</v>
          </cell>
          <cell r="AO39">
            <v>87.87</v>
          </cell>
          <cell r="AP39">
            <v>86.79</v>
          </cell>
          <cell r="AQ39">
            <v>87.87</v>
          </cell>
          <cell r="AR39">
            <v>88.99</v>
          </cell>
          <cell r="AS39">
            <v>90.12</v>
          </cell>
          <cell r="AT39">
            <v>87.33</v>
          </cell>
          <cell r="AU39">
            <v>87.33</v>
          </cell>
          <cell r="AV39">
            <v>88.42</v>
          </cell>
          <cell r="AX39">
            <v>61.27</v>
          </cell>
          <cell r="AY39">
            <v>84.7</v>
          </cell>
          <cell r="AZ39">
            <v>0.17</v>
          </cell>
          <cell r="BA39">
            <v>0.12</v>
          </cell>
          <cell r="BB39" t="str">
            <v>#_NA</v>
          </cell>
          <cell r="BC39" t="str">
            <v>#_NA</v>
          </cell>
          <cell r="BD39" t="str">
            <v>#_NA</v>
          </cell>
          <cell r="BE39" t="str">
            <v>-</v>
          </cell>
          <cell r="BF39" t="str">
            <v>-</v>
          </cell>
          <cell r="BG39">
            <v>5.6820000000000002E-2</v>
          </cell>
          <cell r="BH39">
            <v>0.7863</v>
          </cell>
          <cell r="BI39">
            <v>12.35</v>
          </cell>
          <cell r="BJ39" t="str">
            <v>-</v>
          </cell>
          <cell r="BK39">
            <v>0.79669999999999996</v>
          </cell>
          <cell r="BL39">
            <v>11.75</v>
          </cell>
          <cell r="BM39" t="str">
            <v>-</v>
          </cell>
          <cell r="BN39" t="str">
            <v>SIM</v>
          </cell>
          <cell r="BO39" t="str">
            <v>NÃO</v>
          </cell>
          <cell r="BP39" t="str">
            <v>MS|G|NACIONAL|Sim|Positiva</v>
          </cell>
          <cell r="BR39" t="str">
            <v>TBD</v>
          </cell>
          <cell r="BS39">
            <v>0</v>
          </cell>
          <cell r="BT39" t="str">
            <v>#ERRO</v>
          </cell>
          <cell r="BU39">
            <v>11.75</v>
          </cell>
          <cell r="BV39" t="str">
            <v>-</v>
          </cell>
          <cell r="BX39" t="str">
            <v>TBD</v>
          </cell>
          <cell r="BY39" t="str">
            <v>TBD</v>
          </cell>
          <cell r="BZ39" t="str">
            <v>TBD</v>
          </cell>
          <cell r="CA39" t="str">
            <v>#ERRO</v>
          </cell>
          <cell r="CB39" t="str">
            <v>-</v>
          </cell>
        </row>
        <row r="40">
          <cell r="A40" t="str">
            <v>15473-0</v>
          </cell>
          <cell r="B40" t="str">
            <v>15473-0</v>
          </cell>
          <cell r="C40">
            <v>7896714226736</v>
          </cell>
          <cell r="D40" t="str">
            <v>CIT SILDENAFILA 100MG COMP REV CT 1X4</v>
          </cell>
          <cell r="E40" t="str">
            <v>SIM</v>
          </cell>
          <cell r="F40" t="str">
            <v>G</v>
          </cell>
          <cell r="G40" t="str">
            <v>PRIORITARIO GENERICOS</v>
          </cell>
          <cell r="H40">
            <v>5</v>
          </cell>
          <cell r="I40">
            <v>60</v>
          </cell>
          <cell r="J40" t="str">
            <v>Monitorado</v>
          </cell>
          <cell r="K40" t="str">
            <v>Negativa</v>
          </cell>
          <cell r="L40" t="str">
            <v>Sim</v>
          </cell>
          <cell r="M40" t="str">
            <v>NACIONAL</v>
          </cell>
          <cell r="N40" t="str">
            <v>NACIONAL</v>
          </cell>
          <cell r="P40">
            <v>97.15</v>
          </cell>
          <cell r="Q40">
            <v>111.6</v>
          </cell>
          <cell r="R40">
            <v>113.17</v>
          </cell>
          <cell r="S40">
            <v>114.78</v>
          </cell>
          <cell r="T40">
            <v>104.36</v>
          </cell>
          <cell r="U40">
            <v>112.38</v>
          </cell>
          <cell r="V40">
            <v>97.74</v>
          </cell>
          <cell r="W40">
            <v>98.33</v>
          </cell>
          <cell r="X40">
            <v>116.44</v>
          </cell>
          <cell r="Y40">
            <v>99.55</v>
          </cell>
          <cell r="Z40">
            <v>100.79</v>
          </cell>
          <cell r="AA40">
            <v>118.16</v>
          </cell>
          <cell r="AB40">
            <v>119.92</v>
          </cell>
          <cell r="AC40">
            <v>115.61</v>
          </cell>
          <cell r="AD40">
            <v>100.17</v>
          </cell>
          <cell r="AE40">
            <v>117.29</v>
          </cell>
          <cell r="AF40">
            <v>0</v>
          </cell>
          <cell r="AG40">
            <v>134.30000000000001</v>
          </cell>
          <cell r="AH40">
            <v>148.75</v>
          </cell>
          <cell r="AI40">
            <v>150.78</v>
          </cell>
          <cell r="AJ40">
            <v>152.85</v>
          </cell>
          <cell r="AK40">
            <v>139.4</v>
          </cell>
          <cell r="AL40">
            <v>149.76</v>
          </cell>
          <cell r="AM40">
            <v>135.12</v>
          </cell>
          <cell r="AN40">
            <v>135.94</v>
          </cell>
          <cell r="AO40">
            <v>154.99</v>
          </cell>
          <cell r="AP40">
            <v>137.62</v>
          </cell>
          <cell r="AQ40">
            <v>139.34</v>
          </cell>
          <cell r="AR40">
            <v>157.19999999999999</v>
          </cell>
          <cell r="AS40">
            <v>159.46</v>
          </cell>
          <cell r="AT40">
            <v>153.91999999999999</v>
          </cell>
          <cell r="AU40">
            <v>138.47999999999999</v>
          </cell>
          <cell r="AV40">
            <v>156.08000000000001</v>
          </cell>
          <cell r="AX40">
            <v>111.6</v>
          </cell>
          <cell r="AY40">
            <v>148.75</v>
          </cell>
          <cell r="AZ40">
            <v>0.17</v>
          </cell>
          <cell r="BA40">
            <v>0.12</v>
          </cell>
          <cell r="BB40" t="str">
            <v>#_NA</v>
          </cell>
          <cell r="BC40" t="str">
            <v>#_NA</v>
          </cell>
          <cell r="BD40" t="str">
            <v>#_NA</v>
          </cell>
          <cell r="BE40" t="str">
            <v>-</v>
          </cell>
          <cell r="BF40" t="str">
            <v>-</v>
          </cell>
          <cell r="BG40">
            <v>5.6820000000000002E-2</v>
          </cell>
          <cell r="BH40">
            <v>0.69399999999999995</v>
          </cell>
          <cell r="BI40">
            <v>32.21</v>
          </cell>
          <cell r="BJ40" t="str">
            <v>-</v>
          </cell>
          <cell r="BK40">
            <v>0.74770000000000003</v>
          </cell>
          <cell r="BL40">
            <v>26.56</v>
          </cell>
          <cell r="BM40" t="str">
            <v>-</v>
          </cell>
          <cell r="BN40" t="str">
            <v>NÃO</v>
          </cell>
          <cell r="BO40" t="str">
            <v>NÃO</v>
          </cell>
          <cell r="BP40" t="str">
            <v>MS|G|NACIONAL|Sim|Negativa</v>
          </cell>
          <cell r="BR40" t="str">
            <v>TBD</v>
          </cell>
          <cell r="BS40">
            <v>0</v>
          </cell>
          <cell r="BT40" t="str">
            <v>#ERRO</v>
          </cell>
          <cell r="BU40">
            <v>26.56</v>
          </cell>
          <cell r="BV40" t="str">
            <v>-</v>
          </cell>
          <cell r="BX40" t="str">
            <v>TBD</v>
          </cell>
          <cell r="BY40" t="str">
            <v>TBD</v>
          </cell>
          <cell r="BZ40" t="str">
            <v>TBD</v>
          </cell>
          <cell r="CA40" t="str">
            <v>#ERRO</v>
          </cell>
          <cell r="CB40" t="str">
            <v>-</v>
          </cell>
        </row>
        <row r="41">
          <cell r="A41" t="str">
            <v>13850-0</v>
          </cell>
          <cell r="B41" t="str">
            <v>13850-0</v>
          </cell>
          <cell r="C41">
            <v>7896714227375</v>
          </cell>
          <cell r="D41" t="str">
            <v>CIT SILDENAFILA 50MG COMP REV CT BL 1X1</v>
          </cell>
          <cell r="E41" t="str">
            <v>SIM</v>
          </cell>
          <cell r="F41" t="str">
            <v>G</v>
          </cell>
          <cell r="G41" t="str">
            <v>LINHA</v>
          </cell>
          <cell r="H41">
            <v>5</v>
          </cell>
          <cell r="I41">
            <v>60</v>
          </cell>
          <cell r="J41" t="str">
            <v>Monitorado</v>
          </cell>
          <cell r="K41" t="str">
            <v>Negativa</v>
          </cell>
          <cell r="L41" t="str">
            <v>Sim</v>
          </cell>
          <cell r="M41" t="str">
            <v>NACIONAL</v>
          </cell>
          <cell r="N41" t="str">
            <v>NACIONAL</v>
          </cell>
          <cell r="P41">
            <v>5.22</v>
          </cell>
          <cell r="Q41">
            <v>5.99</v>
          </cell>
          <cell r="R41">
            <v>6.08</v>
          </cell>
          <cell r="S41">
            <v>6.16</v>
          </cell>
          <cell r="T41">
            <v>5.6</v>
          </cell>
          <cell r="U41">
            <v>6.04</v>
          </cell>
          <cell r="V41">
            <v>5.25</v>
          </cell>
          <cell r="W41">
            <v>5.28</v>
          </cell>
          <cell r="X41">
            <v>6.25</v>
          </cell>
          <cell r="Y41">
            <v>5.35</v>
          </cell>
          <cell r="Z41">
            <v>5.41</v>
          </cell>
          <cell r="AA41">
            <v>6.35</v>
          </cell>
          <cell r="AB41">
            <v>6.44</v>
          </cell>
          <cell r="AC41">
            <v>6.21</v>
          </cell>
          <cell r="AD41">
            <v>5.38</v>
          </cell>
          <cell r="AE41">
            <v>6.3</v>
          </cell>
          <cell r="AF41">
            <v>0</v>
          </cell>
          <cell r="AG41">
            <v>7.22</v>
          </cell>
          <cell r="AH41">
            <v>7.98</v>
          </cell>
          <cell r="AI41">
            <v>8.1</v>
          </cell>
          <cell r="AJ41">
            <v>8.1999999999999993</v>
          </cell>
          <cell r="AK41">
            <v>7.48</v>
          </cell>
          <cell r="AL41">
            <v>8.0500000000000007</v>
          </cell>
          <cell r="AM41">
            <v>7.26</v>
          </cell>
          <cell r="AN41">
            <v>7.3</v>
          </cell>
          <cell r="AO41">
            <v>8.32</v>
          </cell>
          <cell r="AP41">
            <v>7.4</v>
          </cell>
          <cell r="AQ41">
            <v>7.48</v>
          </cell>
          <cell r="AR41">
            <v>8.4499999999999993</v>
          </cell>
          <cell r="AS41">
            <v>8.56</v>
          </cell>
          <cell r="AT41">
            <v>8.27</v>
          </cell>
          <cell r="AU41">
            <v>7.44</v>
          </cell>
          <cell r="AV41">
            <v>8.3800000000000008</v>
          </cell>
          <cell r="AX41">
            <v>5.99</v>
          </cell>
          <cell r="AY41">
            <v>7.98</v>
          </cell>
          <cell r="AZ41">
            <v>0.17</v>
          </cell>
          <cell r="BA41">
            <v>0.12</v>
          </cell>
          <cell r="BB41" t="str">
            <v>#_NA</v>
          </cell>
          <cell r="BC41" t="str">
            <v>#_NA</v>
          </cell>
          <cell r="BD41" t="str">
            <v>#_NA</v>
          </cell>
          <cell r="BE41" t="str">
            <v>-</v>
          </cell>
          <cell r="BF41" t="str">
            <v>-</v>
          </cell>
          <cell r="BG41">
            <v>5.6820000000000002E-2</v>
          </cell>
          <cell r="BH41">
            <v>0.89080000000000004</v>
          </cell>
          <cell r="BI41">
            <v>0.62</v>
          </cell>
          <cell r="BJ41" t="str">
            <v>-</v>
          </cell>
          <cell r="BK41">
            <v>0.90939999999999999</v>
          </cell>
          <cell r="BL41">
            <v>0.51</v>
          </cell>
          <cell r="BM41" t="str">
            <v>-</v>
          </cell>
          <cell r="BN41" t="str">
            <v>NÃO</v>
          </cell>
          <cell r="BO41" t="str">
            <v>NÃO</v>
          </cell>
          <cell r="BP41" t="str">
            <v>MS|G|NACIONAL|Sim|Negativa</v>
          </cell>
          <cell r="BR41" t="str">
            <v>TBD</v>
          </cell>
          <cell r="BS41">
            <v>0</v>
          </cell>
          <cell r="BT41" t="str">
            <v>#ERRO</v>
          </cell>
          <cell r="BU41">
            <v>0.51</v>
          </cell>
          <cell r="BV41" t="str">
            <v>-</v>
          </cell>
          <cell r="BX41" t="str">
            <v>TBD</v>
          </cell>
          <cell r="BY41" t="str">
            <v>TBD</v>
          </cell>
          <cell r="BZ41" t="str">
            <v>TBD</v>
          </cell>
          <cell r="CA41" t="str">
            <v>#ERRO</v>
          </cell>
          <cell r="CB41" t="str">
            <v>-</v>
          </cell>
        </row>
        <row r="42">
          <cell r="A42" t="str">
            <v>13851-0</v>
          </cell>
          <cell r="B42" t="str">
            <v>13851-0</v>
          </cell>
          <cell r="C42">
            <v>7896714226699</v>
          </cell>
          <cell r="D42" t="str">
            <v>CIT SILDENAFILA 50MG COMP REV CT BL 1X2</v>
          </cell>
          <cell r="E42" t="str">
            <v>SIM</v>
          </cell>
          <cell r="F42" t="str">
            <v>G</v>
          </cell>
          <cell r="G42" t="str">
            <v>PRIORITARIO GENERICOS</v>
          </cell>
          <cell r="H42">
            <v>5</v>
          </cell>
          <cell r="I42">
            <v>60</v>
          </cell>
          <cell r="J42" t="str">
            <v>Monitorado</v>
          </cell>
          <cell r="K42" t="str">
            <v>Negativa</v>
          </cell>
          <cell r="L42" t="str">
            <v>Sim</v>
          </cell>
          <cell r="M42" t="str">
            <v>NACIONAL</v>
          </cell>
          <cell r="N42" t="str">
            <v>NACIONAL</v>
          </cell>
          <cell r="P42">
            <v>10.39</v>
          </cell>
          <cell r="Q42">
            <v>11.94</v>
          </cell>
          <cell r="R42">
            <v>12.11</v>
          </cell>
          <cell r="S42">
            <v>12.28</v>
          </cell>
          <cell r="T42">
            <v>11.16</v>
          </cell>
          <cell r="U42">
            <v>12.02</v>
          </cell>
          <cell r="V42">
            <v>10.45</v>
          </cell>
          <cell r="W42">
            <v>10.52</v>
          </cell>
          <cell r="X42">
            <v>12.46</v>
          </cell>
          <cell r="Y42">
            <v>10.65</v>
          </cell>
          <cell r="Z42">
            <v>10.78</v>
          </cell>
          <cell r="AA42">
            <v>12.64</v>
          </cell>
          <cell r="AB42">
            <v>12.83</v>
          </cell>
          <cell r="AC42">
            <v>12.37</v>
          </cell>
          <cell r="AD42">
            <v>10.71</v>
          </cell>
          <cell r="AE42">
            <v>12.55</v>
          </cell>
          <cell r="AF42">
            <v>0</v>
          </cell>
          <cell r="AG42">
            <v>14.36</v>
          </cell>
          <cell r="AH42">
            <v>15.92</v>
          </cell>
          <cell r="AI42">
            <v>16.13</v>
          </cell>
          <cell r="AJ42">
            <v>16.350000000000001</v>
          </cell>
          <cell r="AK42">
            <v>14.91</v>
          </cell>
          <cell r="AL42">
            <v>16.02</v>
          </cell>
          <cell r="AM42">
            <v>14.45</v>
          </cell>
          <cell r="AN42">
            <v>14.54</v>
          </cell>
          <cell r="AO42">
            <v>16.579999999999998</v>
          </cell>
          <cell r="AP42">
            <v>14.72</v>
          </cell>
          <cell r="AQ42">
            <v>14.9</v>
          </cell>
          <cell r="AR42">
            <v>16.82</v>
          </cell>
          <cell r="AS42">
            <v>17.059999999999999</v>
          </cell>
          <cell r="AT42">
            <v>16.47</v>
          </cell>
          <cell r="AU42">
            <v>14.81</v>
          </cell>
          <cell r="AV42">
            <v>16.7</v>
          </cell>
          <cell r="AX42">
            <v>11.94</v>
          </cell>
          <cell r="AY42">
            <v>15.92</v>
          </cell>
          <cell r="AZ42">
            <v>0.17</v>
          </cell>
          <cell r="BA42">
            <v>0.12</v>
          </cell>
          <cell r="BB42" t="str">
            <v>#_NA</v>
          </cell>
          <cell r="BC42" t="str">
            <v>#_NA</v>
          </cell>
          <cell r="BD42" t="str">
            <v>#_NA</v>
          </cell>
          <cell r="BE42" t="str">
            <v>-</v>
          </cell>
          <cell r="BF42" t="str">
            <v>-</v>
          </cell>
          <cell r="BG42">
            <v>5.6820000000000002E-2</v>
          </cell>
          <cell r="BH42">
            <v>0.90039999999999998</v>
          </cell>
          <cell r="BI42">
            <v>1.1200000000000001</v>
          </cell>
          <cell r="BJ42" t="str">
            <v>-</v>
          </cell>
          <cell r="BK42">
            <v>0.91759999999999997</v>
          </cell>
          <cell r="BL42">
            <v>0.93</v>
          </cell>
          <cell r="BM42" t="str">
            <v>-</v>
          </cell>
          <cell r="BN42" t="str">
            <v>NÃO</v>
          </cell>
          <cell r="BO42" t="str">
            <v>NÃO</v>
          </cell>
          <cell r="BP42" t="str">
            <v>MS|G|NACIONAL|Sim|Negativa</v>
          </cell>
          <cell r="BR42" t="str">
            <v>TBD</v>
          </cell>
          <cell r="BS42">
            <v>0</v>
          </cell>
          <cell r="BT42" t="str">
            <v>#ERRO</v>
          </cell>
          <cell r="BU42">
            <v>0.93</v>
          </cell>
          <cell r="BV42" t="str">
            <v>-</v>
          </cell>
          <cell r="BX42" t="str">
            <v>TBD</v>
          </cell>
          <cell r="BY42" t="str">
            <v>TBD</v>
          </cell>
          <cell r="BZ42" t="str">
            <v>TBD</v>
          </cell>
          <cell r="CA42" t="str">
            <v>#ERRO</v>
          </cell>
          <cell r="CB42" t="str">
            <v>-</v>
          </cell>
        </row>
        <row r="43">
          <cell r="A43" t="str">
            <v>13852-0</v>
          </cell>
          <cell r="B43" t="str">
            <v>13852-0</v>
          </cell>
          <cell r="C43">
            <v>7896714226705</v>
          </cell>
          <cell r="D43" t="str">
            <v>CIT SILDENAFILA 50MG COMP REV CT BL 1X4</v>
          </cell>
          <cell r="E43" t="str">
            <v>SIM</v>
          </cell>
          <cell r="F43" t="str">
            <v>G</v>
          </cell>
          <cell r="G43" t="str">
            <v>PRIORITARIO GENERICOS</v>
          </cell>
          <cell r="H43">
            <v>5</v>
          </cell>
          <cell r="I43">
            <v>60</v>
          </cell>
          <cell r="J43" t="str">
            <v>Monitorado</v>
          </cell>
          <cell r="K43" t="str">
            <v>Negativa</v>
          </cell>
          <cell r="L43" t="str">
            <v>Sim</v>
          </cell>
          <cell r="M43" t="str">
            <v>NACIONAL</v>
          </cell>
          <cell r="N43" t="str">
            <v>NACIONAL</v>
          </cell>
          <cell r="P43">
            <v>22.42</v>
          </cell>
          <cell r="Q43">
            <v>25.75</v>
          </cell>
          <cell r="R43">
            <v>26.11</v>
          </cell>
          <cell r="S43">
            <v>26.49</v>
          </cell>
          <cell r="T43">
            <v>24.08</v>
          </cell>
          <cell r="U43">
            <v>25.93</v>
          </cell>
          <cell r="V43">
            <v>22.55</v>
          </cell>
          <cell r="W43">
            <v>22.69</v>
          </cell>
          <cell r="X43">
            <v>26.87</v>
          </cell>
          <cell r="Y43">
            <v>22.97</v>
          </cell>
          <cell r="Z43">
            <v>23.26</v>
          </cell>
          <cell r="AA43">
            <v>27.27</v>
          </cell>
          <cell r="AB43">
            <v>27.67</v>
          </cell>
          <cell r="AC43">
            <v>26.68</v>
          </cell>
          <cell r="AD43">
            <v>23.11</v>
          </cell>
          <cell r="AE43">
            <v>27.07</v>
          </cell>
          <cell r="AF43">
            <v>0</v>
          </cell>
          <cell r="AG43">
            <v>30.99</v>
          </cell>
          <cell r="AH43">
            <v>34.32</v>
          </cell>
          <cell r="AI43">
            <v>34.79</v>
          </cell>
          <cell r="AJ43">
            <v>35.28</v>
          </cell>
          <cell r="AK43">
            <v>32.17</v>
          </cell>
          <cell r="AL43">
            <v>34.549999999999997</v>
          </cell>
          <cell r="AM43">
            <v>31.17</v>
          </cell>
          <cell r="AN43">
            <v>31.37</v>
          </cell>
          <cell r="AO43">
            <v>35.76</v>
          </cell>
          <cell r="AP43">
            <v>31.75</v>
          </cell>
          <cell r="AQ43">
            <v>32.159999999999997</v>
          </cell>
          <cell r="AR43">
            <v>36.28</v>
          </cell>
          <cell r="AS43">
            <v>36.79</v>
          </cell>
          <cell r="AT43">
            <v>35.520000000000003</v>
          </cell>
          <cell r="AU43">
            <v>31.95</v>
          </cell>
          <cell r="AV43">
            <v>36.020000000000003</v>
          </cell>
          <cell r="AX43">
            <v>25.75</v>
          </cell>
          <cell r="AY43">
            <v>34.32</v>
          </cell>
          <cell r="AZ43">
            <v>0.17</v>
          </cell>
          <cell r="BA43">
            <v>0.12</v>
          </cell>
          <cell r="BB43" t="str">
            <v>#_NA</v>
          </cell>
          <cell r="BC43" t="str">
            <v>#_NA</v>
          </cell>
          <cell r="BD43" t="str">
            <v>#_NA</v>
          </cell>
          <cell r="BE43" t="str">
            <v>-</v>
          </cell>
          <cell r="BF43" t="str">
            <v>-</v>
          </cell>
          <cell r="BG43">
            <v>5.6820000000000002E-2</v>
          </cell>
          <cell r="BH43">
            <v>0.92789999999999995</v>
          </cell>
          <cell r="BI43">
            <v>1.75</v>
          </cell>
          <cell r="BJ43" t="str">
            <v>-</v>
          </cell>
          <cell r="BK43">
            <v>0.94689999999999996</v>
          </cell>
          <cell r="BL43">
            <v>1.29</v>
          </cell>
          <cell r="BM43" t="str">
            <v>-</v>
          </cell>
          <cell r="BN43" t="str">
            <v>SIM</v>
          </cell>
          <cell r="BO43" t="str">
            <v>NÃO</v>
          </cell>
          <cell r="BP43" t="str">
            <v>MS|G|NACIONAL|Sim|Negativa</v>
          </cell>
          <cell r="BR43" t="str">
            <v>TBD</v>
          </cell>
          <cell r="BS43">
            <v>0</v>
          </cell>
          <cell r="BT43" t="str">
            <v>#ERRO</v>
          </cell>
          <cell r="BU43">
            <v>1.29</v>
          </cell>
          <cell r="BV43" t="str">
            <v>-</v>
          </cell>
          <cell r="BX43" t="str">
            <v>TBD</v>
          </cell>
          <cell r="BY43" t="str">
            <v>TBD</v>
          </cell>
          <cell r="BZ43" t="str">
            <v>TBD</v>
          </cell>
          <cell r="CA43" t="str">
            <v>#ERRO</v>
          </cell>
          <cell r="CB43" t="str">
            <v>-</v>
          </cell>
        </row>
        <row r="44">
          <cell r="A44" t="str">
            <v>20616-0</v>
          </cell>
          <cell r="B44" t="str">
            <v>20616-0</v>
          </cell>
          <cell r="C44">
            <v>7896714274058</v>
          </cell>
          <cell r="D44" t="str">
            <v>CL AMITRIPTILINA 25MG C1 CT BL X 30</v>
          </cell>
          <cell r="E44" t="str">
            <v>SIM</v>
          </cell>
          <cell r="F44" t="str">
            <v>G</v>
          </cell>
          <cell r="G44" t="str">
            <v>LINHA</v>
          </cell>
          <cell r="H44">
            <v>5</v>
          </cell>
          <cell r="I44">
            <v>60</v>
          </cell>
          <cell r="J44" t="str">
            <v>Monitorado</v>
          </cell>
          <cell r="K44" t="str">
            <v>Positiva</v>
          </cell>
          <cell r="L44" t="str">
            <v>Sim</v>
          </cell>
          <cell r="M44" t="str">
            <v>NACIONAL</v>
          </cell>
          <cell r="N44" t="str">
            <v>NACIONAL</v>
          </cell>
          <cell r="P44">
            <v>15.72</v>
          </cell>
          <cell r="Q44">
            <v>15.72</v>
          </cell>
          <cell r="R44">
            <v>15.91</v>
          </cell>
          <cell r="S44">
            <v>16.11</v>
          </cell>
          <cell r="T44">
            <v>14.83</v>
          </cell>
          <cell r="U44">
            <v>15.82</v>
          </cell>
          <cell r="V44">
            <v>15.82</v>
          </cell>
          <cell r="W44">
            <v>15.91</v>
          </cell>
          <cell r="X44">
            <v>16.309999999999999</v>
          </cell>
          <cell r="Y44">
            <v>16.11</v>
          </cell>
          <cell r="Z44">
            <v>16.309999999999999</v>
          </cell>
          <cell r="AA44">
            <v>16.52</v>
          </cell>
          <cell r="AB44">
            <v>16.73</v>
          </cell>
          <cell r="AC44">
            <v>16.21</v>
          </cell>
          <cell r="AD44">
            <v>16.21</v>
          </cell>
          <cell r="AE44">
            <v>16.420000000000002</v>
          </cell>
          <cell r="AF44">
            <v>0</v>
          </cell>
          <cell r="AG44">
            <v>21.73</v>
          </cell>
          <cell r="AH44">
            <v>21.73</v>
          </cell>
          <cell r="AI44">
            <v>21.99</v>
          </cell>
          <cell r="AJ44">
            <v>22.27</v>
          </cell>
          <cell r="AK44">
            <v>20.5</v>
          </cell>
          <cell r="AL44">
            <v>21.87</v>
          </cell>
          <cell r="AM44">
            <v>21.87</v>
          </cell>
          <cell r="AN44">
            <v>21.99</v>
          </cell>
          <cell r="AO44">
            <v>22.55</v>
          </cell>
          <cell r="AP44">
            <v>22.27</v>
          </cell>
          <cell r="AQ44">
            <v>22.55</v>
          </cell>
          <cell r="AR44">
            <v>22.84</v>
          </cell>
          <cell r="AS44">
            <v>23.13</v>
          </cell>
          <cell r="AT44">
            <v>22.41</v>
          </cell>
          <cell r="AU44">
            <v>22.41</v>
          </cell>
          <cell r="AV44">
            <v>22.7</v>
          </cell>
          <cell r="AX44">
            <v>15.72</v>
          </cell>
          <cell r="AY44">
            <v>21.73</v>
          </cell>
          <cell r="AZ44">
            <v>0.17</v>
          </cell>
          <cell r="BA44">
            <v>0.12</v>
          </cell>
          <cell r="BB44" t="str">
            <v>#_NA</v>
          </cell>
          <cell r="BC44" t="str">
            <v>#_NA</v>
          </cell>
          <cell r="BD44" t="str">
            <v>#_NA</v>
          </cell>
          <cell r="BE44" t="str">
            <v>-</v>
          </cell>
          <cell r="BF44" t="str">
            <v>-</v>
          </cell>
          <cell r="BG44">
            <v>5.6820000000000002E-2</v>
          </cell>
          <cell r="BH44">
            <v>0.81730000000000003</v>
          </cell>
          <cell r="BI44">
            <v>2.71</v>
          </cell>
          <cell r="BJ44" t="str">
            <v>-</v>
          </cell>
          <cell r="BK44">
            <v>0.82599999999999996</v>
          </cell>
          <cell r="BL44">
            <v>2.58</v>
          </cell>
          <cell r="BM44" t="str">
            <v>-</v>
          </cell>
          <cell r="BN44" t="str">
            <v>NÃO</v>
          </cell>
          <cell r="BO44" t="str">
            <v>NÃO</v>
          </cell>
          <cell r="BP44" t="str">
            <v>MS|G|NACIONAL|Sim|Positiva</v>
          </cell>
          <cell r="BR44" t="str">
            <v>TBD</v>
          </cell>
          <cell r="BS44">
            <v>0</v>
          </cell>
          <cell r="BT44" t="str">
            <v>#ERRO</v>
          </cell>
          <cell r="BU44">
            <v>2.58</v>
          </cell>
          <cell r="BV44" t="str">
            <v>-</v>
          </cell>
          <cell r="BX44" t="str">
            <v>TBD</v>
          </cell>
          <cell r="BY44" t="str">
            <v>TBD</v>
          </cell>
          <cell r="BZ44" t="str">
            <v>TBD</v>
          </cell>
          <cell r="CA44" t="str">
            <v>#ERRO</v>
          </cell>
          <cell r="CB44" t="str">
            <v>-</v>
          </cell>
        </row>
        <row r="45">
          <cell r="A45" t="str">
            <v>21783-0</v>
          </cell>
          <cell r="B45" t="str">
            <v>21783-0</v>
          </cell>
          <cell r="C45">
            <v>7896714290560</v>
          </cell>
          <cell r="D45" t="str">
            <v>CL FEXOFENADINA 120MG CT BL X 10 CPRV</v>
          </cell>
          <cell r="E45" t="str">
            <v>SIM</v>
          </cell>
          <cell r="F45" t="str">
            <v>G</v>
          </cell>
          <cell r="G45" t="str">
            <v>LINHA</v>
          </cell>
          <cell r="H45">
            <v>5</v>
          </cell>
          <cell r="I45">
            <v>24</v>
          </cell>
          <cell r="J45" t="str">
            <v>Liberado</v>
          </cell>
          <cell r="K45" t="str">
            <v>Negativa</v>
          </cell>
          <cell r="L45" t="str">
            <v>Sim</v>
          </cell>
          <cell r="M45" t="str">
            <v>NACIONAL</v>
          </cell>
          <cell r="N45" t="str">
            <v>NACIONAL</v>
          </cell>
          <cell r="P45">
            <v>29.36</v>
          </cell>
          <cell r="Q45">
            <v>33.72</v>
          </cell>
          <cell r="R45">
            <v>34.200000000000003</v>
          </cell>
          <cell r="S45">
            <v>34.69</v>
          </cell>
          <cell r="T45">
            <v>31.54</v>
          </cell>
          <cell r="U45">
            <v>33.96</v>
          </cell>
          <cell r="V45">
            <v>29.53</v>
          </cell>
          <cell r="W45">
            <v>29.71</v>
          </cell>
          <cell r="X45">
            <v>35.19</v>
          </cell>
          <cell r="Y45">
            <v>30.08</v>
          </cell>
          <cell r="Z45">
            <v>30.46</v>
          </cell>
          <cell r="AA45">
            <v>35.700000000000003</v>
          </cell>
          <cell r="AB45">
            <v>36.24</v>
          </cell>
          <cell r="AC45">
            <v>34.93</v>
          </cell>
          <cell r="AD45">
            <v>30.27</v>
          </cell>
          <cell r="AE45">
            <v>35.44</v>
          </cell>
          <cell r="AF45">
            <v>0</v>
          </cell>
          <cell r="AG45">
            <v>40.590000000000003</v>
          </cell>
          <cell r="AH45">
            <v>44.95</v>
          </cell>
          <cell r="AI45">
            <v>45.56</v>
          </cell>
          <cell r="AJ45">
            <v>46.2</v>
          </cell>
          <cell r="AK45">
            <v>42.13</v>
          </cell>
          <cell r="AL45">
            <v>45.26</v>
          </cell>
          <cell r="AM45">
            <v>40.82</v>
          </cell>
          <cell r="AN45">
            <v>41.07</v>
          </cell>
          <cell r="AO45">
            <v>46.84</v>
          </cell>
          <cell r="AP45">
            <v>41.58</v>
          </cell>
          <cell r="AQ45">
            <v>42.11</v>
          </cell>
          <cell r="AR45">
            <v>47.49</v>
          </cell>
          <cell r="AS45">
            <v>48.19</v>
          </cell>
          <cell r="AT45">
            <v>46.5</v>
          </cell>
          <cell r="AU45">
            <v>41.85</v>
          </cell>
          <cell r="AV45">
            <v>47.16</v>
          </cell>
          <cell r="AX45">
            <v>33.72</v>
          </cell>
          <cell r="AY45">
            <v>44.95</v>
          </cell>
          <cell r="AZ45">
            <v>0.17</v>
          </cell>
          <cell r="BA45">
            <v>0.12</v>
          </cell>
          <cell r="BB45" t="str">
            <v>#_NA</v>
          </cell>
          <cell r="BC45" t="str">
            <v>#_NA</v>
          </cell>
          <cell r="BD45" t="str">
            <v>#_NA</v>
          </cell>
          <cell r="BE45" t="str">
            <v>-</v>
          </cell>
          <cell r="BF45" t="str">
            <v>-</v>
          </cell>
          <cell r="BG45">
            <v>5.6820000000000002E-2</v>
          </cell>
          <cell r="BH45">
            <v>0.66690000000000005</v>
          </cell>
          <cell r="BI45">
            <v>10.59</v>
          </cell>
          <cell r="BJ45" t="str">
            <v>-</v>
          </cell>
          <cell r="BK45">
            <v>0.72540000000000004</v>
          </cell>
          <cell r="BL45">
            <v>8.73</v>
          </cell>
          <cell r="BM45" t="str">
            <v>-</v>
          </cell>
          <cell r="BN45" t="str">
            <v>NÃO</v>
          </cell>
          <cell r="BO45" t="str">
            <v>NÃO</v>
          </cell>
          <cell r="BP45" t="str">
            <v>MS|G|NACIONAL|Sim|Negativa</v>
          </cell>
          <cell r="BR45" t="str">
            <v>TBD</v>
          </cell>
          <cell r="BS45">
            <v>0</v>
          </cell>
          <cell r="BT45" t="str">
            <v>#ERRO</v>
          </cell>
          <cell r="BU45">
            <v>8.73</v>
          </cell>
          <cell r="BV45" t="str">
            <v>-</v>
          </cell>
          <cell r="BX45" t="str">
            <v>TBD</v>
          </cell>
          <cell r="BY45" t="str">
            <v>TBD</v>
          </cell>
          <cell r="BZ45" t="str">
            <v>TBD</v>
          </cell>
          <cell r="CA45" t="str">
            <v>#ERRO</v>
          </cell>
          <cell r="CB45" t="str">
            <v>-</v>
          </cell>
        </row>
        <row r="46">
          <cell r="A46" t="str">
            <v>21784-0</v>
          </cell>
          <cell r="B46" t="str">
            <v>21784-0</v>
          </cell>
          <cell r="C46">
            <v>7896714290577</v>
          </cell>
          <cell r="D46" t="str">
            <v>CL FEXOFENADINA 180MG CT BL X 10 CPRV</v>
          </cell>
          <cell r="E46" t="str">
            <v>SIM</v>
          </cell>
          <cell r="F46" t="str">
            <v>G</v>
          </cell>
          <cell r="G46" t="str">
            <v>LINHA</v>
          </cell>
          <cell r="H46">
            <v>5</v>
          </cell>
          <cell r="I46">
            <v>24</v>
          </cell>
          <cell r="J46" t="str">
            <v>Liberado</v>
          </cell>
          <cell r="K46" t="str">
            <v>Negativa</v>
          </cell>
          <cell r="L46" t="str">
            <v>Sim</v>
          </cell>
          <cell r="M46" t="str">
            <v>NACIONAL</v>
          </cell>
          <cell r="N46" t="str">
            <v>NACIONAL</v>
          </cell>
          <cell r="P46">
            <v>48.12</v>
          </cell>
          <cell r="Q46">
            <v>55.27</v>
          </cell>
          <cell r="R46">
            <v>56.05</v>
          </cell>
          <cell r="S46">
            <v>56.85</v>
          </cell>
          <cell r="T46">
            <v>51.69</v>
          </cell>
          <cell r="U46">
            <v>55.66</v>
          </cell>
          <cell r="V46">
            <v>48.41</v>
          </cell>
          <cell r="W46">
            <v>48.7</v>
          </cell>
          <cell r="X46">
            <v>57.67</v>
          </cell>
          <cell r="Y46">
            <v>49.31</v>
          </cell>
          <cell r="Z46">
            <v>49.92</v>
          </cell>
          <cell r="AA46">
            <v>58.52</v>
          </cell>
          <cell r="AB46">
            <v>59.39</v>
          </cell>
          <cell r="AC46">
            <v>57.26</v>
          </cell>
          <cell r="AD46">
            <v>49.61</v>
          </cell>
          <cell r="AE46">
            <v>58.09</v>
          </cell>
          <cell r="AF46">
            <v>0</v>
          </cell>
          <cell r="AG46">
            <v>66.52</v>
          </cell>
          <cell r="AH46">
            <v>73.67</v>
          </cell>
          <cell r="AI46">
            <v>74.680000000000007</v>
          </cell>
          <cell r="AJ46">
            <v>75.709999999999994</v>
          </cell>
          <cell r="AK46">
            <v>69.05</v>
          </cell>
          <cell r="AL46">
            <v>74.17</v>
          </cell>
          <cell r="AM46">
            <v>66.92</v>
          </cell>
          <cell r="AN46">
            <v>67.319999999999993</v>
          </cell>
          <cell r="AO46">
            <v>76.760000000000005</v>
          </cell>
          <cell r="AP46">
            <v>68.17</v>
          </cell>
          <cell r="AQ46">
            <v>69.010000000000005</v>
          </cell>
          <cell r="AR46">
            <v>77.849999999999994</v>
          </cell>
          <cell r="AS46">
            <v>78.97</v>
          </cell>
          <cell r="AT46">
            <v>76.23</v>
          </cell>
          <cell r="AU46">
            <v>68.58</v>
          </cell>
          <cell r="AV46">
            <v>77.3</v>
          </cell>
          <cell r="AX46">
            <v>55.27</v>
          </cell>
          <cell r="AY46">
            <v>73.67</v>
          </cell>
          <cell r="AZ46">
            <v>0.17</v>
          </cell>
          <cell r="BA46">
            <v>0.12</v>
          </cell>
          <cell r="BB46" t="str">
            <v>#_NA</v>
          </cell>
          <cell r="BC46" t="str">
            <v>#_NA</v>
          </cell>
          <cell r="BD46" t="str">
            <v>#_NA</v>
          </cell>
          <cell r="BE46" t="str">
            <v>-</v>
          </cell>
          <cell r="BF46" t="str">
            <v>-</v>
          </cell>
          <cell r="BG46">
            <v>5.6820000000000002E-2</v>
          </cell>
          <cell r="BH46">
            <v>0.71009999999999995</v>
          </cell>
          <cell r="BI46">
            <v>15.11</v>
          </cell>
          <cell r="BJ46" t="str">
            <v>-</v>
          </cell>
          <cell r="BK46">
            <v>0.76119999999999999</v>
          </cell>
          <cell r="BL46">
            <v>12.45</v>
          </cell>
          <cell r="BM46" t="str">
            <v>-</v>
          </cell>
          <cell r="BN46" t="str">
            <v>NÃO</v>
          </cell>
          <cell r="BO46" t="str">
            <v>NÃO</v>
          </cell>
          <cell r="BP46" t="str">
            <v>MS|G|NACIONAL|Sim|Negativa</v>
          </cell>
          <cell r="BR46" t="str">
            <v>TBD</v>
          </cell>
          <cell r="BS46">
            <v>0</v>
          </cell>
          <cell r="BT46" t="str">
            <v>#ERRO</v>
          </cell>
          <cell r="BU46">
            <v>12.45</v>
          </cell>
          <cell r="BV46" t="str">
            <v>-</v>
          </cell>
          <cell r="BX46" t="str">
            <v>TBD</v>
          </cell>
          <cell r="BY46" t="str">
            <v>TBD</v>
          </cell>
          <cell r="BZ46" t="str">
            <v>TBD</v>
          </cell>
          <cell r="CA46" t="str">
            <v>#ERRO</v>
          </cell>
          <cell r="CB46" t="str">
            <v>-</v>
          </cell>
        </row>
        <row r="47">
          <cell r="A47" t="str">
            <v>20901-0</v>
          </cell>
          <cell r="B47" t="str">
            <v>20901-1</v>
          </cell>
          <cell r="C47">
            <v>7896714274515</v>
          </cell>
          <cell r="D47" t="str">
            <v>CL TRAZODONA 100MG C1 CT BL 30 COMP</v>
          </cell>
          <cell r="E47" t="str">
            <v>SIM</v>
          </cell>
          <cell r="F47" t="str">
            <v>G</v>
          </cell>
          <cell r="G47" t="str">
            <v>LINHA</v>
          </cell>
          <cell r="H47">
            <v>2</v>
          </cell>
          <cell r="I47">
            <v>24</v>
          </cell>
          <cell r="J47" t="str">
            <v>Monitorado</v>
          </cell>
          <cell r="K47" t="str">
            <v>Positiva</v>
          </cell>
          <cell r="L47" t="str">
            <v>Não</v>
          </cell>
          <cell r="M47" t="str">
            <v>IMPORTADO</v>
          </cell>
          <cell r="N47" t="str">
            <v>IMPORTADO</v>
          </cell>
          <cell r="P47">
            <v>54.16</v>
          </cell>
          <cell r="Q47">
            <v>54.16</v>
          </cell>
          <cell r="R47">
            <v>54.82</v>
          </cell>
          <cell r="S47">
            <v>55.49</v>
          </cell>
          <cell r="T47">
            <v>51.08</v>
          </cell>
          <cell r="U47">
            <v>54.48</v>
          </cell>
          <cell r="V47">
            <v>54.48</v>
          </cell>
          <cell r="W47">
            <v>54.82</v>
          </cell>
          <cell r="X47">
            <v>56.19</v>
          </cell>
          <cell r="Y47">
            <v>55.49</v>
          </cell>
          <cell r="Z47">
            <v>56.19</v>
          </cell>
          <cell r="AA47">
            <v>56.9</v>
          </cell>
          <cell r="AB47">
            <v>57.63</v>
          </cell>
          <cell r="AC47">
            <v>55.84</v>
          </cell>
          <cell r="AD47">
            <v>55.84</v>
          </cell>
          <cell r="AE47">
            <v>56.54</v>
          </cell>
          <cell r="AF47">
            <v>0</v>
          </cell>
          <cell r="AG47">
            <v>74.87</v>
          </cell>
          <cell r="AH47">
            <v>74.87</v>
          </cell>
          <cell r="AI47">
            <v>75.790000000000006</v>
          </cell>
          <cell r="AJ47">
            <v>76.709999999999994</v>
          </cell>
          <cell r="AK47">
            <v>70.62</v>
          </cell>
          <cell r="AL47">
            <v>75.319999999999993</v>
          </cell>
          <cell r="AM47">
            <v>75.319999999999993</v>
          </cell>
          <cell r="AN47">
            <v>75.790000000000006</v>
          </cell>
          <cell r="AO47">
            <v>77.680000000000007</v>
          </cell>
          <cell r="AP47">
            <v>76.709999999999994</v>
          </cell>
          <cell r="AQ47">
            <v>77.680000000000007</v>
          </cell>
          <cell r="AR47">
            <v>78.66</v>
          </cell>
          <cell r="AS47">
            <v>79.67</v>
          </cell>
          <cell r="AT47">
            <v>77.2</v>
          </cell>
          <cell r="AU47">
            <v>77.2</v>
          </cell>
          <cell r="AV47">
            <v>78.16</v>
          </cell>
          <cell r="AX47">
            <v>54.16</v>
          </cell>
          <cell r="AY47">
            <v>74.87</v>
          </cell>
          <cell r="AZ47">
            <v>0.17</v>
          </cell>
          <cell r="BA47">
            <v>0.04</v>
          </cell>
          <cell r="BB47" t="str">
            <v>#_NA</v>
          </cell>
          <cell r="BC47" t="str">
            <v>#_NA</v>
          </cell>
          <cell r="BD47" t="str">
            <v>#_NA</v>
          </cell>
          <cell r="BE47" t="str">
            <v>-</v>
          </cell>
          <cell r="BF47" t="str">
            <v>-</v>
          </cell>
          <cell r="BG47">
            <v>0.13542000000000001</v>
          </cell>
          <cell r="BH47">
            <v>0.45610000000000001</v>
          </cell>
          <cell r="BI47">
            <v>25.47</v>
          </cell>
          <cell r="BJ47" t="str">
            <v>-</v>
          </cell>
          <cell r="BK47">
            <v>0.48199999999999998</v>
          </cell>
          <cell r="BL47">
            <v>24.26</v>
          </cell>
          <cell r="BM47" t="str">
            <v>-</v>
          </cell>
          <cell r="BN47" t="str">
            <v>NÃO</v>
          </cell>
          <cell r="BO47" t="str">
            <v>NÃO</v>
          </cell>
          <cell r="BP47" t="str">
            <v>MS|G|IMPORTADO|Não|Positiva</v>
          </cell>
          <cell r="BR47" t="str">
            <v>TBD</v>
          </cell>
          <cell r="BS47">
            <v>0</v>
          </cell>
          <cell r="BT47" t="str">
            <v>#ERRO</v>
          </cell>
          <cell r="BU47">
            <v>24.26</v>
          </cell>
          <cell r="BV47" t="str">
            <v>-</v>
          </cell>
          <cell r="BX47" t="str">
            <v>TBD</v>
          </cell>
          <cell r="BY47" t="str">
            <v>TBD</v>
          </cell>
          <cell r="BZ47" t="str">
            <v>TBD</v>
          </cell>
          <cell r="CA47" t="str">
            <v>#ERRO</v>
          </cell>
          <cell r="CB47" t="str">
            <v>-</v>
          </cell>
        </row>
        <row r="48">
          <cell r="A48" t="str">
            <v>20900-0</v>
          </cell>
          <cell r="B48" t="str">
            <v>20900-1</v>
          </cell>
          <cell r="C48">
            <v>7896714274508</v>
          </cell>
          <cell r="D48" t="str">
            <v>CL TRAZODONA 50MG C1 CT BL 60 COMP</v>
          </cell>
          <cell r="E48" t="str">
            <v>SIM</v>
          </cell>
          <cell r="F48" t="str">
            <v>G</v>
          </cell>
          <cell r="G48" t="str">
            <v>LINHA</v>
          </cell>
          <cell r="H48">
            <v>2</v>
          </cell>
          <cell r="I48">
            <v>24</v>
          </cell>
          <cell r="J48" t="str">
            <v>Monitorado</v>
          </cell>
          <cell r="K48" t="str">
            <v>Positiva</v>
          </cell>
          <cell r="L48" t="str">
            <v>Não</v>
          </cell>
          <cell r="M48" t="str">
            <v>IMPORTADO</v>
          </cell>
          <cell r="N48" t="str">
            <v>IMPORTADO</v>
          </cell>
          <cell r="P48">
            <v>51.72</v>
          </cell>
          <cell r="Q48">
            <v>51.72</v>
          </cell>
          <cell r="R48">
            <v>52.35</v>
          </cell>
          <cell r="S48">
            <v>53</v>
          </cell>
          <cell r="T48">
            <v>48.78</v>
          </cell>
          <cell r="U48">
            <v>52.04</v>
          </cell>
          <cell r="V48">
            <v>52.04</v>
          </cell>
          <cell r="W48">
            <v>52.35</v>
          </cell>
          <cell r="X48">
            <v>53.66</v>
          </cell>
          <cell r="Y48">
            <v>53</v>
          </cell>
          <cell r="Z48">
            <v>53.66</v>
          </cell>
          <cell r="AA48">
            <v>54.34</v>
          </cell>
          <cell r="AB48">
            <v>55.04</v>
          </cell>
          <cell r="AC48">
            <v>53.33</v>
          </cell>
          <cell r="AD48">
            <v>53.33</v>
          </cell>
          <cell r="AE48">
            <v>54</v>
          </cell>
          <cell r="AF48">
            <v>0</v>
          </cell>
          <cell r="AG48">
            <v>71.5</v>
          </cell>
          <cell r="AH48">
            <v>71.5</v>
          </cell>
          <cell r="AI48">
            <v>72.37</v>
          </cell>
          <cell r="AJ48">
            <v>73.27</v>
          </cell>
          <cell r="AK48">
            <v>67.44</v>
          </cell>
          <cell r="AL48">
            <v>71.94</v>
          </cell>
          <cell r="AM48">
            <v>71.94</v>
          </cell>
          <cell r="AN48">
            <v>72.37</v>
          </cell>
          <cell r="AO48">
            <v>74.180000000000007</v>
          </cell>
          <cell r="AP48">
            <v>73.27</v>
          </cell>
          <cell r="AQ48">
            <v>74.180000000000007</v>
          </cell>
          <cell r="AR48">
            <v>75.12</v>
          </cell>
          <cell r="AS48">
            <v>76.09</v>
          </cell>
          <cell r="AT48">
            <v>73.73</v>
          </cell>
          <cell r="AU48">
            <v>73.73</v>
          </cell>
          <cell r="AV48">
            <v>74.650000000000006</v>
          </cell>
          <cell r="AX48">
            <v>51.72</v>
          </cell>
          <cell r="AY48">
            <v>71.5</v>
          </cell>
          <cell r="AZ48">
            <v>0.17</v>
          </cell>
          <cell r="BA48">
            <v>0.04</v>
          </cell>
          <cell r="BB48" t="str">
            <v>#_NA</v>
          </cell>
          <cell r="BC48" t="str">
            <v>#_NA</v>
          </cell>
          <cell r="BD48" t="str">
            <v>#_NA</v>
          </cell>
          <cell r="BE48" t="str">
            <v>-</v>
          </cell>
          <cell r="BF48" t="str">
            <v>-</v>
          </cell>
          <cell r="BG48">
            <v>0.13542000000000001</v>
          </cell>
          <cell r="BH48">
            <v>0.47970000000000002</v>
          </cell>
          <cell r="BI48">
            <v>23.27</v>
          </cell>
          <cell r="BJ48" t="str">
            <v>-</v>
          </cell>
          <cell r="BK48">
            <v>0.50449999999999995</v>
          </cell>
          <cell r="BL48">
            <v>22.16</v>
          </cell>
          <cell r="BM48" t="str">
            <v>-</v>
          </cell>
          <cell r="BN48" t="str">
            <v>NÃO</v>
          </cell>
          <cell r="BO48" t="str">
            <v>NÃO</v>
          </cell>
          <cell r="BP48" t="str">
            <v>MS|G|IMPORTADO|Não|Positiva</v>
          </cell>
          <cell r="BR48" t="str">
            <v>TBD</v>
          </cell>
          <cell r="BS48">
            <v>0</v>
          </cell>
          <cell r="BT48" t="str">
            <v>#ERRO</v>
          </cell>
          <cell r="BU48">
            <v>22.16</v>
          </cell>
          <cell r="BV48" t="str">
            <v>-</v>
          </cell>
          <cell r="BX48" t="str">
            <v>TBD</v>
          </cell>
          <cell r="BY48" t="str">
            <v>TBD</v>
          </cell>
          <cell r="BZ48" t="str">
            <v>TBD</v>
          </cell>
          <cell r="CA48" t="str">
            <v>#ERRO</v>
          </cell>
          <cell r="CB48" t="str">
            <v>-</v>
          </cell>
        </row>
        <row r="49">
          <cell r="A49" t="str">
            <v>12392-0</v>
          </cell>
          <cell r="B49" t="str">
            <v>12392-0</v>
          </cell>
          <cell r="C49">
            <v>7896714202976</v>
          </cell>
          <cell r="D49" t="str">
            <v>CLANISTIL SOL OFT CT FR 1X15ML</v>
          </cell>
          <cell r="E49" t="str">
            <v>SIM</v>
          </cell>
          <cell r="F49" t="str">
            <v>S</v>
          </cell>
          <cell r="G49" t="str">
            <v>LINHA</v>
          </cell>
          <cell r="H49">
            <v>5</v>
          </cell>
          <cell r="I49">
            <v>100</v>
          </cell>
          <cell r="J49" t="str">
            <v>Liberado</v>
          </cell>
          <cell r="K49" t="str">
            <v>Negativa</v>
          </cell>
          <cell r="L49" t="str">
            <v>Sim</v>
          </cell>
          <cell r="M49" t="str">
            <v>NACIONAL</v>
          </cell>
          <cell r="N49" t="str">
            <v>NACIONAL</v>
          </cell>
          <cell r="P49">
            <v>9.26</v>
          </cell>
          <cell r="Q49">
            <v>10.64</v>
          </cell>
          <cell r="R49">
            <v>10.79</v>
          </cell>
          <cell r="S49">
            <v>10.94</v>
          </cell>
          <cell r="T49">
            <v>9.9499999999999993</v>
          </cell>
          <cell r="U49">
            <v>10.71</v>
          </cell>
          <cell r="V49">
            <v>9.32</v>
          </cell>
          <cell r="W49">
            <v>9.3699999999999992</v>
          </cell>
          <cell r="X49">
            <v>11.1</v>
          </cell>
          <cell r="Y49">
            <v>9.49</v>
          </cell>
          <cell r="Z49">
            <v>9.61</v>
          </cell>
          <cell r="AA49">
            <v>11.26</v>
          </cell>
          <cell r="AB49">
            <v>11.43</v>
          </cell>
          <cell r="AC49">
            <v>11.02</v>
          </cell>
          <cell r="AD49">
            <v>9.5500000000000007</v>
          </cell>
          <cell r="AE49">
            <v>11.18</v>
          </cell>
          <cell r="AF49">
            <v>0</v>
          </cell>
          <cell r="AG49">
            <v>12.8</v>
          </cell>
          <cell r="AH49">
            <v>14.18</v>
          </cell>
          <cell r="AI49">
            <v>14.38</v>
          </cell>
          <cell r="AJ49">
            <v>14.57</v>
          </cell>
          <cell r="AK49">
            <v>13.29</v>
          </cell>
          <cell r="AL49">
            <v>14.27</v>
          </cell>
          <cell r="AM49">
            <v>12.88</v>
          </cell>
          <cell r="AN49">
            <v>12.95</v>
          </cell>
          <cell r="AO49">
            <v>14.77</v>
          </cell>
          <cell r="AP49">
            <v>13.12</v>
          </cell>
          <cell r="AQ49">
            <v>13.29</v>
          </cell>
          <cell r="AR49">
            <v>14.98</v>
          </cell>
          <cell r="AS49">
            <v>15.2</v>
          </cell>
          <cell r="AT49">
            <v>14.67</v>
          </cell>
          <cell r="AU49">
            <v>13.2</v>
          </cell>
          <cell r="AV49">
            <v>14.88</v>
          </cell>
          <cell r="AX49">
            <v>10.64</v>
          </cell>
          <cell r="AY49">
            <v>14.18</v>
          </cell>
          <cell r="AZ49">
            <v>0.17</v>
          </cell>
          <cell r="BA49">
            <v>0.12</v>
          </cell>
          <cell r="BB49" t="str">
            <v>#_NA</v>
          </cell>
          <cell r="BC49" t="str">
            <v>#_NA</v>
          </cell>
          <cell r="BD49" t="str">
            <v>#_NA</v>
          </cell>
          <cell r="BE49" t="str">
            <v>-</v>
          </cell>
          <cell r="BF49" t="str">
            <v>-</v>
          </cell>
          <cell r="BG49">
            <v>5.6820000000000002E-2</v>
          </cell>
          <cell r="BH49">
            <v>0.54869999999999997</v>
          </cell>
          <cell r="BI49">
            <v>4.53</v>
          </cell>
          <cell r="BJ49" t="str">
            <v>-</v>
          </cell>
          <cell r="BK49">
            <v>0.62690000000000001</v>
          </cell>
          <cell r="BL49">
            <v>3.75</v>
          </cell>
          <cell r="BM49" t="str">
            <v>-</v>
          </cell>
          <cell r="BN49" t="str">
            <v>NÃO</v>
          </cell>
          <cell r="BO49" t="str">
            <v>NÃO</v>
          </cell>
          <cell r="BP49" t="str">
            <v>MS|S|NACIONAL|Sim|Negativa</v>
          </cell>
          <cell r="BR49" t="str">
            <v>TBD</v>
          </cell>
          <cell r="BS49">
            <v>0</v>
          </cell>
          <cell r="BT49" t="str">
            <v>#ERRO</v>
          </cell>
          <cell r="BU49">
            <v>3.75</v>
          </cell>
          <cell r="BV49" t="str">
            <v>-</v>
          </cell>
          <cell r="BX49" t="str">
            <v>TBD</v>
          </cell>
          <cell r="BY49" t="str">
            <v>TBD</v>
          </cell>
          <cell r="BZ49" t="str">
            <v>TBD</v>
          </cell>
          <cell r="CA49" t="str">
            <v>#ERRO</v>
          </cell>
          <cell r="CB49" t="str">
            <v>-</v>
          </cell>
        </row>
        <row r="50">
          <cell r="A50" t="str">
            <v>15972-0</v>
          </cell>
          <cell r="B50" t="str">
            <v>15972-0</v>
          </cell>
          <cell r="C50">
            <v>7898095341305</v>
          </cell>
          <cell r="D50" t="str">
            <v>CLOR CICLOBENZAPRINA CPR 10MG 30UN MTC</v>
          </cell>
          <cell r="E50" t="str">
            <v>SIM</v>
          </cell>
          <cell r="F50" t="str">
            <v>G</v>
          </cell>
          <cell r="G50" t="str">
            <v>FOCO GENERICOS</v>
          </cell>
          <cell r="H50">
            <v>5</v>
          </cell>
          <cell r="I50">
            <v>60</v>
          </cell>
          <cell r="J50" t="str">
            <v>Monitorado</v>
          </cell>
          <cell r="K50" t="str">
            <v>Negativa</v>
          </cell>
          <cell r="L50" t="str">
            <v>Sim</v>
          </cell>
          <cell r="M50" t="str">
            <v>NACIONAL</v>
          </cell>
          <cell r="N50" t="str">
            <v>NACIONAL</v>
          </cell>
          <cell r="P50">
            <v>28.32</v>
          </cell>
          <cell r="Q50">
            <v>32.54</v>
          </cell>
          <cell r="R50">
            <v>32.99</v>
          </cell>
          <cell r="S50">
            <v>33.47</v>
          </cell>
          <cell r="T50">
            <v>30.43</v>
          </cell>
          <cell r="U50">
            <v>32.76</v>
          </cell>
          <cell r="V50">
            <v>28.5</v>
          </cell>
          <cell r="W50">
            <v>28.67</v>
          </cell>
          <cell r="X50">
            <v>33.950000000000003</v>
          </cell>
          <cell r="Y50">
            <v>29.02</v>
          </cell>
          <cell r="Z50">
            <v>29.39</v>
          </cell>
          <cell r="AA50">
            <v>34.450000000000003</v>
          </cell>
          <cell r="AB50">
            <v>34.96</v>
          </cell>
          <cell r="AC50">
            <v>33.71</v>
          </cell>
          <cell r="AD50">
            <v>29.2</v>
          </cell>
          <cell r="AE50">
            <v>34.200000000000003</v>
          </cell>
          <cell r="AF50">
            <v>0</v>
          </cell>
          <cell r="AG50">
            <v>39.15</v>
          </cell>
          <cell r="AH50">
            <v>43.37</v>
          </cell>
          <cell r="AI50">
            <v>43.95</v>
          </cell>
          <cell r="AJ50">
            <v>44.57</v>
          </cell>
          <cell r="AK50">
            <v>40.65</v>
          </cell>
          <cell r="AL50">
            <v>43.66</v>
          </cell>
          <cell r="AM50">
            <v>39.4</v>
          </cell>
          <cell r="AN50">
            <v>39.630000000000003</v>
          </cell>
          <cell r="AO50">
            <v>45.19</v>
          </cell>
          <cell r="AP50">
            <v>40.119999999999997</v>
          </cell>
          <cell r="AQ50">
            <v>40.630000000000003</v>
          </cell>
          <cell r="AR50">
            <v>45.83</v>
          </cell>
          <cell r="AS50">
            <v>46.49</v>
          </cell>
          <cell r="AT50">
            <v>44.88</v>
          </cell>
          <cell r="AU50">
            <v>40.369999999999997</v>
          </cell>
          <cell r="AV50">
            <v>45.51</v>
          </cell>
          <cell r="AX50">
            <v>32.54</v>
          </cell>
          <cell r="AY50">
            <v>43.37</v>
          </cell>
          <cell r="AZ50">
            <v>0.17</v>
          </cell>
          <cell r="BA50">
            <v>0.12</v>
          </cell>
          <cell r="BB50" t="str">
            <v>#_NA</v>
          </cell>
          <cell r="BC50" t="str">
            <v>#_NA</v>
          </cell>
          <cell r="BD50" t="str">
            <v>#_NA</v>
          </cell>
          <cell r="BE50" t="str">
            <v>-</v>
          </cell>
          <cell r="BF50" t="str">
            <v>-</v>
          </cell>
          <cell r="BG50">
            <v>5.6820000000000002E-2</v>
          </cell>
          <cell r="BH50">
            <v>0.72840000000000005</v>
          </cell>
          <cell r="BI50">
            <v>8.34</v>
          </cell>
          <cell r="BJ50" t="str">
            <v>-</v>
          </cell>
          <cell r="BK50">
            <v>0.77590000000000003</v>
          </cell>
          <cell r="BL50">
            <v>6.88</v>
          </cell>
          <cell r="BM50" t="str">
            <v>-</v>
          </cell>
          <cell r="BN50" t="str">
            <v>NÃO</v>
          </cell>
          <cell r="BO50" t="str">
            <v>NÃO</v>
          </cell>
          <cell r="BP50" t="str">
            <v>MS|G|NACIONAL|Sim|Negativa</v>
          </cell>
          <cell r="BR50" t="str">
            <v>TBD</v>
          </cell>
          <cell r="BS50">
            <v>0</v>
          </cell>
          <cell r="BT50" t="str">
            <v>#ERRO</v>
          </cell>
          <cell r="BU50">
            <v>6.88</v>
          </cell>
          <cell r="BV50" t="str">
            <v>-</v>
          </cell>
          <cell r="BX50" t="str">
            <v>TBD</v>
          </cell>
          <cell r="BY50" t="str">
            <v>TBD</v>
          </cell>
          <cell r="BZ50" t="str">
            <v>TBD</v>
          </cell>
          <cell r="CA50" t="str">
            <v>#ERRO</v>
          </cell>
          <cell r="CB50" t="str">
            <v>-</v>
          </cell>
        </row>
        <row r="51">
          <cell r="A51" t="str">
            <v>15971-0</v>
          </cell>
          <cell r="B51" t="str">
            <v>15971-0</v>
          </cell>
          <cell r="C51">
            <v>7898095341268</v>
          </cell>
          <cell r="D51" t="str">
            <v>CLOR CICLOBENZAPRINA CPR 5MG 30UN MTC</v>
          </cell>
          <cell r="E51" t="str">
            <v>SIM</v>
          </cell>
          <cell r="F51" t="str">
            <v>G</v>
          </cell>
          <cell r="G51" t="str">
            <v>LINHA</v>
          </cell>
          <cell r="H51">
            <v>5</v>
          </cell>
          <cell r="I51">
            <v>90</v>
          </cell>
          <cell r="J51" t="str">
            <v>Monitorado</v>
          </cell>
          <cell r="K51" t="str">
            <v>Negativa</v>
          </cell>
          <cell r="L51" t="str">
            <v>Sim</v>
          </cell>
          <cell r="M51" t="str">
            <v>NACIONAL</v>
          </cell>
          <cell r="N51" t="str">
            <v>NACIONAL</v>
          </cell>
          <cell r="P51">
            <v>25.51</v>
          </cell>
          <cell r="Q51">
            <v>29.3</v>
          </cell>
          <cell r="R51">
            <v>29.71</v>
          </cell>
          <cell r="S51">
            <v>30.14</v>
          </cell>
          <cell r="T51">
            <v>27.4</v>
          </cell>
          <cell r="U51">
            <v>29.5</v>
          </cell>
          <cell r="V51">
            <v>25.66</v>
          </cell>
          <cell r="W51">
            <v>25.82</v>
          </cell>
          <cell r="X51">
            <v>30.57</v>
          </cell>
          <cell r="Y51">
            <v>26.14</v>
          </cell>
          <cell r="Z51">
            <v>26.46</v>
          </cell>
          <cell r="AA51">
            <v>31.02</v>
          </cell>
          <cell r="AB51">
            <v>31.48</v>
          </cell>
          <cell r="AC51">
            <v>30.35</v>
          </cell>
          <cell r="AD51">
            <v>26.3</v>
          </cell>
          <cell r="AE51">
            <v>30.79</v>
          </cell>
          <cell r="AF51">
            <v>0</v>
          </cell>
          <cell r="AG51">
            <v>35.270000000000003</v>
          </cell>
          <cell r="AH51">
            <v>39.049999999999997</v>
          </cell>
          <cell r="AI51">
            <v>39.58</v>
          </cell>
          <cell r="AJ51">
            <v>40.14</v>
          </cell>
          <cell r="AK51">
            <v>36.6</v>
          </cell>
          <cell r="AL51">
            <v>39.31</v>
          </cell>
          <cell r="AM51">
            <v>35.47</v>
          </cell>
          <cell r="AN51">
            <v>35.69</v>
          </cell>
          <cell r="AO51">
            <v>40.69</v>
          </cell>
          <cell r="AP51">
            <v>36.14</v>
          </cell>
          <cell r="AQ51">
            <v>36.58</v>
          </cell>
          <cell r="AR51">
            <v>41.27</v>
          </cell>
          <cell r="AS51">
            <v>41.86</v>
          </cell>
          <cell r="AT51">
            <v>40.409999999999997</v>
          </cell>
          <cell r="AU51">
            <v>36.36</v>
          </cell>
          <cell r="AV51">
            <v>40.97</v>
          </cell>
          <cell r="AX51">
            <v>29.3</v>
          </cell>
          <cell r="AY51">
            <v>39.049999999999997</v>
          </cell>
          <cell r="AZ51">
            <v>0.17</v>
          </cell>
          <cell r="BA51">
            <v>0.12</v>
          </cell>
          <cell r="BB51" t="str">
            <v>#_NA</v>
          </cell>
          <cell r="BC51" t="str">
            <v>#_NA</v>
          </cell>
          <cell r="BD51" t="str">
            <v>#_NA</v>
          </cell>
          <cell r="BE51" t="str">
            <v>-</v>
          </cell>
          <cell r="BF51" t="str">
            <v>-</v>
          </cell>
          <cell r="BG51">
            <v>5.6820000000000002E-2</v>
          </cell>
          <cell r="BH51">
            <v>0.65029999999999999</v>
          </cell>
          <cell r="BI51">
            <v>9.67</v>
          </cell>
          <cell r="BJ51" t="str">
            <v>-</v>
          </cell>
          <cell r="BK51">
            <v>0.7117</v>
          </cell>
          <cell r="BL51">
            <v>7.97</v>
          </cell>
          <cell r="BM51" t="str">
            <v>-</v>
          </cell>
          <cell r="BN51" t="str">
            <v>NÃO</v>
          </cell>
          <cell r="BO51" t="str">
            <v>NÃO</v>
          </cell>
          <cell r="BP51" t="str">
            <v>MS|G|NACIONAL|Sim|Negativa</v>
          </cell>
          <cell r="BR51" t="str">
            <v>TBD</v>
          </cell>
          <cell r="BS51">
            <v>0</v>
          </cell>
          <cell r="BT51" t="str">
            <v>#ERRO</v>
          </cell>
          <cell r="BU51">
            <v>7.97</v>
          </cell>
          <cell r="BV51" t="str">
            <v>-</v>
          </cell>
          <cell r="BX51" t="str">
            <v>TBD</v>
          </cell>
          <cell r="BY51" t="str">
            <v>TBD</v>
          </cell>
          <cell r="BZ51" t="str">
            <v>TBD</v>
          </cell>
          <cell r="CA51" t="str">
            <v>#ERRO</v>
          </cell>
          <cell r="CB51" t="str">
            <v>-</v>
          </cell>
        </row>
        <row r="52">
          <cell r="A52" t="str">
            <v>12485-0</v>
          </cell>
          <cell r="B52" t="str">
            <v>12485-0</v>
          </cell>
          <cell r="C52">
            <v>7896714221380</v>
          </cell>
          <cell r="D52" t="str">
            <v>CLOR CIPROFLOXACINO 500MG CPRV CT 2X7</v>
          </cell>
          <cell r="E52" t="str">
            <v>SIM</v>
          </cell>
          <cell r="F52" t="str">
            <v>G</v>
          </cell>
          <cell r="G52" t="str">
            <v>LINHA</v>
          </cell>
          <cell r="H52">
            <v>5</v>
          </cell>
          <cell r="I52">
            <v>60</v>
          </cell>
          <cell r="J52" t="str">
            <v>Monitorado</v>
          </cell>
          <cell r="K52" t="str">
            <v>Positiva</v>
          </cell>
          <cell r="L52" t="str">
            <v>Sim</v>
          </cell>
          <cell r="M52" t="str">
            <v>NACIONAL</v>
          </cell>
          <cell r="N52" t="str">
            <v>NACIONAL</v>
          </cell>
          <cell r="P52">
            <v>39.81</v>
          </cell>
          <cell r="Q52">
            <v>39.81</v>
          </cell>
          <cell r="R52">
            <v>40.29</v>
          </cell>
          <cell r="S52">
            <v>40.79</v>
          </cell>
          <cell r="T52">
            <v>37.549999999999997</v>
          </cell>
          <cell r="U52">
            <v>40.049999999999997</v>
          </cell>
          <cell r="V52">
            <v>40.049999999999997</v>
          </cell>
          <cell r="W52">
            <v>40.29</v>
          </cell>
          <cell r="X52">
            <v>41.3</v>
          </cell>
          <cell r="Y52">
            <v>40.79</v>
          </cell>
          <cell r="Z52">
            <v>41.3</v>
          </cell>
          <cell r="AA52">
            <v>41.82</v>
          </cell>
          <cell r="AB52">
            <v>42.36</v>
          </cell>
          <cell r="AC52">
            <v>41.04</v>
          </cell>
          <cell r="AD52">
            <v>41.04</v>
          </cell>
          <cell r="AE52">
            <v>41.56</v>
          </cell>
          <cell r="AF52">
            <v>0</v>
          </cell>
          <cell r="AG52">
            <v>55.03</v>
          </cell>
          <cell r="AH52">
            <v>55.03</v>
          </cell>
          <cell r="AI52">
            <v>55.7</v>
          </cell>
          <cell r="AJ52">
            <v>56.39</v>
          </cell>
          <cell r="AK52">
            <v>51.91</v>
          </cell>
          <cell r="AL52">
            <v>55.37</v>
          </cell>
          <cell r="AM52">
            <v>55.37</v>
          </cell>
          <cell r="AN52">
            <v>55.7</v>
          </cell>
          <cell r="AO52">
            <v>57.09</v>
          </cell>
          <cell r="AP52">
            <v>56.39</v>
          </cell>
          <cell r="AQ52">
            <v>57.09</v>
          </cell>
          <cell r="AR52">
            <v>57.81</v>
          </cell>
          <cell r="AS52">
            <v>58.56</v>
          </cell>
          <cell r="AT52">
            <v>56.74</v>
          </cell>
          <cell r="AU52">
            <v>56.74</v>
          </cell>
          <cell r="AV52">
            <v>57.45</v>
          </cell>
          <cell r="AX52">
            <v>39.81</v>
          </cell>
          <cell r="AY52">
            <v>55.03</v>
          </cell>
          <cell r="AZ52">
            <v>0.17</v>
          </cell>
          <cell r="BA52">
            <v>0.12</v>
          </cell>
          <cell r="BB52" t="str">
            <v>#_NA</v>
          </cell>
          <cell r="BC52" t="str">
            <v>#_NA</v>
          </cell>
          <cell r="BD52" t="str">
            <v>#_NA</v>
          </cell>
          <cell r="BE52" t="str">
            <v>-</v>
          </cell>
          <cell r="BF52" t="str">
            <v>-</v>
          </cell>
          <cell r="BG52">
            <v>5.6820000000000002E-2</v>
          </cell>
          <cell r="BH52">
            <v>0.86770000000000003</v>
          </cell>
          <cell r="BI52">
            <v>4.97</v>
          </cell>
          <cell r="BJ52" t="str">
            <v>-</v>
          </cell>
          <cell r="BK52">
            <v>0.874</v>
          </cell>
          <cell r="BL52">
            <v>4.7300000000000004</v>
          </cell>
          <cell r="BM52" t="str">
            <v>-</v>
          </cell>
          <cell r="BN52" t="str">
            <v>NÃO</v>
          </cell>
          <cell r="BO52" t="str">
            <v>NÃO</v>
          </cell>
          <cell r="BP52" t="str">
            <v>MS|G|NACIONAL|Sim|Positiva</v>
          </cell>
          <cell r="BR52" t="str">
            <v>TBD</v>
          </cell>
          <cell r="BS52">
            <v>0</v>
          </cell>
          <cell r="BT52" t="str">
            <v>#ERRO</v>
          </cell>
          <cell r="BU52">
            <v>4.7300000000000004</v>
          </cell>
          <cell r="BV52" t="str">
            <v>-</v>
          </cell>
          <cell r="BX52" t="str">
            <v>TBD</v>
          </cell>
          <cell r="BY52" t="str">
            <v>TBD</v>
          </cell>
          <cell r="BZ52" t="str">
            <v>TBD</v>
          </cell>
          <cell r="CA52" t="str">
            <v>#ERRO</v>
          </cell>
          <cell r="CB52" t="str">
            <v>-</v>
          </cell>
        </row>
        <row r="53">
          <cell r="A53" t="str">
            <v>12435-0</v>
          </cell>
          <cell r="B53" t="str">
            <v>12435-0</v>
          </cell>
          <cell r="C53">
            <v>7896714205762</v>
          </cell>
          <cell r="D53" t="str">
            <v>CLOR CIPROFLOXACINO 500MG CPRV CT BL 1X6</v>
          </cell>
          <cell r="E53" t="str">
            <v>SIM</v>
          </cell>
          <cell r="F53" t="str">
            <v>G</v>
          </cell>
          <cell r="G53" t="str">
            <v>LINHA</v>
          </cell>
          <cell r="H53">
            <v>5</v>
          </cell>
          <cell r="I53">
            <v>60</v>
          </cell>
          <cell r="J53" t="str">
            <v>Monitorado</v>
          </cell>
          <cell r="K53" t="str">
            <v>Positiva</v>
          </cell>
          <cell r="L53" t="str">
            <v>Sim</v>
          </cell>
          <cell r="M53" t="str">
            <v>NACIONAL</v>
          </cell>
          <cell r="N53" t="str">
            <v>NACIONAL</v>
          </cell>
          <cell r="P53">
            <v>42</v>
          </cell>
          <cell r="Q53">
            <v>42</v>
          </cell>
          <cell r="R53">
            <v>42.51</v>
          </cell>
          <cell r="S53">
            <v>43.04</v>
          </cell>
          <cell r="T53">
            <v>39.61</v>
          </cell>
          <cell r="U53">
            <v>42.25</v>
          </cell>
          <cell r="V53">
            <v>42.25</v>
          </cell>
          <cell r="W53">
            <v>42.51</v>
          </cell>
          <cell r="X53">
            <v>43.58</v>
          </cell>
          <cell r="Y53">
            <v>43.04</v>
          </cell>
          <cell r="Z53">
            <v>43.58</v>
          </cell>
          <cell r="AA53">
            <v>44.13</v>
          </cell>
          <cell r="AB53">
            <v>44.69</v>
          </cell>
          <cell r="AC53">
            <v>43.3</v>
          </cell>
          <cell r="AD53">
            <v>43.3</v>
          </cell>
          <cell r="AE53">
            <v>43.85</v>
          </cell>
          <cell r="AF53">
            <v>0</v>
          </cell>
          <cell r="AG53">
            <v>58.06</v>
          </cell>
          <cell r="AH53">
            <v>58.06</v>
          </cell>
          <cell r="AI53">
            <v>58.77</v>
          </cell>
          <cell r="AJ53">
            <v>59.5</v>
          </cell>
          <cell r="AK53">
            <v>54.76</v>
          </cell>
          <cell r="AL53">
            <v>58.41</v>
          </cell>
          <cell r="AM53">
            <v>58.41</v>
          </cell>
          <cell r="AN53">
            <v>58.77</v>
          </cell>
          <cell r="AO53">
            <v>60.25</v>
          </cell>
          <cell r="AP53">
            <v>59.5</v>
          </cell>
          <cell r="AQ53">
            <v>60.25</v>
          </cell>
          <cell r="AR53">
            <v>61.01</v>
          </cell>
          <cell r="AS53">
            <v>61.78</v>
          </cell>
          <cell r="AT53">
            <v>59.86</v>
          </cell>
          <cell r="AU53">
            <v>59.86</v>
          </cell>
          <cell r="AV53">
            <v>60.62</v>
          </cell>
          <cell r="AX53">
            <v>42</v>
          </cell>
          <cell r="AY53">
            <v>58.06</v>
          </cell>
          <cell r="AZ53">
            <v>0.17</v>
          </cell>
          <cell r="BA53">
            <v>0.12</v>
          </cell>
          <cell r="BB53" t="str">
            <v>#_NA</v>
          </cell>
          <cell r="BC53" t="str">
            <v>#_NA</v>
          </cell>
          <cell r="BD53" t="str">
            <v>#_NA</v>
          </cell>
          <cell r="BE53" t="str">
            <v>-</v>
          </cell>
          <cell r="BF53" t="str">
            <v>-</v>
          </cell>
          <cell r="BG53">
            <v>5.6820000000000002E-2</v>
          </cell>
          <cell r="BH53">
            <v>0.7349</v>
          </cell>
          <cell r="BI53">
            <v>10.5</v>
          </cell>
          <cell r="BJ53" t="str">
            <v>-</v>
          </cell>
          <cell r="BK53">
            <v>0.74750000000000005</v>
          </cell>
          <cell r="BL53">
            <v>10</v>
          </cell>
          <cell r="BM53" t="str">
            <v>-</v>
          </cell>
          <cell r="BN53" t="str">
            <v>NÃO</v>
          </cell>
          <cell r="BO53" t="str">
            <v>NÃO</v>
          </cell>
          <cell r="BP53" t="str">
            <v>MS|G|NACIONAL|Sim|Positiva</v>
          </cell>
          <cell r="BR53" t="str">
            <v>TBD</v>
          </cell>
          <cell r="BS53">
            <v>0</v>
          </cell>
          <cell r="BT53" t="str">
            <v>#ERRO</v>
          </cell>
          <cell r="BU53">
            <v>10</v>
          </cell>
          <cell r="BV53" t="str">
            <v>-</v>
          </cell>
          <cell r="BX53" t="str">
            <v>TBD</v>
          </cell>
          <cell r="BY53" t="str">
            <v>TBD</v>
          </cell>
          <cell r="BZ53" t="str">
            <v>TBD</v>
          </cell>
          <cell r="CA53" t="str">
            <v>#ERRO</v>
          </cell>
          <cell r="CB53" t="str">
            <v>-</v>
          </cell>
        </row>
        <row r="54">
          <cell r="A54" t="str">
            <v>12409-0</v>
          </cell>
          <cell r="B54" t="str">
            <v>12409-0</v>
          </cell>
          <cell r="C54">
            <v>7896714202921</v>
          </cell>
          <cell r="D54" t="str">
            <v>CLOR DE AMBROXOL 3MG/ML XPE INF 1X120ML</v>
          </cell>
          <cell r="E54" t="str">
            <v>SIM</v>
          </cell>
          <cell r="F54" t="str">
            <v>G</v>
          </cell>
          <cell r="G54" t="str">
            <v>LINHA</v>
          </cell>
          <cell r="H54">
            <v>5</v>
          </cell>
          <cell r="I54">
            <v>60</v>
          </cell>
          <cell r="J54" t="str">
            <v>Liberado</v>
          </cell>
          <cell r="K54" t="str">
            <v>Negativa</v>
          </cell>
          <cell r="L54" t="str">
            <v>Sim</v>
          </cell>
          <cell r="M54" t="str">
            <v>NACIONAL</v>
          </cell>
          <cell r="N54" t="str">
            <v>NACIONAL</v>
          </cell>
          <cell r="P54">
            <v>18.03</v>
          </cell>
          <cell r="Q54">
            <v>20.71</v>
          </cell>
          <cell r="R54">
            <v>21</v>
          </cell>
          <cell r="S54">
            <v>21.3</v>
          </cell>
          <cell r="T54">
            <v>19.37</v>
          </cell>
          <cell r="U54">
            <v>20.86</v>
          </cell>
          <cell r="V54">
            <v>18.14</v>
          </cell>
          <cell r="W54">
            <v>18.25</v>
          </cell>
          <cell r="X54">
            <v>21.61</v>
          </cell>
          <cell r="Y54">
            <v>18.47</v>
          </cell>
          <cell r="Z54">
            <v>18.71</v>
          </cell>
          <cell r="AA54">
            <v>21.93</v>
          </cell>
          <cell r="AB54">
            <v>22.25</v>
          </cell>
          <cell r="AC54">
            <v>21.45</v>
          </cell>
          <cell r="AD54">
            <v>18.59</v>
          </cell>
          <cell r="AE54">
            <v>21.77</v>
          </cell>
          <cell r="AF54">
            <v>0</v>
          </cell>
          <cell r="AG54">
            <v>24.93</v>
          </cell>
          <cell r="AH54">
            <v>27.6</v>
          </cell>
          <cell r="AI54">
            <v>27.98</v>
          </cell>
          <cell r="AJ54">
            <v>28.36</v>
          </cell>
          <cell r="AK54">
            <v>25.87</v>
          </cell>
          <cell r="AL54">
            <v>27.8</v>
          </cell>
          <cell r="AM54">
            <v>25.08</v>
          </cell>
          <cell r="AN54">
            <v>25.23</v>
          </cell>
          <cell r="AO54">
            <v>28.76</v>
          </cell>
          <cell r="AP54">
            <v>25.53</v>
          </cell>
          <cell r="AQ54">
            <v>25.87</v>
          </cell>
          <cell r="AR54">
            <v>29.17</v>
          </cell>
          <cell r="AS54">
            <v>29.59</v>
          </cell>
          <cell r="AT54">
            <v>28.56</v>
          </cell>
          <cell r="AU54">
            <v>25.7</v>
          </cell>
          <cell r="AV54">
            <v>28.97</v>
          </cell>
          <cell r="AX54">
            <v>20.71</v>
          </cell>
          <cell r="AY54">
            <v>27.6</v>
          </cell>
          <cell r="AZ54">
            <v>0.17</v>
          </cell>
          <cell r="BA54">
            <v>0.12</v>
          </cell>
          <cell r="BB54" t="str">
            <v>#_NA</v>
          </cell>
          <cell r="BC54" t="str">
            <v>#_NA</v>
          </cell>
          <cell r="BD54" t="str">
            <v>#_NA</v>
          </cell>
          <cell r="BE54" t="str">
            <v>-</v>
          </cell>
          <cell r="BF54" t="str">
            <v>-</v>
          </cell>
          <cell r="BG54">
            <v>5.6820000000000002E-2</v>
          </cell>
          <cell r="BH54">
            <v>0.57179999999999997</v>
          </cell>
          <cell r="BI54">
            <v>8.36</v>
          </cell>
          <cell r="BJ54" t="str">
            <v>-</v>
          </cell>
          <cell r="BK54">
            <v>0.60099999999999998</v>
          </cell>
          <cell r="BL54">
            <v>7.79</v>
          </cell>
          <cell r="BM54" t="str">
            <v>-</v>
          </cell>
          <cell r="BN54" t="str">
            <v>SIM</v>
          </cell>
          <cell r="BO54" t="str">
            <v>NÃO</v>
          </cell>
          <cell r="BP54" t="str">
            <v>MS|G|NACIONAL|Sim|Negativa</v>
          </cell>
          <cell r="BR54" t="str">
            <v>TBD</v>
          </cell>
          <cell r="BS54">
            <v>0</v>
          </cell>
          <cell r="BT54" t="str">
            <v>#ERRO</v>
          </cell>
          <cell r="BU54">
            <v>7.79</v>
          </cell>
          <cell r="BV54" t="str">
            <v>-</v>
          </cell>
          <cell r="BX54" t="str">
            <v>TBD</v>
          </cell>
          <cell r="BY54" t="str">
            <v>TBD</v>
          </cell>
          <cell r="BZ54" t="str">
            <v>TBD</v>
          </cell>
          <cell r="CA54" t="str">
            <v>#ERRO</v>
          </cell>
          <cell r="CB54" t="str">
            <v>-</v>
          </cell>
        </row>
        <row r="55">
          <cell r="A55" t="str">
            <v>12407-0</v>
          </cell>
          <cell r="B55" t="str">
            <v>12407-0</v>
          </cell>
          <cell r="C55">
            <v>7896714202891</v>
          </cell>
          <cell r="D55" t="str">
            <v>CLOR DE AMBROXOL 6MG/ML XPE AD 1X120ML</v>
          </cell>
          <cell r="E55" t="str">
            <v>SIM</v>
          </cell>
          <cell r="F55" t="str">
            <v>G</v>
          </cell>
          <cell r="G55" t="str">
            <v>LINHA</v>
          </cell>
          <cell r="H55">
            <v>5</v>
          </cell>
          <cell r="I55">
            <v>60</v>
          </cell>
          <cell r="J55" t="str">
            <v>Liberado</v>
          </cell>
          <cell r="K55" t="str">
            <v>Negativa</v>
          </cell>
          <cell r="L55" t="str">
            <v>Sim</v>
          </cell>
          <cell r="M55" t="str">
            <v>NACIONAL</v>
          </cell>
          <cell r="N55" t="str">
            <v>NACIONAL</v>
          </cell>
          <cell r="P55">
            <v>18.03</v>
          </cell>
          <cell r="Q55">
            <v>20.71</v>
          </cell>
          <cell r="R55">
            <v>21</v>
          </cell>
          <cell r="S55">
            <v>21.3</v>
          </cell>
          <cell r="T55">
            <v>19.37</v>
          </cell>
          <cell r="U55">
            <v>20.86</v>
          </cell>
          <cell r="V55">
            <v>18.14</v>
          </cell>
          <cell r="W55">
            <v>18.25</v>
          </cell>
          <cell r="X55">
            <v>21.61</v>
          </cell>
          <cell r="Y55">
            <v>18.47</v>
          </cell>
          <cell r="Z55">
            <v>18.71</v>
          </cell>
          <cell r="AA55">
            <v>21.93</v>
          </cell>
          <cell r="AB55">
            <v>22.25</v>
          </cell>
          <cell r="AC55">
            <v>21.45</v>
          </cell>
          <cell r="AD55">
            <v>18.59</v>
          </cell>
          <cell r="AE55">
            <v>21.77</v>
          </cell>
          <cell r="AF55">
            <v>0</v>
          </cell>
          <cell r="AG55">
            <v>24.93</v>
          </cell>
          <cell r="AH55">
            <v>27.6</v>
          </cell>
          <cell r="AI55">
            <v>27.98</v>
          </cell>
          <cell r="AJ55">
            <v>28.36</v>
          </cell>
          <cell r="AK55">
            <v>25.87</v>
          </cell>
          <cell r="AL55">
            <v>27.8</v>
          </cell>
          <cell r="AM55">
            <v>25.08</v>
          </cell>
          <cell r="AN55">
            <v>25.23</v>
          </cell>
          <cell r="AO55">
            <v>28.76</v>
          </cell>
          <cell r="AP55">
            <v>25.53</v>
          </cell>
          <cell r="AQ55">
            <v>25.87</v>
          </cell>
          <cell r="AR55">
            <v>29.17</v>
          </cell>
          <cell r="AS55">
            <v>29.59</v>
          </cell>
          <cell r="AT55">
            <v>28.56</v>
          </cell>
          <cell r="AU55">
            <v>25.7</v>
          </cell>
          <cell r="AV55">
            <v>28.97</v>
          </cell>
          <cell r="AX55">
            <v>20.71</v>
          </cell>
          <cell r="AY55">
            <v>27.6</v>
          </cell>
          <cell r="AZ55">
            <v>0.17</v>
          </cell>
          <cell r="BA55">
            <v>0.12</v>
          </cell>
          <cell r="BB55" t="str">
            <v>#_NA</v>
          </cell>
          <cell r="BC55" t="str">
            <v>#_NA</v>
          </cell>
          <cell r="BD55" t="str">
            <v>#_NA</v>
          </cell>
          <cell r="BE55" t="str">
            <v>-</v>
          </cell>
          <cell r="BF55" t="str">
            <v>-</v>
          </cell>
          <cell r="BG55">
            <v>5.6820000000000002E-2</v>
          </cell>
          <cell r="BH55">
            <v>0.57669999999999999</v>
          </cell>
          <cell r="BI55">
            <v>8.27</v>
          </cell>
          <cell r="BJ55" t="str">
            <v>-</v>
          </cell>
          <cell r="BK55">
            <v>0.60570000000000002</v>
          </cell>
          <cell r="BL55">
            <v>7.7</v>
          </cell>
          <cell r="BM55" t="str">
            <v>-</v>
          </cell>
          <cell r="BN55" t="str">
            <v>SIM</v>
          </cell>
          <cell r="BO55" t="str">
            <v>NÃO</v>
          </cell>
          <cell r="BP55" t="str">
            <v>MS|G|NACIONAL|Sim|Negativa</v>
          </cell>
          <cell r="BR55" t="str">
            <v>TBD</v>
          </cell>
          <cell r="BS55">
            <v>0</v>
          </cell>
          <cell r="BT55" t="str">
            <v>#ERRO</v>
          </cell>
          <cell r="BU55">
            <v>7.7</v>
          </cell>
          <cell r="BV55" t="str">
            <v>-</v>
          </cell>
          <cell r="BX55" t="str">
            <v>TBD</v>
          </cell>
          <cell r="BY55" t="str">
            <v>TBD</v>
          </cell>
          <cell r="BZ55" t="str">
            <v>TBD</v>
          </cell>
          <cell r="CA55" t="str">
            <v>#ERRO</v>
          </cell>
          <cell r="CB55" t="str">
            <v>-</v>
          </cell>
        </row>
        <row r="56">
          <cell r="A56" t="str">
            <v>12423-0</v>
          </cell>
          <cell r="B56" t="str">
            <v>12423-0</v>
          </cell>
          <cell r="C56">
            <v>7896714205182</v>
          </cell>
          <cell r="D56" t="str">
            <v>CLOR DE PROPRANOLOL 40MG COMP CT BL 2X15</v>
          </cell>
          <cell r="E56" t="str">
            <v>SIM</v>
          </cell>
          <cell r="F56" t="str">
            <v>G</v>
          </cell>
          <cell r="G56" t="str">
            <v>LINHA</v>
          </cell>
          <cell r="H56">
            <v>5</v>
          </cell>
          <cell r="I56">
            <v>60</v>
          </cell>
          <cell r="J56" t="str">
            <v>Monitorado</v>
          </cell>
          <cell r="K56" t="str">
            <v>Positiva</v>
          </cell>
          <cell r="L56" t="str">
            <v>Sim</v>
          </cell>
          <cell r="M56" t="str">
            <v>NACIONAL</v>
          </cell>
          <cell r="N56" t="str">
            <v>NACIONAL</v>
          </cell>
          <cell r="P56">
            <v>4.72</v>
          </cell>
          <cell r="Q56">
            <v>4.72</v>
          </cell>
          <cell r="R56">
            <v>4.78</v>
          </cell>
          <cell r="S56">
            <v>4.84</v>
          </cell>
          <cell r="T56">
            <v>4.45</v>
          </cell>
          <cell r="U56">
            <v>4.75</v>
          </cell>
          <cell r="V56">
            <v>4.75</v>
          </cell>
          <cell r="W56">
            <v>4.78</v>
          </cell>
          <cell r="X56">
            <v>4.9000000000000004</v>
          </cell>
          <cell r="Y56">
            <v>4.84</v>
          </cell>
          <cell r="Z56">
            <v>4.9000000000000004</v>
          </cell>
          <cell r="AA56">
            <v>4.96</v>
          </cell>
          <cell r="AB56">
            <v>5.03</v>
          </cell>
          <cell r="AC56">
            <v>4.87</v>
          </cell>
          <cell r="AD56">
            <v>4.87</v>
          </cell>
          <cell r="AE56">
            <v>4.93</v>
          </cell>
          <cell r="AF56">
            <v>0</v>
          </cell>
          <cell r="AG56">
            <v>6.53</v>
          </cell>
          <cell r="AH56">
            <v>6.53</v>
          </cell>
          <cell r="AI56">
            <v>6.61</v>
          </cell>
          <cell r="AJ56">
            <v>6.69</v>
          </cell>
          <cell r="AK56">
            <v>6.15</v>
          </cell>
          <cell r="AL56">
            <v>6.57</v>
          </cell>
          <cell r="AM56">
            <v>6.57</v>
          </cell>
          <cell r="AN56">
            <v>6.61</v>
          </cell>
          <cell r="AO56">
            <v>6.77</v>
          </cell>
          <cell r="AP56">
            <v>6.69</v>
          </cell>
          <cell r="AQ56">
            <v>6.77</v>
          </cell>
          <cell r="AR56">
            <v>6.86</v>
          </cell>
          <cell r="AS56">
            <v>6.95</v>
          </cell>
          <cell r="AT56">
            <v>6.73</v>
          </cell>
          <cell r="AU56">
            <v>6.73</v>
          </cell>
          <cell r="AV56">
            <v>6.82</v>
          </cell>
          <cell r="AX56">
            <v>4.72</v>
          </cell>
          <cell r="AY56">
            <v>6.53</v>
          </cell>
          <cell r="AZ56">
            <v>0.17</v>
          </cell>
          <cell r="BA56">
            <v>0.12</v>
          </cell>
          <cell r="BB56" t="str">
            <v>#_NA</v>
          </cell>
          <cell r="BC56" t="str">
            <v>#_NA</v>
          </cell>
          <cell r="BD56" t="str">
            <v>#_NA</v>
          </cell>
          <cell r="BE56" t="str">
            <v>-</v>
          </cell>
          <cell r="BF56" t="str">
            <v>-</v>
          </cell>
          <cell r="BG56">
            <v>5.6820000000000002E-2</v>
          </cell>
          <cell r="BH56">
            <v>0.40539999999999998</v>
          </cell>
          <cell r="BI56">
            <v>2.65</v>
          </cell>
          <cell r="BJ56" t="str">
            <v>-</v>
          </cell>
          <cell r="BK56">
            <v>0.43369999999999997</v>
          </cell>
          <cell r="BL56">
            <v>2.52</v>
          </cell>
          <cell r="BM56" t="str">
            <v>-</v>
          </cell>
          <cell r="BN56" t="str">
            <v>NÃO</v>
          </cell>
          <cell r="BO56" t="str">
            <v>NÃO</v>
          </cell>
          <cell r="BP56" t="str">
            <v>MS|G|NACIONAL|Sim|Positiva</v>
          </cell>
          <cell r="BR56" t="str">
            <v>TBD</v>
          </cell>
          <cell r="BS56">
            <v>0</v>
          </cell>
          <cell r="BT56" t="str">
            <v>#ERRO</v>
          </cell>
          <cell r="BU56">
            <v>2.52</v>
          </cell>
          <cell r="BV56" t="str">
            <v>-</v>
          </cell>
          <cell r="BX56" t="str">
            <v>TBD</v>
          </cell>
          <cell r="BY56" t="str">
            <v>TBD</v>
          </cell>
          <cell r="BZ56" t="str">
            <v>TBD</v>
          </cell>
          <cell r="CA56" t="str">
            <v>#ERRO</v>
          </cell>
          <cell r="CB56" t="str">
            <v>-</v>
          </cell>
        </row>
        <row r="57">
          <cell r="A57" t="str">
            <v>19678-0</v>
          </cell>
          <cell r="B57" t="str">
            <v>19678-0</v>
          </cell>
          <cell r="C57">
            <v>7896714268873</v>
          </cell>
          <cell r="D57" t="str">
            <v>CLOR NEBIVOLOL 5MG CT BL 28 COMP</v>
          </cell>
          <cell r="E57" t="str">
            <v>SIM</v>
          </cell>
          <cell r="F57" t="str">
            <v>G</v>
          </cell>
          <cell r="G57" t="str">
            <v>LINHA</v>
          </cell>
          <cell r="H57">
            <v>2</v>
          </cell>
          <cell r="I57">
            <v>180</v>
          </cell>
          <cell r="J57" t="str">
            <v>Monitorado</v>
          </cell>
          <cell r="K57" t="str">
            <v>Negativa</v>
          </cell>
          <cell r="L57" t="str">
            <v>Não</v>
          </cell>
          <cell r="M57" t="str">
            <v>IMPORTADO</v>
          </cell>
          <cell r="N57" t="str">
            <v>IMPORTADO</v>
          </cell>
          <cell r="P57">
            <v>63.39</v>
          </cell>
          <cell r="Q57">
            <v>72.819999999999993</v>
          </cell>
          <cell r="R57">
            <v>73.849999999999994</v>
          </cell>
          <cell r="S57">
            <v>74.900000000000006</v>
          </cell>
          <cell r="T57">
            <v>68.099999999999994</v>
          </cell>
          <cell r="U57">
            <v>73.33</v>
          </cell>
          <cell r="V57">
            <v>63.78</v>
          </cell>
          <cell r="W57">
            <v>64.17</v>
          </cell>
          <cell r="X57">
            <v>75.98</v>
          </cell>
          <cell r="Y57">
            <v>64.959999999999994</v>
          </cell>
          <cell r="Z57">
            <v>65.77</v>
          </cell>
          <cell r="AA57">
            <v>77.099999999999994</v>
          </cell>
          <cell r="AB57">
            <v>78.25</v>
          </cell>
          <cell r="AC57">
            <v>75.44</v>
          </cell>
          <cell r="AD57">
            <v>65.36</v>
          </cell>
          <cell r="AE57">
            <v>76.540000000000006</v>
          </cell>
          <cell r="AF57">
            <v>0</v>
          </cell>
          <cell r="AG57">
            <v>87.63</v>
          </cell>
          <cell r="AH57">
            <v>97.06</v>
          </cell>
          <cell r="AI57">
            <v>98.39</v>
          </cell>
          <cell r="AJ57">
            <v>99.74</v>
          </cell>
          <cell r="AK57">
            <v>90.97</v>
          </cell>
          <cell r="AL57">
            <v>97.72</v>
          </cell>
          <cell r="AM57">
            <v>88.17</v>
          </cell>
          <cell r="AN57">
            <v>88.71</v>
          </cell>
          <cell r="AO57">
            <v>101.13</v>
          </cell>
          <cell r="AP57">
            <v>89.8</v>
          </cell>
          <cell r="AQ57">
            <v>90.92</v>
          </cell>
          <cell r="AR57">
            <v>102.57</v>
          </cell>
          <cell r="AS57">
            <v>104.05</v>
          </cell>
          <cell r="AT57">
            <v>100.44</v>
          </cell>
          <cell r="AU57">
            <v>90.36</v>
          </cell>
          <cell r="AV57">
            <v>101.85</v>
          </cell>
          <cell r="AX57">
            <v>72.819999999999993</v>
          </cell>
          <cell r="AY57">
            <v>97.06</v>
          </cell>
          <cell r="AZ57">
            <v>0.17</v>
          </cell>
          <cell r="BA57">
            <v>0.04</v>
          </cell>
          <cell r="BB57" t="str">
            <v>#_NA</v>
          </cell>
          <cell r="BC57" t="str">
            <v>#_NA</v>
          </cell>
          <cell r="BD57" t="str">
            <v>#_NA</v>
          </cell>
          <cell r="BE57" t="str">
            <v>-</v>
          </cell>
          <cell r="BF57" t="str">
            <v>-</v>
          </cell>
          <cell r="BG57">
            <v>0.13542000000000001</v>
          </cell>
          <cell r="BH57">
            <v>0.75280000000000002</v>
          </cell>
          <cell r="BI57">
            <v>15.56</v>
          </cell>
          <cell r="BJ57" t="str">
            <v>-</v>
          </cell>
          <cell r="BK57">
            <v>0.79610000000000003</v>
          </cell>
          <cell r="BL57">
            <v>12.84</v>
          </cell>
          <cell r="BM57" t="str">
            <v>-</v>
          </cell>
          <cell r="BN57" t="str">
            <v>NÃO</v>
          </cell>
          <cell r="BO57" t="str">
            <v>NÃO</v>
          </cell>
          <cell r="BP57" t="str">
            <v>MS|G|IMPORTADO|Não|Negativa</v>
          </cell>
          <cell r="BR57" t="str">
            <v>TBD</v>
          </cell>
          <cell r="BS57">
            <v>0</v>
          </cell>
          <cell r="BT57" t="str">
            <v>#ERRO</v>
          </cell>
          <cell r="BU57">
            <v>12.84</v>
          </cell>
          <cell r="BV57" t="str">
            <v>-</v>
          </cell>
          <cell r="BX57" t="str">
            <v>TBD</v>
          </cell>
          <cell r="BY57" t="str">
            <v>TBD</v>
          </cell>
          <cell r="BZ57" t="str">
            <v>TBD</v>
          </cell>
          <cell r="CA57" t="str">
            <v>#ERRO</v>
          </cell>
          <cell r="CB57" t="str">
            <v>-</v>
          </cell>
        </row>
        <row r="58">
          <cell r="A58" t="str">
            <v>12499-0</v>
          </cell>
          <cell r="B58" t="str">
            <v>12499-0</v>
          </cell>
          <cell r="C58">
            <v>7896714225890</v>
          </cell>
          <cell r="D58" t="str">
            <v>CLOR TRAMADOL 100MG/ML A-2 FR 1X10ML</v>
          </cell>
          <cell r="E58" t="str">
            <v>SIM</v>
          </cell>
          <cell r="F58" t="str">
            <v>G</v>
          </cell>
          <cell r="G58" t="str">
            <v>LINHA</v>
          </cell>
          <cell r="H58">
            <v>5</v>
          </cell>
          <cell r="I58">
            <v>100</v>
          </cell>
          <cell r="J58" t="str">
            <v>Monitorado</v>
          </cell>
          <cell r="K58" t="str">
            <v>Positiva</v>
          </cell>
          <cell r="L58" t="str">
            <v>Sim</v>
          </cell>
          <cell r="M58" t="str">
            <v>NACIONAL</v>
          </cell>
          <cell r="N58" t="str">
            <v>NACIONAL</v>
          </cell>
          <cell r="P58">
            <v>63.94</v>
          </cell>
          <cell r="Q58">
            <v>63.94</v>
          </cell>
          <cell r="R58">
            <v>64.72</v>
          </cell>
          <cell r="S58">
            <v>65.52</v>
          </cell>
          <cell r="T58">
            <v>60.31</v>
          </cell>
          <cell r="U58">
            <v>64.33</v>
          </cell>
          <cell r="V58">
            <v>64.33</v>
          </cell>
          <cell r="W58">
            <v>64.72</v>
          </cell>
          <cell r="X58">
            <v>66.34</v>
          </cell>
          <cell r="Y58">
            <v>65.52</v>
          </cell>
          <cell r="Z58">
            <v>66.34</v>
          </cell>
          <cell r="AA58">
            <v>67.180000000000007</v>
          </cell>
          <cell r="AB58">
            <v>68.040000000000006</v>
          </cell>
          <cell r="AC58">
            <v>65.930000000000007</v>
          </cell>
          <cell r="AD58">
            <v>65.930000000000007</v>
          </cell>
          <cell r="AE58">
            <v>66.75</v>
          </cell>
          <cell r="AF58">
            <v>0</v>
          </cell>
          <cell r="AG58">
            <v>88.39</v>
          </cell>
          <cell r="AH58">
            <v>88.39</v>
          </cell>
          <cell r="AI58">
            <v>89.47</v>
          </cell>
          <cell r="AJ58">
            <v>90.58</v>
          </cell>
          <cell r="AK58">
            <v>83.38</v>
          </cell>
          <cell r="AL58">
            <v>88.93</v>
          </cell>
          <cell r="AM58">
            <v>88.93</v>
          </cell>
          <cell r="AN58">
            <v>89.47</v>
          </cell>
          <cell r="AO58">
            <v>91.71</v>
          </cell>
          <cell r="AP58">
            <v>90.58</v>
          </cell>
          <cell r="AQ58">
            <v>91.71</v>
          </cell>
          <cell r="AR58">
            <v>92.87</v>
          </cell>
          <cell r="AS58">
            <v>94.06</v>
          </cell>
          <cell r="AT58">
            <v>91.14</v>
          </cell>
          <cell r="AU58">
            <v>91.14</v>
          </cell>
          <cell r="AV58">
            <v>92.28</v>
          </cell>
          <cell r="AX58">
            <v>63.94</v>
          </cell>
          <cell r="AY58">
            <v>88.39</v>
          </cell>
          <cell r="AZ58">
            <v>0.17</v>
          </cell>
          <cell r="BA58">
            <v>0.12</v>
          </cell>
          <cell r="BB58" t="str">
            <v>#_NA</v>
          </cell>
          <cell r="BC58" t="str">
            <v>#_NA</v>
          </cell>
          <cell r="BD58" t="str">
            <v>#_NA</v>
          </cell>
          <cell r="BE58" t="str">
            <v>-</v>
          </cell>
          <cell r="BF58" t="str">
            <v>-</v>
          </cell>
          <cell r="BG58">
            <v>5.6820000000000002E-2</v>
          </cell>
          <cell r="BH58">
            <v>0.3644</v>
          </cell>
          <cell r="BI58">
            <v>38.33</v>
          </cell>
          <cell r="BJ58" t="str">
            <v>-</v>
          </cell>
          <cell r="BK58">
            <v>0.39460000000000001</v>
          </cell>
          <cell r="BL58">
            <v>36.51</v>
          </cell>
          <cell r="BM58" t="str">
            <v>-</v>
          </cell>
          <cell r="BN58" t="str">
            <v>NÃO</v>
          </cell>
          <cell r="BO58" t="str">
            <v>NÃO</v>
          </cell>
          <cell r="BP58" t="str">
            <v>MS|G|NACIONAL|Sim|Positiva</v>
          </cell>
          <cell r="BR58" t="str">
            <v>TBD</v>
          </cell>
          <cell r="BS58">
            <v>0</v>
          </cell>
          <cell r="BT58" t="str">
            <v>#ERRO</v>
          </cell>
          <cell r="BU58">
            <v>36.51</v>
          </cell>
          <cell r="BV58" t="str">
            <v>-</v>
          </cell>
          <cell r="BX58" t="str">
            <v>TBD</v>
          </cell>
          <cell r="BY58" t="str">
            <v>TBD</v>
          </cell>
          <cell r="BZ58" t="str">
            <v>TBD</v>
          </cell>
          <cell r="CA58" t="str">
            <v>#ERRO</v>
          </cell>
          <cell r="CB58" t="str">
            <v>-</v>
          </cell>
        </row>
        <row r="59">
          <cell r="A59" t="str">
            <v>13920-0</v>
          </cell>
          <cell r="B59" t="str">
            <v>13920-0</v>
          </cell>
          <cell r="C59">
            <v>7896714217321</v>
          </cell>
          <cell r="D59" t="str">
            <v>CLOR TRAMADOL 50MG A-2 CAP CT BL 1X10</v>
          </cell>
          <cell r="E59" t="str">
            <v>SIM</v>
          </cell>
          <cell r="F59" t="str">
            <v>G</v>
          </cell>
          <cell r="G59" t="str">
            <v>LINHA</v>
          </cell>
          <cell r="H59">
            <v>5</v>
          </cell>
          <cell r="I59">
            <v>60</v>
          </cell>
          <cell r="J59" t="str">
            <v>Monitorado</v>
          </cell>
          <cell r="K59" t="str">
            <v>Positiva</v>
          </cell>
          <cell r="L59" t="str">
            <v>Sim</v>
          </cell>
          <cell r="M59" t="str">
            <v>NACIONAL</v>
          </cell>
          <cell r="N59" t="str">
            <v>NACIONAL</v>
          </cell>
          <cell r="P59">
            <v>31.27</v>
          </cell>
          <cell r="Q59">
            <v>31.27</v>
          </cell>
          <cell r="R59">
            <v>31.65</v>
          </cell>
          <cell r="S59">
            <v>32.04</v>
          </cell>
          <cell r="T59">
            <v>29.49</v>
          </cell>
          <cell r="U59">
            <v>31.45</v>
          </cell>
          <cell r="V59">
            <v>31.45</v>
          </cell>
          <cell r="W59">
            <v>31.65</v>
          </cell>
          <cell r="X59">
            <v>32.44</v>
          </cell>
          <cell r="Y59">
            <v>32.04</v>
          </cell>
          <cell r="Z59">
            <v>32.44</v>
          </cell>
          <cell r="AA59">
            <v>32.85</v>
          </cell>
          <cell r="AB59">
            <v>33.270000000000003</v>
          </cell>
          <cell r="AC59">
            <v>32.24</v>
          </cell>
          <cell r="AD59">
            <v>32.24</v>
          </cell>
          <cell r="AE59">
            <v>32.64</v>
          </cell>
          <cell r="AF59">
            <v>0</v>
          </cell>
          <cell r="AG59">
            <v>43.23</v>
          </cell>
          <cell r="AH59">
            <v>43.23</v>
          </cell>
          <cell r="AI59">
            <v>43.75</v>
          </cell>
          <cell r="AJ59">
            <v>44.29</v>
          </cell>
          <cell r="AK59">
            <v>40.770000000000003</v>
          </cell>
          <cell r="AL59">
            <v>43.48</v>
          </cell>
          <cell r="AM59">
            <v>43.48</v>
          </cell>
          <cell r="AN59">
            <v>43.75</v>
          </cell>
          <cell r="AO59">
            <v>44.85</v>
          </cell>
          <cell r="AP59">
            <v>44.29</v>
          </cell>
          <cell r="AQ59">
            <v>44.85</v>
          </cell>
          <cell r="AR59">
            <v>45.41</v>
          </cell>
          <cell r="AS59">
            <v>45.99</v>
          </cell>
          <cell r="AT59">
            <v>44.57</v>
          </cell>
          <cell r="AU59">
            <v>44.57</v>
          </cell>
          <cell r="AV59">
            <v>45.12</v>
          </cell>
          <cell r="AX59">
            <v>31.27</v>
          </cell>
          <cell r="AY59">
            <v>43.23</v>
          </cell>
          <cell r="AZ59">
            <v>0.17</v>
          </cell>
          <cell r="BA59">
            <v>0.12</v>
          </cell>
          <cell r="BB59" t="str">
            <v>#_NA</v>
          </cell>
          <cell r="BC59" t="str">
            <v>#_NA</v>
          </cell>
          <cell r="BD59" t="str">
            <v>#_NA</v>
          </cell>
          <cell r="BE59" t="str">
            <v>-</v>
          </cell>
          <cell r="BF59" t="str">
            <v>-</v>
          </cell>
          <cell r="BG59">
            <v>5.6820000000000002E-2</v>
          </cell>
          <cell r="BH59">
            <v>0.84050000000000002</v>
          </cell>
          <cell r="BI59">
            <v>4.7</v>
          </cell>
          <cell r="BJ59" t="str">
            <v>-</v>
          </cell>
          <cell r="BK59">
            <v>0.84840000000000004</v>
          </cell>
          <cell r="BL59">
            <v>4.47</v>
          </cell>
          <cell r="BM59" t="str">
            <v>-</v>
          </cell>
          <cell r="BN59" t="str">
            <v>NÃO</v>
          </cell>
          <cell r="BO59" t="str">
            <v>NÃO</v>
          </cell>
          <cell r="BP59" t="str">
            <v>MS|G|NACIONAL|Sim|Positiva</v>
          </cell>
          <cell r="BR59" t="str">
            <v>TBD</v>
          </cell>
          <cell r="BS59">
            <v>0</v>
          </cell>
          <cell r="BT59" t="str">
            <v>#ERRO</v>
          </cell>
          <cell r="BU59">
            <v>4.47</v>
          </cell>
          <cell r="BV59" t="str">
            <v>-</v>
          </cell>
          <cell r="BX59" t="str">
            <v>TBD</v>
          </cell>
          <cell r="BY59" t="str">
            <v>TBD</v>
          </cell>
          <cell r="BZ59" t="str">
            <v>TBD</v>
          </cell>
          <cell r="CA59" t="str">
            <v>#ERRO</v>
          </cell>
          <cell r="CB59" t="str">
            <v>-</v>
          </cell>
        </row>
        <row r="60">
          <cell r="A60" t="str">
            <v>20504-0</v>
          </cell>
          <cell r="B60" t="str">
            <v>20504-0</v>
          </cell>
          <cell r="C60">
            <v>7896714274041</v>
          </cell>
          <cell r="D60" t="str">
            <v>CLORIDRATO DONEPEZILA 10MG C1 30 CPRV</v>
          </cell>
          <cell r="E60" t="str">
            <v>SIM</v>
          </cell>
          <cell r="F60" t="str">
            <v>G</v>
          </cell>
          <cell r="G60" t="str">
            <v>LINHA</v>
          </cell>
          <cell r="H60">
            <v>2</v>
          </cell>
          <cell r="I60">
            <v>100</v>
          </cell>
          <cell r="J60" t="str">
            <v>Monitorado</v>
          </cell>
          <cell r="K60" t="str">
            <v>Positiva</v>
          </cell>
          <cell r="L60" t="str">
            <v>Não</v>
          </cell>
          <cell r="M60" t="str">
            <v>IMPORTADO</v>
          </cell>
          <cell r="N60" t="str">
            <v>IMPORTADO</v>
          </cell>
          <cell r="P60">
            <v>130.78</v>
          </cell>
          <cell r="Q60">
            <v>130.78</v>
          </cell>
          <cell r="R60">
            <v>132.38</v>
          </cell>
          <cell r="S60">
            <v>134.01</v>
          </cell>
          <cell r="T60">
            <v>123.35</v>
          </cell>
          <cell r="U60">
            <v>131.58000000000001</v>
          </cell>
          <cell r="V60">
            <v>131.58000000000001</v>
          </cell>
          <cell r="W60">
            <v>132.38</v>
          </cell>
          <cell r="X60">
            <v>135.69</v>
          </cell>
          <cell r="Y60">
            <v>134.01</v>
          </cell>
          <cell r="Z60">
            <v>135.69</v>
          </cell>
          <cell r="AA60">
            <v>137.41</v>
          </cell>
          <cell r="AB60">
            <v>139.16999999999999</v>
          </cell>
          <cell r="AC60">
            <v>134.84</v>
          </cell>
          <cell r="AD60">
            <v>134.84</v>
          </cell>
          <cell r="AE60">
            <v>136.54</v>
          </cell>
          <cell r="AF60">
            <v>0</v>
          </cell>
          <cell r="AG60">
            <v>180.8</v>
          </cell>
          <cell r="AH60">
            <v>180.8</v>
          </cell>
          <cell r="AI60">
            <v>183.01</v>
          </cell>
          <cell r="AJ60">
            <v>185.26</v>
          </cell>
          <cell r="AK60">
            <v>170.52</v>
          </cell>
          <cell r="AL60">
            <v>181.9</v>
          </cell>
          <cell r="AM60">
            <v>181.9</v>
          </cell>
          <cell r="AN60">
            <v>183.01</v>
          </cell>
          <cell r="AO60">
            <v>187.58</v>
          </cell>
          <cell r="AP60">
            <v>185.26</v>
          </cell>
          <cell r="AQ60">
            <v>187.58</v>
          </cell>
          <cell r="AR60">
            <v>189.96</v>
          </cell>
          <cell r="AS60">
            <v>192.39</v>
          </cell>
          <cell r="AT60">
            <v>186.41</v>
          </cell>
          <cell r="AU60">
            <v>186.41</v>
          </cell>
          <cell r="AV60">
            <v>188.76</v>
          </cell>
          <cell r="AX60">
            <v>130.78</v>
          </cell>
          <cell r="AY60">
            <v>180.8</v>
          </cell>
          <cell r="AZ60">
            <v>0.17</v>
          </cell>
          <cell r="BA60">
            <v>0.04</v>
          </cell>
          <cell r="BB60" t="str">
            <v>#_NA</v>
          </cell>
          <cell r="BC60" t="str">
            <v>#_NA</v>
          </cell>
          <cell r="BD60" t="str">
            <v>#_NA</v>
          </cell>
          <cell r="BE60" t="str">
            <v>-</v>
          </cell>
          <cell r="BF60" t="str">
            <v>-</v>
          </cell>
          <cell r="BG60">
            <v>0.13542000000000001</v>
          </cell>
          <cell r="BH60">
            <v>0.73570000000000002</v>
          </cell>
          <cell r="BI60">
            <v>29.88</v>
          </cell>
          <cell r="BJ60" t="str">
            <v>-</v>
          </cell>
          <cell r="BK60">
            <v>0.74829999999999997</v>
          </cell>
          <cell r="BL60">
            <v>28.46</v>
          </cell>
          <cell r="BM60" t="str">
            <v>-</v>
          </cell>
          <cell r="BN60" t="str">
            <v>SIM</v>
          </cell>
          <cell r="BO60" t="str">
            <v>NÃO</v>
          </cell>
          <cell r="BP60" t="str">
            <v>MS|G|IMPORTADO|Não|Positiva</v>
          </cell>
          <cell r="BR60" t="str">
            <v>TBD</v>
          </cell>
          <cell r="BS60">
            <v>0</v>
          </cell>
          <cell r="BT60" t="str">
            <v>#ERRO</v>
          </cell>
          <cell r="BU60">
            <v>28.46</v>
          </cell>
          <cell r="BV60" t="str">
            <v>-</v>
          </cell>
          <cell r="BX60" t="str">
            <v>TBD</v>
          </cell>
          <cell r="BY60" t="str">
            <v>TBD</v>
          </cell>
          <cell r="BZ60" t="str">
            <v>TBD</v>
          </cell>
          <cell r="CA60" t="str">
            <v>#ERRO</v>
          </cell>
          <cell r="CB60" t="str">
            <v>-</v>
          </cell>
        </row>
        <row r="61">
          <cell r="A61" t="str">
            <v>20503-0</v>
          </cell>
          <cell r="B61" t="str">
            <v>20503-0</v>
          </cell>
          <cell r="C61">
            <v>7896714274034</v>
          </cell>
          <cell r="D61" t="str">
            <v>CLORIDRATO DONEPEZILA 5MG C1 30 CPRV</v>
          </cell>
          <cell r="E61" t="str">
            <v>SIM</v>
          </cell>
          <cell r="F61" t="str">
            <v>G</v>
          </cell>
          <cell r="G61" t="str">
            <v>LINHA</v>
          </cell>
          <cell r="H61">
            <v>2</v>
          </cell>
          <cell r="I61">
            <v>104</v>
          </cell>
          <cell r="J61" t="str">
            <v>Monitorado</v>
          </cell>
          <cell r="K61" t="str">
            <v>Positiva</v>
          </cell>
          <cell r="L61" t="str">
            <v>Não</v>
          </cell>
          <cell r="M61" t="str">
            <v>IMPORTADO</v>
          </cell>
          <cell r="N61" t="str">
            <v>IMPORTADO</v>
          </cell>
          <cell r="P61">
            <v>129.19999999999999</v>
          </cell>
          <cell r="Q61">
            <v>129.19999999999999</v>
          </cell>
          <cell r="R61">
            <v>130.78</v>
          </cell>
          <cell r="S61">
            <v>132.4</v>
          </cell>
          <cell r="T61">
            <v>121.86</v>
          </cell>
          <cell r="U61">
            <v>129.99</v>
          </cell>
          <cell r="V61">
            <v>129.99</v>
          </cell>
          <cell r="W61">
            <v>130.78</v>
          </cell>
          <cell r="X61">
            <v>134.05000000000001</v>
          </cell>
          <cell r="Y61">
            <v>132.4</v>
          </cell>
          <cell r="Z61">
            <v>134.05000000000001</v>
          </cell>
          <cell r="AA61">
            <v>135.75</v>
          </cell>
          <cell r="AB61">
            <v>137.49</v>
          </cell>
          <cell r="AC61">
            <v>133.22</v>
          </cell>
          <cell r="AD61">
            <v>133.22</v>
          </cell>
          <cell r="AE61">
            <v>134.88999999999999</v>
          </cell>
          <cell r="AF61">
            <v>0</v>
          </cell>
          <cell r="AG61">
            <v>178.61</v>
          </cell>
          <cell r="AH61">
            <v>178.61</v>
          </cell>
          <cell r="AI61">
            <v>180.8</v>
          </cell>
          <cell r="AJ61">
            <v>183.04</v>
          </cell>
          <cell r="AK61">
            <v>168.46</v>
          </cell>
          <cell r="AL61">
            <v>179.7</v>
          </cell>
          <cell r="AM61">
            <v>179.7</v>
          </cell>
          <cell r="AN61">
            <v>180.8</v>
          </cell>
          <cell r="AO61">
            <v>185.32</v>
          </cell>
          <cell r="AP61">
            <v>183.04</v>
          </cell>
          <cell r="AQ61">
            <v>185.32</v>
          </cell>
          <cell r="AR61">
            <v>187.67</v>
          </cell>
          <cell r="AS61">
            <v>190.07</v>
          </cell>
          <cell r="AT61">
            <v>184.17</v>
          </cell>
          <cell r="AU61">
            <v>184.17</v>
          </cell>
          <cell r="AV61">
            <v>186.48</v>
          </cell>
          <cell r="AX61">
            <v>129.19999999999999</v>
          </cell>
          <cell r="AY61">
            <v>178.61</v>
          </cell>
          <cell r="AZ61">
            <v>0.17</v>
          </cell>
          <cell r="BA61">
            <v>0.04</v>
          </cell>
          <cell r="BB61" t="str">
            <v>#_NA</v>
          </cell>
          <cell r="BC61" t="str">
            <v>#_NA</v>
          </cell>
          <cell r="BD61" t="str">
            <v>#_NA</v>
          </cell>
          <cell r="BE61" t="str">
            <v>-</v>
          </cell>
          <cell r="BF61" t="str">
            <v>-</v>
          </cell>
          <cell r="BG61">
            <v>0.13542000000000001</v>
          </cell>
          <cell r="BH61">
            <v>0.76380000000000003</v>
          </cell>
          <cell r="BI61">
            <v>26.38</v>
          </cell>
          <cell r="BJ61" t="str">
            <v>-</v>
          </cell>
          <cell r="BK61">
            <v>0.77510000000000001</v>
          </cell>
          <cell r="BL61">
            <v>25.12</v>
          </cell>
          <cell r="BM61" t="str">
            <v>-</v>
          </cell>
          <cell r="BN61" t="str">
            <v>SIM</v>
          </cell>
          <cell r="BO61" t="str">
            <v>NÃO</v>
          </cell>
          <cell r="BP61" t="str">
            <v>MS|G|IMPORTADO|Não|Positiva</v>
          </cell>
          <cell r="BR61" t="str">
            <v>TBD</v>
          </cell>
          <cell r="BS61">
            <v>0</v>
          </cell>
          <cell r="BT61" t="str">
            <v>#ERRO</v>
          </cell>
          <cell r="BU61">
            <v>25.12</v>
          </cell>
          <cell r="BV61" t="str">
            <v>-</v>
          </cell>
          <cell r="BX61" t="str">
            <v>TBD</v>
          </cell>
          <cell r="BY61" t="str">
            <v>TBD</v>
          </cell>
          <cell r="BZ61" t="str">
            <v>TBD</v>
          </cell>
          <cell r="CA61" t="str">
            <v>#ERRO</v>
          </cell>
          <cell r="CB61" t="str">
            <v>-</v>
          </cell>
        </row>
        <row r="62">
          <cell r="A62" t="str">
            <v>20713-0</v>
          </cell>
          <cell r="B62" t="str">
            <v>20713-0</v>
          </cell>
          <cell r="C62">
            <v>7896714263137</v>
          </cell>
          <cell r="D62" t="str">
            <v>CODEINA+PARACETAMOL 30MG+500MG X12 A2</v>
          </cell>
          <cell r="E62" t="str">
            <v>SIM</v>
          </cell>
          <cell r="F62" t="str">
            <v>G</v>
          </cell>
          <cell r="G62" t="str">
            <v>LINHA</v>
          </cell>
          <cell r="H62">
            <v>3</v>
          </cell>
          <cell r="I62">
            <v>24</v>
          </cell>
          <cell r="J62" t="str">
            <v>Monitorado</v>
          </cell>
          <cell r="K62" t="str">
            <v>Negativa</v>
          </cell>
          <cell r="L62" t="str">
            <v>Sim</v>
          </cell>
          <cell r="M62" t="str">
            <v>NACIONAL</v>
          </cell>
          <cell r="N62" t="str">
            <v>IMPORTADO</v>
          </cell>
          <cell r="P62">
            <v>14.63</v>
          </cell>
          <cell r="Q62">
            <v>16.809999999999999</v>
          </cell>
          <cell r="R62">
            <v>17.04</v>
          </cell>
          <cell r="S62">
            <v>17.29</v>
          </cell>
          <cell r="T62">
            <v>15.72</v>
          </cell>
          <cell r="U62">
            <v>16.920000000000002</v>
          </cell>
          <cell r="V62">
            <v>14.72</v>
          </cell>
          <cell r="W62">
            <v>14.81</v>
          </cell>
          <cell r="X62">
            <v>17.54</v>
          </cell>
          <cell r="Y62">
            <v>14.99</v>
          </cell>
          <cell r="Z62">
            <v>15.18</v>
          </cell>
          <cell r="AA62">
            <v>17.79</v>
          </cell>
          <cell r="AB62">
            <v>18.059999999999999</v>
          </cell>
          <cell r="AC62">
            <v>17.41</v>
          </cell>
          <cell r="AD62">
            <v>15.08</v>
          </cell>
          <cell r="AE62">
            <v>17.66</v>
          </cell>
          <cell r="AF62">
            <v>0</v>
          </cell>
          <cell r="AG62">
            <v>20.23</v>
          </cell>
          <cell r="AH62">
            <v>22.41</v>
          </cell>
          <cell r="AI62">
            <v>22.7</v>
          </cell>
          <cell r="AJ62">
            <v>23.02</v>
          </cell>
          <cell r="AK62">
            <v>21</v>
          </cell>
          <cell r="AL62">
            <v>22.55</v>
          </cell>
          <cell r="AM62">
            <v>20.350000000000001</v>
          </cell>
          <cell r="AN62">
            <v>20.47</v>
          </cell>
          <cell r="AO62">
            <v>23.35</v>
          </cell>
          <cell r="AP62">
            <v>20.72</v>
          </cell>
          <cell r="AQ62">
            <v>20.99</v>
          </cell>
          <cell r="AR62">
            <v>23.67</v>
          </cell>
          <cell r="AS62">
            <v>24.01</v>
          </cell>
          <cell r="AT62">
            <v>23.18</v>
          </cell>
          <cell r="AU62">
            <v>20.85</v>
          </cell>
          <cell r="AV62">
            <v>23.5</v>
          </cell>
          <cell r="AX62">
            <v>16.809999999999999</v>
          </cell>
          <cell r="AY62">
            <v>22.41</v>
          </cell>
          <cell r="AZ62">
            <v>0.17</v>
          </cell>
          <cell r="BA62">
            <v>0.04</v>
          </cell>
          <cell r="BB62" t="str">
            <v>#_NA</v>
          </cell>
          <cell r="BC62" t="str">
            <v>#_NA</v>
          </cell>
          <cell r="BD62" t="str">
            <v>#_NA</v>
          </cell>
          <cell r="BE62" t="str">
            <v>-</v>
          </cell>
          <cell r="BF62" t="str">
            <v>-</v>
          </cell>
          <cell r="BG62">
            <v>0.13542000000000001</v>
          </cell>
          <cell r="BH62">
            <v>0.60060000000000002</v>
          </cell>
          <cell r="BI62">
            <v>5.8</v>
          </cell>
          <cell r="BJ62" t="str">
            <v>-</v>
          </cell>
          <cell r="BK62">
            <v>0.67</v>
          </cell>
          <cell r="BL62">
            <v>4.79</v>
          </cell>
          <cell r="BM62" t="str">
            <v>-</v>
          </cell>
          <cell r="BN62" t="str">
            <v>NÃO</v>
          </cell>
          <cell r="BO62" t="str">
            <v>NÃO</v>
          </cell>
          <cell r="BP62" t="str">
            <v>MS|G|IMPORTADO|Sim|Negativa</v>
          </cell>
          <cell r="BR62" t="str">
            <v>TBD</v>
          </cell>
          <cell r="BS62">
            <v>0</v>
          </cell>
          <cell r="BT62" t="str">
            <v>#ERRO</v>
          </cell>
          <cell r="BU62">
            <v>4.79</v>
          </cell>
          <cell r="BV62" t="str">
            <v>-</v>
          </cell>
          <cell r="BX62" t="str">
            <v>TBD</v>
          </cell>
          <cell r="BY62" t="str">
            <v>TBD</v>
          </cell>
          <cell r="BZ62" t="str">
            <v>TBD</v>
          </cell>
          <cell r="CA62" t="str">
            <v>#ERRO</v>
          </cell>
          <cell r="CB62" t="str">
            <v>-</v>
          </cell>
        </row>
        <row r="63">
          <cell r="A63" t="str">
            <v>20714-0</v>
          </cell>
          <cell r="B63" t="str">
            <v>20714-0</v>
          </cell>
          <cell r="C63">
            <v>7896714263144</v>
          </cell>
          <cell r="D63" t="str">
            <v>CODEINA+PARACETAMOL 30MG+500MG X24 A2</v>
          </cell>
          <cell r="E63" t="str">
            <v>SIM</v>
          </cell>
          <cell r="F63" t="str">
            <v>G</v>
          </cell>
          <cell r="G63" t="str">
            <v>LINHA</v>
          </cell>
          <cell r="H63">
            <v>3</v>
          </cell>
          <cell r="I63">
            <v>24</v>
          </cell>
          <cell r="J63" t="str">
            <v>Monitorado</v>
          </cell>
          <cell r="K63" t="str">
            <v>Negativa</v>
          </cell>
          <cell r="L63" t="str">
            <v>Sim</v>
          </cell>
          <cell r="M63" t="str">
            <v>NACIONAL</v>
          </cell>
          <cell r="N63" t="str">
            <v>IMPORTADO</v>
          </cell>
          <cell r="P63">
            <v>26.2</v>
          </cell>
          <cell r="Q63">
            <v>30.1</v>
          </cell>
          <cell r="R63">
            <v>30.53</v>
          </cell>
          <cell r="S63">
            <v>30.96</v>
          </cell>
          <cell r="T63">
            <v>28.15</v>
          </cell>
          <cell r="U63">
            <v>30.31</v>
          </cell>
          <cell r="V63">
            <v>26.36</v>
          </cell>
          <cell r="W63">
            <v>26.52</v>
          </cell>
          <cell r="X63">
            <v>31.41</v>
          </cell>
          <cell r="Y63">
            <v>26.85</v>
          </cell>
          <cell r="Z63">
            <v>27.19</v>
          </cell>
          <cell r="AA63">
            <v>31.87</v>
          </cell>
          <cell r="AB63">
            <v>32.35</v>
          </cell>
          <cell r="AC63">
            <v>31.18</v>
          </cell>
          <cell r="AD63">
            <v>27.02</v>
          </cell>
          <cell r="AE63">
            <v>31.64</v>
          </cell>
          <cell r="AF63">
            <v>0</v>
          </cell>
          <cell r="AG63">
            <v>36.22</v>
          </cell>
          <cell r="AH63">
            <v>40.119999999999997</v>
          </cell>
          <cell r="AI63">
            <v>40.68</v>
          </cell>
          <cell r="AJ63">
            <v>41.23</v>
          </cell>
          <cell r="AK63">
            <v>37.6</v>
          </cell>
          <cell r="AL63">
            <v>40.39</v>
          </cell>
          <cell r="AM63">
            <v>36.44</v>
          </cell>
          <cell r="AN63">
            <v>36.659999999999997</v>
          </cell>
          <cell r="AO63">
            <v>41.81</v>
          </cell>
          <cell r="AP63">
            <v>37.119999999999997</v>
          </cell>
          <cell r="AQ63">
            <v>37.590000000000003</v>
          </cell>
          <cell r="AR63">
            <v>42.4</v>
          </cell>
          <cell r="AS63">
            <v>43.02</v>
          </cell>
          <cell r="AT63">
            <v>41.51</v>
          </cell>
          <cell r="AU63">
            <v>37.35</v>
          </cell>
          <cell r="AV63">
            <v>42.1</v>
          </cell>
          <cell r="AX63">
            <v>30.1</v>
          </cell>
          <cell r="AY63">
            <v>40.119999999999997</v>
          </cell>
          <cell r="AZ63">
            <v>0.17</v>
          </cell>
          <cell r="BA63">
            <v>0.04</v>
          </cell>
          <cell r="BB63" t="str">
            <v>#_NA</v>
          </cell>
          <cell r="BC63" t="str">
            <v>#_NA</v>
          </cell>
          <cell r="BD63" t="str">
            <v>#_NA</v>
          </cell>
          <cell r="BE63" t="str">
            <v>-</v>
          </cell>
          <cell r="BF63" t="str">
            <v>-</v>
          </cell>
          <cell r="BG63">
            <v>0.13542000000000001</v>
          </cell>
          <cell r="BH63">
            <v>0.52429999999999999</v>
          </cell>
          <cell r="BI63">
            <v>12.38</v>
          </cell>
          <cell r="BJ63" t="str">
            <v>-</v>
          </cell>
          <cell r="BK63">
            <v>0.60770000000000002</v>
          </cell>
          <cell r="BL63">
            <v>10.210000000000001</v>
          </cell>
          <cell r="BM63" t="str">
            <v>-</v>
          </cell>
          <cell r="BN63" t="str">
            <v>NÃO</v>
          </cell>
          <cell r="BO63" t="str">
            <v>NÃO</v>
          </cell>
          <cell r="BP63" t="str">
            <v>MS|G|IMPORTADO|Sim|Negativa</v>
          </cell>
          <cell r="BR63" t="str">
            <v>TBD</v>
          </cell>
          <cell r="BS63">
            <v>0</v>
          </cell>
          <cell r="BT63" t="str">
            <v>#ERRO</v>
          </cell>
          <cell r="BU63">
            <v>10.210000000000001</v>
          </cell>
          <cell r="BV63" t="str">
            <v>-</v>
          </cell>
          <cell r="BX63" t="str">
            <v>TBD</v>
          </cell>
          <cell r="BY63" t="str">
            <v>TBD</v>
          </cell>
          <cell r="BZ63" t="str">
            <v>TBD</v>
          </cell>
          <cell r="CA63" t="str">
            <v>#ERRO</v>
          </cell>
          <cell r="CB63" t="str">
            <v>-</v>
          </cell>
        </row>
        <row r="64">
          <cell r="A64" t="str">
            <v>17042-0</v>
          </cell>
          <cell r="B64" t="str">
            <v>17042-0</v>
          </cell>
          <cell r="C64">
            <v>7896714224459</v>
          </cell>
          <cell r="D64" t="str">
            <v>COLIRIO NEO BRASIL SOL OFT FR C/20ML</v>
          </cell>
          <cell r="E64" t="str">
            <v>SIM</v>
          </cell>
          <cell r="F64" t="str">
            <v>S</v>
          </cell>
          <cell r="G64" t="str">
            <v>LINHA</v>
          </cell>
          <cell r="H64">
            <v>5</v>
          </cell>
          <cell r="I64">
            <v>60</v>
          </cell>
          <cell r="J64" t="str">
            <v>Liberado</v>
          </cell>
          <cell r="K64" t="str">
            <v>Negativa</v>
          </cell>
          <cell r="L64" t="str">
            <v>Sim</v>
          </cell>
          <cell r="M64" t="str">
            <v>NACIONAL</v>
          </cell>
          <cell r="N64" t="str">
            <v>NACIONAL</v>
          </cell>
          <cell r="P64">
            <v>11.32</v>
          </cell>
          <cell r="Q64">
            <v>13</v>
          </cell>
          <cell r="R64">
            <v>13.18</v>
          </cell>
          <cell r="S64">
            <v>13.37</v>
          </cell>
          <cell r="T64">
            <v>12.16</v>
          </cell>
          <cell r="U64">
            <v>13.09</v>
          </cell>
          <cell r="V64">
            <v>11.39</v>
          </cell>
          <cell r="W64">
            <v>11.45</v>
          </cell>
          <cell r="X64">
            <v>13.56</v>
          </cell>
          <cell r="Y64">
            <v>11.6</v>
          </cell>
          <cell r="Z64">
            <v>11.74</v>
          </cell>
          <cell r="AA64">
            <v>13.76</v>
          </cell>
          <cell r="AB64">
            <v>13.97</v>
          </cell>
          <cell r="AC64">
            <v>13.47</v>
          </cell>
          <cell r="AD64">
            <v>11.67</v>
          </cell>
          <cell r="AE64">
            <v>13.66</v>
          </cell>
          <cell r="AF64">
            <v>0</v>
          </cell>
          <cell r="AG64">
            <v>15.65</v>
          </cell>
          <cell r="AH64">
            <v>17.329999999999998</v>
          </cell>
          <cell r="AI64">
            <v>17.559999999999999</v>
          </cell>
          <cell r="AJ64">
            <v>17.8</v>
          </cell>
          <cell r="AK64">
            <v>16.239999999999998</v>
          </cell>
          <cell r="AL64">
            <v>17.440000000000001</v>
          </cell>
          <cell r="AM64">
            <v>15.75</v>
          </cell>
          <cell r="AN64">
            <v>15.83</v>
          </cell>
          <cell r="AO64">
            <v>18.05</v>
          </cell>
          <cell r="AP64">
            <v>16.04</v>
          </cell>
          <cell r="AQ64">
            <v>16.23</v>
          </cell>
          <cell r="AR64">
            <v>18.309999999999999</v>
          </cell>
          <cell r="AS64">
            <v>18.579999999999998</v>
          </cell>
          <cell r="AT64">
            <v>17.93</v>
          </cell>
          <cell r="AU64">
            <v>16.13</v>
          </cell>
          <cell r="AV64">
            <v>18.18</v>
          </cell>
          <cell r="AX64">
            <v>13</v>
          </cell>
          <cell r="AY64">
            <v>17.329999999999998</v>
          </cell>
          <cell r="AZ64">
            <v>0.17</v>
          </cell>
          <cell r="BA64">
            <v>0.12</v>
          </cell>
          <cell r="BB64" t="str">
            <v>#_NA</v>
          </cell>
          <cell r="BC64" t="str">
            <v>#_NA</v>
          </cell>
          <cell r="BD64" t="str">
            <v>#_NA</v>
          </cell>
          <cell r="BE64" t="str">
            <v>-</v>
          </cell>
          <cell r="BF64" t="str">
            <v>-</v>
          </cell>
          <cell r="BG64">
            <v>5.6820000000000002E-2</v>
          </cell>
          <cell r="BH64">
            <v>0.49980000000000002</v>
          </cell>
          <cell r="BI64">
            <v>6.13</v>
          </cell>
          <cell r="BJ64" t="str">
            <v>-</v>
          </cell>
          <cell r="BK64">
            <v>0.58789999999999998</v>
          </cell>
          <cell r="BL64">
            <v>5.05</v>
          </cell>
          <cell r="BM64" t="str">
            <v>-</v>
          </cell>
          <cell r="BN64" t="str">
            <v>NÃO</v>
          </cell>
          <cell r="BO64" t="str">
            <v>NÃO</v>
          </cell>
          <cell r="BP64" t="str">
            <v>MS|S|NACIONAL|Sim|Negativa</v>
          </cell>
          <cell r="BR64" t="str">
            <v>TBD</v>
          </cell>
          <cell r="BS64">
            <v>0</v>
          </cell>
          <cell r="BT64" t="str">
            <v>#ERRO</v>
          </cell>
          <cell r="BU64">
            <v>5.05</v>
          </cell>
          <cell r="BV64" t="str">
            <v>-</v>
          </cell>
          <cell r="BX64" t="str">
            <v>TBD</v>
          </cell>
          <cell r="BY64" t="str">
            <v>TBD</v>
          </cell>
          <cell r="BZ64" t="str">
            <v>TBD</v>
          </cell>
          <cell r="CA64" t="str">
            <v>#ERRO</v>
          </cell>
          <cell r="CB64" t="str">
            <v>-</v>
          </cell>
        </row>
        <row r="65">
          <cell r="A65" t="str">
            <v>12597-0</v>
          </cell>
          <cell r="B65" t="str">
            <v>12597-0</v>
          </cell>
          <cell r="C65">
            <v>7896714200699</v>
          </cell>
          <cell r="D65" t="str">
            <v>CORTICORTEN 20MG COMP CT BL 2X10</v>
          </cell>
          <cell r="E65" t="str">
            <v>SIM</v>
          </cell>
          <cell r="F65" t="str">
            <v>S</v>
          </cell>
          <cell r="G65" t="str">
            <v>PRIORITARIO SMART</v>
          </cell>
          <cell r="H65">
            <v>5</v>
          </cell>
          <cell r="I65">
            <v>60</v>
          </cell>
          <cell r="J65" t="str">
            <v>Monitorado</v>
          </cell>
          <cell r="K65" t="str">
            <v>Positiva</v>
          </cell>
          <cell r="L65" t="str">
            <v>Sim</v>
          </cell>
          <cell r="M65" t="str">
            <v>NACIONAL</v>
          </cell>
          <cell r="N65" t="str">
            <v>NACIONAL</v>
          </cell>
          <cell r="P65">
            <v>21.89</v>
          </cell>
          <cell r="Q65">
            <v>21.89</v>
          </cell>
          <cell r="R65">
            <v>22.16</v>
          </cell>
          <cell r="S65">
            <v>22.43</v>
          </cell>
          <cell r="T65">
            <v>20.65</v>
          </cell>
          <cell r="U65">
            <v>22.02</v>
          </cell>
          <cell r="V65">
            <v>22.02</v>
          </cell>
          <cell r="W65">
            <v>22.16</v>
          </cell>
          <cell r="X65">
            <v>22.71</v>
          </cell>
          <cell r="Y65">
            <v>22.43</v>
          </cell>
          <cell r="Z65">
            <v>22.71</v>
          </cell>
          <cell r="AA65">
            <v>23</v>
          </cell>
          <cell r="AB65">
            <v>23.29</v>
          </cell>
          <cell r="AC65">
            <v>22.57</v>
          </cell>
          <cell r="AD65">
            <v>22.57</v>
          </cell>
          <cell r="AE65">
            <v>22.86</v>
          </cell>
          <cell r="AF65">
            <v>0</v>
          </cell>
          <cell r="AG65">
            <v>30.26</v>
          </cell>
          <cell r="AH65">
            <v>30.26</v>
          </cell>
          <cell r="AI65">
            <v>30.63</v>
          </cell>
          <cell r="AJ65">
            <v>31.01</v>
          </cell>
          <cell r="AK65">
            <v>28.55</v>
          </cell>
          <cell r="AL65">
            <v>30.44</v>
          </cell>
          <cell r="AM65">
            <v>30.44</v>
          </cell>
          <cell r="AN65">
            <v>30.63</v>
          </cell>
          <cell r="AO65">
            <v>31.4</v>
          </cell>
          <cell r="AP65">
            <v>31.01</v>
          </cell>
          <cell r="AQ65">
            <v>31.4</v>
          </cell>
          <cell r="AR65">
            <v>31.8</v>
          </cell>
          <cell r="AS65">
            <v>32.200000000000003</v>
          </cell>
          <cell r="AT65">
            <v>31.2</v>
          </cell>
          <cell r="AU65">
            <v>31.2</v>
          </cell>
          <cell r="AV65">
            <v>31.6</v>
          </cell>
          <cell r="AX65">
            <v>21.89</v>
          </cell>
          <cell r="AY65">
            <v>30.26</v>
          </cell>
          <cell r="AZ65">
            <v>0.17</v>
          </cell>
          <cell r="BA65">
            <v>0.12</v>
          </cell>
          <cell r="BB65" t="str">
            <v>#_NA</v>
          </cell>
          <cell r="BC65" t="str">
            <v>#_NA</v>
          </cell>
          <cell r="BD65" t="str">
            <v>#_NA</v>
          </cell>
          <cell r="BE65" t="str">
            <v>-</v>
          </cell>
          <cell r="BF65" t="str">
            <v>-</v>
          </cell>
          <cell r="BG65">
            <v>5.6820000000000002E-2</v>
          </cell>
          <cell r="BH65">
            <v>0.73560000000000003</v>
          </cell>
          <cell r="BI65">
            <v>5.46</v>
          </cell>
          <cell r="BJ65" t="str">
            <v>-</v>
          </cell>
          <cell r="BK65">
            <v>0.74819999999999998</v>
          </cell>
          <cell r="BL65">
            <v>5.2</v>
          </cell>
          <cell r="BM65" t="str">
            <v>-</v>
          </cell>
          <cell r="BN65" t="str">
            <v>NÃO</v>
          </cell>
          <cell r="BO65" t="str">
            <v>NÃO</v>
          </cell>
          <cell r="BP65" t="str">
            <v>MS|S|NACIONAL|Sim|Positiva</v>
          </cell>
          <cell r="BR65" t="str">
            <v>TBD</v>
          </cell>
          <cell r="BS65">
            <v>0</v>
          </cell>
          <cell r="BT65" t="str">
            <v>#ERRO</v>
          </cell>
          <cell r="BU65">
            <v>5.2</v>
          </cell>
          <cell r="BV65" t="str">
            <v>-</v>
          </cell>
          <cell r="BX65" t="str">
            <v>TBD</v>
          </cell>
          <cell r="BY65" t="str">
            <v>TBD</v>
          </cell>
          <cell r="BZ65" t="str">
            <v>TBD</v>
          </cell>
          <cell r="CA65" t="str">
            <v>#ERRO</v>
          </cell>
          <cell r="CB65" t="str">
            <v>-</v>
          </cell>
        </row>
        <row r="66">
          <cell r="A66" t="str">
            <v>12598-0</v>
          </cell>
          <cell r="B66" t="str">
            <v>12598-0</v>
          </cell>
          <cell r="C66">
            <v>7896714200705</v>
          </cell>
          <cell r="D66" t="str">
            <v>CORTICORTEN 5MG COMP CT BL 1X20</v>
          </cell>
          <cell r="E66" t="str">
            <v>SIM</v>
          </cell>
          <cell r="F66" t="str">
            <v>S</v>
          </cell>
          <cell r="G66" t="str">
            <v>PRIORITARIO SMART</v>
          </cell>
          <cell r="H66">
            <v>5</v>
          </cell>
          <cell r="I66">
            <v>60</v>
          </cell>
          <cell r="J66" t="str">
            <v>Monitorado</v>
          </cell>
          <cell r="K66" t="str">
            <v>Positiva</v>
          </cell>
          <cell r="L66" t="str">
            <v>Sim</v>
          </cell>
          <cell r="M66" t="str">
            <v>NACIONAL</v>
          </cell>
          <cell r="N66" t="str">
            <v>NACIONAL</v>
          </cell>
          <cell r="P66">
            <v>12.54</v>
          </cell>
          <cell r="Q66">
            <v>12.54</v>
          </cell>
          <cell r="R66">
            <v>12.7</v>
          </cell>
          <cell r="S66">
            <v>12.85</v>
          </cell>
          <cell r="T66">
            <v>11.83</v>
          </cell>
          <cell r="U66">
            <v>12.62</v>
          </cell>
          <cell r="V66">
            <v>12.62</v>
          </cell>
          <cell r="W66">
            <v>12.7</v>
          </cell>
          <cell r="X66">
            <v>13.01</v>
          </cell>
          <cell r="Y66">
            <v>12.85</v>
          </cell>
          <cell r="Z66">
            <v>13.01</v>
          </cell>
          <cell r="AA66">
            <v>13.18</v>
          </cell>
          <cell r="AB66">
            <v>13.35</v>
          </cell>
          <cell r="AC66">
            <v>12.93</v>
          </cell>
          <cell r="AD66">
            <v>12.93</v>
          </cell>
          <cell r="AE66">
            <v>13.09</v>
          </cell>
          <cell r="AF66">
            <v>0</v>
          </cell>
          <cell r="AG66">
            <v>17.34</v>
          </cell>
          <cell r="AH66">
            <v>17.34</v>
          </cell>
          <cell r="AI66">
            <v>17.559999999999999</v>
          </cell>
          <cell r="AJ66">
            <v>17.760000000000002</v>
          </cell>
          <cell r="AK66">
            <v>16.350000000000001</v>
          </cell>
          <cell r="AL66">
            <v>17.45</v>
          </cell>
          <cell r="AM66">
            <v>17.45</v>
          </cell>
          <cell r="AN66">
            <v>17.559999999999999</v>
          </cell>
          <cell r="AO66">
            <v>17.989999999999998</v>
          </cell>
          <cell r="AP66">
            <v>17.760000000000002</v>
          </cell>
          <cell r="AQ66">
            <v>17.989999999999998</v>
          </cell>
          <cell r="AR66">
            <v>18.22</v>
          </cell>
          <cell r="AS66">
            <v>18.46</v>
          </cell>
          <cell r="AT66">
            <v>17.87</v>
          </cell>
          <cell r="AU66">
            <v>17.87</v>
          </cell>
          <cell r="AV66">
            <v>18.100000000000001</v>
          </cell>
          <cell r="AX66">
            <v>12.54</v>
          </cell>
          <cell r="AY66">
            <v>17.34</v>
          </cell>
          <cell r="AZ66">
            <v>0.17</v>
          </cell>
          <cell r="BA66">
            <v>0.12</v>
          </cell>
          <cell r="BB66" t="str">
            <v>#_NA</v>
          </cell>
          <cell r="BC66" t="str">
            <v>#_NA</v>
          </cell>
          <cell r="BD66" t="str">
            <v>#_NA</v>
          </cell>
          <cell r="BE66" t="str">
            <v>-</v>
          </cell>
          <cell r="BF66" t="str">
            <v>-</v>
          </cell>
          <cell r="BG66">
            <v>5.6820000000000002E-2</v>
          </cell>
          <cell r="BH66">
            <v>0.68489999999999995</v>
          </cell>
          <cell r="BI66">
            <v>3.73</v>
          </cell>
          <cell r="BJ66" t="str">
            <v>-</v>
          </cell>
          <cell r="BK66">
            <v>0.70079999999999998</v>
          </cell>
          <cell r="BL66">
            <v>3.54</v>
          </cell>
          <cell r="BM66" t="str">
            <v>-</v>
          </cell>
          <cell r="BN66" t="str">
            <v>NÃO</v>
          </cell>
          <cell r="BO66" t="str">
            <v>NÃO</v>
          </cell>
          <cell r="BP66" t="str">
            <v>MS|S|NACIONAL|Sim|Positiva</v>
          </cell>
          <cell r="BR66" t="str">
            <v>TBD</v>
          </cell>
          <cell r="BS66">
            <v>0</v>
          </cell>
          <cell r="BT66" t="str">
            <v>#ERRO</v>
          </cell>
          <cell r="BU66">
            <v>3.54</v>
          </cell>
          <cell r="BV66" t="str">
            <v>-</v>
          </cell>
          <cell r="BX66" t="str">
            <v>TBD</v>
          </cell>
          <cell r="BY66" t="str">
            <v>TBD</v>
          </cell>
          <cell r="BZ66" t="str">
            <v>TBD</v>
          </cell>
          <cell r="CA66" t="str">
            <v>#ERRO</v>
          </cell>
          <cell r="CB66" t="str">
            <v>-</v>
          </cell>
        </row>
        <row r="67">
          <cell r="A67" t="str">
            <v>19882-0</v>
          </cell>
          <cell r="B67" t="str">
            <v>19882-0</v>
          </cell>
          <cell r="C67">
            <v>7896714255019</v>
          </cell>
          <cell r="D67" t="str">
            <v>DESOGESTREL CT BL 28 CPRV</v>
          </cell>
          <cell r="E67" t="str">
            <v>SIM</v>
          </cell>
          <cell r="F67" t="str">
            <v>G</v>
          </cell>
          <cell r="G67" t="str">
            <v>LINHA</v>
          </cell>
          <cell r="H67">
            <v>5</v>
          </cell>
          <cell r="I67">
            <v>60</v>
          </cell>
          <cell r="J67" t="str">
            <v>Monitorado</v>
          </cell>
          <cell r="K67" t="str">
            <v>Positiva</v>
          </cell>
          <cell r="L67" t="str">
            <v>Sim</v>
          </cell>
          <cell r="M67" t="str">
            <v>NACIONAL</v>
          </cell>
          <cell r="N67" t="str">
            <v>NACIONAL</v>
          </cell>
          <cell r="P67">
            <v>27.63</v>
          </cell>
          <cell r="Q67">
            <v>27.63</v>
          </cell>
          <cell r="R67">
            <v>27.96</v>
          </cell>
          <cell r="S67">
            <v>28.31</v>
          </cell>
          <cell r="T67">
            <v>26.06</v>
          </cell>
          <cell r="U67">
            <v>27.79</v>
          </cell>
          <cell r="V67">
            <v>27.79</v>
          </cell>
          <cell r="W67">
            <v>27.96</v>
          </cell>
          <cell r="X67">
            <v>28.66</v>
          </cell>
          <cell r="Y67">
            <v>28.31</v>
          </cell>
          <cell r="Z67">
            <v>28.66</v>
          </cell>
          <cell r="AA67">
            <v>29.03</v>
          </cell>
          <cell r="AB67">
            <v>29.4</v>
          </cell>
          <cell r="AC67">
            <v>28.48</v>
          </cell>
          <cell r="AD67">
            <v>28.48</v>
          </cell>
          <cell r="AE67">
            <v>28.84</v>
          </cell>
          <cell r="AF67">
            <v>0</v>
          </cell>
          <cell r="AG67">
            <v>38.200000000000003</v>
          </cell>
          <cell r="AH67">
            <v>38.200000000000003</v>
          </cell>
          <cell r="AI67">
            <v>38.65</v>
          </cell>
          <cell r="AJ67">
            <v>39.14</v>
          </cell>
          <cell r="AK67">
            <v>36.03</v>
          </cell>
          <cell r="AL67">
            <v>38.42</v>
          </cell>
          <cell r="AM67">
            <v>38.42</v>
          </cell>
          <cell r="AN67">
            <v>38.65</v>
          </cell>
          <cell r="AO67">
            <v>39.619999999999997</v>
          </cell>
          <cell r="AP67">
            <v>39.14</v>
          </cell>
          <cell r="AQ67">
            <v>39.619999999999997</v>
          </cell>
          <cell r="AR67">
            <v>40.130000000000003</v>
          </cell>
          <cell r="AS67">
            <v>40.64</v>
          </cell>
          <cell r="AT67">
            <v>39.369999999999997</v>
          </cell>
          <cell r="AU67">
            <v>39.369999999999997</v>
          </cell>
          <cell r="AV67">
            <v>39.869999999999997</v>
          </cell>
          <cell r="AX67">
            <v>27.63</v>
          </cell>
          <cell r="AY67">
            <v>38.200000000000003</v>
          </cell>
          <cell r="AZ67">
            <v>0.17</v>
          </cell>
          <cell r="BA67">
            <v>0.12</v>
          </cell>
          <cell r="BB67" t="str">
            <v>#_NA</v>
          </cell>
          <cell r="BC67" t="str">
            <v>#_NA</v>
          </cell>
          <cell r="BD67" t="str">
            <v>#_NA</v>
          </cell>
          <cell r="BE67" t="str">
            <v>-</v>
          </cell>
          <cell r="BF67" t="str">
            <v>-</v>
          </cell>
          <cell r="BG67">
            <v>5.6820000000000002E-2</v>
          </cell>
          <cell r="BH67">
            <v>0.62270000000000003</v>
          </cell>
          <cell r="BI67">
            <v>9.83</v>
          </cell>
          <cell r="BJ67" t="str">
            <v>-</v>
          </cell>
          <cell r="BK67">
            <v>0.64070000000000005</v>
          </cell>
          <cell r="BL67">
            <v>9.36</v>
          </cell>
          <cell r="BM67" t="str">
            <v>-</v>
          </cell>
          <cell r="BN67" t="str">
            <v>NÃO</v>
          </cell>
          <cell r="BO67" t="str">
            <v>NÃO</v>
          </cell>
          <cell r="BP67" t="str">
            <v>MS|G|NACIONAL|Sim|Positiva</v>
          </cell>
          <cell r="BR67" t="str">
            <v>TBD</v>
          </cell>
          <cell r="BS67">
            <v>0</v>
          </cell>
          <cell r="BT67" t="str">
            <v>#ERRO</v>
          </cell>
          <cell r="BU67">
            <v>9.36</v>
          </cell>
          <cell r="BV67" t="str">
            <v>-</v>
          </cell>
          <cell r="BX67" t="str">
            <v>TBD</v>
          </cell>
          <cell r="BY67" t="str">
            <v>TBD</v>
          </cell>
          <cell r="BZ67" t="str">
            <v>TBD</v>
          </cell>
          <cell r="CA67" t="str">
            <v>#ERRO</v>
          </cell>
          <cell r="CB67" t="str">
            <v>-</v>
          </cell>
        </row>
        <row r="68">
          <cell r="A68" t="str">
            <v>19883-0</v>
          </cell>
          <cell r="B68" t="str">
            <v>19883-0</v>
          </cell>
          <cell r="C68">
            <v>7896714255026</v>
          </cell>
          <cell r="D68" t="str">
            <v>DESOGESTREL CT BL 84 CPRV</v>
          </cell>
          <cell r="E68" t="str">
            <v>SIM</v>
          </cell>
          <cell r="F68" t="str">
            <v>G</v>
          </cell>
          <cell r="G68" t="str">
            <v>LINHA</v>
          </cell>
          <cell r="H68">
            <v>5</v>
          </cell>
          <cell r="I68">
            <v>60</v>
          </cell>
          <cell r="J68" t="str">
            <v>Monitorado</v>
          </cell>
          <cell r="K68" t="str">
            <v>Positiva</v>
          </cell>
          <cell r="L68" t="str">
            <v>Sim</v>
          </cell>
          <cell r="M68" t="str">
            <v>NACIONAL</v>
          </cell>
          <cell r="N68" t="str">
            <v>NACIONAL</v>
          </cell>
          <cell r="P68">
            <v>66.930000000000007</v>
          </cell>
          <cell r="Q68">
            <v>66.930000000000007</v>
          </cell>
          <cell r="R68">
            <v>67.739999999999995</v>
          </cell>
          <cell r="S68">
            <v>68.58</v>
          </cell>
          <cell r="T68">
            <v>63.13</v>
          </cell>
          <cell r="U68">
            <v>67.33</v>
          </cell>
          <cell r="V68">
            <v>67.33</v>
          </cell>
          <cell r="W68">
            <v>67.739999999999995</v>
          </cell>
          <cell r="X68">
            <v>69.44</v>
          </cell>
          <cell r="Y68">
            <v>68.58</v>
          </cell>
          <cell r="Z68">
            <v>69.44</v>
          </cell>
          <cell r="AA68">
            <v>70.319999999999993</v>
          </cell>
          <cell r="AB68">
            <v>71.22</v>
          </cell>
          <cell r="AC68">
            <v>69.010000000000005</v>
          </cell>
          <cell r="AD68">
            <v>69.010000000000005</v>
          </cell>
          <cell r="AE68">
            <v>69.87</v>
          </cell>
          <cell r="AF68">
            <v>0</v>
          </cell>
          <cell r="AG68">
            <v>92.53</v>
          </cell>
          <cell r="AH68">
            <v>92.53</v>
          </cell>
          <cell r="AI68">
            <v>93.65</v>
          </cell>
          <cell r="AJ68">
            <v>94.81</v>
          </cell>
          <cell r="AK68">
            <v>87.27</v>
          </cell>
          <cell r="AL68">
            <v>93.08</v>
          </cell>
          <cell r="AM68">
            <v>93.08</v>
          </cell>
          <cell r="AN68">
            <v>93.65</v>
          </cell>
          <cell r="AO68">
            <v>96</v>
          </cell>
          <cell r="AP68">
            <v>94.81</v>
          </cell>
          <cell r="AQ68">
            <v>96</v>
          </cell>
          <cell r="AR68">
            <v>97.21</v>
          </cell>
          <cell r="AS68">
            <v>98.46</v>
          </cell>
          <cell r="AT68">
            <v>95.4</v>
          </cell>
          <cell r="AU68">
            <v>95.4</v>
          </cell>
          <cell r="AV68">
            <v>96.59</v>
          </cell>
          <cell r="AX68">
            <v>66.930000000000007</v>
          </cell>
          <cell r="AY68">
            <v>92.53</v>
          </cell>
          <cell r="AZ68">
            <v>0.17</v>
          </cell>
          <cell r="BA68">
            <v>0.12</v>
          </cell>
          <cell r="BB68" t="str">
            <v>#_NA</v>
          </cell>
          <cell r="BC68" t="str">
            <v>#_NA</v>
          </cell>
          <cell r="BD68" t="str">
            <v>#_NA</v>
          </cell>
          <cell r="BE68" t="str">
            <v>-</v>
          </cell>
          <cell r="BF68" t="str">
            <v>-</v>
          </cell>
          <cell r="BG68">
            <v>5.6820000000000002E-2</v>
          </cell>
          <cell r="BH68">
            <v>0.60289999999999999</v>
          </cell>
          <cell r="BI68">
            <v>25.07</v>
          </cell>
          <cell r="BJ68" t="str">
            <v>-</v>
          </cell>
          <cell r="BK68">
            <v>0.622</v>
          </cell>
          <cell r="BL68">
            <v>23.86</v>
          </cell>
          <cell r="BM68" t="str">
            <v>-</v>
          </cell>
          <cell r="BN68" t="str">
            <v>NÃO</v>
          </cell>
          <cell r="BO68" t="str">
            <v>NÃO</v>
          </cell>
          <cell r="BP68" t="str">
            <v>MS|G|NACIONAL|Sim|Positiva</v>
          </cell>
          <cell r="BR68" t="str">
            <v>TBD</v>
          </cell>
          <cell r="BS68">
            <v>0</v>
          </cell>
          <cell r="BT68" t="str">
            <v>#ERRO</v>
          </cell>
          <cell r="BU68">
            <v>23.86</v>
          </cell>
          <cell r="BV68" t="str">
            <v>-</v>
          </cell>
          <cell r="BX68" t="str">
            <v>TBD</v>
          </cell>
          <cell r="BY68" t="str">
            <v>TBD</v>
          </cell>
          <cell r="BZ68" t="str">
            <v>TBD</v>
          </cell>
          <cell r="CA68" t="str">
            <v>#ERRO</v>
          </cell>
          <cell r="CB68" t="str">
            <v>-</v>
          </cell>
        </row>
        <row r="69">
          <cell r="A69" t="str">
            <v>21786-0</v>
          </cell>
          <cell r="B69" t="str">
            <v>21786-0</v>
          </cell>
          <cell r="C69">
            <v>7896714290591</v>
          </cell>
          <cell r="D69" t="str">
            <v>DESRINITE 120MG CT BL AL X 10 CPRV</v>
          </cell>
          <cell r="E69" t="str">
            <v>SIM</v>
          </cell>
          <cell r="F69" t="str">
            <v>S</v>
          </cell>
          <cell r="G69" t="str">
            <v>LANCAMENTOS SMART</v>
          </cell>
          <cell r="H69">
            <v>5</v>
          </cell>
          <cell r="I69">
            <v>24</v>
          </cell>
          <cell r="J69" t="str">
            <v>Liberado</v>
          </cell>
          <cell r="K69" t="str">
            <v>Negativa</v>
          </cell>
          <cell r="L69" t="str">
            <v>Sim</v>
          </cell>
          <cell r="M69" t="str">
            <v>NACIONAL</v>
          </cell>
          <cell r="N69" t="str">
            <v>NACIONAL</v>
          </cell>
          <cell r="P69">
            <v>30.87</v>
          </cell>
          <cell r="Q69">
            <v>35.47</v>
          </cell>
          <cell r="R69">
            <v>35.96</v>
          </cell>
          <cell r="S69">
            <v>36.479999999999997</v>
          </cell>
          <cell r="T69">
            <v>33.17</v>
          </cell>
          <cell r="U69">
            <v>35.71</v>
          </cell>
          <cell r="V69">
            <v>31.06</v>
          </cell>
          <cell r="W69">
            <v>31.25</v>
          </cell>
          <cell r="X69">
            <v>37.01</v>
          </cell>
          <cell r="Y69">
            <v>31.64</v>
          </cell>
          <cell r="Z69">
            <v>32.03</v>
          </cell>
          <cell r="AA69">
            <v>37.549999999999997</v>
          </cell>
          <cell r="AB69">
            <v>38.11</v>
          </cell>
          <cell r="AC69">
            <v>36.74</v>
          </cell>
          <cell r="AD69">
            <v>31.83</v>
          </cell>
          <cell r="AE69">
            <v>37.28</v>
          </cell>
          <cell r="AF69">
            <v>0</v>
          </cell>
          <cell r="AG69">
            <v>42.68</v>
          </cell>
          <cell r="AH69">
            <v>47.28</v>
          </cell>
          <cell r="AI69">
            <v>47.91</v>
          </cell>
          <cell r="AJ69">
            <v>48.58</v>
          </cell>
          <cell r="AK69">
            <v>44.31</v>
          </cell>
          <cell r="AL69">
            <v>47.59</v>
          </cell>
          <cell r="AM69">
            <v>42.94</v>
          </cell>
          <cell r="AN69">
            <v>43.2</v>
          </cell>
          <cell r="AO69">
            <v>49.26</v>
          </cell>
          <cell r="AP69">
            <v>43.74</v>
          </cell>
          <cell r="AQ69">
            <v>44.28</v>
          </cell>
          <cell r="AR69">
            <v>49.96</v>
          </cell>
          <cell r="AS69">
            <v>50.67</v>
          </cell>
          <cell r="AT69">
            <v>48.91</v>
          </cell>
          <cell r="AU69">
            <v>44</v>
          </cell>
          <cell r="AV69">
            <v>49.61</v>
          </cell>
          <cell r="AX69">
            <v>35.47</v>
          </cell>
          <cell r="AY69">
            <v>47.28</v>
          </cell>
          <cell r="AZ69">
            <v>0.17</v>
          </cell>
          <cell r="BA69">
            <v>0.12</v>
          </cell>
          <cell r="BB69" t="str">
            <v>#_NA</v>
          </cell>
          <cell r="BC69" t="str">
            <v>#_NA</v>
          </cell>
          <cell r="BD69" t="str">
            <v>#_NA</v>
          </cell>
          <cell r="BE69" t="str">
            <v>-</v>
          </cell>
          <cell r="BF69" t="str">
            <v>-</v>
          </cell>
          <cell r="BG69">
            <v>5.6820000000000002E-2</v>
          </cell>
          <cell r="BH69">
            <v>0.5413</v>
          </cell>
          <cell r="BI69">
            <v>15.34</v>
          </cell>
          <cell r="BJ69" t="str">
            <v>-</v>
          </cell>
          <cell r="BK69">
            <v>0.62219999999999998</v>
          </cell>
          <cell r="BL69">
            <v>12.64</v>
          </cell>
          <cell r="BM69" t="str">
            <v>-</v>
          </cell>
          <cell r="BN69" t="str">
            <v>NÃO</v>
          </cell>
          <cell r="BO69" t="str">
            <v>NÃO</v>
          </cell>
          <cell r="BP69" t="str">
            <v>MS|S|NACIONAL|Sim|Negativa</v>
          </cell>
          <cell r="BR69" t="str">
            <v>TBD</v>
          </cell>
          <cell r="BS69">
            <v>0</v>
          </cell>
          <cell r="BT69" t="str">
            <v>#ERRO</v>
          </cell>
          <cell r="BU69">
            <v>12.64</v>
          </cell>
          <cell r="BV69" t="str">
            <v>-</v>
          </cell>
          <cell r="BX69" t="str">
            <v>TBD</v>
          </cell>
          <cell r="BY69" t="str">
            <v>TBD</v>
          </cell>
          <cell r="BZ69" t="str">
            <v>TBD</v>
          </cell>
          <cell r="CA69" t="str">
            <v>#ERRO</v>
          </cell>
          <cell r="CB69" t="str">
            <v>-</v>
          </cell>
        </row>
        <row r="70">
          <cell r="A70" t="str">
            <v>21785-0</v>
          </cell>
          <cell r="B70" t="str">
            <v>21785-0</v>
          </cell>
          <cell r="C70">
            <v>7896714290584</v>
          </cell>
          <cell r="D70" t="str">
            <v>DESRINITE 180MG CT BL AL X 10 CPRV</v>
          </cell>
          <cell r="E70" t="str">
            <v>SIM</v>
          </cell>
          <cell r="F70" t="str">
            <v>S</v>
          </cell>
          <cell r="G70" t="str">
            <v>LANCAMENTOS SMART</v>
          </cell>
          <cell r="H70">
            <v>5</v>
          </cell>
          <cell r="I70">
            <v>24</v>
          </cell>
          <cell r="J70" t="str">
            <v>Liberado</v>
          </cell>
          <cell r="K70" t="str">
            <v>Negativa</v>
          </cell>
          <cell r="L70" t="str">
            <v>Sim</v>
          </cell>
          <cell r="M70" t="str">
            <v>NACIONAL</v>
          </cell>
          <cell r="N70" t="str">
            <v>NACIONAL</v>
          </cell>
          <cell r="P70">
            <v>46.25</v>
          </cell>
          <cell r="Q70">
            <v>53.12</v>
          </cell>
          <cell r="R70">
            <v>53.87</v>
          </cell>
          <cell r="S70">
            <v>54.64</v>
          </cell>
          <cell r="T70">
            <v>49.68</v>
          </cell>
          <cell r="U70">
            <v>53.49</v>
          </cell>
          <cell r="V70">
            <v>46.53</v>
          </cell>
          <cell r="W70">
            <v>46.81</v>
          </cell>
          <cell r="X70">
            <v>55.43</v>
          </cell>
          <cell r="Y70">
            <v>47.39</v>
          </cell>
          <cell r="Z70">
            <v>47.98</v>
          </cell>
          <cell r="AA70">
            <v>56.25</v>
          </cell>
          <cell r="AB70">
            <v>57.08</v>
          </cell>
          <cell r="AC70">
            <v>55.03</v>
          </cell>
          <cell r="AD70">
            <v>47.68</v>
          </cell>
          <cell r="AE70">
            <v>55.84</v>
          </cell>
          <cell r="AF70">
            <v>0</v>
          </cell>
          <cell r="AG70">
            <v>63.94</v>
          </cell>
          <cell r="AH70">
            <v>70.8</v>
          </cell>
          <cell r="AI70">
            <v>71.77</v>
          </cell>
          <cell r="AJ70">
            <v>72.760000000000005</v>
          </cell>
          <cell r="AK70">
            <v>66.36</v>
          </cell>
          <cell r="AL70">
            <v>71.28</v>
          </cell>
          <cell r="AM70">
            <v>64.319999999999993</v>
          </cell>
          <cell r="AN70">
            <v>64.709999999999994</v>
          </cell>
          <cell r="AO70">
            <v>73.78</v>
          </cell>
          <cell r="AP70">
            <v>65.510000000000005</v>
          </cell>
          <cell r="AQ70">
            <v>66.33</v>
          </cell>
          <cell r="AR70">
            <v>74.83</v>
          </cell>
          <cell r="AS70">
            <v>75.900000000000006</v>
          </cell>
          <cell r="AT70">
            <v>73.260000000000005</v>
          </cell>
          <cell r="AU70">
            <v>65.91</v>
          </cell>
          <cell r="AV70">
            <v>74.31</v>
          </cell>
          <cell r="AX70">
            <v>53.12</v>
          </cell>
          <cell r="AY70">
            <v>70.8</v>
          </cell>
          <cell r="AZ70">
            <v>0.17</v>
          </cell>
          <cell r="BA70">
            <v>0.12</v>
          </cell>
          <cell r="BB70" t="str">
            <v>#_NA</v>
          </cell>
          <cell r="BC70" t="str">
            <v>#_NA</v>
          </cell>
          <cell r="BD70" t="str">
            <v>#_NA</v>
          </cell>
          <cell r="BE70" t="str">
            <v>-</v>
          </cell>
          <cell r="BF70" t="str">
            <v>-</v>
          </cell>
          <cell r="BG70">
            <v>5.6820000000000002E-2</v>
          </cell>
          <cell r="BH70">
            <v>0.57540000000000002</v>
          </cell>
          <cell r="BI70">
            <v>21.27</v>
          </cell>
          <cell r="BJ70" t="str">
            <v>-</v>
          </cell>
          <cell r="BK70">
            <v>0.65</v>
          </cell>
          <cell r="BL70">
            <v>17.54</v>
          </cell>
          <cell r="BM70" t="str">
            <v>-</v>
          </cell>
          <cell r="BN70" t="str">
            <v>NÃO</v>
          </cell>
          <cell r="BO70" t="str">
            <v>NÃO</v>
          </cell>
          <cell r="BP70" t="str">
            <v>MS|S|NACIONAL|Sim|Negativa</v>
          </cell>
          <cell r="BR70" t="str">
            <v>TBD</v>
          </cell>
          <cell r="BS70">
            <v>0</v>
          </cell>
          <cell r="BT70" t="str">
            <v>#ERRO</v>
          </cell>
          <cell r="BU70">
            <v>17.54</v>
          </cell>
          <cell r="BV70" t="str">
            <v>-</v>
          </cell>
          <cell r="BX70" t="str">
            <v>TBD</v>
          </cell>
          <cell r="BY70" t="str">
            <v>TBD</v>
          </cell>
          <cell r="BZ70" t="str">
            <v>TBD</v>
          </cell>
          <cell r="CA70" t="str">
            <v>#ERRO</v>
          </cell>
          <cell r="CB70" t="str">
            <v>-</v>
          </cell>
        </row>
        <row r="71">
          <cell r="A71" t="str">
            <v>12517-0</v>
          </cell>
          <cell r="B71" t="str">
            <v>12517-0</v>
          </cell>
          <cell r="C71">
            <v>7896714232980</v>
          </cell>
          <cell r="D71" t="str">
            <v>DIAZEPAM 10MG B-1 COMP CT BL 2X15</v>
          </cell>
          <cell r="E71" t="str">
            <v>SIM</v>
          </cell>
          <cell r="F71" t="str">
            <v>G</v>
          </cell>
          <cell r="G71" t="str">
            <v>LINHA</v>
          </cell>
          <cell r="H71">
            <v>5</v>
          </cell>
          <cell r="I71">
            <v>60</v>
          </cell>
          <cell r="J71" t="str">
            <v>Monitorado</v>
          </cell>
          <cell r="K71" t="str">
            <v>Positiva</v>
          </cell>
          <cell r="L71" t="str">
            <v>Sim</v>
          </cell>
          <cell r="M71" t="str">
            <v>NACIONAL</v>
          </cell>
          <cell r="N71" t="str">
            <v>NACIONAL</v>
          </cell>
          <cell r="P71">
            <v>15.51</v>
          </cell>
          <cell r="Q71">
            <v>15.51</v>
          </cell>
          <cell r="R71">
            <v>15.7</v>
          </cell>
          <cell r="S71">
            <v>15.89</v>
          </cell>
          <cell r="T71">
            <v>14.63</v>
          </cell>
          <cell r="U71">
            <v>15.6</v>
          </cell>
          <cell r="V71">
            <v>15.6</v>
          </cell>
          <cell r="W71">
            <v>15.7</v>
          </cell>
          <cell r="X71">
            <v>16.09</v>
          </cell>
          <cell r="Y71">
            <v>15.89</v>
          </cell>
          <cell r="Z71">
            <v>16.09</v>
          </cell>
          <cell r="AA71">
            <v>16.29</v>
          </cell>
          <cell r="AB71">
            <v>16.5</v>
          </cell>
          <cell r="AC71">
            <v>15.99</v>
          </cell>
          <cell r="AD71">
            <v>15.99</v>
          </cell>
          <cell r="AE71">
            <v>16.190000000000001</v>
          </cell>
          <cell r="AF71">
            <v>0</v>
          </cell>
          <cell r="AG71">
            <v>21.44</v>
          </cell>
          <cell r="AH71">
            <v>21.44</v>
          </cell>
          <cell r="AI71">
            <v>21.7</v>
          </cell>
          <cell r="AJ71">
            <v>21.97</v>
          </cell>
          <cell r="AK71">
            <v>20.23</v>
          </cell>
          <cell r="AL71">
            <v>21.57</v>
          </cell>
          <cell r="AM71">
            <v>21.57</v>
          </cell>
          <cell r="AN71">
            <v>21.7</v>
          </cell>
          <cell r="AO71">
            <v>22.24</v>
          </cell>
          <cell r="AP71">
            <v>21.97</v>
          </cell>
          <cell r="AQ71">
            <v>22.24</v>
          </cell>
          <cell r="AR71">
            <v>22.52</v>
          </cell>
          <cell r="AS71">
            <v>22.81</v>
          </cell>
          <cell r="AT71">
            <v>22.11</v>
          </cell>
          <cell r="AU71">
            <v>22.11</v>
          </cell>
          <cell r="AV71">
            <v>22.38</v>
          </cell>
          <cell r="AX71">
            <v>15.51</v>
          </cell>
          <cell r="AY71">
            <v>21.44</v>
          </cell>
          <cell r="AZ71">
            <v>0.17</v>
          </cell>
          <cell r="BA71">
            <v>0.12</v>
          </cell>
          <cell r="BB71" t="str">
            <v>#_NA</v>
          </cell>
          <cell r="BC71" t="str">
            <v>#_NA</v>
          </cell>
          <cell r="BD71" t="str">
            <v>#_NA</v>
          </cell>
          <cell r="BE71" t="str">
            <v>-</v>
          </cell>
          <cell r="BF71" t="str">
            <v>-</v>
          </cell>
          <cell r="BG71">
            <v>5.6820000000000002E-2</v>
          </cell>
          <cell r="BH71">
            <v>0.71220000000000006</v>
          </cell>
          <cell r="BI71">
            <v>4.21</v>
          </cell>
          <cell r="BJ71" t="str">
            <v>-</v>
          </cell>
          <cell r="BK71">
            <v>0.72660000000000002</v>
          </cell>
          <cell r="BL71">
            <v>4</v>
          </cell>
          <cell r="BM71" t="str">
            <v>-</v>
          </cell>
          <cell r="BN71" t="str">
            <v>NÃO</v>
          </cell>
          <cell r="BO71" t="str">
            <v>NÃO</v>
          </cell>
          <cell r="BP71" t="str">
            <v>MS|G|NACIONAL|Sim|Positiva</v>
          </cell>
          <cell r="BR71" t="str">
            <v>TBD</v>
          </cell>
          <cell r="BS71">
            <v>0</v>
          </cell>
          <cell r="BT71" t="str">
            <v>#ERRO</v>
          </cell>
          <cell r="BU71">
            <v>4</v>
          </cell>
          <cell r="BV71" t="str">
            <v>-</v>
          </cell>
          <cell r="BX71" t="str">
            <v>TBD</v>
          </cell>
          <cell r="BY71" t="str">
            <v>TBD</v>
          </cell>
          <cell r="BZ71" t="str">
            <v>TBD</v>
          </cell>
          <cell r="CA71" t="str">
            <v>#ERRO</v>
          </cell>
          <cell r="CB71" t="str">
            <v>-</v>
          </cell>
        </row>
        <row r="72">
          <cell r="A72" t="str">
            <v>12516-0</v>
          </cell>
          <cell r="B72" t="str">
            <v>12516-0</v>
          </cell>
          <cell r="C72">
            <v>7896714232966</v>
          </cell>
          <cell r="D72" t="str">
            <v>DIAZEPAM 5MG B-1 COMP CT BL 1X30</v>
          </cell>
          <cell r="E72" t="str">
            <v>SIM</v>
          </cell>
          <cell r="F72" t="str">
            <v>G</v>
          </cell>
          <cell r="G72" t="str">
            <v>LINHA</v>
          </cell>
          <cell r="H72">
            <v>5</v>
          </cell>
          <cell r="I72">
            <v>60</v>
          </cell>
          <cell r="J72" t="str">
            <v>Monitorado</v>
          </cell>
          <cell r="K72" t="str">
            <v>Positiva</v>
          </cell>
          <cell r="L72" t="str">
            <v>Sim</v>
          </cell>
          <cell r="M72" t="str">
            <v>NACIONAL</v>
          </cell>
          <cell r="N72" t="str">
            <v>NACIONAL</v>
          </cell>
          <cell r="P72">
            <v>11.47</v>
          </cell>
          <cell r="Q72">
            <v>11.47</v>
          </cell>
          <cell r="R72">
            <v>11.61</v>
          </cell>
          <cell r="S72">
            <v>11.75</v>
          </cell>
          <cell r="T72">
            <v>10.82</v>
          </cell>
          <cell r="U72">
            <v>11.54</v>
          </cell>
          <cell r="V72">
            <v>11.54</v>
          </cell>
          <cell r="W72">
            <v>11.61</v>
          </cell>
          <cell r="X72">
            <v>11.9</v>
          </cell>
          <cell r="Y72">
            <v>11.75</v>
          </cell>
          <cell r="Z72">
            <v>11.9</v>
          </cell>
          <cell r="AA72">
            <v>12.05</v>
          </cell>
          <cell r="AB72">
            <v>12.21</v>
          </cell>
          <cell r="AC72">
            <v>11.83</v>
          </cell>
          <cell r="AD72">
            <v>11.83</v>
          </cell>
          <cell r="AE72">
            <v>11.97</v>
          </cell>
          <cell r="AF72">
            <v>0</v>
          </cell>
          <cell r="AG72">
            <v>15.86</v>
          </cell>
          <cell r="AH72">
            <v>15.86</v>
          </cell>
          <cell r="AI72">
            <v>16.05</v>
          </cell>
          <cell r="AJ72">
            <v>16.239999999999998</v>
          </cell>
          <cell r="AK72">
            <v>14.96</v>
          </cell>
          <cell r="AL72">
            <v>15.95</v>
          </cell>
          <cell r="AM72">
            <v>15.95</v>
          </cell>
          <cell r="AN72">
            <v>16.05</v>
          </cell>
          <cell r="AO72">
            <v>16.45</v>
          </cell>
          <cell r="AP72">
            <v>16.239999999999998</v>
          </cell>
          <cell r="AQ72">
            <v>16.45</v>
          </cell>
          <cell r="AR72">
            <v>16.66</v>
          </cell>
          <cell r="AS72">
            <v>16.88</v>
          </cell>
          <cell r="AT72">
            <v>16.350000000000001</v>
          </cell>
          <cell r="AU72">
            <v>16.350000000000001</v>
          </cell>
          <cell r="AV72">
            <v>16.55</v>
          </cell>
          <cell r="AX72">
            <v>11.47</v>
          </cell>
          <cell r="AY72">
            <v>15.86</v>
          </cell>
          <cell r="AZ72">
            <v>0.17</v>
          </cell>
          <cell r="BA72">
            <v>0.12</v>
          </cell>
          <cell r="BB72" t="str">
            <v>#_NA</v>
          </cell>
          <cell r="BC72" t="str">
            <v>#_NA</v>
          </cell>
          <cell r="BD72" t="str">
            <v>#_NA</v>
          </cell>
          <cell r="BE72" t="str">
            <v>-</v>
          </cell>
          <cell r="BF72" t="str">
            <v>-</v>
          </cell>
          <cell r="BG72">
            <v>5.6820000000000002E-2</v>
          </cell>
          <cell r="BH72">
            <v>0.78359999999999996</v>
          </cell>
          <cell r="BI72">
            <v>2.34</v>
          </cell>
          <cell r="BJ72" t="str">
            <v>-</v>
          </cell>
          <cell r="BK72">
            <v>0.79390000000000005</v>
          </cell>
          <cell r="BL72">
            <v>2.23</v>
          </cell>
          <cell r="BM72" t="str">
            <v>-</v>
          </cell>
          <cell r="BN72" t="str">
            <v>NÃO</v>
          </cell>
          <cell r="BO72" t="str">
            <v>NÃO</v>
          </cell>
          <cell r="BP72" t="str">
            <v>MS|G|NACIONAL|Sim|Positiva</v>
          </cell>
          <cell r="BR72" t="str">
            <v>TBD</v>
          </cell>
          <cell r="BS72">
            <v>0</v>
          </cell>
          <cell r="BT72" t="str">
            <v>#ERRO</v>
          </cell>
          <cell r="BU72">
            <v>2.23</v>
          </cell>
          <cell r="BV72" t="str">
            <v>-</v>
          </cell>
          <cell r="BX72" t="str">
            <v>TBD</v>
          </cell>
          <cell r="BY72" t="str">
            <v>TBD</v>
          </cell>
          <cell r="BZ72" t="str">
            <v>TBD</v>
          </cell>
          <cell r="CA72" t="str">
            <v>#ERRO</v>
          </cell>
          <cell r="CB72" t="str">
            <v>-</v>
          </cell>
        </row>
        <row r="73">
          <cell r="A73" t="str">
            <v>12417-0</v>
          </cell>
          <cell r="B73" t="str">
            <v>12417-0</v>
          </cell>
          <cell r="C73">
            <v>7896714204413</v>
          </cell>
          <cell r="D73" t="str">
            <v>DICLO DIETILAMONIO 11,6MG/G GEL 1X60G</v>
          </cell>
          <cell r="E73" t="str">
            <v>SIM</v>
          </cell>
          <cell r="F73" t="str">
            <v>G</v>
          </cell>
          <cell r="G73" t="str">
            <v>LINHA</v>
          </cell>
          <cell r="H73">
            <v>5</v>
          </cell>
          <cell r="I73">
            <v>60</v>
          </cell>
          <cell r="J73" t="str">
            <v>Liberado</v>
          </cell>
          <cell r="K73" t="str">
            <v>Negativa</v>
          </cell>
          <cell r="L73" t="str">
            <v>Sim</v>
          </cell>
          <cell r="M73" t="str">
            <v>NACIONAL</v>
          </cell>
          <cell r="N73" t="str">
            <v>NACIONAL</v>
          </cell>
          <cell r="P73">
            <v>12.26</v>
          </cell>
          <cell r="Q73">
            <v>14.09</v>
          </cell>
          <cell r="R73">
            <v>14.29</v>
          </cell>
          <cell r="S73">
            <v>14.49</v>
          </cell>
          <cell r="T73">
            <v>13.17</v>
          </cell>
          <cell r="U73">
            <v>14.19</v>
          </cell>
          <cell r="V73">
            <v>12.34</v>
          </cell>
          <cell r="W73">
            <v>12.41</v>
          </cell>
          <cell r="X73">
            <v>14.7</v>
          </cell>
          <cell r="Y73">
            <v>12.57</v>
          </cell>
          <cell r="Z73">
            <v>12.72</v>
          </cell>
          <cell r="AA73">
            <v>14.91</v>
          </cell>
          <cell r="AB73">
            <v>15.14</v>
          </cell>
          <cell r="AC73">
            <v>14.59</v>
          </cell>
          <cell r="AD73">
            <v>12.64</v>
          </cell>
          <cell r="AE73">
            <v>14.81</v>
          </cell>
          <cell r="AF73">
            <v>0</v>
          </cell>
          <cell r="AG73">
            <v>16.95</v>
          </cell>
          <cell r="AH73">
            <v>18.78</v>
          </cell>
          <cell r="AI73">
            <v>19.04</v>
          </cell>
          <cell r="AJ73">
            <v>19.3</v>
          </cell>
          <cell r="AK73">
            <v>17.59</v>
          </cell>
          <cell r="AL73">
            <v>18.91</v>
          </cell>
          <cell r="AM73">
            <v>17.059999999999999</v>
          </cell>
          <cell r="AN73">
            <v>17.16</v>
          </cell>
          <cell r="AO73">
            <v>19.57</v>
          </cell>
          <cell r="AP73">
            <v>17.38</v>
          </cell>
          <cell r="AQ73">
            <v>17.579999999999998</v>
          </cell>
          <cell r="AR73">
            <v>19.84</v>
          </cell>
          <cell r="AS73">
            <v>20.13</v>
          </cell>
          <cell r="AT73">
            <v>19.420000000000002</v>
          </cell>
          <cell r="AU73">
            <v>17.47</v>
          </cell>
          <cell r="AV73">
            <v>19.71</v>
          </cell>
          <cell r="AX73">
            <v>14.09</v>
          </cell>
          <cell r="AY73">
            <v>18.78</v>
          </cell>
          <cell r="AZ73">
            <v>0.17</v>
          </cell>
          <cell r="BA73">
            <v>0.12</v>
          </cell>
          <cell r="BB73" t="str">
            <v>#_NA</v>
          </cell>
          <cell r="BC73" t="str">
            <v>#_NA</v>
          </cell>
          <cell r="BD73" t="str">
            <v>#_NA</v>
          </cell>
          <cell r="BE73" t="str">
            <v>-</v>
          </cell>
          <cell r="BF73" t="str">
            <v>-</v>
          </cell>
          <cell r="BG73">
            <v>5.6820000000000002E-2</v>
          </cell>
          <cell r="BH73">
            <v>0.56330000000000002</v>
          </cell>
          <cell r="BI73">
            <v>5.8</v>
          </cell>
          <cell r="BJ73" t="str">
            <v>-</v>
          </cell>
          <cell r="BK73">
            <v>0.64039999999999997</v>
          </cell>
          <cell r="BL73">
            <v>4.78</v>
          </cell>
          <cell r="BM73" t="str">
            <v>-</v>
          </cell>
          <cell r="BN73" t="str">
            <v>NÃO</v>
          </cell>
          <cell r="BO73" t="str">
            <v>NÃO</v>
          </cell>
          <cell r="BP73" t="str">
            <v>MS|G|NACIONAL|Sim|Negativa</v>
          </cell>
          <cell r="BR73" t="str">
            <v>TBD</v>
          </cell>
          <cell r="BS73">
            <v>0</v>
          </cell>
          <cell r="BT73" t="str">
            <v>#ERRO</v>
          </cell>
          <cell r="BU73">
            <v>4.78</v>
          </cell>
          <cell r="BV73" t="str">
            <v>-</v>
          </cell>
          <cell r="BX73" t="str">
            <v>TBD</v>
          </cell>
          <cell r="BY73" t="str">
            <v>TBD</v>
          </cell>
          <cell r="BZ73" t="str">
            <v>TBD</v>
          </cell>
          <cell r="CA73" t="str">
            <v>#ERRO</v>
          </cell>
          <cell r="CB73" t="str">
            <v>-</v>
          </cell>
        </row>
        <row r="74">
          <cell r="A74" t="str">
            <v>14090-0</v>
          </cell>
          <cell r="B74" t="str">
            <v>14090-0</v>
          </cell>
          <cell r="C74">
            <v>7896714221519</v>
          </cell>
          <cell r="D74" t="str">
            <v>DICLOFENACO SOD 50MG COMP REV CT BL 1X20</v>
          </cell>
          <cell r="E74" t="str">
            <v>SIM</v>
          </cell>
          <cell r="F74" t="str">
            <v>G</v>
          </cell>
          <cell r="G74" t="str">
            <v>LINHA</v>
          </cell>
          <cell r="H74">
            <v>5</v>
          </cell>
          <cell r="I74">
            <v>60</v>
          </cell>
          <cell r="J74" t="str">
            <v>Monitorado</v>
          </cell>
          <cell r="K74" t="str">
            <v>Positiva</v>
          </cell>
          <cell r="L74" t="str">
            <v>Sim</v>
          </cell>
          <cell r="M74" t="str">
            <v>NACIONAL</v>
          </cell>
          <cell r="N74" t="str">
            <v>NACIONAL</v>
          </cell>
          <cell r="P74">
            <v>20.48</v>
          </cell>
          <cell r="Q74">
            <v>20.48</v>
          </cell>
          <cell r="R74">
            <v>20.73</v>
          </cell>
          <cell r="S74">
            <v>20.99</v>
          </cell>
          <cell r="T74">
            <v>19.32</v>
          </cell>
          <cell r="U74">
            <v>20.61</v>
          </cell>
          <cell r="V74">
            <v>20.61</v>
          </cell>
          <cell r="W74">
            <v>20.73</v>
          </cell>
          <cell r="X74">
            <v>21.25</v>
          </cell>
          <cell r="Y74">
            <v>20.99</v>
          </cell>
          <cell r="Z74">
            <v>21.25</v>
          </cell>
          <cell r="AA74">
            <v>21.52</v>
          </cell>
          <cell r="AB74">
            <v>21.79</v>
          </cell>
          <cell r="AC74">
            <v>21.12</v>
          </cell>
          <cell r="AD74">
            <v>21.12</v>
          </cell>
          <cell r="AE74">
            <v>21.38</v>
          </cell>
          <cell r="AF74">
            <v>0</v>
          </cell>
          <cell r="AG74">
            <v>28.31</v>
          </cell>
          <cell r="AH74">
            <v>28.31</v>
          </cell>
          <cell r="AI74">
            <v>28.66</v>
          </cell>
          <cell r="AJ74">
            <v>29.02</v>
          </cell>
          <cell r="AK74">
            <v>26.71</v>
          </cell>
          <cell r="AL74">
            <v>28.49</v>
          </cell>
          <cell r="AM74">
            <v>28.49</v>
          </cell>
          <cell r="AN74">
            <v>28.66</v>
          </cell>
          <cell r="AO74">
            <v>29.38</v>
          </cell>
          <cell r="AP74">
            <v>29.02</v>
          </cell>
          <cell r="AQ74">
            <v>29.38</v>
          </cell>
          <cell r="AR74">
            <v>29.75</v>
          </cell>
          <cell r="AS74">
            <v>30.12</v>
          </cell>
          <cell r="AT74">
            <v>29.2</v>
          </cell>
          <cell r="AU74">
            <v>29.2</v>
          </cell>
          <cell r="AV74">
            <v>29.56</v>
          </cell>
          <cell r="AX74">
            <v>20.48</v>
          </cell>
          <cell r="AY74">
            <v>28.31</v>
          </cell>
          <cell r="AZ74">
            <v>0.17</v>
          </cell>
          <cell r="BA74">
            <v>0.12</v>
          </cell>
          <cell r="BB74" t="str">
            <v>#_NA</v>
          </cell>
          <cell r="BC74" t="str">
            <v>#_NA</v>
          </cell>
          <cell r="BD74" t="str">
            <v>#_NA</v>
          </cell>
          <cell r="BE74" t="str">
            <v>-</v>
          </cell>
          <cell r="BF74" t="str">
            <v>-</v>
          </cell>
          <cell r="BG74">
            <v>5.6820000000000002E-2</v>
          </cell>
          <cell r="BH74">
            <v>0.89570000000000005</v>
          </cell>
          <cell r="BI74">
            <v>2.02</v>
          </cell>
          <cell r="BJ74" t="str">
            <v>-</v>
          </cell>
          <cell r="BK74">
            <v>0.90059999999999996</v>
          </cell>
          <cell r="BL74">
            <v>1.92</v>
          </cell>
          <cell r="BM74" t="str">
            <v>-</v>
          </cell>
          <cell r="BN74" t="str">
            <v>NÃO</v>
          </cell>
          <cell r="BO74" t="str">
            <v>NÃO</v>
          </cell>
          <cell r="BP74" t="str">
            <v>MS|G|NACIONAL|Sim|Positiva</v>
          </cell>
          <cell r="BR74" t="str">
            <v>TBD</v>
          </cell>
          <cell r="BS74">
            <v>0</v>
          </cell>
          <cell r="BT74" t="str">
            <v>#ERRO</v>
          </cell>
          <cell r="BU74">
            <v>1.92</v>
          </cell>
          <cell r="BV74" t="str">
            <v>-</v>
          </cell>
          <cell r="BX74" t="str">
            <v>TBD</v>
          </cell>
          <cell r="BY74" t="str">
            <v>TBD</v>
          </cell>
          <cell r="BZ74" t="str">
            <v>TBD</v>
          </cell>
          <cell r="CA74" t="str">
            <v>#ERRO</v>
          </cell>
          <cell r="CB74" t="str">
            <v>-</v>
          </cell>
        </row>
        <row r="75">
          <cell r="A75" t="str">
            <v>17839-0</v>
          </cell>
          <cell r="B75" t="str">
            <v>17839-0</v>
          </cell>
          <cell r="C75">
            <v>7898095343125</v>
          </cell>
          <cell r="D75" t="str">
            <v>DIP BET+FOS BET INJ 1X1ML S/SERINGA</v>
          </cell>
          <cell r="E75" t="str">
            <v>SIM</v>
          </cell>
          <cell r="F75" t="str">
            <v>G</v>
          </cell>
          <cell r="G75" t="str">
            <v>LINHA</v>
          </cell>
          <cell r="H75">
            <v>5</v>
          </cell>
          <cell r="I75">
            <v>90</v>
          </cell>
          <cell r="J75" t="str">
            <v>Monitorado</v>
          </cell>
          <cell r="K75" t="str">
            <v>Positiva</v>
          </cell>
          <cell r="L75" t="str">
            <v>Sim</v>
          </cell>
          <cell r="M75" t="str">
            <v>NACIONAL</v>
          </cell>
          <cell r="N75" t="str">
            <v>NACIONAL</v>
          </cell>
          <cell r="P75">
            <v>20.93</v>
          </cell>
          <cell r="Q75">
            <v>20.93</v>
          </cell>
          <cell r="R75">
            <v>21.18</v>
          </cell>
          <cell r="S75">
            <v>21.44</v>
          </cell>
          <cell r="T75">
            <v>19.739999999999998</v>
          </cell>
          <cell r="U75">
            <v>21.05</v>
          </cell>
          <cell r="V75">
            <v>21.05</v>
          </cell>
          <cell r="W75">
            <v>21.18</v>
          </cell>
          <cell r="X75">
            <v>21.71</v>
          </cell>
          <cell r="Y75">
            <v>21.44</v>
          </cell>
          <cell r="Z75">
            <v>21.71</v>
          </cell>
          <cell r="AA75">
            <v>21.99</v>
          </cell>
          <cell r="AB75">
            <v>22.27</v>
          </cell>
          <cell r="AC75">
            <v>21.58</v>
          </cell>
          <cell r="AD75">
            <v>21.58</v>
          </cell>
          <cell r="AE75">
            <v>21.85</v>
          </cell>
          <cell r="AF75">
            <v>0</v>
          </cell>
          <cell r="AG75">
            <v>28.93</v>
          </cell>
          <cell r="AH75">
            <v>28.93</v>
          </cell>
          <cell r="AI75">
            <v>29.28</v>
          </cell>
          <cell r="AJ75">
            <v>29.64</v>
          </cell>
          <cell r="AK75">
            <v>27.29</v>
          </cell>
          <cell r="AL75">
            <v>29.1</v>
          </cell>
          <cell r="AM75">
            <v>29.1</v>
          </cell>
          <cell r="AN75">
            <v>29.28</v>
          </cell>
          <cell r="AO75">
            <v>30.01</v>
          </cell>
          <cell r="AP75">
            <v>29.64</v>
          </cell>
          <cell r="AQ75">
            <v>30.01</v>
          </cell>
          <cell r="AR75">
            <v>30.4</v>
          </cell>
          <cell r="AS75">
            <v>30.79</v>
          </cell>
          <cell r="AT75">
            <v>29.83</v>
          </cell>
          <cell r="AU75">
            <v>29.83</v>
          </cell>
          <cell r="AV75">
            <v>30.21</v>
          </cell>
          <cell r="AX75">
            <v>20.93</v>
          </cell>
          <cell r="AY75">
            <v>28.93</v>
          </cell>
          <cell r="AZ75">
            <v>0.17</v>
          </cell>
          <cell r="BA75">
            <v>0.12</v>
          </cell>
          <cell r="BB75" t="str">
            <v>#_NA</v>
          </cell>
          <cell r="BC75" t="str">
            <v>#_NA</v>
          </cell>
          <cell r="BD75" t="str">
            <v>#_NA</v>
          </cell>
          <cell r="BE75" t="str">
            <v>-</v>
          </cell>
          <cell r="BF75" t="str">
            <v>-</v>
          </cell>
          <cell r="BG75">
            <v>5.6820000000000002E-2</v>
          </cell>
          <cell r="BH75">
            <v>0.79630000000000001</v>
          </cell>
          <cell r="BI75">
            <v>4.0199999999999996</v>
          </cell>
          <cell r="BJ75" t="str">
            <v>-</v>
          </cell>
          <cell r="BK75">
            <v>0.80649999999999999</v>
          </cell>
          <cell r="BL75">
            <v>3.82</v>
          </cell>
          <cell r="BM75" t="str">
            <v>-</v>
          </cell>
          <cell r="BN75" t="str">
            <v>NÃO</v>
          </cell>
          <cell r="BO75" t="str">
            <v>NÃO</v>
          </cell>
          <cell r="BP75" t="str">
            <v>MS|G|NACIONAL|Sim|Positiva</v>
          </cell>
          <cell r="BR75" t="str">
            <v>TBD</v>
          </cell>
          <cell r="BS75">
            <v>0</v>
          </cell>
          <cell r="BT75" t="str">
            <v>#ERRO</v>
          </cell>
          <cell r="BU75">
            <v>3.82</v>
          </cell>
          <cell r="BV75" t="str">
            <v>-</v>
          </cell>
          <cell r="BX75" t="str">
            <v>TBD</v>
          </cell>
          <cell r="BY75" t="str">
            <v>TBD</v>
          </cell>
          <cell r="BZ75" t="str">
            <v>TBD</v>
          </cell>
          <cell r="CA75" t="str">
            <v>#ERRO</v>
          </cell>
          <cell r="CB75" t="str">
            <v>-</v>
          </cell>
        </row>
        <row r="76">
          <cell r="A76" t="str">
            <v>19001-0</v>
          </cell>
          <cell r="B76" t="str">
            <v>19001-0</v>
          </cell>
          <cell r="C76">
            <v>7896714261522</v>
          </cell>
          <cell r="D76" t="str">
            <v>DIPIRONA 500MG CAFEINA 65MG COMP CT 25X4</v>
          </cell>
          <cell r="E76" t="str">
            <v>SIM</v>
          </cell>
          <cell r="F76" t="str">
            <v>G</v>
          </cell>
          <cell r="G76" t="str">
            <v>LINHA</v>
          </cell>
          <cell r="H76">
            <v>5</v>
          </cell>
          <cell r="I76">
            <v>12</v>
          </cell>
          <cell r="J76" t="str">
            <v>Liberado</v>
          </cell>
          <cell r="K76" t="str">
            <v>Negativa</v>
          </cell>
          <cell r="L76" t="str">
            <v>Sim</v>
          </cell>
          <cell r="M76" t="str">
            <v>NACIONAL</v>
          </cell>
          <cell r="N76" t="str">
            <v>NACIONAL</v>
          </cell>
          <cell r="P76">
            <v>107.21</v>
          </cell>
          <cell r="Q76">
            <v>123.15</v>
          </cell>
          <cell r="R76">
            <v>124.89</v>
          </cell>
          <cell r="S76">
            <v>126.67</v>
          </cell>
          <cell r="T76">
            <v>115.17</v>
          </cell>
          <cell r="U76">
            <v>124.01</v>
          </cell>
          <cell r="V76">
            <v>107.86</v>
          </cell>
          <cell r="W76">
            <v>108.51</v>
          </cell>
          <cell r="X76">
            <v>128.5</v>
          </cell>
          <cell r="Y76">
            <v>109.85</v>
          </cell>
          <cell r="Z76">
            <v>111.23</v>
          </cell>
          <cell r="AA76">
            <v>130.38999999999999</v>
          </cell>
          <cell r="AB76">
            <v>132.33000000000001</v>
          </cell>
          <cell r="AC76">
            <v>127.58</v>
          </cell>
          <cell r="AD76">
            <v>110.54</v>
          </cell>
          <cell r="AE76">
            <v>129.44</v>
          </cell>
          <cell r="AF76">
            <v>0</v>
          </cell>
          <cell r="AG76">
            <v>148.21</v>
          </cell>
          <cell r="AH76">
            <v>164.15</v>
          </cell>
          <cell r="AI76">
            <v>166.39</v>
          </cell>
          <cell r="AJ76">
            <v>168.68</v>
          </cell>
          <cell r="AK76">
            <v>153.84</v>
          </cell>
          <cell r="AL76">
            <v>165.26</v>
          </cell>
          <cell r="AM76">
            <v>149.11000000000001</v>
          </cell>
          <cell r="AN76">
            <v>150.01</v>
          </cell>
          <cell r="AO76">
            <v>171.04</v>
          </cell>
          <cell r="AP76">
            <v>151.86000000000001</v>
          </cell>
          <cell r="AQ76">
            <v>153.77000000000001</v>
          </cell>
          <cell r="AR76">
            <v>173.47</v>
          </cell>
          <cell r="AS76">
            <v>175.96</v>
          </cell>
          <cell r="AT76">
            <v>169.85</v>
          </cell>
          <cell r="AU76">
            <v>152.82</v>
          </cell>
          <cell r="AV76">
            <v>172.25</v>
          </cell>
          <cell r="AX76">
            <v>123.15</v>
          </cell>
          <cell r="AY76">
            <v>164.15</v>
          </cell>
          <cell r="AZ76">
            <v>0.17</v>
          </cell>
          <cell r="BA76">
            <v>0.12</v>
          </cell>
          <cell r="BB76" t="str">
            <v>#_NA</v>
          </cell>
          <cell r="BC76" t="str">
            <v>#_NA</v>
          </cell>
          <cell r="BD76" t="str">
            <v>#_NA</v>
          </cell>
          <cell r="BE76" t="str">
            <v>-</v>
          </cell>
          <cell r="BF76" t="str">
            <v>-</v>
          </cell>
          <cell r="BG76">
            <v>5.6820000000000002E-2</v>
          </cell>
          <cell r="BH76">
            <v>0.63129999999999997</v>
          </cell>
          <cell r="BI76">
            <v>42.82</v>
          </cell>
          <cell r="BJ76" t="str">
            <v>-</v>
          </cell>
          <cell r="BK76">
            <v>0.69610000000000005</v>
          </cell>
          <cell r="BL76">
            <v>35.299999999999997</v>
          </cell>
          <cell r="BM76" t="str">
            <v>-</v>
          </cell>
          <cell r="BN76" t="str">
            <v>NÃO</v>
          </cell>
          <cell r="BO76" t="str">
            <v>NÃO</v>
          </cell>
          <cell r="BP76" t="str">
            <v>MS|G|NACIONAL|Sim|Negativa</v>
          </cell>
          <cell r="BR76" t="str">
            <v>TBD</v>
          </cell>
          <cell r="BS76">
            <v>0</v>
          </cell>
          <cell r="BT76" t="str">
            <v>#ERRO</v>
          </cell>
          <cell r="BU76">
            <v>35.299999999999997</v>
          </cell>
          <cell r="BV76" t="str">
            <v>-</v>
          </cell>
          <cell r="BX76" t="str">
            <v>TBD</v>
          </cell>
          <cell r="BY76" t="str">
            <v>TBD</v>
          </cell>
          <cell r="BZ76" t="str">
            <v>TBD</v>
          </cell>
          <cell r="CA76" t="str">
            <v>#ERRO</v>
          </cell>
          <cell r="CB76" t="str">
            <v>-</v>
          </cell>
        </row>
        <row r="77">
          <cell r="A77" t="str">
            <v>19000-0</v>
          </cell>
          <cell r="B77" t="str">
            <v>19000-0</v>
          </cell>
          <cell r="C77">
            <v>7896714261515</v>
          </cell>
          <cell r="D77" t="str">
            <v>DIPIRONA 500MG CAFEINA 65MG COMP CT 2X8</v>
          </cell>
          <cell r="E77" t="str">
            <v>SIM</v>
          </cell>
          <cell r="F77" t="str">
            <v>G</v>
          </cell>
          <cell r="G77" t="str">
            <v>LINHA</v>
          </cell>
          <cell r="H77">
            <v>5</v>
          </cell>
          <cell r="I77">
            <v>60</v>
          </cell>
          <cell r="J77" t="str">
            <v>Liberado</v>
          </cell>
          <cell r="K77" t="str">
            <v>Negativa</v>
          </cell>
          <cell r="L77" t="str">
            <v>Sim</v>
          </cell>
          <cell r="M77" t="str">
            <v>NACIONAL</v>
          </cell>
          <cell r="N77" t="str">
            <v>NACIONAL</v>
          </cell>
          <cell r="P77">
            <v>17.13</v>
          </cell>
          <cell r="Q77">
            <v>19.670000000000002</v>
          </cell>
          <cell r="R77">
            <v>19.95</v>
          </cell>
          <cell r="S77">
            <v>20.23</v>
          </cell>
          <cell r="T77">
            <v>18.399999999999999</v>
          </cell>
          <cell r="U77">
            <v>19.809999999999999</v>
          </cell>
          <cell r="V77">
            <v>17.23</v>
          </cell>
          <cell r="W77">
            <v>17.329999999999998</v>
          </cell>
          <cell r="X77">
            <v>20.53</v>
          </cell>
          <cell r="Y77">
            <v>17.55</v>
          </cell>
          <cell r="Z77">
            <v>17.77</v>
          </cell>
          <cell r="AA77">
            <v>20.83</v>
          </cell>
          <cell r="AB77">
            <v>21.14</v>
          </cell>
          <cell r="AC77">
            <v>20.38</v>
          </cell>
          <cell r="AD77">
            <v>17.66</v>
          </cell>
          <cell r="AE77">
            <v>20.68</v>
          </cell>
          <cell r="AF77">
            <v>0</v>
          </cell>
          <cell r="AG77">
            <v>23.68</v>
          </cell>
          <cell r="AH77">
            <v>26.22</v>
          </cell>
          <cell r="AI77">
            <v>26.58</v>
          </cell>
          <cell r="AJ77">
            <v>26.94</v>
          </cell>
          <cell r="AK77">
            <v>24.58</v>
          </cell>
          <cell r="AL77">
            <v>26.4</v>
          </cell>
          <cell r="AM77">
            <v>23.82</v>
          </cell>
          <cell r="AN77">
            <v>23.96</v>
          </cell>
          <cell r="AO77">
            <v>27.33</v>
          </cell>
          <cell r="AP77">
            <v>24.26</v>
          </cell>
          <cell r="AQ77">
            <v>24.57</v>
          </cell>
          <cell r="AR77">
            <v>27.71</v>
          </cell>
          <cell r="AS77">
            <v>28.11</v>
          </cell>
          <cell r="AT77">
            <v>27.13</v>
          </cell>
          <cell r="AU77">
            <v>24.41</v>
          </cell>
          <cell r="AV77">
            <v>27.52</v>
          </cell>
          <cell r="AX77">
            <v>19.670000000000002</v>
          </cell>
          <cell r="AY77">
            <v>26.22</v>
          </cell>
          <cell r="AZ77">
            <v>0.17</v>
          </cell>
          <cell r="BA77">
            <v>0.12</v>
          </cell>
          <cell r="BB77" t="str">
            <v>#_NA</v>
          </cell>
          <cell r="BC77" t="str">
            <v>#_NA</v>
          </cell>
          <cell r="BD77" t="str">
            <v>#_NA</v>
          </cell>
          <cell r="BE77" t="str">
            <v>-</v>
          </cell>
          <cell r="BF77" t="str">
            <v>-</v>
          </cell>
          <cell r="BG77">
            <v>5.6820000000000002E-2</v>
          </cell>
          <cell r="BH77">
            <v>0.63119999999999998</v>
          </cell>
          <cell r="BI77">
            <v>6.84</v>
          </cell>
          <cell r="BJ77" t="str">
            <v>-</v>
          </cell>
          <cell r="BK77">
            <v>0.69610000000000005</v>
          </cell>
          <cell r="BL77">
            <v>5.64</v>
          </cell>
          <cell r="BM77" t="str">
            <v>-</v>
          </cell>
          <cell r="BN77" t="str">
            <v>NÃO</v>
          </cell>
          <cell r="BO77" t="str">
            <v>NÃO</v>
          </cell>
          <cell r="BP77" t="str">
            <v>MS|G|NACIONAL|Sim|Negativa</v>
          </cell>
          <cell r="BR77" t="str">
            <v>TBD</v>
          </cell>
          <cell r="BS77">
            <v>0</v>
          </cell>
          <cell r="BT77" t="str">
            <v>#ERRO</v>
          </cell>
          <cell r="BU77">
            <v>5.64</v>
          </cell>
          <cell r="BV77" t="str">
            <v>-</v>
          </cell>
          <cell r="BX77" t="str">
            <v>TBD</v>
          </cell>
          <cell r="BY77" t="str">
            <v>TBD</v>
          </cell>
          <cell r="BZ77" t="str">
            <v>TBD</v>
          </cell>
          <cell r="CA77" t="str">
            <v>#ERRO</v>
          </cell>
          <cell r="CB77" t="str">
            <v>-</v>
          </cell>
        </row>
        <row r="78">
          <cell r="A78" t="str">
            <v>13600-0</v>
          </cell>
          <cell r="B78" t="str">
            <v>13600-0</v>
          </cell>
          <cell r="C78">
            <v>7896714207551</v>
          </cell>
          <cell r="D78" t="str">
            <v>DIPIRONA MONOIDRATADA 1G COMP CT BL 1X10</v>
          </cell>
          <cell r="E78" t="str">
            <v>SIM</v>
          </cell>
          <cell r="F78" t="str">
            <v>G</v>
          </cell>
          <cell r="G78" t="str">
            <v>PRIORITARIO GENERICOS</v>
          </cell>
          <cell r="H78">
            <v>5</v>
          </cell>
          <cell r="I78">
            <v>60</v>
          </cell>
          <cell r="J78" t="str">
            <v>Liberado</v>
          </cell>
          <cell r="K78" t="str">
            <v>Negativa</v>
          </cell>
          <cell r="L78" t="str">
            <v>Sim</v>
          </cell>
          <cell r="M78" t="str">
            <v>NACIONAL</v>
          </cell>
          <cell r="N78" t="str">
            <v>NACIONAL</v>
          </cell>
          <cell r="P78">
            <v>15.67</v>
          </cell>
          <cell r="Q78">
            <v>18</v>
          </cell>
          <cell r="R78">
            <v>18.260000000000002</v>
          </cell>
          <cell r="S78">
            <v>18.52</v>
          </cell>
          <cell r="T78">
            <v>16.84</v>
          </cell>
          <cell r="U78">
            <v>18.13</v>
          </cell>
          <cell r="V78">
            <v>15.77</v>
          </cell>
          <cell r="W78">
            <v>15.86</v>
          </cell>
          <cell r="X78">
            <v>18.79</v>
          </cell>
          <cell r="Y78">
            <v>16.059999999999999</v>
          </cell>
          <cell r="Z78">
            <v>16.260000000000002</v>
          </cell>
          <cell r="AA78">
            <v>19.059999999999999</v>
          </cell>
          <cell r="AB78">
            <v>19.350000000000001</v>
          </cell>
          <cell r="AC78">
            <v>18.649999999999999</v>
          </cell>
          <cell r="AD78">
            <v>16.16</v>
          </cell>
          <cell r="AE78">
            <v>18.920000000000002</v>
          </cell>
          <cell r="AF78">
            <v>0</v>
          </cell>
          <cell r="AG78">
            <v>21.66</v>
          </cell>
          <cell r="AH78">
            <v>23.99</v>
          </cell>
          <cell r="AI78">
            <v>24.33</v>
          </cell>
          <cell r="AJ78">
            <v>24.66</v>
          </cell>
          <cell r="AK78">
            <v>22.49</v>
          </cell>
          <cell r="AL78">
            <v>24.16</v>
          </cell>
          <cell r="AM78">
            <v>21.8</v>
          </cell>
          <cell r="AN78">
            <v>21.93</v>
          </cell>
          <cell r="AO78">
            <v>25.01</v>
          </cell>
          <cell r="AP78">
            <v>22.2</v>
          </cell>
          <cell r="AQ78">
            <v>22.48</v>
          </cell>
          <cell r="AR78">
            <v>25.36</v>
          </cell>
          <cell r="AS78">
            <v>25.73</v>
          </cell>
          <cell r="AT78">
            <v>24.83</v>
          </cell>
          <cell r="AU78">
            <v>22.34</v>
          </cell>
          <cell r="AV78">
            <v>25.18</v>
          </cell>
          <cell r="AX78">
            <v>18</v>
          </cell>
          <cell r="AY78">
            <v>23.99</v>
          </cell>
          <cell r="AZ78">
            <v>0.17</v>
          </cell>
          <cell r="BA78">
            <v>0.12</v>
          </cell>
          <cell r="BB78" t="str">
            <v>#_NA</v>
          </cell>
          <cell r="BC78" t="str">
            <v>#_NA</v>
          </cell>
          <cell r="BD78" t="str">
            <v>#_NA</v>
          </cell>
          <cell r="BE78" t="str">
            <v>-</v>
          </cell>
          <cell r="BF78" t="str">
            <v>-</v>
          </cell>
          <cell r="BG78">
            <v>5.6820000000000002E-2</v>
          </cell>
          <cell r="BH78">
            <v>0.67920000000000003</v>
          </cell>
          <cell r="BI78">
            <v>5.45</v>
          </cell>
          <cell r="BJ78" t="str">
            <v>-</v>
          </cell>
          <cell r="BK78">
            <v>0.69720000000000004</v>
          </cell>
          <cell r="BL78">
            <v>5.14</v>
          </cell>
          <cell r="BM78" t="str">
            <v>-</v>
          </cell>
          <cell r="BN78" t="str">
            <v>SIM</v>
          </cell>
          <cell r="BO78" t="str">
            <v>NÃO</v>
          </cell>
          <cell r="BP78" t="str">
            <v>MS|G|NACIONAL|Sim|Negativa</v>
          </cell>
          <cell r="BR78" t="str">
            <v>TBD</v>
          </cell>
          <cell r="BS78">
            <v>0</v>
          </cell>
          <cell r="BT78" t="str">
            <v>#ERRO</v>
          </cell>
          <cell r="BU78">
            <v>5.14</v>
          </cell>
          <cell r="BV78" t="str">
            <v>-</v>
          </cell>
          <cell r="BX78" t="str">
            <v>TBD</v>
          </cell>
          <cell r="BY78" t="str">
            <v>TBD</v>
          </cell>
          <cell r="BZ78" t="str">
            <v>TBD</v>
          </cell>
          <cell r="CA78" t="str">
            <v>#ERRO</v>
          </cell>
          <cell r="CB78" t="str">
            <v>-</v>
          </cell>
        </row>
        <row r="79">
          <cell r="A79" t="str">
            <v>13598-0</v>
          </cell>
          <cell r="B79" t="str">
            <v>13598-0</v>
          </cell>
          <cell r="C79">
            <v>7896714207575</v>
          </cell>
          <cell r="D79" t="str">
            <v>DIPIRONA MONOIDRATADA 1G CP DISP BL 25X4</v>
          </cell>
          <cell r="E79" t="str">
            <v>SIM</v>
          </cell>
          <cell r="F79" t="str">
            <v>G</v>
          </cell>
          <cell r="G79" t="str">
            <v>PRIORITARIO GENERICOS</v>
          </cell>
          <cell r="H79">
            <v>5</v>
          </cell>
          <cell r="I79">
            <v>12</v>
          </cell>
          <cell r="J79" t="str">
            <v>Liberado</v>
          </cell>
          <cell r="K79" t="str">
            <v>Negativa</v>
          </cell>
          <cell r="L79" t="str">
            <v>Sim</v>
          </cell>
          <cell r="M79" t="str">
            <v>NACIONAL</v>
          </cell>
          <cell r="N79" t="str">
            <v>NACIONAL</v>
          </cell>
          <cell r="P79">
            <v>156.93</v>
          </cell>
          <cell r="Q79">
            <v>180.27</v>
          </cell>
          <cell r="R79">
            <v>182.8</v>
          </cell>
          <cell r="S79">
            <v>185.41</v>
          </cell>
          <cell r="T79">
            <v>168.58</v>
          </cell>
          <cell r="U79">
            <v>181.53</v>
          </cell>
          <cell r="V79">
            <v>157.88</v>
          </cell>
          <cell r="W79">
            <v>158.84</v>
          </cell>
          <cell r="X79">
            <v>188.1</v>
          </cell>
          <cell r="Y79">
            <v>160.80000000000001</v>
          </cell>
          <cell r="Z79">
            <v>162.81</v>
          </cell>
          <cell r="AA79">
            <v>190.86</v>
          </cell>
          <cell r="AB79">
            <v>193.71</v>
          </cell>
          <cell r="AC79">
            <v>186.74</v>
          </cell>
          <cell r="AD79">
            <v>161.80000000000001</v>
          </cell>
          <cell r="AE79">
            <v>189.47</v>
          </cell>
          <cell r="AF79">
            <v>0</v>
          </cell>
          <cell r="AG79">
            <v>216.95</v>
          </cell>
          <cell r="AH79">
            <v>240.29</v>
          </cell>
          <cell r="AI79">
            <v>243.55</v>
          </cell>
          <cell r="AJ79">
            <v>246.91</v>
          </cell>
          <cell r="AK79">
            <v>225.19</v>
          </cell>
          <cell r="AL79">
            <v>241.91</v>
          </cell>
          <cell r="AM79">
            <v>218.26</v>
          </cell>
          <cell r="AN79">
            <v>219.59</v>
          </cell>
          <cell r="AO79">
            <v>250.37</v>
          </cell>
          <cell r="AP79">
            <v>222.3</v>
          </cell>
          <cell r="AQ79">
            <v>225.08</v>
          </cell>
          <cell r="AR79">
            <v>253.91</v>
          </cell>
          <cell r="AS79">
            <v>257.57</v>
          </cell>
          <cell r="AT79">
            <v>248.62</v>
          </cell>
          <cell r="AU79">
            <v>223.68</v>
          </cell>
          <cell r="AV79">
            <v>252.13</v>
          </cell>
          <cell r="AX79">
            <v>180.27</v>
          </cell>
          <cell r="AY79">
            <v>240.29</v>
          </cell>
          <cell r="AZ79">
            <v>0.17</v>
          </cell>
          <cell r="BA79">
            <v>0.12</v>
          </cell>
          <cell r="BB79" t="str">
            <v>#_NA</v>
          </cell>
          <cell r="BC79" t="str">
            <v>#_NA</v>
          </cell>
          <cell r="BD79" t="str">
            <v>#_NA</v>
          </cell>
          <cell r="BE79" t="str">
            <v>-</v>
          </cell>
          <cell r="BF79" t="str">
            <v>-</v>
          </cell>
          <cell r="BG79">
            <v>5.6820000000000002E-2</v>
          </cell>
          <cell r="BH79">
            <v>7.85E-2</v>
          </cell>
          <cell r="BI79">
            <v>156.68</v>
          </cell>
          <cell r="BJ79" t="str">
            <v>-</v>
          </cell>
          <cell r="BK79">
            <v>0.24049999999999999</v>
          </cell>
          <cell r="BL79">
            <v>129.13999999999999</v>
          </cell>
          <cell r="BM79" t="str">
            <v>-</v>
          </cell>
          <cell r="BN79" t="str">
            <v>NÃO</v>
          </cell>
          <cell r="BO79" t="str">
            <v>NÃO</v>
          </cell>
          <cell r="BP79" t="str">
            <v>MS|G|NACIONAL|Sim|Negativa</v>
          </cell>
          <cell r="BR79" t="str">
            <v>TBD</v>
          </cell>
          <cell r="BS79">
            <v>0</v>
          </cell>
          <cell r="BT79" t="str">
            <v>#ERRO</v>
          </cell>
          <cell r="BU79">
            <v>129.13999999999999</v>
          </cell>
          <cell r="BV79" t="str">
            <v>-</v>
          </cell>
          <cell r="BX79" t="str">
            <v>TBD</v>
          </cell>
          <cell r="BY79" t="str">
            <v>TBD</v>
          </cell>
          <cell r="BZ79" t="str">
            <v>TBD</v>
          </cell>
          <cell r="CA79" t="str">
            <v>#ERRO</v>
          </cell>
          <cell r="CB79" t="str">
            <v>-</v>
          </cell>
        </row>
        <row r="80">
          <cell r="A80" t="str">
            <v>20788-0</v>
          </cell>
          <cell r="B80" t="str">
            <v>20788-0</v>
          </cell>
          <cell r="C80">
            <v>7896714274287</v>
          </cell>
          <cell r="D80" t="str">
            <v>DORALGINA DIPCAF CT BL AL PLAS AMB X16</v>
          </cell>
          <cell r="E80" t="str">
            <v>SIM</v>
          </cell>
          <cell r="F80" t="str">
            <v>S</v>
          </cell>
          <cell r="G80" t="str">
            <v>LINHA</v>
          </cell>
          <cell r="H80">
            <v>0</v>
          </cell>
          <cell r="I80">
            <v>60</v>
          </cell>
          <cell r="J80" t="str">
            <v>Liberado</v>
          </cell>
          <cell r="K80" t="str">
            <v>Negativa</v>
          </cell>
          <cell r="L80" t="str">
            <v>Sim</v>
          </cell>
          <cell r="M80" t="str">
            <v>NACIONAL</v>
          </cell>
          <cell r="N80" t="str">
            <v>NACIONAL</v>
          </cell>
          <cell r="P80">
            <v>12.9</v>
          </cell>
          <cell r="Q80">
            <v>14.82</v>
          </cell>
          <cell r="R80">
            <v>15.02</v>
          </cell>
          <cell r="S80">
            <v>15.24</v>
          </cell>
          <cell r="T80">
            <v>13.86</v>
          </cell>
          <cell r="U80">
            <v>14.92</v>
          </cell>
          <cell r="V80">
            <v>12.98</v>
          </cell>
          <cell r="W80">
            <v>13.06</v>
          </cell>
          <cell r="X80">
            <v>15.46</v>
          </cell>
          <cell r="Y80">
            <v>13.22</v>
          </cell>
          <cell r="Z80">
            <v>13.38</v>
          </cell>
          <cell r="AA80">
            <v>15.69</v>
          </cell>
          <cell r="AB80">
            <v>15.92</v>
          </cell>
          <cell r="AC80">
            <v>15.35</v>
          </cell>
          <cell r="AD80">
            <v>13.3</v>
          </cell>
          <cell r="AE80">
            <v>15.57</v>
          </cell>
          <cell r="AF80">
            <v>0</v>
          </cell>
          <cell r="AG80">
            <v>17.829999999999998</v>
          </cell>
          <cell r="AH80">
            <v>19.75</v>
          </cell>
          <cell r="AI80">
            <v>20.010000000000002</v>
          </cell>
          <cell r="AJ80">
            <v>20.29</v>
          </cell>
          <cell r="AK80">
            <v>18.510000000000002</v>
          </cell>
          <cell r="AL80">
            <v>19.88</v>
          </cell>
          <cell r="AM80">
            <v>17.940000000000001</v>
          </cell>
          <cell r="AN80">
            <v>18.05</v>
          </cell>
          <cell r="AO80">
            <v>20.58</v>
          </cell>
          <cell r="AP80">
            <v>18.28</v>
          </cell>
          <cell r="AQ80">
            <v>18.5</v>
          </cell>
          <cell r="AR80">
            <v>20.87</v>
          </cell>
          <cell r="AS80">
            <v>21.17</v>
          </cell>
          <cell r="AT80">
            <v>20.440000000000001</v>
          </cell>
          <cell r="AU80">
            <v>18.39</v>
          </cell>
          <cell r="AV80">
            <v>20.72</v>
          </cell>
          <cell r="AX80">
            <v>14.82</v>
          </cell>
          <cell r="AY80">
            <v>19.75</v>
          </cell>
          <cell r="AZ80">
            <v>0.17</v>
          </cell>
          <cell r="BA80">
            <v>0.12</v>
          </cell>
          <cell r="BB80" t="str">
            <v>#_NA</v>
          </cell>
          <cell r="BC80" t="str">
            <v>#_NA</v>
          </cell>
          <cell r="BD80" t="str">
            <v>#_NA</v>
          </cell>
          <cell r="BE80" t="str">
            <v>-</v>
          </cell>
          <cell r="BF80" t="str">
            <v>-</v>
          </cell>
          <cell r="BG80">
            <v>5.6820000000000002E-2</v>
          </cell>
          <cell r="BH80">
            <v>0.64319999999999999</v>
          </cell>
          <cell r="BI80">
            <v>4.99</v>
          </cell>
          <cell r="BJ80" t="str">
            <v>-</v>
          </cell>
          <cell r="BK80">
            <v>0.70540000000000003</v>
          </cell>
          <cell r="BL80">
            <v>4.12</v>
          </cell>
          <cell r="BM80" t="str">
            <v>-</v>
          </cell>
          <cell r="BN80" t="str">
            <v>NÃO</v>
          </cell>
          <cell r="BO80" t="str">
            <v>NÃO</v>
          </cell>
          <cell r="BP80" t="str">
            <v>MS|S|NACIONAL|Sim|Negativa</v>
          </cell>
          <cell r="BR80" t="str">
            <v>TBD</v>
          </cell>
          <cell r="BS80">
            <v>0</v>
          </cell>
          <cell r="BT80" t="str">
            <v>#ERRO</v>
          </cell>
          <cell r="BU80">
            <v>4.12</v>
          </cell>
          <cell r="BV80" t="str">
            <v>-</v>
          </cell>
          <cell r="BX80" t="str">
            <v>TBD</v>
          </cell>
          <cell r="BY80" t="str">
            <v>TBD</v>
          </cell>
          <cell r="BZ80" t="str">
            <v>TBD</v>
          </cell>
          <cell r="CA80" t="str">
            <v>#ERRO</v>
          </cell>
          <cell r="CB80" t="str">
            <v>-</v>
          </cell>
        </row>
        <row r="81">
          <cell r="A81" t="str">
            <v>20790-0</v>
          </cell>
          <cell r="B81" t="str">
            <v>20790-0</v>
          </cell>
          <cell r="C81">
            <v>7896714274300</v>
          </cell>
          <cell r="D81" t="str">
            <v>DORALGINA DIPCAF DISP BL 10X10</v>
          </cell>
          <cell r="E81" t="str">
            <v>SIM</v>
          </cell>
          <cell r="F81" t="str">
            <v>S</v>
          </cell>
          <cell r="G81" t="str">
            <v>LINHA</v>
          </cell>
          <cell r="H81">
            <v>0</v>
          </cell>
          <cell r="I81">
            <v>12</v>
          </cell>
          <cell r="J81" t="str">
            <v>Liberado</v>
          </cell>
          <cell r="K81" t="str">
            <v>Negativa</v>
          </cell>
          <cell r="L81" t="str">
            <v>Sim</v>
          </cell>
          <cell r="M81" t="str">
            <v>NACIONAL</v>
          </cell>
          <cell r="N81" t="str">
            <v>NACIONAL</v>
          </cell>
          <cell r="P81">
            <v>92.03</v>
          </cell>
          <cell r="Q81">
            <v>105.72</v>
          </cell>
          <cell r="R81">
            <v>107.2</v>
          </cell>
          <cell r="S81">
            <v>108.73</v>
          </cell>
          <cell r="T81">
            <v>98.86</v>
          </cell>
          <cell r="U81">
            <v>106.45</v>
          </cell>
          <cell r="V81">
            <v>92.59</v>
          </cell>
          <cell r="W81">
            <v>93.15</v>
          </cell>
          <cell r="X81">
            <v>110.31</v>
          </cell>
          <cell r="Y81">
            <v>94.3</v>
          </cell>
          <cell r="Z81">
            <v>95.48</v>
          </cell>
          <cell r="AA81">
            <v>111.93</v>
          </cell>
          <cell r="AB81">
            <v>113.6</v>
          </cell>
          <cell r="AC81">
            <v>109.51</v>
          </cell>
          <cell r="AD81">
            <v>94.89</v>
          </cell>
          <cell r="AE81">
            <v>111.11</v>
          </cell>
          <cell r="AF81">
            <v>0</v>
          </cell>
          <cell r="AG81">
            <v>127.23</v>
          </cell>
          <cell r="AH81">
            <v>140.91999999999999</v>
          </cell>
          <cell r="AI81">
            <v>142.82</v>
          </cell>
          <cell r="AJ81">
            <v>144.79</v>
          </cell>
          <cell r="AK81">
            <v>132.06</v>
          </cell>
          <cell r="AL81">
            <v>141.86000000000001</v>
          </cell>
          <cell r="AM81">
            <v>128</v>
          </cell>
          <cell r="AN81">
            <v>128.77000000000001</v>
          </cell>
          <cell r="AO81">
            <v>146.83000000000001</v>
          </cell>
          <cell r="AP81">
            <v>130.36000000000001</v>
          </cell>
          <cell r="AQ81">
            <v>132</v>
          </cell>
          <cell r="AR81">
            <v>148.91</v>
          </cell>
          <cell r="AS81">
            <v>151.05000000000001</v>
          </cell>
          <cell r="AT81">
            <v>145.80000000000001</v>
          </cell>
          <cell r="AU81">
            <v>131.18</v>
          </cell>
          <cell r="AV81">
            <v>147.85</v>
          </cell>
          <cell r="AX81">
            <v>105.72</v>
          </cell>
          <cell r="AY81">
            <v>140.91999999999999</v>
          </cell>
          <cell r="AZ81">
            <v>0.17</v>
          </cell>
          <cell r="BA81">
            <v>0.12</v>
          </cell>
          <cell r="BB81" t="str">
            <v>#_NA</v>
          </cell>
          <cell r="BC81" t="str">
            <v>#_NA</v>
          </cell>
          <cell r="BD81" t="str">
            <v>#_NA</v>
          </cell>
          <cell r="BE81" t="str">
            <v>-</v>
          </cell>
          <cell r="BF81" t="str">
            <v>-</v>
          </cell>
          <cell r="BG81">
            <v>5.6820000000000002E-2</v>
          </cell>
          <cell r="BH81">
            <v>0.66390000000000005</v>
          </cell>
          <cell r="BI81">
            <v>33.51</v>
          </cell>
          <cell r="BJ81" t="str">
            <v>-</v>
          </cell>
          <cell r="BK81">
            <v>0.7228</v>
          </cell>
          <cell r="BL81">
            <v>27.64</v>
          </cell>
          <cell r="BM81" t="str">
            <v>-</v>
          </cell>
          <cell r="BN81" t="str">
            <v>NÃO</v>
          </cell>
          <cell r="BO81" t="str">
            <v>NÃO</v>
          </cell>
          <cell r="BP81" t="str">
            <v>MS|S|NACIONAL|Sim|Negativa</v>
          </cell>
          <cell r="BR81" t="str">
            <v>TBD</v>
          </cell>
          <cell r="BS81">
            <v>0</v>
          </cell>
          <cell r="BT81" t="str">
            <v>#ERRO</v>
          </cell>
          <cell r="BU81">
            <v>27.64</v>
          </cell>
          <cell r="BV81" t="str">
            <v>-</v>
          </cell>
          <cell r="BX81" t="str">
            <v>TBD</v>
          </cell>
          <cell r="BY81" t="str">
            <v>TBD</v>
          </cell>
          <cell r="BZ81" t="str">
            <v>TBD</v>
          </cell>
          <cell r="CA81" t="str">
            <v>#ERRO</v>
          </cell>
          <cell r="CB81" t="str">
            <v>-</v>
          </cell>
        </row>
        <row r="82">
          <cell r="A82" t="str">
            <v>20789-0</v>
          </cell>
          <cell r="B82" t="str">
            <v>20789-0</v>
          </cell>
          <cell r="C82">
            <v>7896714274294</v>
          </cell>
          <cell r="D82" t="str">
            <v>DORALGINA DIPCAF DISP BL 25X4</v>
          </cell>
          <cell r="E82" t="str">
            <v>SIM</v>
          </cell>
          <cell r="F82" t="str">
            <v>S</v>
          </cell>
          <cell r="G82" t="str">
            <v>LINHA</v>
          </cell>
          <cell r="H82">
            <v>0</v>
          </cell>
          <cell r="I82">
            <v>12</v>
          </cell>
          <cell r="J82" t="str">
            <v>Liberado</v>
          </cell>
          <cell r="K82" t="str">
            <v>Negativa</v>
          </cell>
          <cell r="L82" t="str">
            <v>Sim</v>
          </cell>
          <cell r="M82" t="str">
            <v>NACIONAL</v>
          </cell>
          <cell r="N82" t="str">
            <v>NACIONAL</v>
          </cell>
          <cell r="P82">
            <v>85.88</v>
          </cell>
          <cell r="Q82">
            <v>98.65</v>
          </cell>
          <cell r="R82">
            <v>100.04</v>
          </cell>
          <cell r="S82">
            <v>101.46</v>
          </cell>
          <cell r="T82">
            <v>92.25</v>
          </cell>
          <cell r="U82">
            <v>99.34</v>
          </cell>
          <cell r="V82">
            <v>86.4</v>
          </cell>
          <cell r="W82">
            <v>86.92</v>
          </cell>
          <cell r="X82">
            <v>102.93</v>
          </cell>
          <cell r="Y82">
            <v>88</v>
          </cell>
          <cell r="Z82">
            <v>89.1</v>
          </cell>
          <cell r="AA82">
            <v>104.44</v>
          </cell>
          <cell r="AB82">
            <v>106</v>
          </cell>
          <cell r="AC82">
            <v>102.19</v>
          </cell>
          <cell r="AD82">
            <v>88.54</v>
          </cell>
          <cell r="AE82">
            <v>103.68</v>
          </cell>
          <cell r="AF82">
            <v>0</v>
          </cell>
          <cell r="AG82">
            <v>118.72</v>
          </cell>
          <cell r="AH82">
            <v>131.49</v>
          </cell>
          <cell r="AI82">
            <v>133.28</v>
          </cell>
          <cell r="AJ82">
            <v>135.11000000000001</v>
          </cell>
          <cell r="AK82">
            <v>123.23</v>
          </cell>
          <cell r="AL82">
            <v>132.38</v>
          </cell>
          <cell r="AM82">
            <v>119.44</v>
          </cell>
          <cell r="AN82">
            <v>120.16</v>
          </cell>
          <cell r="AO82">
            <v>137</v>
          </cell>
          <cell r="AP82">
            <v>121.65</v>
          </cell>
          <cell r="AQ82">
            <v>123.18</v>
          </cell>
          <cell r="AR82">
            <v>138.94</v>
          </cell>
          <cell r="AS82">
            <v>140.94999999999999</v>
          </cell>
          <cell r="AT82">
            <v>136.05000000000001</v>
          </cell>
          <cell r="AU82">
            <v>122.4</v>
          </cell>
          <cell r="AV82">
            <v>137.97</v>
          </cell>
          <cell r="AX82">
            <v>98.65</v>
          </cell>
          <cell r="AY82">
            <v>131.49</v>
          </cell>
          <cell r="AZ82">
            <v>0.17</v>
          </cell>
          <cell r="BA82">
            <v>0.12</v>
          </cell>
          <cell r="BB82" t="str">
            <v>#_NA</v>
          </cell>
          <cell r="BC82" t="str">
            <v>#_NA</v>
          </cell>
          <cell r="BD82" t="str">
            <v>#_NA</v>
          </cell>
          <cell r="BE82" t="str">
            <v>-</v>
          </cell>
          <cell r="BF82" t="str">
            <v>-</v>
          </cell>
          <cell r="BG82">
            <v>5.6820000000000002E-2</v>
          </cell>
          <cell r="BH82">
            <v>0.63790000000000002</v>
          </cell>
          <cell r="BI82">
            <v>33.69</v>
          </cell>
          <cell r="BJ82" t="str">
            <v>-</v>
          </cell>
          <cell r="BK82">
            <v>0.70130000000000003</v>
          </cell>
          <cell r="BL82">
            <v>27.79</v>
          </cell>
          <cell r="BM82" t="str">
            <v>-</v>
          </cell>
          <cell r="BN82" t="str">
            <v>NÃO</v>
          </cell>
          <cell r="BO82" t="str">
            <v>NÃO</v>
          </cell>
          <cell r="BP82" t="str">
            <v>MS|S|NACIONAL|Sim|Negativa</v>
          </cell>
          <cell r="BR82" t="str">
            <v>TBD</v>
          </cell>
          <cell r="BS82">
            <v>0</v>
          </cell>
          <cell r="BT82" t="str">
            <v>#ERRO</v>
          </cell>
          <cell r="BU82">
            <v>27.79</v>
          </cell>
          <cell r="BV82" t="str">
            <v>-</v>
          </cell>
          <cell r="BX82" t="str">
            <v>TBD</v>
          </cell>
          <cell r="BY82" t="str">
            <v>TBD</v>
          </cell>
          <cell r="BZ82" t="str">
            <v>TBD</v>
          </cell>
          <cell r="CA82" t="str">
            <v>#ERRO</v>
          </cell>
          <cell r="CB82" t="str">
            <v>-</v>
          </cell>
        </row>
        <row r="83">
          <cell r="A83" t="str">
            <v>12298-0</v>
          </cell>
          <cell r="B83" t="str">
            <v>21928-0</v>
          </cell>
          <cell r="C83">
            <v>7896714210018</v>
          </cell>
          <cell r="D83" t="str">
            <v>DORALGINA DRG CT BL 2X10</v>
          </cell>
          <cell r="E83" t="str">
            <v>SIM</v>
          </cell>
          <cell r="F83" t="str">
            <v>S</v>
          </cell>
          <cell r="G83" t="str">
            <v>PRIORITARIO SMART</v>
          </cell>
          <cell r="H83">
            <v>5</v>
          </cell>
          <cell r="I83">
            <v>60</v>
          </cell>
          <cell r="J83" t="str">
            <v>Liberado</v>
          </cell>
          <cell r="K83" t="str">
            <v>Negativa</v>
          </cell>
          <cell r="L83" t="str">
            <v>Sim</v>
          </cell>
          <cell r="M83" t="str">
            <v>NACIONAL</v>
          </cell>
          <cell r="N83" t="str">
            <v>NACIONAL</v>
          </cell>
          <cell r="P83">
            <v>19.28</v>
          </cell>
          <cell r="Q83">
            <v>22.14</v>
          </cell>
          <cell r="R83">
            <v>22.46</v>
          </cell>
          <cell r="S83">
            <v>22.78</v>
          </cell>
          <cell r="T83">
            <v>20.71</v>
          </cell>
          <cell r="U83">
            <v>22.3</v>
          </cell>
          <cell r="V83">
            <v>19.39</v>
          </cell>
          <cell r="W83">
            <v>19.510000000000002</v>
          </cell>
          <cell r="X83">
            <v>23.11</v>
          </cell>
          <cell r="Y83">
            <v>19.75</v>
          </cell>
          <cell r="Z83">
            <v>20</v>
          </cell>
          <cell r="AA83">
            <v>23.45</v>
          </cell>
          <cell r="AB83">
            <v>23.79</v>
          </cell>
          <cell r="AC83">
            <v>22.94</v>
          </cell>
          <cell r="AD83">
            <v>19.88</v>
          </cell>
          <cell r="AE83">
            <v>23.27</v>
          </cell>
          <cell r="AF83">
            <v>0</v>
          </cell>
          <cell r="AG83">
            <v>26.65</v>
          </cell>
          <cell r="AH83">
            <v>29.51</v>
          </cell>
          <cell r="AI83">
            <v>29.92</v>
          </cell>
          <cell r="AJ83">
            <v>30.34</v>
          </cell>
          <cell r="AK83">
            <v>27.66</v>
          </cell>
          <cell r="AL83">
            <v>29.72</v>
          </cell>
          <cell r="AM83">
            <v>26.81</v>
          </cell>
          <cell r="AN83">
            <v>26.97</v>
          </cell>
          <cell r="AO83">
            <v>30.76</v>
          </cell>
          <cell r="AP83">
            <v>27.3</v>
          </cell>
          <cell r="AQ83">
            <v>27.65</v>
          </cell>
          <cell r="AR83">
            <v>31.2</v>
          </cell>
          <cell r="AS83">
            <v>31.63</v>
          </cell>
          <cell r="AT83">
            <v>30.54</v>
          </cell>
          <cell r="AU83">
            <v>27.48</v>
          </cell>
          <cell r="AV83">
            <v>30.97</v>
          </cell>
          <cell r="AX83">
            <v>22.14</v>
          </cell>
          <cell r="AY83">
            <v>29.51</v>
          </cell>
          <cell r="AZ83">
            <v>0.17</v>
          </cell>
          <cell r="BA83">
            <v>0.12</v>
          </cell>
          <cell r="BB83" t="str">
            <v>#_NA</v>
          </cell>
          <cell r="BC83" t="str">
            <v>#_NA</v>
          </cell>
          <cell r="BD83" t="str">
            <v>#_NA</v>
          </cell>
          <cell r="BE83" t="str">
            <v>-</v>
          </cell>
          <cell r="BF83" t="str">
            <v>-</v>
          </cell>
          <cell r="BG83">
            <v>5.6820000000000002E-2</v>
          </cell>
          <cell r="BH83">
            <v>0.66500000000000004</v>
          </cell>
          <cell r="BI83">
            <v>6.99</v>
          </cell>
          <cell r="BJ83" t="str">
            <v>-</v>
          </cell>
          <cell r="BK83">
            <v>0.72370000000000001</v>
          </cell>
          <cell r="BL83">
            <v>5.77</v>
          </cell>
          <cell r="BM83" t="str">
            <v>-</v>
          </cell>
          <cell r="BN83" t="str">
            <v>NÃO</v>
          </cell>
          <cell r="BO83" t="str">
            <v>NÃO</v>
          </cell>
          <cell r="BP83" t="str">
            <v>MS|S|NACIONAL|Sim|Negativa</v>
          </cell>
          <cell r="BR83" t="str">
            <v>TBD</v>
          </cell>
          <cell r="BS83">
            <v>0</v>
          </cell>
          <cell r="BT83" t="str">
            <v>#ERRO</v>
          </cell>
          <cell r="BU83">
            <v>5.77</v>
          </cell>
          <cell r="BV83" t="str">
            <v>-</v>
          </cell>
          <cell r="BX83" t="str">
            <v>TBD</v>
          </cell>
          <cell r="BY83" t="str">
            <v>TBD</v>
          </cell>
          <cell r="BZ83" t="str">
            <v>TBD</v>
          </cell>
          <cell r="CA83" t="str">
            <v>#ERRO</v>
          </cell>
          <cell r="CB83" t="str">
            <v>-</v>
          </cell>
        </row>
        <row r="84">
          <cell r="A84" t="str">
            <v>19483-0</v>
          </cell>
          <cell r="B84" t="str">
            <v>19483-0</v>
          </cell>
          <cell r="C84">
            <v>7896714265124</v>
          </cell>
          <cell r="D84" t="str">
            <v>DORONA CAFI COMP CT BL 2X8</v>
          </cell>
          <cell r="E84" t="str">
            <v>SIM</v>
          </cell>
          <cell r="F84" t="str">
            <v>S</v>
          </cell>
          <cell r="G84" t="str">
            <v>LINHA</v>
          </cell>
          <cell r="H84">
            <v>5</v>
          </cell>
          <cell r="I84">
            <v>60</v>
          </cell>
          <cell r="J84" t="str">
            <v>Liberado</v>
          </cell>
          <cell r="K84" t="str">
            <v>Negativa</v>
          </cell>
          <cell r="L84" t="str">
            <v>Sim</v>
          </cell>
          <cell r="M84" t="str">
            <v>NACIONAL</v>
          </cell>
          <cell r="N84" t="str">
            <v>NACIONAL</v>
          </cell>
          <cell r="P84">
            <v>26.23</v>
          </cell>
          <cell r="Q84">
            <v>30.13</v>
          </cell>
          <cell r="R84">
            <v>30.55</v>
          </cell>
          <cell r="S84">
            <v>30.99</v>
          </cell>
          <cell r="T84">
            <v>28.17</v>
          </cell>
          <cell r="U84">
            <v>30.34</v>
          </cell>
          <cell r="V84">
            <v>26.39</v>
          </cell>
          <cell r="W84">
            <v>26.55</v>
          </cell>
          <cell r="X84">
            <v>31.44</v>
          </cell>
          <cell r="Y84">
            <v>26.87</v>
          </cell>
          <cell r="Z84">
            <v>27.21</v>
          </cell>
          <cell r="AA84">
            <v>31.9</v>
          </cell>
          <cell r="AB84">
            <v>32.369999999999997</v>
          </cell>
          <cell r="AC84">
            <v>31.21</v>
          </cell>
          <cell r="AD84">
            <v>27.04</v>
          </cell>
          <cell r="AE84">
            <v>31.66</v>
          </cell>
          <cell r="AF84">
            <v>0</v>
          </cell>
          <cell r="AG84">
            <v>36.26</v>
          </cell>
          <cell r="AH84">
            <v>40.159999999999997</v>
          </cell>
          <cell r="AI84">
            <v>40.700000000000003</v>
          </cell>
          <cell r="AJ84">
            <v>41.27</v>
          </cell>
          <cell r="AK84">
            <v>37.630000000000003</v>
          </cell>
          <cell r="AL84">
            <v>40.43</v>
          </cell>
          <cell r="AM84">
            <v>36.479999999999997</v>
          </cell>
          <cell r="AN84">
            <v>36.700000000000003</v>
          </cell>
          <cell r="AO84">
            <v>41.85</v>
          </cell>
          <cell r="AP84">
            <v>37.15</v>
          </cell>
          <cell r="AQ84">
            <v>37.619999999999997</v>
          </cell>
          <cell r="AR84">
            <v>42.44</v>
          </cell>
          <cell r="AS84">
            <v>43.04</v>
          </cell>
          <cell r="AT84">
            <v>41.55</v>
          </cell>
          <cell r="AU84">
            <v>37.380000000000003</v>
          </cell>
          <cell r="AV84">
            <v>42.13</v>
          </cell>
          <cell r="AX84">
            <v>30.13</v>
          </cell>
          <cell r="AY84">
            <v>40.159999999999997</v>
          </cell>
          <cell r="AZ84">
            <v>0.17</v>
          </cell>
          <cell r="BA84">
            <v>0.12</v>
          </cell>
          <cell r="BB84" t="str">
            <v>#_NA</v>
          </cell>
          <cell r="BC84" t="str">
            <v>#_NA</v>
          </cell>
          <cell r="BD84" t="str">
            <v>#_NA</v>
          </cell>
          <cell r="BE84" t="str">
            <v>-</v>
          </cell>
          <cell r="BF84" t="str">
            <v>-</v>
          </cell>
          <cell r="BG84">
            <v>5.6820000000000002E-2</v>
          </cell>
          <cell r="BH84">
            <v>0.80669999999999997</v>
          </cell>
          <cell r="BI84">
            <v>5.49</v>
          </cell>
          <cell r="BJ84" t="str">
            <v>-</v>
          </cell>
          <cell r="BK84">
            <v>0.84089999999999998</v>
          </cell>
          <cell r="BL84">
            <v>4.5199999999999996</v>
          </cell>
          <cell r="BM84" t="str">
            <v>-</v>
          </cell>
          <cell r="BN84" t="str">
            <v>NÃO</v>
          </cell>
          <cell r="BO84" t="str">
            <v>NÃO</v>
          </cell>
          <cell r="BP84" t="str">
            <v>MS|S|NACIONAL|Sim|Negativa</v>
          </cell>
          <cell r="BR84" t="str">
            <v>TBD</v>
          </cell>
          <cell r="BS84">
            <v>0</v>
          </cell>
          <cell r="BT84" t="str">
            <v>#ERRO</v>
          </cell>
          <cell r="BU84">
            <v>4.5199999999999996</v>
          </cell>
          <cell r="BV84" t="str">
            <v>-</v>
          </cell>
          <cell r="BX84" t="str">
            <v>TBD</v>
          </cell>
          <cell r="BY84" t="str">
            <v>TBD</v>
          </cell>
          <cell r="BZ84" t="str">
            <v>TBD</v>
          </cell>
          <cell r="CA84" t="str">
            <v>#ERRO</v>
          </cell>
          <cell r="CB84" t="str">
            <v>-</v>
          </cell>
        </row>
        <row r="85">
          <cell r="A85" t="str">
            <v>19482-0</v>
          </cell>
          <cell r="B85" t="str">
            <v>19482-0</v>
          </cell>
          <cell r="C85">
            <v>7896714214764</v>
          </cell>
          <cell r="D85" t="str">
            <v>DORONA CAFI COMP DISP BL 25X4</v>
          </cell>
          <cell r="E85" t="str">
            <v>SIM</v>
          </cell>
          <cell r="F85" t="str">
            <v>S</v>
          </cell>
          <cell r="G85" t="str">
            <v>LINHA</v>
          </cell>
          <cell r="H85">
            <v>5</v>
          </cell>
          <cell r="I85">
            <v>12</v>
          </cell>
          <cell r="J85" t="str">
            <v>Liberado</v>
          </cell>
          <cell r="K85" t="str">
            <v>Negativa</v>
          </cell>
          <cell r="L85" t="str">
            <v>Sim</v>
          </cell>
          <cell r="M85" t="str">
            <v>NACIONAL</v>
          </cell>
          <cell r="N85" t="str">
            <v>NACIONAL</v>
          </cell>
          <cell r="P85">
            <v>166.42</v>
          </cell>
          <cell r="Q85">
            <v>191.17</v>
          </cell>
          <cell r="R85">
            <v>193.86</v>
          </cell>
          <cell r="S85">
            <v>196.62</v>
          </cell>
          <cell r="T85">
            <v>178.77</v>
          </cell>
          <cell r="U85">
            <v>192.5</v>
          </cell>
          <cell r="V85">
            <v>167.42</v>
          </cell>
          <cell r="W85">
            <v>168.45</v>
          </cell>
          <cell r="X85">
            <v>199.47</v>
          </cell>
          <cell r="Y85">
            <v>170.52</v>
          </cell>
          <cell r="Z85">
            <v>172.66</v>
          </cell>
          <cell r="AA85">
            <v>202.4</v>
          </cell>
          <cell r="AB85">
            <v>205.42</v>
          </cell>
          <cell r="AC85">
            <v>198.04</v>
          </cell>
          <cell r="AD85">
            <v>171.58</v>
          </cell>
          <cell r="AE85">
            <v>200.92</v>
          </cell>
          <cell r="AF85">
            <v>0</v>
          </cell>
          <cell r="AG85">
            <v>230.07</v>
          </cell>
          <cell r="AH85">
            <v>254.82</v>
          </cell>
          <cell r="AI85">
            <v>258.27999999999997</v>
          </cell>
          <cell r="AJ85">
            <v>261.83</v>
          </cell>
          <cell r="AK85">
            <v>238.8</v>
          </cell>
          <cell r="AL85">
            <v>256.52999999999997</v>
          </cell>
          <cell r="AM85">
            <v>231.45</v>
          </cell>
          <cell r="AN85">
            <v>232.87</v>
          </cell>
          <cell r="AO85">
            <v>265.5</v>
          </cell>
          <cell r="AP85">
            <v>235.73</v>
          </cell>
          <cell r="AQ85">
            <v>238.69</v>
          </cell>
          <cell r="AR85">
            <v>269.27</v>
          </cell>
          <cell r="AS85">
            <v>273.14</v>
          </cell>
          <cell r="AT85">
            <v>263.66000000000003</v>
          </cell>
          <cell r="AU85">
            <v>237.2</v>
          </cell>
          <cell r="AV85">
            <v>267.37</v>
          </cell>
          <cell r="AX85">
            <v>191.17</v>
          </cell>
          <cell r="AY85">
            <v>254.82</v>
          </cell>
          <cell r="AZ85">
            <v>0.17</v>
          </cell>
          <cell r="BA85">
            <v>0.12</v>
          </cell>
          <cell r="BB85" t="str">
            <v>#_NA</v>
          </cell>
          <cell r="BC85" t="str">
            <v>#_NA</v>
          </cell>
          <cell r="BD85" t="str">
            <v>#_NA</v>
          </cell>
          <cell r="BE85" t="str">
            <v>-</v>
          </cell>
          <cell r="BF85" t="str">
            <v>-</v>
          </cell>
          <cell r="BG85">
            <v>5.6820000000000002E-2</v>
          </cell>
          <cell r="BH85">
            <v>0.81020000000000003</v>
          </cell>
          <cell r="BI85">
            <v>34.22</v>
          </cell>
          <cell r="BJ85" t="str">
            <v>-</v>
          </cell>
          <cell r="BK85">
            <v>0.84350000000000003</v>
          </cell>
          <cell r="BL85">
            <v>28.22</v>
          </cell>
          <cell r="BM85" t="str">
            <v>-</v>
          </cell>
          <cell r="BN85" t="str">
            <v>NÃO</v>
          </cell>
          <cell r="BO85" t="str">
            <v>NÃO</v>
          </cell>
          <cell r="BP85" t="str">
            <v>MS|S|NACIONAL|Sim|Negativa</v>
          </cell>
          <cell r="BR85" t="str">
            <v>TBD</v>
          </cell>
          <cell r="BS85">
            <v>0</v>
          </cell>
          <cell r="BT85" t="str">
            <v>#ERRO</v>
          </cell>
          <cell r="BU85">
            <v>28.22</v>
          </cell>
          <cell r="BV85" t="str">
            <v>-</v>
          </cell>
          <cell r="BX85" t="str">
            <v>TBD</v>
          </cell>
          <cell r="BY85" t="str">
            <v>TBD</v>
          </cell>
          <cell r="BZ85" t="str">
            <v>TBD</v>
          </cell>
          <cell r="CA85" t="str">
            <v>#ERRO</v>
          </cell>
          <cell r="CB85" t="str">
            <v>-</v>
          </cell>
        </row>
        <row r="86">
          <cell r="A86" t="str">
            <v>16023-0</v>
          </cell>
          <cell r="B86" t="str">
            <v>16023-0</v>
          </cell>
          <cell r="C86">
            <v>7896622304847</v>
          </cell>
          <cell r="D86" t="str">
            <v>DRAMAVIT B6 SOL OR CT FR PET 1X20 ML LP</v>
          </cell>
          <cell r="E86" t="str">
            <v>SIM</v>
          </cell>
          <cell r="F86" t="str">
            <v>S</v>
          </cell>
          <cell r="G86" t="str">
            <v>LINHA</v>
          </cell>
          <cell r="H86">
            <v>5</v>
          </cell>
          <cell r="I86">
            <v>42</v>
          </cell>
          <cell r="J86" t="str">
            <v>Monitorado</v>
          </cell>
          <cell r="K86" t="str">
            <v>Negativa</v>
          </cell>
          <cell r="L86" t="str">
            <v>Sim</v>
          </cell>
          <cell r="M86" t="str">
            <v>NACIONAL</v>
          </cell>
          <cell r="N86" t="str">
            <v>NACIONAL</v>
          </cell>
          <cell r="P86">
            <v>11.94</v>
          </cell>
          <cell r="Q86">
            <v>13.72</v>
          </cell>
          <cell r="R86">
            <v>13.91</v>
          </cell>
          <cell r="S86">
            <v>14.11</v>
          </cell>
          <cell r="T86">
            <v>12.83</v>
          </cell>
          <cell r="U86">
            <v>13.81</v>
          </cell>
          <cell r="V86">
            <v>12.01</v>
          </cell>
          <cell r="W86">
            <v>12.09</v>
          </cell>
          <cell r="X86">
            <v>14.31</v>
          </cell>
          <cell r="Y86">
            <v>12.24</v>
          </cell>
          <cell r="Z86">
            <v>12.39</v>
          </cell>
          <cell r="AA86">
            <v>14.52</v>
          </cell>
          <cell r="AB86">
            <v>14.74</v>
          </cell>
          <cell r="AC86">
            <v>14.21</v>
          </cell>
          <cell r="AD86">
            <v>12.31</v>
          </cell>
          <cell r="AE86">
            <v>14.42</v>
          </cell>
          <cell r="AF86">
            <v>0</v>
          </cell>
          <cell r="AG86">
            <v>16.510000000000002</v>
          </cell>
          <cell r="AH86">
            <v>18.29</v>
          </cell>
          <cell r="AI86">
            <v>18.53</v>
          </cell>
          <cell r="AJ86">
            <v>18.79</v>
          </cell>
          <cell r="AK86">
            <v>17.14</v>
          </cell>
          <cell r="AL86">
            <v>18.399999999999999</v>
          </cell>
          <cell r="AM86">
            <v>16.600000000000001</v>
          </cell>
          <cell r="AN86">
            <v>16.71</v>
          </cell>
          <cell r="AO86">
            <v>19.05</v>
          </cell>
          <cell r="AP86">
            <v>16.920000000000002</v>
          </cell>
          <cell r="AQ86">
            <v>17.13</v>
          </cell>
          <cell r="AR86">
            <v>19.32</v>
          </cell>
          <cell r="AS86">
            <v>19.600000000000001</v>
          </cell>
          <cell r="AT86">
            <v>18.920000000000002</v>
          </cell>
          <cell r="AU86">
            <v>17.02</v>
          </cell>
          <cell r="AV86">
            <v>19.190000000000001</v>
          </cell>
          <cell r="AX86">
            <v>13.72</v>
          </cell>
          <cell r="AY86">
            <v>18.29</v>
          </cell>
          <cell r="AZ86">
            <v>0.17</v>
          </cell>
          <cell r="BA86">
            <v>0.12</v>
          </cell>
          <cell r="BB86" t="str">
            <v>#_NA</v>
          </cell>
          <cell r="BC86" t="str">
            <v>#_NA</v>
          </cell>
          <cell r="BD86" t="str">
            <v>#_NA</v>
          </cell>
          <cell r="BE86" t="str">
            <v>-</v>
          </cell>
          <cell r="BF86" t="str">
            <v>-</v>
          </cell>
          <cell r="BG86">
            <v>5.6820000000000002E-2</v>
          </cell>
          <cell r="BH86">
            <v>0.61270000000000002</v>
          </cell>
          <cell r="BI86">
            <v>5.01</v>
          </cell>
          <cell r="BJ86" t="str">
            <v>-</v>
          </cell>
          <cell r="BK86">
            <v>0.68130000000000002</v>
          </cell>
          <cell r="BL86">
            <v>4.12</v>
          </cell>
          <cell r="BM86" t="str">
            <v>-</v>
          </cell>
          <cell r="BN86" t="str">
            <v>NÃO</v>
          </cell>
          <cell r="BO86" t="str">
            <v>NÃO</v>
          </cell>
          <cell r="BP86" t="str">
            <v>MS|S|NACIONAL|Sim|Negativa</v>
          </cell>
          <cell r="BR86" t="str">
            <v>TBD</v>
          </cell>
          <cell r="BS86">
            <v>0</v>
          </cell>
          <cell r="BT86" t="str">
            <v>#ERRO</v>
          </cell>
          <cell r="BU86">
            <v>4.12</v>
          </cell>
          <cell r="BV86" t="str">
            <v>-</v>
          </cell>
          <cell r="BX86" t="str">
            <v>TBD</v>
          </cell>
          <cell r="BY86" t="str">
            <v>TBD</v>
          </cell>
          <cell r="BZ86" t="str">
            <v>TBD</v>
          </cell>
          <cell r="CA86" t="str">
            <v>#ERRO</v>
          </cell>
          <cell r="CB86" t="str">
            <v>-</v>
          </cell>
        </row>
        <row r="87">
          <cell r="A87" t="str">
            <v>20599-0</v>
          </cell>
          <cell r="B87" t="str">
            <v>20599-1</v>
          </cell>
          <cell r="C87">
            <v>7896714274232</v>
          </cell>
          <cell r="D87" t="str">
            <v>DROPY D 10.000UI/ML GTS CT FR 10ML</v>
          </cell>
          <cell r="E87" t="str">
            <v>SIM</v>
          </cell>
          <cell r="F87" t="str">
            <v>S</v>
          </cell>
          <cell r="G87" t="str">
            <v>LINHA</v>
          </cell>
          <cell r="H87">
            <v>0</v>
          </cell>
          <cell r="I87">
            <v>24</v>
          </cell>
          <cell r="J87" t="str">
            <v>Liberado</v>
          </cell>
          <cell r="K87" t="str">
            <v>Negativa</v>
          </cell>
          <cell r="L87" t="str">
            <v>Sim</v>
          </cell>
          <cell r="M87" t="str">
            <v>NACIONAL</v>
          </cell>
          <cell r="N87" t="str">
            <v>NACIONAL</v>
          </cell>
          <cell r="P87">
            <v>68.599999999999994</v>
          </cell>
          <cell r="Q87">
            <v>78.8</v>
          </cell>
          <cell r="R87">
            <v>79.91</v>
          </cell>
          <cell r="S87">
            <v>81.05</v>
          </cell>
          <cell r="T87">
            <v>73.69</v>
          </cell>
          <cell r="U87">
            <v>79.349999999999994</v>
          </cell>
          <cell r="V87">
            <v>69.02</v>
          </cell>
          <cell r="W87">
            <v>69.44</v>
          </cell>
          <cell r="X87">
            <v>82.22</v>
          </cell>
          <cell r="Y87">
            <v>70.290000000000006</v>
          </cell>
          <cell r="Z87">
            <v>71.17</v>
          </cell>
          <cell r="AA87">
            <v>83.43</v>
          </cell>
          <cell r="AB87">
            <v>84.68</v>
          </cell>
          <cell r="AC87">
            <v>81.63</v>
          </cell>
          <cell r="AD87">
            <v>70.73</v>
          </cell>
          <cell r="AE87">
            <v>82.82</v>
          </cell>
          <cell r="AF87">
            <v>0</v>
          </cell>
          <cell r="AG87">
            <v>94.84</v>
          </cell>
          <cell r="AH87">
            <v>105.03</v>
          </cell>
          <cell r="AI87">
            <v>106.46</v>
          </cell>
          <cell r="AJ87">
            <v>107.93</v>
          </cell>
          <cell r="AK87">
            <v>98.43</v>
          </cell>
          <cell r="AL87">
            <v>105.74</v>
          </cell>
          <cell r="AM87">
            <v>95.42</v>
          </cell>
          <cell r="AN87">
            <v>96</v>
          </cell>
          <cell r="AO87">
            <v>109.44</v>
          </cell>
          <cell r="AP87">
            <v>97.17</v>
          </cell>
          <cell r="AQ87">
            <v>98.39</v>
          </cell>
          <cell r="AR87">
            <v>110.99</v>
          </cell>
          <cell r="AS87">
            <v>112.6</v>
          </cell>
          <cell r="AT87">
            <v>108.68</v>
          </cell>
          <cell r="AU87">
            <v>97.78</v>
          </cell>
          <cell r="AV87">
            <v>110.21</v>
          </cell>
          <cell r="AX87">
            <v>78.8</v>
          </cell>
          <cell r="AY87">
            <v>105.03</v>
          </cell>
          <cell r="AZ87">
            <v>0.17</v>
          </cell>
          <cell r="BA87">
            <v>0.12</v>
          </cell>
          <cell r="BB87" t="str">
            <v>#_NA</v>
          </cell>
          <cell r="BC87" t="str">
            <v>#_NA</v>
          </cell>
          <cell r="BD87" t="str">
            <v>#_NA</v>
          </cell>
          <cell r="BE87" t="str">
            <v>-</v>
          </cell>
          <cell r="BF87" t="str">
            <v>-</v>
          </cell>
          <cell r="BG87">
            <v>5.6820000000000002E-2</v>
          </cell>
          <cell r="BH87">
            <v>0.78300000000000003</v>
          </cell>
          <cell r="BI87">
            <v>16.13</v>
          </cell>
          <cell r="BJ87" t="str">
            <v>-</v>
          </cell>
          <cell r="BK87">
            <v>0.82099999999999995</v>
          </cell>
          <cell r="BL87">
            <v>13.3</v>
          </cell>
          <cell r="BM87" t="str">
            <v>-</v>
          </cell>
          <cell r="BN87" t="str">
            <v>NÃO</v>
          </cell>
          <cell r="BO87" t="str">
            <v>NÃO</v>
          </cell>
          <cell r="BP87" t="str">
            <v>MS|S|NACIONAL|Sim|Negativa</v>
          </cell>
          <cell r="BR87" t="str">
            <v>TBD</v>
          </cell>
          <cell r="BS87">
            <v>0</v>
          </cell>
          <cell r="BT87" t="str">
            <v>#ERRO</v>
          </cell>
          <cell r="BU87">
            <v>13.3</v>
          </cell>
          <cell r="BV87" t="str">
            <v>-</v>
          </cell>
          <cell r="BX87" t="str">
            <v>TBD</v>
          </cell>
          <cell r="BY87" t="str">
            <v>TBD</v>
          </cell>
          <cell r="BZ87" t="str">
            <v>TBD</v>
          </cell>
          <cell r="CA87" t="str">
            <v>#ERRO</v>
          </cell>
          <cell r="CB87" t="str">
            <v>-</v>
          </cell>
        </row>
        <row r="88">
          <cell r="A88" t="str">
            <v>20615-0</v>
          </cell>
          <cell r="B88" t="str">
            <v>20615-1</v>
          </cell>
          <cell r="C88">
            <v>7896714274270</v>
          </cell>
          <cell r="D88" t="str">
            <v>DROPY D 2.000UI CT BL 30 CPRV</v>
          </cell>
          <cell r="E88" t="str">
            <v>SIM</v>
          </cell>
          <cell r="F88" t="str">
            <v>S</v>
          </cell>
          <cell r="G88" t="str">
            <v>LINHA</v>
          </cell>
          <cell r="H88">
            <v>5</v>
          </cell>
          <cell r="I88">
            <v>24</v>
          </cell>
          <cell r="J88" t="str">
            <v>Liberado</v>
          </cell>
          <cell r="K88" t="str">
            <v>Alimento Funcional</v>
          </cell>
          <cell r="L88" t="str">
            <v>Sim</v>
          </cell>
          <cell r="M88" t="str">
            <v>NACIONAL</v>
          </cell>
          <cell r="N88" t="str">
            <v>NACIONAL</v>
          </cell>
          <cell r="P88">
            <v>50.85</v>
          </cell>
          <cell r="Q88">
            <v>50.85</v>
          </cell>
          <cell r="R88">
            <v>51.47</v>
          </cell>
          <cell r="S88">
            <v>52.11</v>
          </cell>
          <cell r="T88">
            <v>47.96</v>
          </cell>
          <cell r="U88">
            <v>51.16</v>
          </cell>
          <cell r="V88">
            <v>51.16</v>
          </cell>
          <cell r="W88">
            <v>51.47</v>
          </cell>
          <cell r="X88">
            <v>52.76</v>
          </cell>
          <cell r="Y88">
            <v>52.11</v>
          </cell>
          <cell r="Z88">
            <v>52.76</v>
          </cell>
          <cell r="AA88">
            <v>53.42</v>
          </cell>
          <cell r="AB88">
            <v>54.11</v>
          </cell>
          <cell r="AC88">
            <v>52.43</v>
          </cell>
          <cell r="AD88">
            <v>52.43</v>
          </cell>
          <cell r="AE88">
            <v>53.09</v>
          </cell>
          <cell r="AF88">
            <v>0</v>
          </cell>
          <cell r="AG88">
            <v>70.3</v>
          </cell>
          <cell r="AH88">
            <v>70.3</v>
          </cell>
          <cell r="AI88">
            <v>71.150000000000006</v>
          </cell>
          <cell r="AJ88">
            <v>72.040000000000006</v>
          </cell>
          <cell r="AK88">
            <v>66.3</v>
          </cell>
          <cell r="AL88">
            <v>70.73</v>
          </cell>
          <cell r="AM88">
            <v>70.73</v>
          </cell>
          <cell r="AN88">
            <v>71.150000000000006</v>
          </cell>
          <cell r="AO88">
            <v>72.94</v>
          </cell>
          <cell r="AP88">
            <v>72.040000000000006</v>
          </cell>
          <cell r="AQ88">
            <v>72.94</v>
          </cell>
          <cell r="AR88">
            <v>73.849999999999994</v>
          </cell>
          <cell r="AS88">
            <v>74.8</v>
          </cell>
          <cell r="AT88">
            <v>72.48</v>
          </cell>
          <cell r="AU88">
            <v>72.48</v>
          </cell>
          <cell r="AV88">
            <v>73.39</v>
          </cell>
          <cell r="AX88">
            <v>50.85</v>
          </cell>
          <cell r="AY88">
            <v>70.3</v>
          </cell>
          <cell r="AZ88">
            <v>0.17</v>
          </cell>
          <cell r="BA88">
            <v>0.12</v>
          </cell>
          <cell r="BB88" t="str">
            <v>#_NA</v>
          </cell>
          <cell r="BC88" t="str">
            <v>#_NA</v>
          </cell>
          <cell r="BD88" t="str">
            <v>#_NA</v>
          </cell>
          <cell r="BE88" t="str">
            <v>-</v>
          </cell>
          <cell r="BF88" t="str">
            <v>-</v>
          </cell>
          <cell r="BG88">
            <v>5.6820000000000002E-2</v>
          </cell>
          <cell r="BH88">
            <v>0.8831</v>
          </cell>
          <cell r="BI88">
            <v>5.61</v>
          </cell>
          <cell r="BJ88" t="str">
            <v>-</v>
          </cell>
          <cell r="BK88">
            <v>0.89100000000000001</v>
          </cell>
          <cell r="BL88">
            <v>5.23</v>
          </cell>
          <cell r="BM88" t="str">
            <v>-</v>
          </cell>
          <cell r="BN88" t="str">
            <v>SIM</v>
          </cell>
          <cell r="BO88" t="str">
            <v>NÃO</v>
          </cell>
          <cell r="BP88" t="str">
            <v>MS|S|NACIONAL|Sim|Alimento Funcional</v>
          </cell>
          <cell r="BR88" t="str">
            <v>TBD</v>
          </cell>
          <cell r="BS88">
            <v>0</v>
          </cell>
          <cell r="BT88" t="str">
            <v>#ERRO</v>
          </cell>
          <cell r="BU88">
            <v>5.23</v>
          </cell>
          <cell r="BV88" t="str">
            <v>-</v>
          </cell>
          <cell r="BX88" t="str">
            <v>TBD</v>
          </cell>
          <cell r="BY88" t="str">
            <v>TBD</v>
          </cell>
          <cell r="BZ88" t="str">
            <v>TBD</v>
          </cell>
          <cell r="CA88" t="str">
            <v>#ERRO</v>
          </cell>
          <cell r="CB88" t="str">
            <v>-</v>
          </cell>
        </row>
        <row r="89">
          <cell r="A89" t="str">
            <v>20597-0</v>
          </cell>
          <cell r="B89" t="str">
            <v>20597-1</v>
          </cell>
          <cell r="C89">
            <v>7896714274218</v>
          </cell>
          <cell r="D89" t="str">
            <v>DROPY D 50.000UI COMP REV CT BL 4UN</v>
          </cell>
          <cell r="E89" t="str">
            <v>SIM</v>
          </cell>
          <cell r="F89" t="str">
            <v>S</v>
          </cell>
          <cell r="G89" t="str">
            <v>LINHA</v>
          </cell>
          <cell r="H89">
            <v>5</v>
          </cell>
          <cell r="I89">
            <v>24</v>
          </cell>
          <cell r="J89" t="str">
            <v>Monitorado</v>
          </cell>
          <cell r="K89" t="str">
            <v>Negativa</v>
          </cell>
          <cell r="L89" t="str">
            <v>Sim</v>
          </cell>
          <cell r="M89" t="str">
            <v>NACIONAL</v>
          </cell>
          <cell r="N89" t="str">
            <v>NACIONAL</v>
          </cell>
          <cell r="P89">
            <v>67.459999999999994</v>
          </cell>
          <cell r="Q89">
            <v>77.489999999999995</v>
          </cell>
          <cell r="R89">
            <v>78.58</v>
          </cell>
          <cell r="S89">
            <v>79.7</v>
          </cell>
          <cell r="T89">
            <v>72.47</v>
          </cell>
          <cell r="U89">
            <v>78.03</v>
          </cell>
          <cell r="V89">
            <v>67.87</v>
          </cell>
          <cell r="W89">
            <v>68.28</v>
          </cell>
          <cell r="X89">
            <v>80.86</v>
          </cell>
          <cell r="Y89">
            <v>69.12</v>
          </cell>
          <cell r="Z89">
            <v>69.989999999999995</v>
          </cell>
          <cell r="AA89">
            <v>82.05</v>
          </cell>
          <cell r="AB89">
            <v>83.27</v>
          </cell>
          <cell r="AC89">
            <v>80.28</v>
          </cell>
          <cell r="AD89">
            <v>69.55</v>
          </cell>
          <cell r="AE89">
            <v>81.45</v>
          </cell>
          <cell r="AF89">
            <v>0</v>
          </cell>
          <cell r="AG89">
            <v>93.26</v>
          </cell>
          <cell r="AH89">
            <v>103.29</v>
          </cell>
          <cell r="AI89">
            <v>104.69</v>
          </cell>
          <cell r="AJ89">
            <v>106.13</v>
          </cell>
          <cell r="AK89">
            <v>96.8</v>
          </cell>
          <cell r="AL89">
            <v>103.98</v>
          </cell>
          <cell r="AM89">
            <v>93.83</v>
          </cell>
          <cell r="AN89">
            <v>94.39</v>
          </cell>
          <cell r="AO89">
            <v>107.63</v>
          </cell>
          <cell r="AP89">
            <v>95.55</v>
          </cell>
          <cell r="AQ89">
            <v>96.76</v>
          </cell>
          <cell r="AR89">
            <v>109.16</v>
          </cell>
          <cell r="AS89">
            <v>110.72</v>
          </cell>
          <cell r="AT89">
            <v>106.88</v>
          </cell>
          <cell r="AU89">
            <v>96.15</v>
          </cell>
          <cell r="AV89">
            <v>108.39</v>
          </cell>
          <cell r="AX89">
            <v>77.489999999999995</v>
          </cell>
          <cell r="AY89">
            <v>103.29</v>
          </cell>
          <cell r="AZ89">
            <v>0.17</v>
          </cell>
          <cell r="BA89">
            <v>0.12</v>
          </cell>
          <cell r="BB89" t="str">
            <v>#_NA</v>
          </cell>
          <cell r="BC89" t="str">
            <v>#_NA</v>
          </cell>
          <cell r="BD89" t="str">
            <v>#_NA</v>
          </cell>
          <cell r="BE89" t="str">
            <v>-</v>
          </cell>
          <cell r="BF89" t="str">
            <v>-</v>
          </cell>
          <cell r="BG89">
            <v>5.6820000000000002E-2</v>
          </cell>
          <cell r="BH89">
            <v>0.88370000000000004</v>
          </cell>
          <cell r="BI89">
            <v>8.5</v>
          </cell>
          <cell r="BJ89" t="str">
            <v>-</v>
          </cell>
          <cell r="BK89">
            <v>0.89149999999999996</v>
          </cell>
          <cell r="BL89">
            <v>7.93</v>
          </cell>
          <cell r="BM89" t="str">
            <v>-</v>
          </cell>
          <cell r="BN89" t="str">
            <v>SIM</v>
          </cell>
          <cell r="BO89" t="str">
            <v>NÃO</v>
          </cell>
          <cell r="BP89" t="str">
            <v>MS|S|NACIONAL|Sim|Negativa</v>
          </cell>
          <cell r="BR89" t="str">
            <v>TBD</v>
          </cell>
          <cell r="BS89">
            <v>0</v>
          </cell>
          <cell r="BT89" t="str">
            <v>#ERRO</v>
          </cell>
          <cell r="BU89">
            <v>7.93</v>
          </cell>
          <cell r="BV89" t="str">
            <v>-</v>
          </cell>
          <cell r="BX89" t="str">
            <v>TBD</v>
          </cell>
          <cell r="BY89" t="str">
            <v>TBD</v>
          </cell>
          <cell r="BZ89" t="str">
            <v>TBD</v>
          </cell>
          <cell r="CA89" t="str">
            <v>#ERRO</v>
          </cell>
          <cell r="CB89" t="str">
            <v>-</v>
          </cell>
        </row>
        <row r="90">
          <cell r="A90" t="str">
            <v>20598-0</v>
          </cell>
          <cell r="B90" t="str">
            <v>20598-1</v>
          </cell>
          <cell r="C90">
            <v>7896714274225</v>
          </cell>
          <cell r="D90" t="str">
            <v>DROPY D 50.000UI COMP REV CT BL 8UN</v>
          </cell>
          <cell r="E90" t="str">
            <v>SIM</v>
          </cell>
          <cell r="F90" t="str">
            <v>S</v>
          </cell>
          <cell r="G90" t="str">
            <v>LINHA</v>
          </cell>
          <cell r="H90">
            <v>0</v>
          </cell>
          <cell r="I90">
            <v>24</v>
          </cell>
          <cell r="J90" t="str">
            <v>Monitorado</v>
          </cell>
          <cell r="K90" t="str">
            <v>Negativa</v>
          </cell>
          <cell r="L90" t="str">
            <v>Sim</v>
          </cell>
          <cell r="M90" t="str">
            <v>NACIONAL</v>
          </cell>
          <cell r="N90" t="str">
            <v>NACIONAL</v>
          </cell>
          <cell r="P90">
            <v>94.87</v>
          </cell>
          <cell r="Q90">
            <v>108.98</v>
          </cell>
          <cell r="R90">
            <v>110.51</v>
          </cell>
          <cell r="S90">
            <v>112.09</v>
          </cell>
          <cell r="T90">
            <v>101.91</v>
          </cell>
          <cell r="U90">
            <v>109.74</v>
          </cell>
          <cell r="V90">
            <v>95.44</v>
          </cell>
          <cell r="W90">
            <v>96.03</v>
          </cell>
          <cell r="X90">
            <v>113.71</v>
          </cell>
          <cell r="Y90">
            <v>97.21</v>
          </cell>
          <cell r="Z90">
            <v>98.43</v>
          </cell>
          <cell r="AA90">
            <v>115.38</v>
          </cell>
          <cell r="AB90">
            <v>117.1</v>
          </cell>
          <cell r="AC90">
            <v>112.89</v>
          </cell>
          <cell r="AD90">
            <v>97.81</v>
          </cell>
          <cell r="AE90">
            <v>114.54</v>
          </cell>
          <cell r="AF90">
            <v>0</v>
          </cell>
          <cell r="AG90">
            <v>131.15</v>
          </cell>
          <cell r="AH90">
            <v>145.26</v>
          </cell>
          <cell r="AI90">
            <v>147.22999999999999</v>
          </cell>
          <cell r="AJ90">
            <v>149.27000000000001</v>
          </cell>
          <cell r="AK90">
            <v>136.13</v>
          </cell>
          <cell r="AL90">
            <v>146.24</v>
          </cell>
          <cell r="AM90">
            <v>131.94</v>
          </cell>
          <cell r="AN90">
            <v>132.76</v>
          </cell>
          <cell r="AO90">
            <v>151.35</v>
          </cell>
          <cell r="AP90">
            <v>134.38999999999999</v>
          </cell>
          <cell r="AQ90">
            <v>136.07</v>
          </cell>
          <cell r="AR90">
            <v>153.5</v>
          </cell>
          <cell r="AS90">
            <v>155.71</v>
          </cell>
          <cell r="AT90">
            <v>150.30000000000001</v>
          </cell>
          <cell r="AU90">
            <v>135.22</v>
          </cell>
          <cell r="AV90">
            <v>152.41999999999999</v>
          </cell>
          <cell r="AX90">
            <v>108.98</v>
          </cell>
          <cell r="AY90">
            <v>145.26</v>
          </cell>
          <cell r="AZ90">
            <v>0.17</v>
          </cell>
          <cell r="BA90">
            <v>0.12</v>
          </cell>
          <cell r="BB90" t="str">
            <v>#_NA</v>
          </cell>
          <cell r="BC90" t="str">
            <v>#_NA</v>
          </cell>
          <cell r="BD90" t="str">
            <v>#_NA</v>
          </cell>
          <cell r="BE90" t="str">
            <v>-</v>
          </cell>
          <cell r="BF90" t="str">
            <v>-</v>
          </cell>
          <cell r="BG90">
            <v>5.6820000000000002E-2</v>
          </cell>
          <cell r="BH90">
            <v>0.87529999999999997</v>
          </cell>
          <cell r="BI90">
            <v>12.82</v>
          </cell>
          <cell r="BJ90" t="str">
            <v>-</v>
          </cell>
          <cell r="BK90">
            <v>0.88380000000000003</v>
          </cell>
          <cell r="BL90">
            <v>11.94</v>
          </cell>
          <cell r="BM90" t="str">
            <v>-</v>
          </cell>
          <cell r="BN90" t="str">
            <v>SIM</v>
          </cell>
          <cell r="BO90" t="str">
            <v>NÃO</v>
          </cell>
          <cell r="BP90" t="str">
            <v>MS|S|NACIONAL|Sim|Negativa</v>
          </cell>
          <cell r="BR90" t="str">
            <v>TBD</v>
          </cell>
          <cell r="BS90">
            <v>0</v>
          </cell>
          <cell r="BT90" t="str">
            <v>#ERRO</v>
          </cell>
          <cell r="BU90">
            <v>11.94</v>
          </cell>
          <cell r="BV90" t="str">
            <v>-</v>
          </cell>
          <cell r="BX90" t="str">
            <v>TBD</v>
          </cell>
          <cell r="BY90" t="str">
            <v>TBD</v>
          </cell>
          <cell r="BZ90" t="str">
            <v>TBD</v>
          </cell>
          <cell r="CA90" t="str">
            <v>#ERRO</v>
          </cell>
          <cell r="CB90" t="str">
            <v>-</v>
          </cell>
        </row>
        <row r="91">
          <cell r="A91" t="str">
            <v>20596-0</v>
          </cell>
          <cell r="B91" t="str">
            <v>20596-1</v>
          </cell>
          <cell r="C91">
            <v>7896714274201</v>
          </cell>
          <cell r="D91" t="str">
            <v>DROPY D 7.000UI COMP REV CT BL 10UN</v>
          </cell>
          <cell r="E91" t="str">
            <v>SIM</v>
          </cell>
          <cell r="F91" t="str">
            <v>S</v>
          </cell>
          <cell r="G91" t="str">
            <v>LINHA</v>
          </cell>
          <cell r="H91">
            <v>0</v>
          </cell>
          <cell r="I91">
            <v>24</v>
          </cell>
          <cell r="J91" t="str">
            <v>Monitorado</v>
          </cell>
          <cell r="K91" t="str">
            <v>Negativa</v>
          </cell>
          <cell r="L91" t="str">
            <v>Sim</v>
          </cell>
          <cell r="M91" t="str">
            <v>NACIONAL</v>
          </cell>
          <cell r="N91" t="str">
            <v>NACIONAL</v>
          </cell>
          <cell r="P91">
            <v>30.25</v>
          </cell>
          <cell r="Q91">
            <v>34.75</v>
          </cell>
          <cell r="R91">
            <v>35.24</v>
          </cell>
          <cell r="S91">
            <v>35.74</v>
          </cell>
          <cell r="T91">
            <v>32.5</v>
          </cell>
          <cell r="U91">
            <v>34.99</v>
          </cell>
          <cell r="V91">
            <v>30.43</v>
          </cell>
          <cell r="W91">
            <v>30.62</v>
          </cell>
          <cell r="X91">
            <v>36.26</v>
          </cell>
          <cell r="Y91">
            <v>31</v>
          </cell>
          <cell r="Z91">
            <v>31.38</v>
          </cell>
          <cell r="AA91">
            <v>36.79</v>
          </cell>
          <cell r="AB91">
            <v>37.340000000000003</v>
          </cell>
          <cell r="AC91">
            <v>36</v>
          </cell>
          <cell r="AD91">
            <v>31.19</v>
          </cell>
          <cell r="AE91">
            <v>36.520000000000003</v>
          </cell>
          <cell r="AF91">
            <v>0</v>
          </cell>
          <cell r="AG91">
            <v>41.82</v>
          </cell>
          <cell r="AH91">
            <v>46.32</v>
          </cell>
          <cell r="AI91">
            <v>46.95</v>
          </cell>
          <cell r="AJ91">
            <v>47.59</v>
          </cell>
          <cell r="AK91">
            <v>43.41</v>
          </cell>
          <cell r="AL91">
            <v>46.63</v>
          </cell>
          <cell r="AM91">
            <v>42.07</v>
          </cell>
          <cell r="AN91">
            <v>42.33</v>
          </cell>
          <cell r="AO91">
            <v>48.26</v>
          </cell>
          <cell r="AP91">
            <v>42.86</v>
          </cell>
          <cell r="AQ91">
            <v>43.38</v>
          </cell>
          <cell r="AR91">
            <v>48.94</v>
          </cell>
          <cell r="AS91">
            <v>49.65</v>
          </cell>
          <cell r="AT91">
            <v>47.93</v>
          </cell>
          <cell r="AU91">
            <v>43.12</v>
          </cell>
          <cell r="AV91">
            <v>48.6</v>
          </cell>
          <cell r="AX91">
            <v>34.75</v>
          </cell>
          <cell r="AY91">
            <v>46.32</v>
          </cell>
          <cell r="AZ91">
            <v>0.17</v>
          </cell>
          <cell r="BA91">
            <v>0.12</v>
          </cell>
          <cell r="BB91" t="str">
            <v>#_NA</v>
          </cell>
          <cell r="BC91" t="str">
            <v>#_NA</v>
          </cell>
          <cell r="BD91" t="str">
            <v>#_NA</v>
          </cell>
          <cell r="BE91" t="str">
            <v>-</v>
          </cell>
          <cell r="BF91" t="str">
            <v>-</v>
          </cell>
          <cell r="BG91">
            <v>5.6820000000000002E-2</v>
          </cell>
          <cell r="BH91">
            <v>0.85229999999999995</v>
          </cell>
          <cell r="BI91">
            <v>4.84</v>
          </cell>
          <cell r="BJ91" t="str">
            <v>-</v>
          </cell>
          <cell r="BK91">
            <v>0.87860000000000005</v>
          </cell>
          <cell r="BL91">
            <v>3.98</v>
          </cell>
          <cell r="BM91" t="str">
            <v>-</v>
          </cell>
          <cell r="BN91" t="str">
            <v>SIM</v>
          </cell>
          <cell r="BO91" t="str">
            <v>NÃO</v>
          </cell>
          <cell r="BP91" t="str">
            <v>MS|S|NACIONAL|Sim|Negativa</v>
          </cell>
          <cell r="BR91" t="str">
            <v>TBD</v>
          </cell>
          <cell r="BS91">
            <v>0</v>
          </cell>
          <cell r="BT91" t="str">
            <v>#ERRO</v>
          </cell>
          <cell r="BU91">
            <v>3.98</v>
          </cell>
          <cell r="BV91" t="str">
            <v>-</v>
          </cell>
          <cell r="BX91" t="str">
            <v>TBD</v>
          </cell>
          <cell r="BY91" t="str">
            <v>TBD</v>
          </cell>
          <cell r="BZ91" t="str">
            <v>TBD</v>
          </cell>
          <cell r="CA91" t="str">
            <v>#ERRO</v>
          </cell>
          <cell r="CB91" t="str">
            <v>-</v>
          </cell>
        </row>
        <row r="92">
          <cell r="A92" t="str">
            <v>19589-0</v>
          </cell>
          <cell r="B92" t="str">
            <v>19589-0</v>
          </cell>
          <cell r="C92">
            <v>7896714222394</v>
          </cell>
          <cell r="D92" t="str">
            <v>EPICITRIN 5MG+250UI/G POM DERM CT BG 10G</v>
          </cell>
          <cell r="E92" t="str">
            <v>SIM</v>
          </cell>
          <cell r="F92" t="str">
            <v>S</v>
          </cell>
          <cell r="G92" t="str">
            <v>LINHA</v>
          </cell>
          <cell r="H92">
            <v>5</v>
          </cell>
          <cell r="I92">
            <v>100</v>
          </cell>
          <cell r="J92" t="str">
            <v>Liberado</v>
          </cell>
          <cell r="K92" t="str">
            <v>Negativa</v>
          </cell>
          <cell r="L92" t="str">
            <v>Sim</v>
          </cell>
          <cell r="M92" t="str">
            <v>NACIONAL</v>
          </cell>
          <cell r="N92" t="str">
            <v>NACIONAL</v>
          </cell>
          <cell r="P92">
            <v>14.9</v>
          </cell>
          <cell r="Q92">
            <v>17.11</v>
          </cell>
          <cell r="R92">
            <v>17.36</v>
          </cell>
          <cell r="S92">
            <v>17.600000000000001</v>
          </cell>
          <cell r="T92">
            <v>16</v>
          </cell>
          <cell r="U92">
            <v>17.23</v>
          </cell>
          <cell r="V92">
            <v>14.99</v>
          </cell>
          <cell r="W92">
            <v>15.08</v>
          </cell>
          <cell r="X92">
            <v>17.86</v>
          </cell>
          <cell r="Y92">
            <v>15.27</v>
          </cell>
          <cell r="Z92">
            <v>15.46</v>
          </cell>
          <cell r="AA92">
            <v>18.12</v>
          </cell>
          <cell r="AB92">
            <v>18.39</v>
          </cell>
          <cell r="AC92">
            <v>17.73</v>
          </cell>
          <cell r="AD92">
            <v>15.36</v>
          </cell>
          <cell r="AE92">
            <v>17.989999999999998</v>
          </cell>
          <cell r="AF92">
            <v>0</v>
          </cell>
          <cell r="AG92">
            <v>20.6</v>
          </cell>
          <cell r="AH92">
            <v>22.81</v>
          </cell>
          <cell r="AI92">
            <v>23.13</v>
          </cell>
          <cell r="AJ92">
            <v>23.44</v>
          </cell>
          <cell r="AK92">
            <v>21.37</v>
          </cell>
          <cell r="AL92">
            <v>22.96</v>
          </cell>
          <cell r="AM92">
            <v>20.72</v>
          </cell>
          <cell r="AN92">
            <v>20.85</v>
          </cell>
          <cell r="AO92">
            <v>23.77</v>
          </cell>
          <cell r="AP92">
            <v>21.11</v>
          </cell>
          <cell r="AQ92">
            <v>21.37</v>
          </cell>
          <cell r="AR92">
            <v>24.11</v>
          </cell>
          <cell r="AS92">
            <v>24.45</v>
          </cell>
          <cell r="AT92">
            <v>23.6</v>
          </cell>
          <cell r="AU92">
            <v>21.23</v>
          </cell>
          <cell r="AV92">
            <v>23.94</v>
          </cell>
          <cell r="AX92">
            <v>17.11</v>
          </cell>
          <cell r="AY92">
            <v>22.81</v>
          </cell>
          <cell r="AZ92">
            <v>0.17</v>
          </cell>
          <cell r="BA92">
            <v>0.12</v>
          </cell>
          <cell r="BB92" t="str">
            <v>#_NA</v>
          </cell>
          <cell r="BC92" t="str">
            <v>#_NA</v>
          </cell>
          <cell r="BD92" t="str">
            <v>#_NA</v>
          </cell>
          <cell r="BE92" t="str">
            <v>-</v>
          </cell>
          <cell r="BF92" t="str">
            <v>-</v>
          </cell>
          <cell r="BG92">
            <v>5.6820000000000002E-2</v>
          </cell>
          <cell r="BH92">
            <v>0.72450000000000003</v>
          </cell>
          <cell r="BI92">
            <v>4.45</v>
          </cell>
          <cell r="BJ92" t="str">
            <v>-</v>
          </cell>
          <cell r="BK92">
            <v>0.73760000000000003</v>
          </cell>
          <cell r="BL92">
            <v>4.24</v>
          </cell>
          <cell r="BM92" t="str">
            <v>-</v>
          </cell>
          <cell r="BN92" t="str">
            <v>NÃO</v>
          </cell>
          <cell r="BO92" t="str">
            <v>NÃO</v>
          </cell>
          <cell r="BP92" t="str">
            <v>MS|S|NACIONAL|Sim|Negativa</v>
          </cell>
          <cell r="BR92" t="str">
            <v>TBD</v>
          </cell>
          <cell r="BS92">
            <v>0</v>
          </cell>
          <cell r="BT92" t="str">
            <v>#ERRO</v>
          </cell>
          <cell r="BU92">
            <v>4.24</v>
          </cell>
          <cell r="BV92" t="str">
            <v>-</v>
          </cell>
          <cell r="BX92" t="str">
            <v>TBD</v>
          </cell>
          <cell r="BY92" t="str">
            <v>TBD</v>
          </cell>
          <cell r="BZ92" t="str">
            <v>TBD</v>
          </cell>
          <cell r="CA92" t="str">
            <v>#ERRO</v>
          </cell>
          <cell r="CB92" t="str">
            <v>-</v>
          </cell>
        </row>
        <row r="93">
          <cell r="A93" t="str">
            <v>20865-0</v>
          </cell>
          <cell r="B93" t="str">
            <v>20865-0</v>
          </cell>
          <cell r="C93">
            <v>7896714274423</v>
          </cell>
          <cell r="D93" t="str">
            <v>EQUILIBRISSE CT BL AL 420MG X 10</v>
          </cell>
          <cell r="E93" t="str">
            <v>SIM</v>
          </cell>
          <cell r="F93" t="str">
            <v>S</v>
          </cell>
          <cell r="G93" t="str">
            <v>LINHA</v>
          </cell>
          <cell r="H93">
            <v>5</v>
          </cell>
          <cell r="I93">
            <v>24</v>
          </cell>
          <cell r="J93" t="str">
            <v>Liberado</v>
          </cell>
          <cell r="K93" t="str">
            <v>Negativa</v>
          </cell>
          <cell r="L93" t="str">
            <v>Sim</v>
          </cell>
          <cell r="M93" t="str">
            <v>NACIONAL</v>
          </cell>
          <cell r="N93" t="str">
            <v>NACIONAL</v>
          </cell>
          <cell r="P93">
            <v>14.18</v>
          </cell>
          <cell r="Q93">
            <v>16.29</v>
          </cell>
          <cell r="R93">
            <v>16.52</v>
          </cell>
          <cell r="S93">
            <v>16.75</v>
          </cell>
          <cell r="T93">
            <v>15.23</v>
          </cell>
          <cell r="U93">
            <v>16.399999999999999</v>
          </cell>
          <cell r="V93">
            <v>14.26</v>
          </cell>
          <cell r="W93">
            <v>14.35</v>
          </cell>
          <cell r="X93">
            <v>16.989999999999998</v>
          </cell>
          <cell r="Y93">
            <v>14.53</v>
          </cell>
          <cell r="Z93">
            <v>14.71</v>
          </cell>
          <cell r="AA93">
            <v>17.239999999999998</v>
          </cell>
          <cell r="AB93">
            <v>17.5</v>
          </cell>
          <cell r="AC93">
            <v>16.87</v>
          </cell>
          <cell r="AD93">
            <v>14.62</v>
          </cell>
          <cell r="AE93">
            <v>17.12</v>
          </cell>
          <cell r="AF93">
            <v>0</v>
          </cell>
          <cell r="AG93">
            <v>19.600000000000001</v>
          </cell>
          <cell r="AH93">
            <v>21.71</v>
          </cell>
          <cell r="AI93">
            <v>22.01</v>
          </cell>
          <cell r="AJ93">
            <v>22.31</v>
          </cell>
          <cell r="AK93">
            <v>20.34</v>
          </cell>
          <cell r="AL93">
            <v>21.85</v>
          </cell>
          <cell r="AM93">
            <v>19.71</v>
          </cell>
          <cell r="AN93">
            <v>19.84</v>
          </cell>
          <cell r="AO93">
            <v>22.61</v>
          </cell>
          <cell r="AP93">
            <v>20.09</v>
          </cell>
          <cell r="AQ93">
            <v>20.34</v>
          </cell>
          <cell r="AR93">
            <v>22.94</v>
          </cell>
          <cell r="AS93">
            <v>23.27</v>
          </cell>
          <cell r="AT93">
            <v>22.46</v>
          </cell>
          <cell r="AU93">
            <v>20.21</v>
          </cell>
          <cell r="AV93">
            <v>22.78</v>
          </cell>
          <cell r="AX93">
            <v>16.29</v>
          </cell>
          <cell r="AY93">
            <v>21.71</v>
          </cell>
          <cell r="AZ93">
            <v>0.17</v>
          </cell>
          <cell r="BA93">
            <v>0.12</v>
          </cell>
          <cell r="BB93" t="str">
            <v>#_NA</v>
          </cell>
          <cell r="BC93" t="str">
            <v>#_NA</v>
          </cell>
          <cell r="BD93" t="str">
            <v>#_NA</v>
          </cell>
          <cell r="BE93" t="str">
            <v>-</v>
          </cell>
          <cell r="BF93" t="str">
            <v>-</v>
          </cell>
          <cell r="BG93">
            <v>5.6820000000000002E-2</v>
          </cell>
          <cell r="BH93">
            <v>0.48630000000000001</v>
          </cell>
          <cell r="BI93">
            <v>7.89</v>
          </cell>
          <cell r="BJ93" t="str">
            <v>-</v>
          </cell>
          <cell r="BK93">
            <v>0.57630000000000003</v>
          </cell>
          <cell r="BL93">
            <v>6.51</v>
          </cell>
          <cell r="BM93" t="str">
            <v>-</v>
          </cell>
          <cell r="BN93" t="str">
            <v>NÃO</v>
          </cell>
          <cell r="BO93" t="str">
            <v>NÃO</v>
          </cell>
          <cell r="BP93" t="str">
            <v>MS|S|NACIONAL|Sim|Negativa</v>
          </cell>
          <cell r="BR93" t="str">
            <v>TBD</v>
          </cell>
          <cell r="BS93">
            <v>0</v>
          </cell>
          <cell r="BT93" t="str">
            <v>#ERRO</v>
          </cell>
          <cell r="BU93">
            <v>6.51</v>
          </cell>
          <cell r="BV93" t="str">
            <v>-</v>
          </cell>
          <cell r="BX93" t="str">
            <v>TBD</v>
          </cell>
          <cell r="BY93" t="str">
            <v>TBD</v>
          </cell>
          <cell r="BZ93" t="str">
            <v>TBD</v>
          </cell>
          <cell r="CA93" t="str">
            <v>#ERRO</v>
          </cell>
          <cell r="CB93" t="str">
            <v>-</v>
          </cell>
        </row>
        <row r="94">
          <cell r="A94" t="str">
            <v>19887-0</v>
          </cell>
          <cell r="B94" t="str">
            <v>19887-0</v>
          </cell>
          <cell r="C94">
            <v>7896714273730</v>
          </cell>
          <cell r="D94" t="str">
            <v>EZETIMIBA 10MG CT BL 30 COMP</v>
          </cell>
          <cell r="E94" t="str">
            <v>SIM</v>
          </cell>
          <cell r="F94" t="str">
            <v>G</v>
          </cell>
          <cell r="G94" t="str">
            <v>LINHA</v>
          </cell>
          <cell r="H94">
            <v>0</v>
          </cell>
          <cell r="I94">
            <v>70</v>
          </cell>
          <cell r="J94" t="str">
            <v>Monitorado</v>
          </cell>
          <cell r="K94" t="str">
            <v>Positiva</v>
          </cell>
          <cell r="L94" t="str">
            <v>Não</v>
          </cell>
          <cell r="M94" t="str">
            <v>NACIONAL</v>
          </cell>
          <cell r="N94" t="str">
            <v>NACIONAL</v>
          </cell>
          <cell r="P94">
            <v>65.42</v>
          </cell>
          <cell r="Q94">
            <v>65.42</v>
          </cell>
          <cell r="R94">
            <v>66.22</v>
          </cell>
          <cell r="S94">
            <v>67.040000000000006</v>
          </cell>
          <cell r="T94">
            <v>61.7</v>
          </cell>
          <cell r="U94">
            <v>65.819999999999993</v>
          </cell>
          <cell r="V94">
            <v>65.819999999999993</v>
          </cell>
          <cell r="W94">
            <v>66.22</v>
          </cell>
          <cell r="X94">
            <v>67.88</v>
          </cell>
          <cell r="Y94">
            <v>67.040000000000006</v>
          </cell>
          <cell r="Z94">
            <v>67.88</v>
          </cell>
          <cell r="AA94">
            <v>68.73</v>
          </cell>
          <cell r="AB94">
            <v>69.62</v>
          </cell>
          <cell r="AC94">
            <v>67.45</v>
          </cell>
          <cell r="AD94">
            <v>67.45</v>
          </cell>
          <cell r="AE94">
            <v>68.3</v>
          </cell>
          <cell r="AF94">
            <v>0</v>
          </cell>
          <cell r="AG94">
            <v>90.44</v>
          </cell>
          <cell r="AH94">
            <v>90.44</v>
          </cell>
          <cell r="AI94">
            <v>91.55</v>
          </cell>
          <cell r="AJ94">
            <v>92.68</v>
          </cell>
          <cell r="AK94">
            <v>85.3</v>
          </cell>
          <cell r="AL94">
            <v>90.99</v>
          </cell>
          <cell r="AM94">
            <v>90.99</v>
          </cell>
          <cell r="AN94">
            <v>91.55</v>
          </cell>
          <cell r="AO94">
            <v>93.84</v>
          </cell>
          <cell r="AP94">
            <v>92.68</v>
          </cell>
          <cell r="AQ94">
            <v>93.84</v>
          </cell>
          <cell r="AR94">
            <v>95.02</v>
          </cell>
          <cell r="AS94">
            <v>96.25</v>
          </cell>
          <cell r="AT94">
            <v>93.25</v>
          </cell>
          <cell r="AU94">
            <v>93.25</v>
          </cell>
          <cell r="AV94">
            <v>94.42</v>
          </cell>
          <cell r="AX94">
            <v>65.42</v>
          </cell>
          <cell r="AY94">
            <v>90.44</v>
          </cell>
          <cell r="AZ94">
            <v>0.17</v>
          </cell>
          <cell r="BA94">
            <v>0.12</v>
          </cell>
          <cell r="BB94" t="str">
            <v>#_NA</v>
          </cell>
          <cell r="BC94" t="str">
            <v>#_NA</v>
          </cell>
          <cell r="BD94" t="str">
            <v>#_NA</v>
          </cell>
          <cell r="BE94" t="str">
            <v>-</v>
          </cell>
          <cell r="BF94" t="str">
            <v>-</v>
          </cell>
          <cell r="BG94">
            <v>5.6820000000000002E-2</v>
          </cell>
          <cell r="BH94">
            <v>0.74639999999999995</v>
          </cell>
          <cell r="BI94">
            <v>15.65</v>
          </cell>
          <cell r="BJ94" t="str">
            <v>-</v>
          </cell>
          <cell r="BK94">
            <v>0.75849999999999995</v>
          </cell>
          <cell r="BL94">
            <v>14.9</v>
          </cell>
          <cell r="BM94" t="str">
            <v>-</v>
          </cell>
          <cell r="BN94" t="str">
            <v>NÃO</v>
          </cell>
          <cell r="BO94" t="str">
            <v>NÃO</v>
          </cell>
          <cell r="BP94" t="str">
            <v>MS|G|NACIONAL|Não|Positiva</v>
          </cell>
          <cell r="BR94" t="str">
            <v>TBD</v>
          </cell>
          <cell r="BS94">
            <v>0</v>
          </cell>
          <cell r="BT94" t="str">
            <v>#ERRO</v>
          </cell>
          <cell r="BU94">
            <v>14.9</v>
          </cell>
          <cell r="BV94" t="str">
            <v>-</v>
          </cell>
          <cell r="BX94" t="str">
            <v>TBD</v>
          </cell>
          <cell r="BY94" t="str">
            <v>TBD</v>
          </cell>
          <cell r="BZ94" t="str">
            <v>TBD</v>
          </cell>
          <cell r="CA94" t="str">
            <v>#ERRO</v>
          </cell>
          <cell r="CB94" t="str">
            <v>-</v>
          </cell>
        </row>
        <row r="95">
          <cell r="A95" t="str">
            <v>21641-0</v>
          </cell>
          <cell r="B95" t="str">
            <v>21641-0</v>
          </cell>
          <cell r="C95">
            <v>7896094919174</v>
          </cell>
          <cell r="D95" t="str">
            <v>FENOFIBRATO 200MG CT BL X 30 CAPS</v>
          </cell>
          <cell r="E95" t="str">
            <v>SIM</v>
          </cell>
          <cell r="F95" t="str">
            <v>G</v>
          </cell>
          <cell r="G95" t="str">
            <v>LINHA</v>
          </cell>
          <cell r="H95">
            <v>5</v>
          </cell>
          <cell r="I95">
            <v>60</v>
          </cell>
          <cell r="J95" t="str">
            <v>Monitorado</v>
          </cell>
          <cell r="K95" t="str">
            <v>Positiva</v>
          </cell>
          <cell r="L95" t="str">
            <v>Sim</v>
          </cell>
          <cell r="M95" t="str">
            <v>NACIONAL</v>
          </cell>
          <cell r="N95" t="str">
            <v>NACIONAL</v>
          </cell>
          <cell r="P95">
            <v>82.02</v>
          </cell>
          <cell r="Q95">
            <v>82.02</v>
          </cell>
          <cell r="R95">
            <v>83.02</v>
          </cell>
          <cell r="S95">
            <v>84.05</v>
          </cell>
          <cell r="T95">
            <v>77.36</v>
          </cell>
          <cell r="U95">
            <v>82.52</v>
          </cell>
          <cell r="V95">
            <v>82.52</v>
          </cell>
          <cell r="W95">
            <v>83.02</v>
          </cell>
          <cell r="X95">
            <v>85.1</v>
          </cell>
          <cell r="Y95">
            <v>84.05</v>
          </cell>
          <cell r="Z95">
            <v>85.1</v>
          </cell>
          <cell r="AA95">
            <v>86.18</v>
          </cell>
          <cell r="AB95">
            <v>87.28</v>
          </cell>
          <cell r="AC95">
            <v>84.57</v>
          </cell>
          <cell r="AD95">
            <v>84.57</v>
          </cell>
          <cell r="AE95">
            <v>85.64</v>
          </cell>
          <cell r="AF95">
            <v>0</v>
          </cell>
          <cell r="AG95">
            <v>113.39</v>
          </cell>
          <cell r="AH95">
            <v>113.39</v>
          </cell>
          <cell r="AI95">
            <v>114.77</v>
          </cell>
          <cell r="AJ95">
            <v>116.19</v>
          </cell>
          <cell r="AK95">
            <v>106.95</v>
          </cell>
          <cell r="AL95">
            <v>114.08</v>
          </cell>
          <cell r="AM95">
            <v>114.08</v>
          </cell>
          <cell r="AN95">
            <v>114.77</v>
          </cell>
          <cell r="AO95">
            <v>117.65</v>
          </cell>
          <cell r="AP95">
            <v>116.19</v>
          </cell>
          <cell r="AQ95">
            <v>117.65</v>
          </cell>
          <cell r="AR95">
            <v>119.14</v>
          </cell>
          <cell r="AS95">
            <v>120.66</v>
          </cell>
          <cell r="AT95">
            <v>116.91</v>
          </cell>
          <cell r="AU95">
            <v>116.91</v>
          </cell>
          <cell r="AV95">
            <v>118.39</v>
          </cell>
          <cell r="AX95">
            <v>82.02</v>
          </cell>
          <cell r="AY95">
            <v>113.39</v>
          </cell>
          <cell r="AZ95">
            <v>0.17</v>
          </cell>
          <cell r="BA95">
            <v>0.12</v>
          </cell>
          <cell r="BB95" t="str">
            <v>#_NA</v>
          </cell>
          <cell r="BC95" t="str">
            <v>#_NA</v>
          </cell>
          <cell r="BD95" t="str">
            <v>#_NA</v>
          </cell>
          <cell r="BE95" t="str">
            <v>-</v>
          </cell>
          <cell r="BF95" t="str">
            <v>-</v>
          </cell>
          <cell r="BG95">
            <v>5.6820000000000002E-2</v>
          </cell>
          <cell r="BH95">
            <v>0.42059999999999997</v>
          </cell>
          <cell r="BI95">
            <v>44.82</v>
          </cell>
          <cell r="BJ95" t="str">
            <v>-</v>
          </cell>
          <cell r="BK95">
            <v>0.44819999999999999</v>
          </cell>
          <cell r="BL95">
            <v>42.69</v>
          </cell>
          <cell r="BM95" t="str">
            <v>-</v>
          </cell>
          <cell r="BN95" t="str">
            <v>NÃO</v>
          </cell>
          <cell r="BO95" t="str">
            <v>NÃO</v>
          </cell>
          <cell r="BP95" t="str">
            <v>MS|G|NACIONAL|Sim|Positiva</v>
          </cell>
          <cell r="BR95" t="str">
            <v>TBD</v>
          </cell>
          <cell r="BS95">
            <v>0</v>
          </cell>
          <cell r="BT95" t="str">
            <v>#ERRO</v>
          </cell>
          <cell r="BU95">
            <v>42.69</v>
          </cell>
          <cell r="BV95" t="str">
            <v>-</v>
          </cell>
          <cell r="BX95" t="str">
            <v>TBD</v>
          </cell>
          <cell r="BY95" t="str">
            <v>TBD</v>
          </cell>
          <cell r="BZ95" t="str">
            <v>TBD</v>
          </cell>
          <cell r="CA95" t="str">
            <v>#ERRO</v>
          </cell>
          <cell r="CB95" t="str">
            <v>-</v>
          </cell>
        </row>
        <row r="96">
          <cell r="A96" t="str">
            <v>12708-0</v>
          </cell>
          <cell r="B96" t="str">
            <v>12708-0</v>
          </cell>
          <cell r="C96">
            <v>7896714203768</v>
          </cell>
          <cell r="D96" t="str">
            <v>FLAVONID COMP REV CT BL 3X10</v>
          </cell>
          <cell r="E96" t="str">
            <v>SIM</v>
          </cell>
          <cell r="F96" t="str">
            <v>S</v>
          </cell>
          <cell r="G96" t="str">
            <v>PRIORITARIO SMART</v>
          </cell>
          <cell r="H96">
            <v>5</v>
          </cell>
          <cell r="I96">
            <v>60</v>
          </cell>
          <cell r="J96" t="str">
            <v>Monitorado</v>
          </cell>
          <cell r="K96" t="str">
            <v>Negativa</v>
          </cell>
          <cell r="L96" t="str">
            <v>Sim</v>
          </cell>
          <cell r="M96" t="str">
            <v>NACIONAL</v>
          </cell>
          <cell r="N96" t="str">
            <v>NACIONAL</v>
          </cell>
          <cell r="P96">
            <v>66.930000000000007</v>
          </cell>
          <cell r="Q96">
            <v>76.89</v>
          </cell>
          <cell r="R96">
            <v>77.97</v>
          </cell>
          <cell r="S96">
            <v>79.08</v>
          </cell>
          <cell r="T96">
            <v>71.900000000000006</v>
          </cell>
          <cell r="U96">
            <v>77.42</v>
          </cell>
          <cell r="V96">
            <v>67.34</v>
          </cell>
          <cell r="W96">
            <v>67.75</v>
          </cell>
          <cell r="X96">
            <v>80.23</v>
          </cell>
          <cell r="Y96">
            <v>68.58</v>
          </cell>
          <cell r="Z96">
            <v>69.44</v>
          </cell>
          <cell r="AA96">
            <v>81.400000000000006</v>
          </cell>
          <cell r="AB96">
            <v>82.62</v>
          </cell>
          <cell r="AC96">
            <v>79.650000000000006</v>
          </cell>
          <cell r="AD96">
            <v>69.010000000000005</v>
          </cell>
          <cell r="AE96">
            <v>80.81</v>
          </cell>
          <cell r="AF96">
            <v>0</v>
          </cell>
          <cell r="AG96">
            <v>92.53</v>
          </cell>
          <cell r="AH96">
            <v>102.49</v>
          </cell>
          <cell r="AI96">
            <v>103.88</v>
          </cell>
          <cell r="AJ96">
            <v>105.31</v>
          </cell>
          <cell r="AK96">
            <v>96.04</v>
          </cell>
          <cell r="AL96">
            <v>103.17</v>
          </cell>
          <cell r="AM96">
            <v>93.09</v>
          </cell>
          <cell r="AN96">
            <v>93.66</v>
          </cell>
          <cell r="AO96">
            <v>106.79</v>
          </cell>
          <cell r="AP96">
            <v>94.81</v>
          </cell>
          <cell r="AQ96">
            <v>96</v>
          </cell>
          <cell r="AR96">
            <v>108.29</v>
          </cell>
          <cell r="AS96">
            <v>109.86</v>
          </cell>
          <cell r="AT96">
            <v>106.04</v>
          </cell>
          <cell r="AU96">
            <v>95.4</v>
          </cell>
          <cell r="AV96">
            <v>107.53</v>
          </cell>
          <cell r="AX96">
            <v>76.89</v>
          </cell>
          <cell r="AY96">
            <v>102.49</v>
          </cell>
          <cell r="AZ96">
            <v>0.17</v>
          </cell>
          <cell r="BA96">
            <v>0.12</v>
          </cell>
          <cell r="BB96" t="str">
            <v>#_NA</v>
          </cell>
          <cell r="BC96" t="str">
            <v>#_NA</v>
          </cell>
          <cell r="BD96" t="str">
            <v>#_NA</v>
          </cell>
          <cell r="BE96" t="str">
            <v>-</v>
          </cell>
          <cell r="BF96" t="str">
            <v>-</v>
          </cell>
          <cell r="BG96">
            <v>5.6820000000000002E-2</v>
          </cell>
          <cell r="BH96">
            <v>0.74719999999999998</v>
          </cell>
          <cell r="BI96">
            <v>18.329999999999998</v>
          </cell>
          <cell r="BJ96" t="str">
            <v>-</v>
          </cell>
          <cell r="BK96">
            <v>0.75929999999999997</v>
          </cell>
          <cell r="BL96">
            <v>17.46</v>
          </cell>
          <cell r="BM96" t="str">
            <v>-</v>
          </cell>
          <cell r="BN96" t="str">
            <v>NÃO</v>
          </cell>
          <cell r="BO96" t="str">
            <v>NÃO</v>
          </cell>
          <cell r="BP96" t="str">
            <v>MS|S|NACIONAL|Sim|Negativa</v>
          </cell>
          <cell r="BR96" t="str">
            <v>TBD</v>
          </cell>
          <cell r="BS96">
            <v>0</v>
          </cell>
          <cell r="BT96" t="str">
            <v>#ERRO</v>
          </cell>
          <cell r="BU96">
            <v>17.46</v>
          </cell>
          <cell r="BV96" t="str">
            <v>-</v>
          </cell>
          <cell r="BX96" t="str">
            <v>TBD</v>
          </cell>
          <cell r="BY96" t="str">
            <v>TBD</v>
          </cell>
          <cell r="BZ96" t="str">
            <v>TBD</v>
          </cell>
          <cell r="CA96" t="str">
            <v>#ERRO</v>
          </cell>
          <cell r="CB96" t="str">
            <v>-</v>
          </cell>
        </row>
        <row r="97">
          <cell r="A97" t="str">
            <v>12795-0</v>
          </cell>
          <cell r="B97" t="str">
            <v>21187-0</v>
          </cell>
          <cell r="C97">
            <v>7896714221847</v>
          </cell>
          <cell r="D97" t="str">
            <v>FLAVONID COMP REV CT BL 6X10</v>
          </cell>
          <cell r="E97" t="str">
            <v>SIM</v>
          </cell>
          <cell r="F97" t="str">
            <v>S</v>
          </cell>
          <cell r="G97" t="str">
            <v>PRIORITARIO SMART</v>
          </cell>
          <cell r="H97">
            <v>5</v>
          </cell>
          <cell r="I97">
            <v>36</v>
          </cell>
          <cell r="J97" t="str">
            <v>Monitorado</v>
          </cell>
          <cell r="K97" t="str">
            <v>Negativa</v>
          </cell>
          <cell r="L97" t="str">
            <v>Sim</v>
          </cell>
          <cell r="M97" t="str">
            <v>NACIONAL</v>
          </cell>
          <cell r="N97" t="str">
            <v>NACIONAL</v>
          </cell>
          <cell r="P97">
            <v>114.49</v>
          </cell>
          <cell r="Q97">
            <v>131.52000000000001</v>
          </cell>
          <cell r="R97">
            <v>133.37</v>
          </cell>
          <cell r="S97">
            <v>135.27000000000001</v>
          </cell>
          <cell r="T97">
            <v>122.99</v>
          </cell>
          <cell r="U97">
            <v>132.44</v>
          </cell>
          <cell r="V97">
            <v>115.18</v>
          </cell>
          <cell r="W97">
            <v>115.89</v>
          </cell>
          <cell r="X97">
            <v>137.22999999999999</v>
          </cell>
          <cell r="Y97">
            <v>117.32</v>
          </cell>
          <cell r="Z97">
            <v>118.78</v>
          </cell>
          <cell r="AA97">
            <v>139.25</v>
          </cell>
          <cell r="AB97">
            <v>141.32</v>
          </cell>
          <cell r="AC97">
            <v>136.24</v>
          </cell>
          <cell r="AD97">
            <v>118.05</v>
          </cell>
          <cell r="AE97">
            <v>138.22999999999999</v>
          </cell>
          <cell r="AF97">
            <v>0</v>
          </cell>
          <cell r="AG97">
            <v>158.28</v>
          </cell>
          <cell r="AH97">
            <v>175.31</v>
          </cell>
          <cell r="AI97">
            <v>177.69</v>
          </cell>
          <cell r="AJ97">
            <v>180.14</v>
          </cell>
          <cell r="AK97">
            <v>164.29</v>
          </cell>
          <cell r="AL97">
            <v>176.49</v>
          </cell>
          <cell r="AM97">
            <v>159.22999999999999</v>
          </cell>
          <cell r="AN97">
            <v>160.21</v>
          </cell>
          <cell r="AO97">
            <v>182.66</v>
          </cell>
          <cell r="AP97">
            <v>162.19</v>
          </cell>
          <cell r="AQ97">
            <v>164.21</v>
          </cell>
          <cell r="AR97">
            <v>185.25</v>
          </cell>
          <cell r="AS97">
            <v>187.91</v>
          </cell>
          <cell r="AT97">
            <v>181.38</v>
          </cell>
          <cell r="AU97">
            <v>163.19999999999999</v>
          </cell>
          <cell r="AV97">
            <v>183.94</v>
          </cell>
          <cell r="AX97">
            <v>131.52000000000001</v>
          </cell>
          <cell r="AY97">
            <v>175.31</v>
          </cell>
          <cell r="AZ97">
            <v>0.17</v>
          </cell>
          <cell r="BA97">
            <v>0.12</v>
          </cell>
          <cell r="BB97" t="str">
            <v>#_NA</v>
          </cell>
          <cell r="BC97" t="str">
            <v>#_NA</v>
          </cell>
          <cell r="BD97" t="str">
            <v>#_NA</v>
          </cell>
          <cell r="BE97" t="str">
            <v>-</v>
          </cell>
          <cell r="BF97" t="str">
            <v>-</v>
          </cell>
          <cell r="BG97">
            <v>5.6820000000000002E-2</v>
          </cell>
          <cell r="BH97">
            <v>0.71430000000000005</v>
          </cell>
          <cell r="BI97">
            <v>35.44</v>
          </cell>
          <cell r="BJ97" t="str">
            <v>-</v>
          </cell>
          <cell r="BK97">
            <v>0.72789999999999999</v>
          </cell>
          <cell r="BL97">
            <v>33.75</v>
          </cell>
          <cell r="BM97" t="str">
            <v>-</v>
          </cell>
          <cell r="BN97" t="str">
            <v>NÃO</v>
          </cell>
          <cell r="BO97" t="str">
            <v>NÃO</v>
          </cell>
          <cell r="BP97" t="str">
            <v>MS|S|NACIONAL|Sim|Negativa</v>
          </cell>
          <cell r="BR97" t="str">
            <v>TBD</v>
          </cell>
          <cell r="BS97">
            <v>0</v>
          </cell>
          <cell r="BT97" t="str">
            <v>#ERRO</v>
          </cell>
          <cell r="BU97">
            <v>33.75</v>
          </cell>
          <cell r="BV97" t="str">
            <v>-</v>
          </cell>
          <cell r="BX97" t="str">
            <v>TBD</v>
          </cell>
          <cell r="BY97" t="str">
            <v>TBD</v>
          </cell>
          <cell r="BZ97" t="str">
            <v>TBD</v>
          </cell>
          <cell r="CA97" t="str">
            <v>#ERRO</v>
          </cell>
          <cell r="CB97" t="str">
            <v>-</v>
          </cell>
        </row>
        <row r="98">
          <cell r="A98" t="str">
            <v>19305-0</v>
          </cell>
          <cell r="B98" t="str">
            <v>19305-0</v>
          </cell>
          <cell r="C98">
            <v>7896714250946</v>
          </cell>
          <cell r="D98" t="str">
            <v>FLOMICIN 100MG CAP GEL DURA FR VD 1X12</v>
          </cell>
          <cell r="E98" t="str">
            <v>SIM</v>
          </cell>
          <cell r="F98" t="str">
            <v>S</v>
          </cell>
          <cell r="G98" t="str">
            <v>LINHA</v>
          </cell>
          <cell r="H98">
            <v>5</v>
          </cell>
          <cell r="I98">
            <v>100</v>
          </cell>
          <cell r="J98" t="str">
            <v>Liberado</v>
          </cell>
          <cell r="K98" t="str">
            <v>Negativa</v>
          </cell>
          <cell r="L98" t="str">
            <v>Sim</v>
          </cell>
          <cell r="M98" t="str">
            <v>NACIONAL</v>
          </cell>
          <cell r="N98" t="str">
            <v>NACIONAL</v>
          </cell>
          <cell r="P98">
            <v>36.69</v>
          </cell>
          <cell r="Q98">
            <v>42.15</v>
          </cell>
          <cell r="R98">
            <v>42.74</v>
          </cell>
          <cell r="S98">
            <v>43.35</v>
          </cell>
          <cell r="T98">
            <v>39.42</v>
          </cell>
          <cell r="U98">
            <v>42.45</v>
          </cell>
          <cell r="V98">
            <v>36.92</v>
          </cell>
          <cell r="W98">
            <v>37.14</v>
          </cell>
          <cell r="X98">
            <v>43.98</v>
          </cell>
          <cell r="Y98">
            <v>37.6</v>
          </cell>
          <cell r="Z98">
            <v>38.07</v>
          </cell>
          <cell r="AA98">
            <v>44.63</v>
          </cell>
          <cell r="AB98">
            <v>45.29</v>
          </cell>
          <cell r="AC98">
            <v>43.67</v>
          </cell>
          <cell r="AD98">
            <v>37.83</v>
          </cell>
          <cell r="AE98">
            <v>44.3</v>
          </cell>
          <cell r="AF98">
            <v>0</v>
          </cell>
          <cell r="AG98">
            <v>50.72</v>
          </cell>
          <cell r="AH98">
            <v>56.18</v>
          </cell>
          <cell r="AI98">
            <v>56.94</v>
          </cell>
          <cell r="AJ98">
            <v>57.73</v>
          </cell>
          <cell r="AK98">
            <v>52.66</v>
          </cell>
          <cell r="AL98">
            <v>56.57</v>
          </cell>
          <cell r="AM98">
            <v>51.04</v>
          </cell>
          <cell r="AN98">
            <v>51.34</v>
          </cell>
          <cell r="AO98">
            <v>58.54</v>
          </cell>
          <cell r="AP98">
            <v>51.98</v>
          </cell>
          <cell r="AQ98">
            <v>52.63</v>
          </cell>
          <cell r="AR98">
            <v>59.37</v>
          </cell>
          <cell r="AS98">
            <v>60.22</v>
          </cell>
          <cell r="AT98">
            <v>58.14</v>
          </cell>
          <cell r="AU98">
            <v>52.3</v>
          </cell>
          <cell r="AV98">
            <v>58.95</v>
          </cell>
          <cell r="AX98">
            <v>42.15</v>
          </cell>
          <cell r="AY98">
            <v>56.18</v>
          </cell>
          <cell r="AZ98">
            <v>0.17</v>
          </cell>
          <cell r="BA98">
            <v>0.12</v>
          </cell>
          <cell r="BB98" t="str">
            <v>#_NA</v>
          </cell>
          <cell r="BC98" t="str">
            <v>#_NA</v>
          </cell>
          <cell r="BD98" t="str">
            <v>#_NA</v>
          </cell>
          <cell r="BE98" t="str">
            <v>-</v>
          </cell>
          <cell r="BF98" t="str">
            <v>-</v>
          </cell>
          <cell r="BG98">
            <v>5.6820000000000002E-2</v>
          </cell>
          <cell r="BH98">
            <v>0.71130000000000004</v>
          </cell>
          <cell r="BI98">
            <v>11.48</v>
          </cell>
          <cell r="BJ98" t="str">
            <v>-</v>
          </cell>
          <cell r="BK98">
            <v>0.76219999999999999</v>
          </cell>
          <cell r="BL98">
            <v>9.4499999999999993</v>
          </cell>
          <cell r="BM98" t="str">
            <v>-</v>
          </cell>
          <cell r="BN98" t="str">
            <v>NÃO</v>
          </cell>
          <cell r="BO98" t="str">
            <v>NÃO</v>
          </cell>
          <cell r="BP98" t="str">
            <v>MS|S|NACIONAL|Sim|Negativa</v>
          </cell>
          <cell r="BR98" t="str">
            <v>TBD</v>
          </cell>
          <cell r="BS98">
            <v>0</v>
          </cell>
          <cell r="BT98" t="str">
            <v>#ERRO</v>
          </cell>
          <cell r="BU98">
            <v>9.4499999999999993</v>
          </cell>
          <cell r="BV98" t="str">
            <v>-</v>
          </cell>
          <cell r="BX98" t="str">
            <v>TBD</v>
          </cell>
          <cell r="BY98" t="str">
            <v>TBD</v>
          </cell>
          <cell r="BZ98" t="str">
            <v>TBD</v>
          </cell>
          <cell r="CA98" t="str">
            <v>#ERRO</v>
          </cell>
          <cell r="CB98" t="str">
            <v>-</v>
          </cell>
        </row>
        <row r="99">
          <cell r="A99" t="str">
            <v>19304-0</v>
          </cell>
          <cell r="B99" t="str">
            <v>19304-0</v>
          </cell>
          <cell r="C99">
            <v>7896714250953</v>
          </cell>
          <cell r="D99" t="str">
            <v>FLOMICIN 200MG PO CT ENV 4X1G</v>
          </cell>
          <cell r="E99" t="str">
            <v>SIM</v>
          </cell>
          <cell r="F99" t="str">
            <v>S</v>
          </cell>
          <cell r="G99" t="str">
            <v>LINHA</v>
          </cell>
          <cell r="H99">
            <v>5</v>
          </cell>
          <cell r="I99">
            <v>60</v>
          </cell>
          <cell r="J99" t="str">
            <v>Liberado</v>
          </cell>
          <cell r="K99" t="str">
            <v>Negativa</v>
          </cell>
          <cell r="L99" t="str">
            <v>Sim</v>
          </cell>
          <cell r="M99" t="str">
            <v>NACIONAL</v>
          </cell>
          <cell r="N99" t="str">
            <v>NACIONAL</v>
          </cell>
          <cell r="P99">
            <v>25.13</v>
          </cell>
          <cell r="Q99">
            <v>28.87</v>
          </cell>
          <cell r="R99">
            <v>29.27</v>
          </cell>
          <cell r="S99">
            <v>29.69</v>
          </cell>
          <cell r="T99">
            <v>26.99</v>
          </cell>
          <cell r="U99">
            <v>29.07</v>
          </cell>
          <cell r="V99">
            <v>25.28</v>
          </cell>
          <cell r="W99">
            <v>25.44</v>
          </cell>
          <cell r="X99">
            <v>30.12</v>
          </cell>
          <cell r="Y99">
            <v>25.75</v>
          </cell>
          <cell r="Z99">
            <v>26.07</v>
          </cell>
          <cell r="AA99">
            <v>30.56</v>
          </cell>
          <cell r="AB99">
            <v>31.02</v>
          </cell>
          <cell r="AC99">
            <v>29.9</v>
          </cell>
          <cell r="AD99">
            <v>25.91</v>
          </cell>
          <cell r="AE99">
            <v>30.34</v>
          </cell>
          <cell r="AF99">
            <v>0</v>
          </cell>
          <cell r="AG99">
            <v>34.74</v>
          </cell>
          <cell r="AH99">
            <v>38.479999999999997</v>
          </cell>
          <cell r="AI99">
            <v>39</v>
          </cell>
          <cell r="AJ99">
            <v>39.54</v>
          </cell>
          <cell r="AK99">
            <v>36.049999999999997</v>
          </cell>
          <cell r="AL99">
            <v>38.74</v>
          </cell>
          <cell r="AM99">
            <v>34.950000000000003</v>
          </cell>
          <cell r="AN99">
            <v>35.17</v>
          </cell>
          <cell r="AO99">
            <v>40.090000000000003</v>
          </cell>
          <cell r="AP99">
            <v>35.6</v>
          </cell>
          <cell r="AQ99">
            <v>36.04</v>
          </cell>
          <cell r="AR99">
            <v>40.659999999999997</v>
          </cell>
          <cell r="AS99">
            <v>41.25</v>
          </cell>
          <cell r="AT99">
            <v>39.81</v>
          </cell>
          <cell r="AU99">
            <v>35.82</v>
          </cell>
          <cell r="AV99">
            <v>40.369999999999997</v>
          </cell>
          <cell r="AX99">
            <v>28.87</v>
          </cell>
          <cell r="AY99">
            <v>38.479999999999997</v>
          </cell>
          <cell r="AZ99">
            <v>0.17</v>
          </cell>
          <cell r="BA99">
            <v>0.12</v>
          </cell>
          <cell r="BB99" t="str">
            <v>#_NA</v>
          </cell>
          <cell r="BC99" t="str">
            <v>#_NA</v>
          </cell>
          <cell r="BD99" t="str">
            <v>#_NA</v>
          </cell>
          <cell r="BE99" t="str">
            <v>-</v>
          </cell>
          <cell r="BF99" t="str">
            <v>-</v>
          </cell>
          <cell r="BG99">
            <v>5.6820000000000002E-2</v>
          </cell>
          <cell r="BH99">
            <v>0.71199999999999997</v>
          </cell>
          <cell r="BI99">
            <v>7.84</v>
          </cell>
          <cell r="BJ99" t="str">
            <v>-</v>
          </cell>
          <cell r="BK99">
            <v>0.76239999999999997</v>
          </cell>
          <cell r="BL99">
            <v>6.47</v>
          </cell>
          <cell r="BM99" t="str">
            <v>-</v>
          </cell>
          <cell r="BN99" t="str">
            <v>NÃO</v>
          </cell>
          <cell r="BO99" t="str">
            <v>NÃO</v>
          </cell>
          <cell r="BP99" t="str">
            <v>MS|S|NACIONAL|Sim|Negativa</v>
          </cell>
          <cell r="BR99" t="str">
            <v>TBD</v>
          </cell>
          <cell r="BS99">
            <v>0</v>
          </cell>
          <cell r="BT99" t="str">
            <v>#ERRO</v>
          </cell>
          <cell r="BU99">
            <v>6.47</v>
          </cell>
          <cell r="BV99" t="str">
            <v>-</v>
          </cell>
          <cell r="BX99" t="str">
            <v>TBD</v>
          </cell>
          <cell r="BY99" t="str">
            <v>TBD</v>
          </cell>
          <cell r="BZ99" t="str">
            <v>TBD</v>
          </cell>
          <cell r="CA99" t="str">
            <v>#ERRO</v>
          </cell>
          <cell r="CB99" t="str">
            <v>-</v>
          </cell>
        </row>
        <row r="100">
          <cell r="A100" t="str">
            <v>19546-0</v>
          </cell>
          <cell r="B100" t="str">
            <v>19546-0</v>
          </cell>
          <cell r="C100">
            <v>7896714267395</v>
          </cell>
          <cell r="D100" t="str">
            <v>FLOXICAM 20MG CAP CT BL 1X15</v>
          </cell>
          <cell r="E100" t="str">
            <v>SIM</v>
          </cell>
          <cell r="F100" t="str">
            <v>S</v>
          </cell>
          <cell r="G100" t="str">
            <v>LINHA</v>
          </cell>
          <cell r="H100">
            <v>5</v>
          </cell>
          <cell r="I100">
            <v>60</v>
          </cell>
          <cell r="J100" t="str">
            <v>Monitorado</v>
          </cell>
          <cell r="K100" t="str">
            <v>Positiva</v>
          </cell>
          <cell r="L100" t="str">
            <v>Sim</v>
          </cell>
          <cell r="M100" t="str">
            <v>NACIONAL</v>
          </cell>
          <cell r="N100" t="str">
            <v>NACIONAL</v>
          </cell>
          <cell r="P100">
            <v>13.24</v>
          </cell>
          <cell r="Q100">
            <v>13.24</v>
          </cell>
          <cell r="R100">
            <v>13.4</v>
          </cell>
          <cell r="S100">
            <v>13.57</v>
          </cell>
          <cell r="T100">
            <v>12.49</v>
          </cell>
          <cell r="U100">
            <v>13.32</v>
          </cell>
          <cell r="V100">
            <v>13.32</v>
          </cell>
          <cell r="W100">
            <v>13.4</v>
          </cell>
          <cell r="X100">
            <v>13.74</v>
          </cell>
          <cell r="Y100">
            <v>13.57</v>
          </cell>
          <cell r="Z100">
            <v>13.74</v>
          </cell>
          <cell r="AA100">
            <v>13.91</v>
          </cell>
          <cell r="AB100">
            <v>14.09</v>
          </cell>
          <cell r="AC100">
            <v>13.65</v>
          </cell>
          <cell r="AD100">
            <v>13.65</v>
          </cell>
          <cell r="AE100">
            <v>13.82</v>
          </cell>
          <cell r="AF100">
            <v>0</v>
          </cell>
          <cell r="AG100">
            <v>18.3</v>
          </cell>
          <cell r="AH100">
            <v>18.3</v>
          </cell>
          <cell r="AI100">
            <v>18.52</v>
          </cell>
          <cell r="AJ100">
            <v>18.760000000000002</v>
          </cell>
          <cell r="AK100">
            <v>17.27</v>
          </cell>
          <cell r="AL100">
            <v>18.41</v>
          </cell>
          <cell r="AM100">
            <v>18.41</v>
          </cell>
          <cell r="AN100">
            <v>18.52</v>
          </cell>
          <cell r="AO100">
            <v>18.989999999999998</v>
          </cell>
          <cell r="AP100">
            <v>18.760000000000002</v>
          </cell>
          <cell r="AQ100">
            <v>18.989999999999998</v>
          </cell>
          <cell r="AR100">
            <v>19.23</v>
          </cell>
          <cell r="AS100">
            <v>19.48</v>
          </cell>
          <cell r="AT100">
            <v>18.87</v>
          </cell>
          <cell r="AU100">
            <v>18.87</v>
          </cell>
          <cell r="AV100">
            <v>19.11</v>
          </cell>
          <cell r="AX100">
            <v>13.24</v>
          </cell>
          <cell r="AY100">
            <v>18.3</v>
          </cell>
          <cell r="AZ100">
            <v>0.17</v>
          </cell>
          <cell r="BA100">
            <v>0.12</v>
          </cell>
          <cell r="BB100" t="str">
            <v>#_NA</v>
          </cell>
          <cell r="BC100" t="str">
            <v>#_NA</v>
          </cell>
          <cell r="BD100" t="str">
            <v>#_NA</v>
          </cell>
          <cell r="BE100" t="str">
            <v>-</v>
          </cell>
          <cell r="BF100" t="str">
            <v>-</v>
          </cell>
          <cell r="BG100">
            <v>5.6820000000000002E-2</v>
          </cell>
          <cell r="BH100">
            <v>0.70489999999999997</v>
          </cell>
          <cell r="BI100">
            <v>3.69</v>
          </cell>
          <cell r="BJ100" t="str">
            <v>-</v>
          </cell>
          <cell r="BK100">
            <v>0.71899999999999997</v>
          </cell>
          <cell r="BL100">
            <v>3.51</v>
          </cell>
          <cell r="BM100" t="str">
            <v>-</v>
          </cell>
          <cell r="BN100" t="str">
            <v>NÃO</v>
          </cell>
          <cell r="BO100" t="str">
            <v>NÃO</v>
          </cell>
          <cell r="BP100" t="str">
            <v>MS|S|NACIONAL|Sim|Positiva</v>
          </cell>
          <cell r="BR100" t="str">
            <v>TBD</v>
          </cell>
          <cell r="BS100">
            <v>0</v>
          </cell>
          <cell r="BT100" t="str">
            <v>#ERRO</v>
          </cell>
          <cell r="BU100">
            <v>3.51</v>
          </cell>
          <cell r="BV100" t="str">
            <v>-</v>
          </cell>
          <cell r="BX100" t="str">
            <v>TBD</v>
          </cell>
          <cell r="BY100" t="str">
            <v>TBD</v>
          </cell>
          <cell r="BZ100" t="str">
            <v>TBD</v>
          </cell>
          <cell r="CA100" t="str">
            <v>#ERRO</v>
          </cell>
          <cell r="CB100" t="str">
            <v>-</v>
          </cell>
        </row>
        <row r="101">
          <cell r="A101" t="str">
            <v>20854-0</v>
          </cell>
          <cell r="B101" t="str">
            <v>20854-0</v>
          </cell>
          <cell r="C101">
            <v>7896714203515</v>
          </cell>
          <cell r="D101" t="str">
            <v>FLUXON 25MG COMP CT BL 3X10</v>
          </cell>
          <cell r="E101" t="str">
            <v>SIM</v>
          </cell>
          <cell r="F101" t="str">
            <v>S</v>
          </cell>
          <cell r="G101" t="str">
            <v>LINHA</v>
          </cell>
          <cell r="H101">
            <v>2</v>
          </cell>
          <cell r="I101">
            <v>112</v>
          </cell>
          <cell r="J101" t="str">
            <v>Monitorado</v>
          </cell>
          <cell r="K101" t="str">
            <v>Positiva</v>
          </cell>
          <cell r="L101" t="str">
            <v>Não</v>
          </cell>
          <cell r="M101" t="str">
            <v>IMPORTADO</v>
          </cell>
          <cell r="N101" t="str">
            <v>IMPORTADO</v>
          </cell>
          <cell r="P101">
            <v>9.8800000000000008</v>
          </cell>
          <cell r="Q101">
            <v>9.8800000000000008</v>
          </cell>
          <cell r="R101">
            <v>10</v>
          </cell>
          <cell r="S101">
            <v>10.119999999999999</v>
          </cell>
          <cell r="T101">
            <v>9.32</v>
          </cell>
          <cell r="U101">
            <v>9.94</v>
          </cell>
          <cell r="V101">
            <v>9.94</v>
          </cell>
          <cell r="W101">
            <v>10</v>
          </cell>
          <cell r="X101">
            <v>10.25</v>
          </cell>
          <cell r="Y101">
            <v>10.119999999999999</v>
          </cell>
          <cell r="Z101">
            <v>10.25</v>
          </cell>
          <cell r="AA101">
            <v>10.38</v>
          </cell>
          <cell r="AB101">
            <v>10.51</v>
          </cell>
          <cell r="AC101">
            <v>10.19</v>
          </cell>
          <cell r="AD101">
            <v>10.19</v>
          </cell>
          <cell r="AE101">
            <v>10.31</v>
          </cell>
          <cell r="AF101">
            <v>0</v>
          </cell>
          <cell r="AG101">
            <v>13.66</v>
          </cell>
          <cell r="AH101">
            <v>13.66</v>
          </cell>
          <cell r="AI101">
            <v>13.82</v>
          </cell>
          <cell r="AJ101">
            <v>13.99</v>
          </cell>
          <cell r="AK101">
            <v>12.88</v>
          </cell>
          <cell r="AL101">
            <v>13.74</v>
          </cell>
          <cell r="AM101">
            <v>13.74</v>
          </cell>
          <cell r="AN101">
            <v>13.82</v>
          </cell>
          <cell r="AO101">
            <v>14.17</v>
          </cell>
          <cell r="AP101">
            <v>13.99</v>
          </cell>
          <cell r="AQ101">
            <v>14.17</v>
          </cell>
          <cell r="AR101">
            <v>14.35</v>
          </cell>
          <cell r="AS101">
            <v>14.53</v>
          </cell>
          <cell r="AT101">
            <v>14.09</v>
          </cell>
          <cell r="AU101">
            <v>14.09</v>
          </cell>
          <cell r="AV101">
            <v>14.25</v>
          </cell>
          <cell r="AX101">
            <v>9.8800000000000008</v>
          </cell>
          <cell r="AY101">
            <v>13.66</v>
          </cell>
          <cell r="AZ101">
            <v>0.17</v>
          </cell>
          <cell r="BA101">
            <v>0.04</v>
          </cell>
          <cell r="BB101" t="str">
            <v>#_NA</v>
          </cell>
          <cell r="BC101" t="str">
            <v>#_NA</v>
          </cell>
          <cell r="BD101" t="str">
            <v>#_NA</v>
          </cell>
          <cell r="BE101" t="str">
            <v>-</v>
          </cell>
          <cell r="BF101" t="str">
            <v>-</v>
          </cell>
          <cell r="BG101">
            <v>0.13542000000000001</v>
          </cell>
          <cell r="BH101">
            <v>7.17E-2</v>
          </cell>
          <cell r="BI101">
            <v>7.93</v>
          </cell>
          <cell r="BJ101" t="str">
            <v>-</v>
          </cell>
          <cell r="BK101">
            <v>0.1171</v>
          </cell>
          <cell r="BL101">
            <v>7.54</v>
          </cell>
          <cell r="BM101" t="str">
            <v>-</v>
          </cell>
          <cell r="BN101" t="str">
            <v>NÃO</v>
          </cell>
          <cell r="BO101" t="str">
            <v>NÃO</v>
          </cell>
          <cell r="BP101" t="str">
            <v>MS|S|IMPORTADO|Não|Positiva</v>
          </cell>
          <cell r="BR101" t="str">
            <v>TBD</v>
          </cell>
          <cell r="BS101">
            <v>0</v>
          </cell>
          <cell r="BT101" t="str">
            <v>#ERRO</v>
          </cell>
          <cell r="BU101">
            <v>7.54</v>
          </cell>
          <cell r="BV101" t="str">
            <v>-</v>
          </cell>
          <cell r="BX101" t="str">
            <v>TBD</v>
          </cell>
          <cell r="BY101" t="str">
            <v>TBD</v>
          </cell>
          <cell r="BZ101" t="str">
            <v>TBD</v>
          </cell>
          <cell r="CA101" t="str">
            <v>#ERRO</v>
          </cell>
          <cell r="CB101" t="str">
            <v>-</v>
          </cell>
        </row>
        <row r="102">
          <cell r="A102" t="str">
            <v>20855-0</v>
          </cell>
          <cell r="B102" t="str">
            <v>20855-0</v>
          </cell>
          <cell r="C102">
            <v>7896714203492</v>
          </cell>
          <cell r="D102" t="str">
            <v>FLUXON 75MG COMP CT BL 3X10</v>
          </cell>
          <cell r="E102" t="str">
            <v>SIM</v>
          </cell>
          <cell r="F102" t="str">
            <v>S</v>
          </cell>
          <cell r="G102" t="str">
            <v>LINHA</v>
          </cell>
          <cell r="H102">
            <v>2</v>
          </cell>
          <cell r="I102">
            <v>112</v>
          </cell>
          <cell r="J102" t="str">
            <v>Monitorado</v>
          </cell>
          <cell r="K102" t="str">
            <v>Positiva</v>
          </cell>
          <cell r="L102" t="str">
            <v>Não</v>
          </cell>
          <cell r="M102" t="str">
            <v>IMPORTADO</v>
          </cell>
          <cell r="N102" t="str">
            <v>IMPORTADO</v>
          </cell>
          <cell r="P102">
            <v>14.8</v>
          </cell>
          <cell r="Q102">
            <v>14.8</v>
          </cell>
          <cell r="R102">
            <v>14.98</v>
          </cell>
          <cell r="S102">
            <v>15.16</v>
          </cell>
          <cell r="T102">
            <v>13.95</v>
          </cell>
          <cell r="U102">
            <v>14.88</v>
          </cell>
          <cell r="V102">
            <v>14.88</v>
          </cell>
          <cell r="W102">
            <v>14.98</v>
          </cell>
          <cell r="X102">
            <v>15.35</v>
          </cell>
          <cell r="Y102">
            <v>15.16</v>
          </cell>
          <cell r="Z102">
            <v>15.35</v>
          </cell>
          <cell r="AA102">
            <v>15.54</v>
          </cell>
          <cell r="AB102">
            <v>15.74</v>
          </cell>
          <cell r="AC102">
            <v>15.25</v>
          </cell>
          <cell r="AD102">
            <v>15.25</v>
          </cell>
          <cell r="AE102">
            <v>15.45</v>
          </cell>
          <cell r="AF102">
            <v>0</v>
          </cell>
          <cell r="AG102">
            <v>20.46</v>
          </cell>
          <cell r="AH102">
            <v>20.46</v>
          </cell>
          <cell r="AI102">
            <v>20.71</v>
          </cell>
          <cell r="AJ102">
            <v>20.96</v>
          </cell>
          <cell r="AK102">
            <v>19.29</v>
          </cell>
          <cell r="AL102">
            <v>20.57</v>
          </cell>
          <cell r="AM102">
            <v>20.57</v>
          </cell>
          <cell r="AN102">
            <v>20.71</v>
          </cell>
          <cell r="AO102">
            <v>21.22</v>
          </cell>
          <cell r="AP102">
            <v>20.96</v>
          </cell>
          <cell r="AQ102">
            <v>21.22</v>
          </cell>
          <cell r="AR102">
            <v>21.48</v>
          </cell>
          <cell r="AS102">
            <v>21.76</v>
          </cell>
          <cell r="AT102">
            <v>21.08</v>
          </cell>
          <cell r="AU102">
            <v>21.08</v>
          </cell>
          <cell r="AV102">
            <v>21.36</v>
          </cell>
          <cell r="AX102">
            <v>14.8</v>
          </cell>
          <cell r="AY102">
            <v>20.46</v>
          </cell>
          <cell r="AZ102">
            <v>0.17</v>
          </cell>
          <cell r="BA102">
            <v>0.04</v>
          </cell>
          <cell r="BB102" t="str">
            <v>#_NA</v>
          </cell>
          <cell r="BC102" t="str">
            <v>#_NA</v>
          </cell>
          <cell r="BD102" t="str">
            <v>#_NA</v>
          </cell>
          <cell r="BE102" t="str">
            <v>-</v>
          </cell>
          <cell r="BF102" t="str">
            <v>-</v>
          </cell>
          <cell r="BG102">
            <v>0.13542000000000001</v>
          </cell>
          <cell r="BH102">
            <v>7.2999999999999995E-2</v>
          </cell>
          <cell r="BI102">
            <v>11.87</v>
          </cell>
          <cell r="BJ102" t="str">
            <v>-</v>
          </cell>
          <cell r="BK102">
            <v>0.11799999999999999</v>
          </cell>
          <cell r="BL102">
            <v>11.29</v>
          </cell>
          <cell r="BM102" t="str">
            <v>-</v>
          </cell>
          <cell r="BN102" t="str">
            <v>NÃO</v>
          </cell>
          <cell r="BO102" t="str">
            <v>NÃO</v>
          </cell>
          <cell r="BP102" t="str">
            <v>MS|S|IMPORTADO|Não|Positiva</v>
          </cell>
          <cell r="BR102" t="str">
            <v>TBD</v>
          </cell>
          <cell r="BS102">
            <v>0</v>
          </cell>
          <cell r="BT102" t="str">
            <v>#ERRO</v>
          </cell>
          <cell r="BU102">
            <v>11.29</v>
          </cell>
          <cell r="BV102" t="str">
            <v>-</v>
          </cell>
          <cell r="BX102" t="str">
            <v>TBD</v>
          </cell>
          <cell r="BY102" t="str">
            <v>TBD</v>
          </cell>
          <cell r="BZ102" t="str">
            <v>TBD</v>
          </cell>
          <cell r="CA102" t="str">
            <v>#ERRO</v>
          </cell>
          <cell r="CB102" t="str">
            <v>-</v>
          </cell>
        </row>
        <row r="103">
          <cell r="A103" t="str">
            <v>14075-0</v>
          </cell>
          <cell r="B103" t="str">
            <v>14075-0</v>
          </cell>
          <cell r="C103">
            <v>7896714218892</v>
          </cell>
          <cell r="D103" t="str">
            <v>FUROATO MOMETASONA CR 1,0MG/G BG 20G</v>
          </cell>
          <cell r="E103" t="str">
            <v>SIM</v>
          </cell>
          <cell r="F103" t="str">
            <v>G</v>
          </cell>
          <cell r="G103" t="str">
            <v>LINHA</v>
          </cell>
          <cell r="H103">
            <v>5</v>
          </cell>
          <cell r="I103">
            <v>100</v>
          </cell>
          <cell r="J103" t="str">
            <v>Monitorado</v>
          </cell>
          <cell r="K103" t="str">
            <v>Positiva</v>
          </cell>
          <cell r="L103" t="str">
            <v>Sim</v>
          </cell>
          <cell r="M103" t="str">
            <v>NACIONAL</v>
          </cell>
          <cell r="N103" t="str">
            <v>NACIONAL</v>
          </cell>
          <cell r="P103">
            <v>39.08</v>
          </cell>
          <cell r="Q103">
            <v>39.08</v>
          </cell>
          <cell r="R103">
            <v>39.56</v>
          </cell>
          <cell r="S103">
            <v>40.049999999999997</v>
          </cell>
          <cell r="T103">
            <v>36.86</v>
          </cell>
          <cell r="U103">
            <v>39.32</v>
          </cell>
          <cell r="V103">
            <v>39.32</v>
          </cell>
          <cell r="W103">
            <v>39.56</v>
          </cell>
          <cell r="X103">
            <v>40.549999999999997</v>
          </cell>
          <cell r="Y103">
            <v>40.049999999999997</v>
          </cell>
          <cell r="Z103">
            <v>40.549999999999997</v>
          </cell>
          <cell r="AA103">
            <v>41.06</v>
          </cell>
          <cell r="AB103">
            <v>41.59</v>
          </cell>
          <cell r="AC103">
            <v>40.299999999999997</v>
          </cell>
          <cell r="AD103">
            <v>40.299999999999997</v>
          </cell>
          <cell r="AE103">
            <v>40.81</v>
          </cell>
          <cell r="AF103">
            <v>0</v>
          </cell>
          <cell r="AG103">
            <v>54.03</v>
          </cell>
          <cell r="AH103">
            <v>54.03</v>
          </cell>
          <cell r="AI103">
            <v>54.69</v>
          </cell>
          <cell r="AJ103">
            <v>55.37</v>
          </cell>
          <cell r="AK103">
            <v>50.96</v>
          </cell>
          <cell r="AL103">
            <v>54.36</v>
          </cell>
          <cell r="AM103">
            <v>54.36</v>
          </cell>
          <cell r="AN103">
            <v>54.69</v>
          </cell>
          <cell r="AO103">
            <v>56.06</v>
          </cell>
          <cell r="AP103">
            <v>55.37</v>
          </cell>
          <cell r="AQ103">
            <v>56.06</v>
          </cell>
          <cell r="AR103">
            <v>56.76</v>
          </cell>
          <cell r="AS103">
            <v>57.5</v>
          </cell>
          <cell r="AT103">
            <v>55.71</v>
          </cell>
          <cell r="AU103">
            <v>55.71</v>
          </cell>
          <cell r="AV103">
            <v>56.42</v>
          </cell>
          <cell r="AX103">
            <v>39.08</v>
          </cell>
          <cell r="AY103">
            <v>54.03</v>
          </cell>
          <cell r="AZ103">
            <v>0.17</v>
          </cell>
          <cell r="BA103">
            <v>0.12</v>
          </cell>
          <cell r="BB103" t="str">
            <v>#_NA</v>
          </cell>
          <cell r="BC103" t="str">
            <v>#_NA</v>
          </cell>
          <cell r="BD103" t="str">
            <v>#_NA</v>
          </cell>
          <cell r="BE103" t="str">
            <v>-</v>
          </cell>
          <cell r="BF103" t="str">
            <v>-</v>
          </cell>
          <cell r="BG103">
            <v>5.6820000000000002E-2</v>
          </cell>
          <cell r="BH103">
            <v>0.73509999999999998</v>
          </cell>
          <cell r="BI103">
            <v>9.76</v>
          </cell>
          <cell r="BJ103" t="str">
            <v>-</v>
          </cell>
          <cell r="BK103">
            <v>0.748</v>
          </cell>
          <cell r="BL103">
            <v>9.2899999999999991</v>
          </cell>
          <cell r="BM103" t="str">
            <v>-</v>
          </cell>
          <cell r="BN103" t="str">
            <v>NÃO</v>
          </cell>
          <cell r="BO103" t="str">
            <v>NÃO</v>
          </cell>
          <cell r="BP103" t="str">
            <v>MS|G|NACIONAL|Sim|Positiva</v>
          </cell>
          <cell r="BR103" t="str">
            <v>TBD</v>
          </cell>
          <cell r="BS103">
            <v>0</v>
          </cell>
          <cell r="BT103" t="str">
            <v>#ERRO</v>
          </cell>
          <cell r="BU103">
            <v>9.2899999999999991</v>
          </cell>
          <cell r="BV103" t="str">
            <v>-</v>
          </cell>
          <cell r="BX103" t="str">
            <v>TBD</v>
          </cell>
          <cell r="BY103" t="str">
            <v>TBD</v>
          </cell>
          <cell r="BZ103" t="str">
            <v>TBD</v>
          </cell>
          <cell r="CA103" t="str">
            <v>#ERRO</v>
          </cell>
          <cell r="CB103" t="str">
            <v>-</v>
          </cell>
        </row>
        <row r="104">
          <cell r="A104" t="str">
            <v>19587-0</v>
          </cell>
          <cell r="B104" t="str">
            <v>19587-0</v>
          </cell>
          <cell r="C104">
            <v>7896714234557</v>
          </cell>
          <cell r="D104" t="str">
            <v>FUROSEMIDA 40MG CT BL 20 COMP</v>
          </cell>
          <cell r="E104" t="str">
            <v>SIM</v>
          </cell>
          <cell r="F104" t="str">
            <v>G</v>
          </cell>
          <cell r="G104" t="str">
            <v>LINHA</v>
          </cell>
          <cell r="H104">
            <v>5</v>
          </cell>
          <cell r="I104">
            <v>60</v>
          </cell>
          <cell r="J104" t="str">
            <v>Monitorado</v>
          </cell>
          <cell r="K104" t="str">
            <v>Positiva</v>
          </cell>
          <cell r="L104" t="str">
            <v>Sim</v>
          </cell>
          <cell r="M104" t="str">
            <v>NACIONAL</v>
          </cell>
          <cell r="N104" t="str">
            <v>NACIONAL</v>
          </cell>
          <cell r="P104">
            <v>8.41</v>
          </cell>
          <cell r="Q104">
            <v>8.41</v>
          </cell>
          <cell r="R104">
            <v>8.51</v>
          </cell>
          <cell r="S104">
            <v>8.6199999999999992</v>
          </cell>
          <cell r="T104">
            <v>7.93</v>
          </cell>
          <cell r="U104">
            <v>8.4600000000000009</v>
          </cell>
          <cell r="V104">
            <v>8.4600000000000009</v>
          </cell>
          <cell r="W104">
            <v>8.51</v>
          </cell>
          <cell r="X104">
            <v>8.73</v>
          </cell>
          <cell r="Y104">
            <v>8.6199999999999992</v>
          </cell>
          <cell r="Z104">
            <v>8.73</v>
          </cell>
          <cell r="AA104">
            <v>8.84</v>
          </cell>
          <cell r="AB104">
            <v>8.9499999999999993</v>
          </cell>
          <cell r="AC104">
            <v>8.67</v>
          </cell>
          <cell r="AD104">
            <v>8.67</v>
          </cell>
          <cell r="AE104">
            <v>8.7799999999999994</v>
          </cell>
          <cell r="AF104">
            <v>0</v>
          </cell>
          <cell r="AG104">
            <v>11.63</v>
          </cell>
          <cell r="AH104">
            <v>11.63</v>
          </cell>
          <cell r="AI104">
            <v>11.76</v>
          </cell>
          <cell r="AJ104">
            <v>11.92</v>
          </cell>
          <cell r="AK104">
            <v>10.96</v>
          </cell>
          <cell r="AL104">
            <v>11.7</v>
          </cell>
          <cell r="AM104">
            <v>11.7</v>
          </cell>
          <cell r="AN104">
            <v>11.76</v>
          </cell>
          <cell r="AO104">
            <v>12.07</v>
          </cell>
          <cell r="AP104">
            <v>11.92</v>
          </cell>
          <cell r="AQ104">
            <v>12.07</v>
          </cell>
          <cell r="AR104">
            <v>12.22</v>
          </cell>
          <cell r="AS104">
            <v>12.37</v>
          </cell>
          <cell r="AT104">
            <v>11.99</v>
          </cell>
          <cell r="AU104">
            <v>11.99</v>
          </cell>
          <cell r="AV104">
            <v>12.14</v>
          </cell>
          <cell r="AX104">
            <v>8.41</v>
          </cell>
          <cell r="AY104">
            <v>11.63</v>
          </cell>
          <cell r="AZ104">
            <v>0.17</v>
          </cell>
          <cell r="BA104">
            <v>0.12</v>
          </cell>
          <cell r="BB104" t="str">
            <v>#_NA</v>
          </cell>
          <cell r="BC104" t="str">
            <v>#_NA</v>
          </cell>
          <cell r="BD104" t="str">
            <v>#_NA</v>
          </cell>
          <cell r="BE104" t="str">
            <v>-</v>
          </cell>
          <cell r="BF104" t="str">
            <v>-</v>
          </cell>
          <cell r="BG104">
            <v>5.6820000000000002E-2</v>
          </cell>
          <cell r="BH104">
            <v>0.78149999999999997</v>
          </cell>
          <cell r="BI104">
            <v>1.73</v>
          </cell>
          <cell r="BJ104" t="str">
            <v>-</v>
          </cell>
          <cell r="BK104">
            <v>0.79190000000000005</v>
          </cell>
          <cell r="BL104">
            <v>1.65</v>
          </cell>
          <cell r="BM104" t="str">
            <v>-</v>
          </cell>
          <cell r="BN104" t="str">
            <v>NÃO</v>
          </cell>
          <cell r="BO104" t="str">
            <v>NÃO</v>
          </cell>
          <cell r="BP104" t="str">
            <v>MS|G|NACIONAL|Sim|Positiva</v>
          </cell>
          <cell r="BR104" t="str">
            <v>TBD</v>
          </cell>
          <cell r="BS104">
            <v>0</v>
          </cell>
          <cell r="BT104" t="str">
            <v>#ERRO</v>
          </cell>
          <cell r="BU104">
            <v>1.65</v>
          </cell>
          <cell r="BV104" t="str">
            <v>-</v>
          </cell>
          <cell r="BX104" t="str">
            <v>TBD</v>
          </cell>
          <cell r="BY104" t="str">
            <v>TBD</v>
          </cell>
          <cell r="BZ104" t="str">
            <v>TBD</v>
          </cell>
          <cell r="CA104" t="str">
            <v>#ERRO</v>
          </cell>
          <cell r="CB104" t="str">
            <v>-</v>
          </cell>
        </row>
        <row r="105">
          <cell r="A105" t="str">
            <v>19588-0</v>
          </cell>
          <cell r="B105" t="str">
            <v>19588-0</v>
          </cell>
          <cell r="C105">
            <v>7896714234564</v>
          </cell>
          <cell r="D105" t="str">
            <v>FUROSEMIDA 40MG CT BL 30 COMP</v>
          </cell>
          <cell r="E105" t="str">
            <v>SIM</v>
          </cell>
          <cell r="F105" t="str">
            <v>G</v>
          </cell>
          <cell r="G105" t="str">
            <v>LINHA</v>
          </cell>
          <cell r="H105">
            <v>5</v>
          </cell>
          <cell r="I105">
            <v>60</v>
          </cell>
          <cell r="J105" t="str">
            <v>Monitorado</v>
          </cell>
          <cell r="K105" t="str">
            <v>Positiva</v>
          </cell>
          <cell r="L105" t="str">
            <v>Sim</v>
          </cell>
          <cell r="M105" t="str">
            <v>NACIONAL</v>
          </cell>
          <cell r="N105" t="str">
            <v>NACIONAL</v>
          </cell>
          <cell r="P105">
            <v>16.45</v>
          </cell>
          <cell r="Q105">
            <v>16.45</v>
          </cell>
          <cell r="R105">
            <v>16.649999999999999</v>
          </cell>
          <cell r="S105">
            <v>16.850000000000001</v>
          </cell>
          <cell r="T105">
            <v>15.51</v>
          </cell>
          <cell r="U105">
            <v>16.55</v>
          </cell>
          <cell r="V105">
            <v>16.55</v>
          </cell>
          <cell r="W105">
            <v>16.649999999999999</v>
          </cell>
          <cell r="X105">
            <v>17.059999999999999</v>
          </cell>
          <cell r="Y105">
            <v>16.850000000000001</v>
          </cell>
          <cell r="Z105">
            <v>17.059999999999999</v>
          </cell>
          <cell r="AA105">
            <v>17.28</v>
          </cell>
          <cell r="AB105">
            <v>17.5</v>
          </cell>
          <cell r="AC105">
            <v>16.96</v>
          </cell>
          <cell r="AD105">
            <v>16.96</v>
          </cell>
          <cell r="AE105">
            <v>17.170000000000002</v>
          </cell>
          <cell r="AF105">
            <v>0</v>
          </cell>
          <cell r="AG105">
            <v>22.74</v>
          </cell>
          <cell r="AH105">
            <v>22.74</v>
          </cell>
          <cell r="AI105">
            <v>23.02</v>
          </cell>
          <cell r="AJ105">
            <v>23.29</v>
          </cell>
          <cell r="AK105">
            <v>21.44</v>
          </cell>
          <cell r="AL105">
            <v>22.88</v>
          </cell>
          <cell r="AM105">
            <v>22.88</v>
          </cell>
          <cell r="AN105">
            <v>23.02</v>
          </cell>
          <cell r="AO105">
            <v>23.58</v>
          </cell>
          <cell r="AP105">
            <v>23.29</v>
          </cell>
          <cell r="AQ105">
            <v>23.58</v>
          </cell>
          <cell r="AR105">
            <v>23.89</v>
          </cell>
          <cell r="AS105">
            <v>24.19</v>
          </cell>
          <cell r="AT105">
            <v>23.45</v>
          </cell>
          <cell r="AU105">
            <v>23.45</v>
          </cell>
          <cell r="AV105">
            <v>23.74</v>
          </cell>
          <cell r="AX105">
            <v>16.45</v>
          </cell>
          <cell r="AY105">
            <v>22.74</v>
          </cell>
          <cell r="AZ105">
            <v>0.17</v>
          </cell>
          <cell r="BA105">
            <v>0.12</v>
          </cell>
          <cell r="BB105" t="str">
            <v>#_NA</v>
          </cell>
          <cell r="BC105" t="str">
            <v>#_NA</v>
          </cell>
          <cell r="BD105" t="str">
            <v>#_NA</v>
          </cell>
          <cell r="BE105" t="str">
            <v>-</v>
          </cell>
          <cell r="BF105" t="str">
            <v>-</v>
          </cell>
          <cell r="BG105">
            <v>5.6820000000000002E-2</v>
          </cell>
          <cell r="BH105">
            <v>0.81320000000000003</v>
          </cell>
          <cell r="BI105">
            <v>2.9</v>
          </cell>
          <cell r="BJ105" t="str">
            <v>-</v>
          </cell>
          <cell r="BK105">
            <v>0.82210000000000005</v>
          </cell>
          <cell r="BL105">
            <v>2.76</v>
          </cell>
          <cell r="BM105" t="str">
            <v>-</v>
          </cell>
          <cell r="BN105" t="str">
            <v>NÃO</v>
          </cell>
          <cell r="BO105" t="str">
            <v>NÃO</v>
          </cell>
          <cell r="BP105" t="str">
            <v>MS|G|NACIONAL|Sim|Positiva</v>
          </cell>
          <cell r="BR105" t="str">
            <v>TBD</v>
          </cell>
          <cell r="BS105">
            <v>0</v>
          </cell>
          <cell r="BT105" t="str">
            <v>#ERRO</v>
          </cell>
          <cell r="BU105">
            <v>2.76</v>
          </cell>
          <cell r="BV105" t="str">
            <v>-</v>
          </cell>
          <cell r="BX105" t="str">
            <v>TBD</v>
          </cell>
          <cell r="BY105" t="str">
            <v>TBD</v>
          </cell>
          <cell r="BZ105" t="str">
            <v>TBD</v>
          </cell>
          <cell r="CA105" t="str">
            <v>#ERRO</v>
          </cell>
          <cell r="CB105" t="str">
            <v>-</v>
          </cell>
        </row>
        <row r="106">
          <cell r="A106" t="str">
            <v>13350-0</v>
          </cell>
          <cell r="B106" t="str">
            <v>13350-0</v>
          </cell>
          <cell r="C106">
            <v>7896714217093</v>
          </cell>
          <cell r="D106" t="str">
            <v>GLIBENCLAMIDA 5MG COMP CT BL 1X30</v>
          </cell>
          <cell r="E106" t="str">
            <v>SIM</v>
          </cell>
          <cell r="F106" t="str">
            <v>G</v>
          </cell>
          <cell r="G106" t="str">
            <v>FOCO GENERICOS</v>
          </cell>
          <cell r="H106">
            <v>5</v>
          </cell>
          <cell r="I106">
            <v>60</v>
          </cell>
          <cell r="J106" t="str">
            <v>Monitorado</v>
          </cell>
          <cell r="K106" t="str">
            <v>Positiva</v>
          </cell>
          <cell r="L106" t="str">
            <v>Sim</v>
          </cell>
          <cell r="M106" t="str">
            <v>NACIONAL</v>
          </cell>
          <cell r="N106" t="str">
            <v>NACIONAL</v>
          </cell>
          <cell r="P106">
            <v>3.25</v>
          </cell>
          <cell r="Q106">
            <v>3.25</v>
          </cell>
          <cell r="R106">
            <v>3.29</v>
          </cell>
          <cell r="S106">
            <v>3.33</v>
          </cell>
          <cell r="T106">
            <v>3.07</v>
          </cell>
          <cell r="U106">
            <v>3.27</v>
          </cell>
          <cell r="V106">
            <v>3.27</v>
          </cell>
          <cell r="W106">
            <v>3.29</v>
          </cell>
          <cell r="X106">
            <v>3.38</v>
          </cell>
          <cell r="Y106">
            <v>3.33</v>
          </cell>
          <cell r="Z106">
            <v>3.38</v>
          </cell>
          <cell r="AA106">
            <v>3.42</v>
          </cell>
          <cell r="AB106">
            <v>3.46</v>
          </cell>
          <cell r="AC106">
            <v>3.35</v>
          </cell>
          <cell r="AD106">
            <v>3.35</v>
          </cell>
          <cell r="AE106">
            <v>3.4</v>
          </cell>
          <cell r="AF106">
            <v>0</v>
          </cell>
          <cell r="AG106">
            <v>4.49</v>
          </cell>
          <cell r="AH106">
            <v>4.49</v>
          </cell>
          <cell r="AI106">
            <v>4.55</v>
          </cell>
          <cell r="AJ106">
            <v>4.5999999999999996</v>
          </cell>
          <cell r="AK106">
            <v>4.24</v>
          </cell>
          <cell r="AL106">
            <v>4.5199999999999996</v>
          </cell>
          <cell r="AM106">
            <v>4.5199999999999996</v>
          </cell>
          <cell r="AN106">
            <v>4.55</v>
          </cell>
          <cell r="AO106">
            <v>4.67</v>
          </cell>
          <cell r="AP106">
            <v>4.5999999999999996</v>
          </cell>
          <cell r="AQ106">
            <v>4.67</v>
          </cell>
          <cell r="AR106">
            <v>4.7300000000000004</v>
          </cell>
          <cell r="AS106">
            <v>4.78</v>
          </cell>
          <cell r="AT106">
            <v>4.63</v>
          </cell>
          <cell r="AU106">
            <v>4.63</v>
          </cell>
          <cell r="AV106">
            <v>4.7</v>
          </cell>
          <cell r="AX106">
            <v>3.25</v>
          </cell>
          <cell r="AY106">
            <v>4.49</v>
          </cell>
          <cell r="AZ106">
            <v>0.17</v>
          </cell>
          <cell r="BA106">
            <v>0.12</v>
          </cell>
          <cell r="BB106" t="str">
            <v>#_NA</v>
          </cell>
          <cell r="BC106" t="str">
            <v>#_NA</v>
          </cell>
          <cell r="BD106" t="str">
            <v>#_NA</v>
          </cell>
          <cell r="BE106" t="str">
            <v>-</v>
          </cell>
          <cell r="BF106" t="str">
            <v>-</v>
          </cell>
          <cell r="BG106">
            <v>5.6820000000000002E-2</v>
          </cell>
          <cell r="BH106">
            <v>0.57250000000000001</v>
          </cell>
          <cell r="BI106">
            <v>1.31</v>
          </cell>
          <cell r="BJ106" t="str">
            <v>-</v>
          </cell>
          <cell r="BK106">
            <v>0.59609999999999996</v>
          </cell>
          <cell r="BL106">
            <v>1.24</v>
          </cell>
          <cell r="BM106" t="str">
            <v>-</v>
          </cell>
          <cell r="BN106" t="str">
            <v>NÃO</v>
          </cell>
          <cell r="BO106" t="str">
            <v>NÃO</v>
          </cell>
          <cell r="BP106" t="str">
            <v>MS|G|NACIONAL|Sim|Positiva</v>
          </cell>
          <cell r="BR106" t="str">
            <v>TBD</v>
          </cell>
          <cell r="BS106">
            <v>0</v>
          </cell>
          <cell r="BT106" t="str">
            <v>#ERRO</v>
          </cell>
          <cell r="BU106">
            <v>1.24</v>
          </cell>
          <cell r="BV106" t="str">
            <v>-</v>
          </cell>
          <cell r="BX106" t="str">
            <v>TBD</v>
          </cell>
          <cell r="BY106" t="str">
            <v>TBD</v>
          </cell>
          <cell r="BZ106" t="str">
            <v>TBD</v>
          </cell>
          <cell r="CA106" t="str">
            <v>#ERRO</v>
          </cell>
          <cell r="CB106" t="str">
            <v>-</v>
          </cell>
        </row>
        <row r="107">
          <cell r="A107" t="str">
            <v>12502-0</v>
          </cell>
          <cell r="B107" t="str">
            <v>12502-0</v>
          </cell>
          <cell r="C107">
            <v>7896714228389</v>
          </cell>
          <cell r="D107" t="str">
            <v>GUAIFENESINA CEREJ 13,3MG/ML XPE 1X120ML</v>
          </cell>
          <cell r="E107" t="str">
            <v>SIM</v>
          </cell>
          <cell r="F107" t="str">
            <v>G</v>
          </cell>
          <cell r="G107" t="str">
            <v>LINHA</v>
          </cell>
          <cell r="H107">
            <v>5</v>
          </cell>
          <cell r="I107">
            <v>60</v>
          </cell>
          <cell r="J107" t="str">
            <v>Liberado</v>
          </cell>
          <cell r="K107" t="str">
            <v>Negativa</v>
          </cell>
          <cell r="L107" t="str">
            <v>Sim</v>
          </cell>
          <cell r="M107" t="str">
            <v>NACIONAL</v>
          </cell>
          <cell r="N107" t="str">
            <v>NACIONAL</v>
          </cell>
          <cell r="P107">
            <v>22.54</v>
          </cell>
          <cell r="Q107">
            <v>25.89</v>
          </cell>
          <cell r="R107">
            <v>26.25</v>
          </cell>
          <cell r="S107">
            <v>26.63</v>
          </cell>
          <cell r="T107">
            <v>24.21</v>
          </cell>
          <cell r="U107">
            <v>26.07</v>
          </cell>
          <cell r="V107">
            <v>22.67</v>
          </cell>
          <cell r="W107">
            <v>22.81</v>
          </cell>
          <cell r="X107">
            <v>27.01</v>
          </cell>
          <cell r="Y107">
            <v>23.09</v>
          </cell>
          <cell r="Z107">
            <v>23.38</v>
          </cell>
          <cell r="AA107">
            <v>27.41</v>
          </cell>
          <cell r="AB107">
            <v>27.82</v>
          </cell>
          <cell r="AC107">
            <v>26.82</v>
          </cell>
          <cell r="AD107">
            <v>23.24</v>
          </cell>
          <cell r="AE107">
            <v>27.21</v>
          </cell>
          <cell r="AF107">
            <v>0</v>
          </cell>
          <cell r="AG107">
            <v>31.16</v>
          </cell>
          <cell r="AH107">
            <v>34.51</v>
          </cell>
          <cell r="AI107">
            <v>34.97</v>
          </cell>
          <cell r="AJ107">
            <v>35.46</v>
          </cell>
          <cell r="AK107">
            <v>32.340000000000003</v>
          </cell>
          <cell r="AL107">
            <v>34.74</v>
          </cell>
          <cell r="AM107">
            <v>31.34</v>
          </cell>
          <cell r="AN107">
            <v>31.53</v>
          </cell>
          <cell r="AO107">
            <v>35.950000000000003</v>
          </cell>
          <cell r="AP107">
            <v>31.92</v>
          </cell>
          <cell r="AQ107">
            <v>32.32</v>
          </cell>
          <cell r="AR107">
            <v>36.47</v>
          </cell>
          <cell r="AS107">
            <v>36.99</v>
          </cell>
          <cell r="AT107">
            <v>35.71</v>
          </cell>
          <cell r="AU107">
            <v>32.130000000000003</v>
          </cell>
          <cell r="AV107">
            <v>36.21</v>
          </cell>
          <cell r="AX107">
            <v>25.89</v>
          </cell>
          <cell r="AY107">
            <v>34.51</v>
          </cell>
          <cell r="AZ107">
            <v>0.17</v>
          </cell>
          <cell r="BA107">
            <v>0.12</v>
          </cell>
          <cell r="BB107" t="str">
            <v>#_NA</v>
          </cell>
          <cell r="BC107" t="str">
            <v>#_NA</v>
          </cell>
          <cell r="BD107" t="str">
            <v>#_NA</v>
          </cell>
          <cell r="BE107" t="str">
            <v>-</v>
          </cell>
          <cell r="BF107" t="str">
            <v>-</v>
          </cell>
          <cell r="BG107">
            <v>5.6820000000000002E-2</v>
          </cell>
          <cell r="BH107">
            <v>0.54239999999999999</v>
          </cell>
          <cell r="BI107">
            <v>11.17</v>
          </cell>
          <cell r="BJ107" t="str">
            <v>-</v>
          </cell>
          <cell r="BK107">
            <v>0.57389999999999997</v>
          </cell>
          <cell r="BL107">
            <v>10.41</v>
          </cell>
          <cell r="BM107" t="str">
            <v>-</v>
          </cell>
          <cell r="BN107" t="str">
            <v>SIM</v>
          </cell>
          <cell r="BO107" t="str">
            <v>NÃO</v>
          </cell>
          <cell r="BP107" t="str">
            <v>MS|G|NACIONAL|Sim|Negativa</v>
          </cell>
          <cell r="BR107" t="str">
            <v>TBD</v>
          </cell>
          <cell r="BS107">
            <v>0</v>
          </cell>
          <cell r="BT107" t="str">
            <v>#ERRO</v>
          </cell>
          <cell r="BU107">
            <v>10.41</v>
          </cell>
          <cell r="BV107" t="str">
            <v>-</v>
          </cell>
          <cell r="BX107" t="str">
            <v>TBD</v>
          </cell>
          <cell r="BY107" t="str">
            <v>TBD</v>
          </cell>
          <cell r="BZ107" t="str">
            <v>TBD</v>
          </cell>
          <cell r="CA107" t="str">
            <v>#ERRO</v>
          </cell>
          <cell r="CB107" t="str">
            <v>-</v>
          </cell>
        </row>
        <row r="108">
          <cell r="A108" t="str">
            <v>21273-0</v>
          </cell>
          <cell r="B108" t="str">
            <v>21273-0</v>
          </cell>
          <cell r="C108">
            <v>7896714275376</v>
          </cell>
          <cell r="D108" t="str">
            <v>HEMIFUMARATO DE QUETIAPINA XR 50MG 30 CP</v>
          </cell>
          <cell r="E108" t="str">
            <v>SIM</v>
          </cell>
          <cell r="F108" t="str">
            <v>G</v>
          </cell>
          <cell r="G108" t="str">
            <v>LINHA</v>
          </cell>
          <cell r="H108">
            <v>2</v>
          </cell>
          <cell r="I108">
            <v>72</v>
          </cell>
          <cell r="J108" t="str">
            <v>Monitorado</v>
          </cell>
          <cell r="K108" t="str">
            <v>Negativa</v>
          </cell>
          <cell r="L108" t="str">
            <v>Não</v>
          </cell>
          <cell r="M108" t="str">
            <v>IMPORTADO</v>
          </cell>
          <cell r="N108" t="str">
            <v>IMPORTADO</v>
          </cell>
          <cell r="P108">
            <v>103.06</v>
          </cell>
          <cell r="Q108">
            <v>118.38</v>
          </cell>
          <cell r="R108">
            <v>120.05</v>
          </cell>
          <cell r="S108">
            <v>121.76</v>
          </cell>
          <cell r="T108">
            <v>110.71</v>
          </cell>
          <cell r="U108">
            <v>119.21</v>
          </cell>
          <cell r="V108">
            <v>103.68</v>
          </cell>
          <cell r="W108">
            <v>104.31</v>
          </cell>
          <cell r="X108">
            <v>123.52</v>
          </cell>
          <cell r="Y108">
            <v>105.6</v>
          </cell>
          <cell r="Z108">
            <v>106.92</v>
          </cell>
          <cell r="AA108">
            <v>125.34</v>
          </cell>
          <cell r="AB108">
            <v>127.21</v>
          </cell>
          <cell r="AC108">
            <v>122.64</v>
          </cell>
          <cell r="AD108">
            <v>106.26</v>
          </cell>
          <cell r="AE108">
            <v>124.42</v>
          </cell>
          <cell r="AF108">
            <v>0</v>
          </cell>
          <cell r="AG108">
            <v>142.47</v>
          </cell>
          <cell r="AH108">
            <v>157.79</v>
          </cell>
          <cell r="AI108">
            <v>159.94</v>
          </cell>
          <cell r="AJ108">
            <v>162.15</v>
          </cell>
          <cell r="AK108">
            <v>147.88</v>
          </cell>
          <cell r="AL108">
            <v>158.86000000000001</v>
          </cell>
          <cell r="AM108">
            <v>143.33000000000001</v>
          </cell>
          <cell r="AN108">
            <v>144.19999999999999</v>
          </cell>
          <cell r="AO108">
            <v>164.41</v>
          </cell>
          <cell r="AP108">
            <v>145.99</v>
          </cell>
          <cell r="AQ108">
            <v>147.81</v>
          </cell>
          <cell r="AR108">
            <v>166.75</v>
          </cell>
          <cell r="AS108">
            <v>169.15</v>
          </cell>
          <cell r="AT108">
            <v>163.28</v>
          </cell>
          <cell r="AU108">
            <v>146.9</v>
          </cell>
          <cell r="AV108">
            <v>165.57</v>
          </cell>
          <cell r="AX108">
            <v>118.38</v>
          </cell>
          <cell r="AY108">
            <v>157.79</v>
          </cell>
          <cell r="AZ108">
            <v>0.17</v>
          </cell>
          <cell r="BA108">
            <v>0.04</v>
          </cell>
          <cell r="BB108" t="str">
            <v>#_NA</v>
          </cell>
          <cell r="BC108" t="str">
            <v>#_NA</v>
          </cell>
          <cell r="BD108" t="str">
            <v>#_NA</v>
          </cell>
          <cell r="BE108" t="str">
            <v>-</v>
          </cell>
          <cell r="BF108" t="str">
            <v>-</v>
          </cell>
          <cell r="BG108">
            <v>0.13542000000000001</v>
          </cell>
          <cell r="BH108">
            <v>0.47970000000000002</v>
          </cell>
          <cell r="BI108">
            <v>53.25</v>
          </cell>
          <cell r="BJ108" t="str">
            <v>-</v>
          </cell>
          <cell r="BK108">
            <v>0.57089999999999996</v>
          </cell>
          <cell r="BL108">
            <v>43.92</v>
          </cell>
          <cell r="BM108" t="str">
            <v>-</v>
          </cell>
          <cell r="BN108" t="str">
            <v>NÃO</v>
          </cell>
          <cell r="BO108" t="str">
            <v>NÃO</v>
          </cell>
          <cell r="BP108" t="str">
            <v>MS|G|IMPORTADO|Não|Negativa</v>
          </cell>
          <cell r="BR108" t="str">
            <v>TBD</v>
          </cell>
          <cell r="BS108">
            <v>0</v>
          </cell>
          <cell r="BT108" t="str">
            <v>#ERRO</v>
          </cell>
          <cell r="BU108">
            <v>43.92</v>
          </cell>
          <cell r="BV108" t="str">
            <v>-</v>
          </cell>
          <cell r="BX108" t="str">
            <v>TBD</v>
          </cell>
          <cell r="BY108" t="str">
            <v>TBD</v>
          </cell>
          <cell r="BZ108" t="str">
            <v>TBD</v>
          </cell>
          <cell r="CA108" t="str">
            <v>#ERRO</v>
          </cell>
          <cell r="CB108" t="str">
            <v>-</v>
          </cell>
        </row>
        <row r="109">
          <cell r="A109" t="str">
            <v>20867-0</v>
          </cell>
          <cell r="B109" t="str">
            <v>23012-0</v>
          </cell>
          <cell r="C109">
            <v>7896714274539</v>
          </cell>
          <cell r="D109" t="str">
            <v>HEMITAR ZOLPIDEM SUBL 5MG B1 CT BL 30 CP</v>
          </cell>
          <cell r="E109" t="str">
            <v>SIM</v>
          </cell>
          <cell r="F109" t="str">
            <v>G</v>
          </cell>
          <cell r="G109" t="str">
            <v>LINHA</v>
          </cell>
          <cell r="H109">
            <v>2</v>
          </cell>
          <cell r="I109">
            <v>24</v>
          </cell>
          <cell r="J109" t="str">
            <v>Monitorado</v>
          </cell>
          <cell r="K109" t="str">
            <v>Positiva</v>
          </cell>
          <cell r="L109" t="str">
            <v>Não</v>
          </cell>
          <cell r="M109" t="str">
            <v>IMPORTADO</v>
          </cell>
          <cell r="N109" t="str">
            <v>IMPORTADO</v>
          </cell>
          <cell r="P109">
            <v>63.65</v>
          </cell>
          <cell r="Q109">
            <v>63.65</v>
          </cell>
          <cell r="R109">
            <v>64.430000000000007</v>
          </cell>
          <cell r="S109">
            <v>65.22</v>
          </cell>
          <cell r="T109">
            <v>60.03</v>
          </cell>
          <cell r="U109">
            <v>64.040000000000006</v>
          </cell>
          <cell r="V109">
            <v>64.040000000000006</v>
          </cell>
          <cell r="W109">
            <v>64.430000000000007</v>
          </cell>
          <cell r="X109">
            <v>66.040000000000006</v>
          </cell>
          <cell r="Y109">
            <v>65.22</v>
          </cell>
          <cell r="Z109">
            <v>66.040000000000006</v>
          </cell>
          <cell r="AA109">
            <v>66.87</v>
          </cell>
          <cell r="AB109">
            <v>67.73</v>
          </cell>
          <cell r="AC109">
            <v>65.63</v>
          </cell>
          <cell r="AD109">
            <v>65.63</v>
          </cell>
          <cell r="AE109">
            <v>66.45</v>
          </cell>
          <cell r="AF109">
            <v>0</v>
          </cell>
          <cell r="AG109">
            <v>87.99</v>
          </cell>
          <cell r="AH109">
            <v>87.99</v>
          </cell>
          <cell r="AI109">
            <v>89.07</v>
          </cell>
          <cell r="AJ109">
            <v>90.16</v>
          </cell>
          <cell r="AK109">
            <v>82.99</v>
          </cell>
          <cell r="AL109">
            <v>88.53</v>
          </cell>
          <cell r="AM109">
            <v>88.53</v>
          </cell>
          <cell r="AN109">
            <v>89.07</v>
          </cell>
          <cell r="AO109">
            <v>91.3</v>
          </cell>
          <cell r="AP109">
            <v>90.16</v>
          </cell>
          <cell r="AQ109">
            <v>91.3</v>
          </cell>
          <cell r="AR109">
            <v>92.44</v>
          </cell>
          <cell r="AS109">
            <v>93.63</v>
          </cell>
          <cell r="AT109">
            <v>90.73</v>
          </cell>
          <cell r="AU109">
            <v>90.73</v>
          </cell>
          <cell r="AV109">
            <v>91.86</v>
          </cell>
          <cell r="AX109">
            <v>63.65</v>
          </cell>
          <cell r="AY109">
            <v>87.99</v>
          </cell>
          <cell r="AZ109">
            <v>0.17</v>
          </cell>
          <cell r="BA109">
            <v>0.04</v>
          </cell>
          <cell r="BB109" t="str">
            <v>#_NA</v>
          </cell>
          <cell r="BC109" t="str">
            <v>#_NA</v>
          </cell>
          <cell r="BD109" t="str">
            <v>#_NA</v>
          </cell>
          <cell r="BE109" t="str">
            <v>-</v>
          </cell>
          <cell r="BF109" t="str">
            <v>-</v>
          </cell>
          <cell r="BG109">
            <v>0.13542000000000001</v>
          </cell>
          <cell r="BH109">
            <v>0.71970000000000001</v>
          </cell>
          <cell r="BI109">
            <v>15.42</v>
          </cell>
          <cell r="BJ109" t="str">
            <v>-</v>
          </cell>
          <cell r="BK109">
            <v>0.73309999999999997</v>
          </cell>
          <cell r="BL109">
            <v>14.69</v>
          </cell>
          <cell r="BM109" t="str">
            <v>-</v>
          </cell>
          <cell r="BN109" t="str">
            <v>NÃO</v>
          </cell>
          <cell r="BO109" t="str">
            <v>NÃO</v>
          </cell>
          <cell r="BP109" t="str">
            <v>MS|G|IMPORTADO|Não|Positiva</v>
          </cell>
          <cell r="BR109" t="str">
            <v>TBD</v>
          </cell>
          <cell r="BS109">
            <v>0</v>
          </cell>
          <cell r="BT109" t="str">
            <v>#ERRO</v>
          </cell>
          <cell r="BU109">
            <v>14.69</v>
          </cell>
          <cell r="BV109" t="str">
            <v>-</v>
          </cell>
          <cell r="BX109" t="str">
            <v>TBD</v>
          </cell>
          <cell r="BY109" t="str">
            <v>TBD</v>
          </cell>
          <cell r="BZ109" t="str">
            <v>TBD</v>
          </cell>
          <cell r="CA109" t="str">
            <v>#ERRO</v>
          </cell>
          <cell r="CB109" t="str">
            <v>-</v>
          </cell>
        </row>
        <row r="110">
          <cell r="A110" t="str">
            <v>20353-1</v>
          </cell>
          <cell r="B110" t="str">
            <v>20353-1</v>
          </cell>
          <cell r="C110">
            <v>7896714273808</v>
          </cell>
          <cell r="D110" t="str">
            <v>HEMITARTARATO ZOLPIDEM 10MG B1 CT 20CPRV</v>
          </cell>
          <cell r="E110" t="str">
            <v>SIM</v>
          </cell>
          <cell r="F110" t="str">
            <v>G</v>
          </cell>
          <cell r="G110" t="str">
            <v>LINHA</v>
          </cell>
          <cell r="H110">
            <v>2</v>
          </cell>
          <cell r="I110">
            <v>48</v>
          </cell>
          <cell r="J110" t="str">
            <v>Monitorado</v>
          </cell>
          <cell r="K110" t="str">
            <v>Positiva</v>
          </cell>
          <cell r="L110" t="str">
            <v>Não</v>
          </cell>
          <cell r="M110" t="str">
            <v>IMPORTADO</v>
          </cell>
          <cell r="N110" t="str">
            <v>IMPORTADO</v>
          </cell>
          <cell r="P110">
            <v>44.35</v>
          </cell>
          <cell r="Q110">
            <v>44.35</v>
          </cell>
          <cell r="R110">
            <v>44.89</v>
          </cell>
          <cell r="S110">
            <v>45.44</v>
          </cell>
          <cell r="T110">
            <v>41.83</v>
          </cell>
          <cell r="U110">
            <v>44.62</v>
          </cell>
          <cell r="V110">
            <v>44.62</v>
          </cell>
          <cell r="W110">
            <v>44.89</v>
          </cell>
          <cell r="X110">
            <v>46.01</v>
          </cell>
          <cell r="Y110">
            <v>45.44</v>
          </cell>
          <cell r="Z110">
            <v>46.01</v>
          </cell>
          <cell r="AA110">
            <v>46.59</v>
          </cell>
          <cell r="AB110">
            <v>47.19</v>
          </cell>
          <cell r="AC110">
            <v>45.73</v>
          </cell>
          <cell r="AD110">
            <v>45.73</v>
          </cell>
          <cell r="AE110">
            <v>46.3</v>
          </cell>
          <cell r="AF110">
            <v>0</v>
          </cell>
          <cell r="AG110">
            <v>61.31</v>
          </cell>
          <cell r="AH110">
            <v>61.31</v>
          </cell>
          <cell r="AI110">
            <v>62.06</v>
          </cell>
          <cell r="AJ110">
            <v>62.82</v>
          </cell>
          <cell r="AK110">
            <v>57.83</v>
          </cell>
          <cell r="AL110">
            <v>61.68</v>
          </cell>
          <cell r="AM110">
            <v>61.68</v>
          </cell>
          <cell r="AN110">
            <v>62.06</v>
          </cell>
          <cell r="AO110">
            <v>63.61</v>
          </cell>
          <cell r="AP110">
            <v>62.82</v>
          </cell>
          <cell r="AQ110">
            <v>63.61</v>
          </cell>
          <cell r="AR110">
            <v>64.41</v>
          </cell>
          <cell r="AS110">
            <v>65.239999999999995</v>
          </cell>
          <cell r="AT110">
            <v>63.22</v>
          </cell>
          <cell r="AU110">
            <v>63.22</v>
          </cell>
          <cell r="AV110">
            <v>64.010000000000005</v>
          </cell>
          <cell r="AX110">
            <v>44.35</v>
          </cell>
          <cell r="AY110">
            <v>61.31</v>
          </cell>
          <cell r="AZ110">
            <v>0.17</v>
          </cell>
          <cell r="BA110">
            <v>0.04</v>
          </cell>
          <cell r="BB110" t="str">
            <v>#_NA</v>
          </cell>
          <cell r="BC110" t="str">
            <v>#_NA</v>
          </cell>
          <cell r="BD110" t="str">
            <v>#_NA</v>
          </cell>
          <cell r="BE110" t="str">
            <v>-</v>
          </cell>
          <cell r="BF110" t="str">
            <v>-</v>
          </cell>
          <cell r="BG110">
            <v>0.13542000000000001</v>
          </cell>
          <cell r="BH110">
            <v>0.78169999999999995</v>
          </cell>
          <cell r="BI110">
            <v>8.3699999999999992</v>
          </cell>
          <cell r="BJ110" t="str">
            <v>-</v>
          </cell>
          <cell r="BK110">
            <v>0.79210000000000003</v>
          </cell>
          <cell r="BL110">
            <v>7.97</v>
          </cell>
          <cell r="BM110" t="str">
            <v>-</v>
          </cell>
          <cell r="BN110" t="str">
            <v>NÃO</v>
          </cell>
          <cell r="BO110" t="str">
            <v>NÃO</v>
          </cell>
          <cell r="BP110" t="str">
            <v>MS|G|IMPORTADO|Não|Positiva</v>
          </cell>
          <cell r="BR110" t="str">
            <v>TBD</v>
          </cell>
          <cell r="BS110">
            <v>0</v>
          </cell>
          <cell r="BT110" t="str">
            <v>#ERRO</v>
          </cell>
          <cell r="BU110">
            <v>7.97</v>
          </cell>
          <cell r="BV110" t="str">
            <v>-</v>
          </cell>
          <cell r="BX110" t="str">
            <v>TBD</v>
          </cell>
          <cell r="BY110" t="str">
            <v>TBD</v>
          </cell>
          <cell r="BZ110" t="str">
            <v>TBD</v>
          </cell>
          <cell r="CA110" t="str">
            <v>#ERRO</v>
          </cell>
          <cell r="CB110" t="str">
            <v>-</v>
          </cell>
        </row>
        <row r="111">
          <cell r="A111" t="str">
            <v>19655-0</v>
          </cell>
          <cell r="B111" t="str">
            <v>19655-0</v>
          </cell>
          <cell r="C111">
            <v>7896714211978</v>
          </cell>
          <cell r="D111" t="str">
            <v>HIDROCLOROTIAZIDA 25MG CT BL 30 COMP</v>
          </cell>
          <cell r="E111" t="str">
            <v>SIM</v>
          </cell>
          <cell r="F111" t="str">
            <v>G</v>
          </cell>
          <cell r="G111" t="str">
            <v>LINHA</v>
          </cell>
          <cell r="H111">
            <v>5</v>
          </cell>
          <cell r="I111">
            <v>60</v>
          </cell>
          <cell r="J111" t="str">
            <v>Monitorado</v>
          </cell>
          <cell r="K111" t="str">
            <v>Positiva</v>
          </cell>
          <cell r="L111" t="str">
            <v>Sim</v>
          </cell>
          <cell r="M111" t="str">
            <v>NACIONAL</v>
          </cell>
          <cell r="N111" t="str">
            <v>NACIONAL</v>
          </cell>
          <cell r="P111">
            <v>3.1</v>
          </cell>
          <cell r="Q111">
            <v>3.1</v>
          </cell>
          <cell r="R111">
            <v>3.13</v>
          </cell>
          <cell r="S111">
            <v>3.17</v>
          </cell>
          <cell r="T111">
            <v>2.92</v>
          </cell>
          <cell r="U111">
            <v>3.12</v>
          </cell>
          <cell r="V111">
            <v>3.12</v>
          </cell>
          <cell r="W111">
            <v>3.13</v>
          </cell>
          <cell r="X111">
            <v>3.21</v>
          </cell>
          <cell r="Y111">
            <v>3.17</v>
          </cell>
          <cell r="Z111">
            <v>3.21</v>
          </cell>
          <cell r="AA111">
            <v>3.25</v>
          </cell>
          <cell r="AB111">
            <v>3.29</v>
          </cell>
          <cell r="AC111">
            <v>3.19</v>
          </cell>
          <cell r="AD111">
            <v>3.19</v>
          </cell>
          <cell r="AE111">
            <v>3.23</v>
          </cell>
          <cell r="AF111">
            <v>0</v>
          </cell>
          <cell r="AG111">
            <v>4.29</v>
          </cell>
          <cell r="AH111">
            <v>4.29</v>
          </cell>
          <cell r="AI111">
            <v>4.33</v>
          </cell>
          <cell r="AJ111">
            <v>4.38</v>
          </cell>
          <cell r="AK111">
            <v>4.04</v>
          </cell>
          <cell r="AL111">
            <v>4.3099999999999996</v>
          </cell>
          <cell r="AM111">
            <v>4.3099999999999996</v>
          </cell>
          <cell r="AN111">
            <v>4.33</v>
          </cell>
          <cell r="AO111">
            <v>4.4400000000000004</v>
          </cell>
          <cell r="AP111">
            <v>4.38</v>
          </cell>
          <cell r="AQ111">
            <v>4.4400000000000004</v>
          </cell>
          <cell r="AR111">
            <v>4.49</v>
          </cell>
          <cell r="AS111">
            <v>4.55</v>
          </cell>
          <cell r="AT111">
            <v>4.41</v>
          </cell>
          <cell r="AU111">
            <v>4.41</v>
          </cell>
          <cell r="AV111">
            <v>4.47</v>
          </cell>
          <cell r="AX111">
            <v>3.1</v>
          </cell>
          <cell r="AY111">
            <v>4.29</v>
          </cell>
          <cell r="AZ111">
            <v>0.17</v>
          </cell>
          <cell r="BA111">
            <v>0.12</v>
          </cell>
          <cell r="BB111" t="str">
            <v>#_NA</v>
          </cell>
          <cell r="BC111" t="str">
            <v>#_NA</v>
          </cell>
          <cell r="BD111" t="str">
            <v>#_NA</v>
          </cell>
          <cell r="BE111" t="str">
            <v>-</v>
          </cell>
          <cell r="BF111" t="str">
            <v>-</v>
          </cell>
          <cell r="BG111">
            <v>5.6820000000000002E-2</v>
          </cell>
          <cell r="BH111">
            <v>0.626</v>
          </cell>
          <cell r="BI111">
            <v>1.0900000000000001</v>
          </cell>
          <cell r="BJ111" t="str">
            <v>-</v>
          </cell>
          <cell r="BK111">
            <v>0.64380000000000004</v>
          </cell>
          <cell r="BL111">
            <v>1.04</v>
          </cell>
          <cell r="BM111" t="str">
            <v>-</v>
          </cell>
          <cell r="BN111" t="str">
            <v>NÃO</v>
          </cell>
          <cell r="BO111" t="str">
            <v>NÃO</v>
          </cell>
          <cell r="BP111" t="str">
            <v>MS|G|NACIONAL|Sim|Positiva</v>
          </cell>
          <cell r="BR111" t="str">
            <v>TBD</v>
          </cell>
          <cell r="BS111">
            <v>0</v>
          </cell>
          <cell r="BT111" t="str">
            <v>#ERRO</v>
          </cell>
          <cell r="BU111">
            <v>1.04</v>
          </cell>
          <cell r="BV111" t="str">
            <v>-</v>
          </cell>
          <cell r="BX111" t="str">
            <v>TBD</v>
          </cell>
          <cell r="BY111" t="str">
            <v>TBD</v>
          </cell>
          <cell r="BZ111" t="str">
            <v>TBD</v>
          </cell>
          <cell r="CA111" t="str">
            <v>#ERRO</v>
          </cell>
          <cell r="CB111" t="str">
            <v>-</v>
          </cell>
        </row>
        <row r="112">
          <cell r="A112" t="str">
            <v>19514-0</v>
          </cell>
          <cell r="B112" t="str">
            <v>19514-0</v>
          </cell>
          <cell r="C112">
            <v>7896714205779</v>
          </cell>
          <cell r="D112" t="str">
            <v>HIDROCLOROTIAZIDA 50MG COMP CT BL 1X20</v>
          </cell>
          <cell r="E112" t="str">
            <v>SIM</v>
          </cell>
          <cell r="F112" t="str">
            <v>G</v>
          </cell>
          <cell r="G112" t="str">
            <v>LINHA</v>
          </cell>
          <cell r="H112">
            <v>5</v>
          </cell>
          <cell r="I112">
            <v>60</v>
          </cell>
          <cell r="J112" t="str">
            <v>Monitorado</v>
          </cell>
          <cell r="K112" t="str">
            <v>Positiva</v>
          </cell>
          <cell r="L112" t="str">
            <v>Sim</v>
          </cell>
          <cell r="M112" t="str">
            <v>NACIONAL</v>
          </cell>
          <cell r="N112" t="str">
            <v>NACIONAL</v>
          </cell>
          <cell r="P112">
            <v>4.78</v>
          </cell>
          <cell r="Q112">
            <v>4.78</v>
          </cell>
          <cell r="R112">
            <v>4.84</v>
          </cell>
          <cell r="S112">
            <v>4.9000000000000004</v>
          </cell>
          <cell r="T112">
            <v>4.51</v>
          </cell>
          <cell r="U112">
            <v>4.8099999999999996</v>
          </cell>
          <cell r="V112">
            <v>4.8099999999999996</v>
          </cell>
          <cell r="W112">
            <v>4.84</v>
          </cell>
          <cell r="X112">
            <v>4.96</v>
          </cell>
          <cell r="Y112">
            <v>4.9000000000000004</v>
          </cell>
          <cell r="Z112">
            <v>4.96</v>
          </cell>
          <cell r="AA112">
            <v>5.03</v>
          </cell>
          <cell r="AB112">
            <v>5.09</v>
          </cell>
          <cell r="AC112">
            <v>4.93</v>
          </cell>
          <cell r="AD112">
            <v>4.93</v>
          </cell>
          <cell r="AE112">
            <v>4.99</v>
          </cell>
          <cell r="AF112">
            <v>0</v>
          </cell>
          <cell r="AG112">
            <v>6.61</v>
          </cell>
          <cell r="AH112">
            <v>6.61</v>
          </cell>
          <cell r="AI112">
            <v>6.69</v>
          </cell>
          <cell r="AJ112">
            <v>6.77</v>
          </cell>
          <cell r="AK112">
            <v>6.23</v>
          </cell>
          <cell r="AL112">
            <v>6.65</v>
          </cell>
          <cell r="AM112">
            <v>6.65</v>
          </cell>
          <cell r="AN112">
            <v>6.69</v>
          </cell>
          <cell r="AO112">
            <v>6.86</v>
          </cell>
          <cell r="AP112">
            <v>6.77</v>
          </cell>
          <cell r="AQ112">
            <v>6.86</v>
          </cell>
          <cell r="AR112">
            <v>6.95</v>
          </cell>
          <cell r="AS112">
            <v>7.04</v>
          </cell>
          <cell r="AT112">
            <v>6.82</v>
          </cell>
          <cell r="AU112">
            <v>6.82</v>
          </cell>
          <cell r="AV112">
            <v>6.9</v>
          </cell>
          <cell r="AX112">
            <v>4.78</v>
          </cell>
          <cell r="AY112">
            <v>6.61</v>
          </cell>
          <cell r="AZ112">
            <v>0.17</v>
          </cell>
          <cell r="BA112">
            <v>0.12</v>
          </cell>
          <cell r="BB112" t="str">
            <v>#_NA</v>
          </cell>
          <cell r="BC112" t="str">
            <v>#_NA</v>
          </cell>
          <cell r="BD112" t="str">
            <v>#_NA</v>
          </cell>
          <cell r="BE112" t="str">
            <v>-</v>
          </cell>
          <cell r="BF112" t="str">
            <v>-</v>
          </cell>
          <cell r="BG112">
            <v>5.6820000000000002E-2</v>
          </cell>
          <cell r="BH112">
            <v>0.72529999999999994</v>
          </cell>
          <cell r="BI112">
            <v>1.24</v>
          </cell>
          <cell r="BJ112" t="str">
            <v>-</v>
          </cell>
          <cell r="BK112">
            <v>0.73839999999999995</v>
          </cell>
          <cell r="BL112">
            <v>1.18</v>
          </cell>
          <cell r="BM112" t="str">
            <v>-</v>
          </cell>
          <cell r="BN112" t="str">
            <v>NÃO</v>
          </cell>
          <cell r="BO112" t="str">
            <v>NÃO</v>
          </cell>
          <cell r="BP112" t="str">
            <v>MS|G|NACIONAL|Sim|Positiva</v>
          </cell>
          <cell r="BR112" t="str">
            <v>TBD</v>
          </cell>
          <cell r="BS112">
            <v>0</v>
          </cell>
          <cell r="BT112" t="str">
            <v>#ERRO</v>
          </cell>
          <cell r="BU112">
            <v>1.18</v>
          </cell>
          <cell r="BV112" t="str">
            <v>-</v>
          </cell>
          <cell r="BX112" t="str">
            <v>TBD</v>
          </cell>
          <cell r="BY112" t="str">
            <v>TBD</v>
          </cell>
          <cell r="BZ112" t="str">
            <v>TBD</v>
          </cell>
          <cell r="CA112" t="str">
            <v>#ERRO</v>
          </cell>
          <cell r="CB112" t="str">
            <v>-</v>
          </cell>
        </row>
        <row r="113">
          <cell r="A113" t="str">
            <v>19954-0</v>
          </cell>
          <cell r="B113" t="str">
            <v>19954-0</v>
          </cell>
          <cell r="C113">
            <v>7896714219301</v>
          </cell>
          <cell r="D113" t="str">
            <v>HISTAMIN 2MG CT BL 20 COMP</v>
          </cell>
          <cell r="E113" t="str">
            <v>SIM</v>
          </cell>
          <cell r="F113" t="str">
            <v>S</v>
          </cell>
          <cell r="G113" t="str">
            <v>PRIORITARIO SMART</v>
          </cell>
          <cell r="H113">
            <v>5</v>
          </cell>
          <cell r="I113">
            <v>60</v>
          </cell>
          <cell r="J113" t="str">
            <v>Liberado</v>
          </cell>
          <cell r="K113" t="str">
            <v>Negativa</v>
          </cell>
          <cell r="L113" t="str">
            <v>Sim</v>
          </cell>
          <cell r="M113" t="str">
            <v>NACIONAL</v>
          </cell>
          <cell r="N113" t="str">
            <v>NACIONAL</v>
          </cell>
          <cell r="P113">
            <v>11.41</v>
          </cell>
          <cell r="Q113">
            <v>13.11</v>
          </cell>
          <cell r="R113">
            <v>13.3</v>
          </cell>
          <cell r="S113">
            <v>13.49</v>
          </cell>
          <cell r="T113">
            <v>12.26</v>
          </cell>
          <cell r="U113">
            <v>13.2</v>
          </cell>
          <cell r="V113">
            <v>11.48</v>
          </cell>
          <cell r="W113">
            <v>11.55</v>
          </cell>
          <cell r="X113">
            <v>13.68</v>
          </cell>
          <cell r="Y113">
            <v>11.7</v>
          </cell>
          <cell r="Z113">
            <v>11.84</v>
          </cell>
          <cell r="AA113">
            <v>13.88</v>
          </cell>
          <cell r="AB113">
            <v>14.09</v>
          </cell>
          <cell r="AC113">
            <v>13.58</v>
          </cell>
          <cell r="AD113">
            <v>11.77</v>
          </cell>
          <cell r="AE113">
            <v>13.78</v>
          </cell>
          <cell r="AF113">
            <v>0</v>
          </cell>
          <cell r="AG113">
            <v>15.77</v>
          </cell>
          <cell r="AH113">
            <v>17.47</v>
          </cell>
          <cell r="AI113">
            <v>17.72</v>
          </cell>
          <cell r="AJ113">
            <v>17.96</v>
          </cell>
          <cell r="AK113">
            <v>16.38</v>
          </cell>
          <cell r="AL113">
            <v>17.59</v>
          </cell>
          <cell r="AM113">
            <v>15.87</v>
          </cell>
          <cell r="AN113">
            <v>15.97</v>
          </cell>
          <cell r="AO113">
            <v>18.21</v>
          </cell>
          <cell r="AP113">
            <v>16.170000000000002</v>
          </cell>
          <cell r="AQ113">
            <v>16.37</v>
          </cell>
          <cell r="AR113">
            <v>18.47</v>
          </cell>
          <cell r="AS113">
            <v>18.739999999999998</v>
          </cell>
          <cell r="AT113">
            <v>18.079999999999998</v>
          </cell>
          <cell r="AU113">
            <v>16.27</v>
          </cell>
          <cell r="AV113">
            <v>18.34</v>
          </cell>
          <cell r="AX113">
            <v>13.11</v>
          </cell>
          <cell r="AY113">
            <v>17.47</v>
          </cell>
          <cell r="AZ113">
            <v>0.17</v>
          </cell>
          <cell r="BA113">
            <v>0.12</v>
          </cell>
          <cell r="BB113" t="str">
            <v>#_NA</v>
          </cell>
          <cell r="BC113" t="str">
            <v>#_NA</v>
          </cell>
          <cell r="BD113" t="str">
            <v>#_NA</v>
          </cell>
          <cell r="BE113" t="str">
            <v>-</v>
          </cell>
          <cell r="BF113" t="str">
            <v>-</v>
          </cell>
          <cell r="BG113">
            <v>5.6820000000000002E-2</v>
          </cell>
          <cell r="BH113">
            <v>0.6593</v>
          </cell>
          <cell r="BI113">
            <v>4.21</v>
          </cell>
          <cell r="BJ113" t="str">
            <v>-</v>
          </cell>
          <cell r="BK113">
            <v>0.71909999999999996</v>
          </cell>
          <cell r="BL113">
            <v>3.47</v>
          </cell>
          <cell r="BM113" t="str">
            <v>-</v>
          </cell>
          <cell r="BN113" t="str">
            <v>NÃO</v>
          </cell>
          <cell r="BO113" t="str">
            <v>NÃO</v>
          </cell>
          <cell r="BP113" t="str">
            <v>MS|S|NACIONAL|Sim|Negativa</v>
          </cell>
          <cell r="BR113" t="str">
            <v>TBD</v>
          </cell>
          <cell r="BS113">
            <v>0</v>
          </cell>
          <cell r="BT113" t="str">
            <v>#ERRO</v>
          </cell>
          <cell r="BU113">
            <v>3.47</v>
          </cell>
          <cell r="BV113" t="str">
            <v>-</v>
          </cell>
          <cell r="BX113" t="str">
            <v>TBD</v>
          </cell>
          <cell r="BY113" t="str">
            <v>TBD</v>
          </cell>
          <cell r="BZ113" t="str">
            <v>TBD</v>
          </cell>
          <cell r="CA113" t="str">
            <v>#ERRO</v>
          </cell>
          <cell r="CB113" t="str">
            <v>-</v>
          </cell>
        </row>
        <row r="114">
          <cell r="A114" t="str">
            <v>12364-0</v>
          </cell>
          <cell r="B114" t="str">
            <v>12364-0</v>
          </cell>
          <cell r="C114">
            <v>7896714219318</v>
          </cell>
          <cell r="D114" t="str">
            <v>HISTAMIN 2MG/5ML XPE FR VD AMB 1X100ML</v>
          </cell>
          <cell r="E114" t="str">
            <v>SIM</v>
          </cell>
          <cell r="F114" t="str">
            <v>S</v>
          </cell>
          <cell r="G114" t="str">
            <v>PRIORITARIO SMART</v>
          </cell>
          <cell r="H114">
            <v>5</v>
          </cell>
          <cell r="I114">
            <v>60</v>
          </cell>
          <cell r="J114" t="str">
            <v>Liberado</v>
          </cell>
          <cell r="K114" t="str">
            <v>Negativa</v>
          </cell>
          <cell r="L114" t="str">
            <v>Sim</v>
          </cell>
          <cell r="M114" t="str">
            <v>NACIONAL</v>
          </cell>
          <cell r="N114" t="str">
            <v>NACIONAL</v>
          </cell>
          <cell r="P114">
            <v>16.38</v>
          </cell>
          <cell r="Q114">
            <v>18.82</v>
          </cell>
          <cell r="R114">
            <v>19.079999999999998</v>
          </cell>
          <cell r="S114">
            <v>19.36</v>
          </cell>
          <cell r="T114">
            <v>17.600000000000001</v>
          </cell>
          <cell r="U114">
            <v>18.95</v>
          </cell>
          <cell r="V114">
            <v>16.48</v>
          </cell>
          <cell r="W114">
            <v>16.579999999999998</v>
          </cell>
          <cell r="X114">
            <v>19.64</v>
          </cell>
          <cell r="Y114">
            <v>16.79</v>
          </cell>
          <cell r="Z114">
            <v>17</v>
          </cell>
          <cell r="AA114">
            <v>19.93</v>
          </cell>
          <cell r="AB114">
            <v>20.22</v>
          </cell>
          <cell r="AC114">
            <v>19.5</v>
          </cell>
          <cell r="AD114">
            <v>16.89</v>
          </cell>
          <cell r="AE114">
            <v>19.78</v>
          </cell>
          <cell r="AF114">
            <v>0</v>
          </cell>
          <cell r="AG114">
            <v>22.64</v>
          </cell>
          <cell r="AH114">
            <v>25.09</v>
          </cell>
          <cell r="AI114">
            <v>25.42</v>
          </cell>
          <cell r="AJ114">
            <v>25.78</v>
          </cell>
          <cell r="AK114">
            <v>23.51</v>
          </cell>
          <cell r="AL114">
            <v>25.25</v>
          </cell>
          <cell r="AM114">
            <v>22.78</v>
          </cell>
          <cell r="AN114">
            <v>22.92</v>
          </cell>
          <cell r="AO114">
            <v>26.14</v>
          </cell>
          <cell r="AP114">
            <v>23.21</v>
          </cell>
          <cell r="AQ114">
            <v>23.5</v>
          </cell>
          <cell r="AR114">
            <v>26.51</v>
          </cell>
          <cell r="AS114">
            <v>26.89</v>
          </cell>
          <cell r="AT114">
            <v>25.96</v>
          </cell>
          <cell r="AU114">
            <v>23.35</v>
          </cell>
          <cell r="AV114">
            <v>26.32</v>
          </cell>
          <cell r="AX114">
            <v>18.82</v>
          </cell>
          <cell r="AY114">
            <v>25.09</v>
          </cell>
          <cell r="AZ114">
            <v>0.17</v>
          </cell>
          <cell r="BA114">
            <v>0.12</v>
          </cell>
          <cell r="BB114" t="str">
            <v>#_NA</v>
          </cell>
          <cell r="BC114" t="str">
            <v>#_NA</v>
          </cell>
          <cell r="BD114" t="str">
            <v>#_NA</v>
          </cell>
          <cell r="BE114" t="str">
            <v>-</v>
          </cell>
          <cell r="BF114" t="str">
            <v>-</v>
          </cell>
          <cell r="BG114">
            <v>5.6820000000000002E-2</v>
          </cell>
          <cell r="BH114">
            <v>0.47849999999999998</v>
          </cell>
          <cell r="BI114">
            <v>9.26</v>
          </cell>
          <cell r="BJ114" t="str">
            <v>-</v>
          </cell>
          <cell r="BK114">
            <v>0.57089999999999996</v>
          </cell>
          <cell r="BL114">
            <v>7.62</v>
          </cell>
          <cell r="BM114" t="str">
            <v>-</v>
          </cell>
          <cell r="BN114" t="str">
            <v>NÃO</v>
          </cell>
          <cell r="BO114" t="str">
            <v>NÃO</v>
          </cell>
          <cell r="BP114" t="str">
            <v>MS|S|NACIONAL|Sim|Negativa</v>
          </cell>
          <cell r="BR114" t="str">
            <v>TBD</v>
          </cell>
          <cell r="BS114">
            <v>0</v>
          </cell>
          <cell r="BT114" t="str">
            <v>#ERRO</v>
          </cell>
          <cell r="BU114">
            <v>7.62</v>
          </cell>
          <cell r="BV114" t="str">
            <v>-</v>
          </cell>
          <cell r="BX114" t="str">
            <v>TBD</v>
          </cell>
          <cell r="BY114" t="str">
            <v>TBD</v>
          </cell>
          <cell r="BZ114" t="str">
            <v>TBD</v>
          </cell>
          <cell r="CA114" t="str">
            <v>#ERRO</v>
          </cell>
          <cell r="CB114" t="str">
            <v>-</v>
          </cell>
        </row>
        <row r="115">
          <cell r="A115" t="str">
            <v>16014-0</v>
          </cell>
          <cell r="B115" t="str">
            <v>16014-0</v>
          </cell>
          <cell r="C115">
            <v>7896714226033</v>
          </cell>
          <cell r="D115" t="str">
            <v>HISTAMIN CREME 10MG/G BG C/30G</v>
          </cell>
          <cell r="E115" t="str">
            <v>SIM</v>
          </cell>
          <cell r="F115" t="str">
            <v>S</v>
          </cell>
          <cell r="G115" t="str">
            <v>PRIORITARIO SMART</v>
          </cell>
          <cell r="H115">
            <v>5</v>
          </cell>
          <cell r="I115">
            <v>100</v>
          </cell>
          <cell r="J115" t="str">
            <v>Liberado</v>
          </cell>
          <cell r="K115" t="str">
            <v>Negativa</v>
          </cell>
          <cell r="L115" t="str">
            <v>Sim</v>
          </cell>
          <cell r="M115" t="str">
            <v>NACIONAL</v>
          </cell>
          <cell r="N115" t="str">
            <v>NACIONAL</v>
          </cell>
          <cell r="P115">
            <v>14.27</v>
          </cell>
          <cell r="Q115">
            <v>16.399999999999999</v>
          </cell>
          <cell r="R115">
            <v>16.63</v>
          </cell>
          <cell r="S115">
            <v>16.87</v>
          </cell>
          <cell r="T115">
            <v>15.33</v>
          </cell>
          <cell r="U115">
            <v>16.510000000000002</v>
          </cell>
          <cell r="V115">
            <v>14.36</v>
          </cell>
          <cell r="W115">
            <v>14.45</v>
          </cell>
          <cell r="X115">
            <v>17.11</v>
          </cell>
          <cell r="Y115">
            <v>14.63</v>
          </cell>
          <cell r="Z115">
            <v>14.81</v>
          </cell>
          <cell r="AA115">
            <v>17.36</v>
          </cell>
          <cell r="AB115">
            <v>17.62</v>
          </cell>
          <cell r="AC115">
            <v>16.989999999999998</v>
          </cell>
          <cell r="AD115">
            <v>14.72</v>
          </cell>
          <cell r="AE115">
            <v>17.23</v>
          </cell>
          <cell r="AF115">
            <v>0</v>
          </cell>
          <cell r="AG115">
            <v>19.73</v>
          </cell>
          <cell r="AH115">
            <v>21.86</v>
          </cell>
          <cell r="AI115">
            <v>22.16</v>
          </cell>
          <cell r="AJ115">
            <v>22.47</v>
          </cell>
          <cell r="AK115">
            <v>20.48</v>
          </cell>
          <cell r="AL115">
            <v>22</v>
          </cell>
          <cell r="AM115">
            <v>19.850000000000001</v>
          </cell>
          <cell r="AN115">
            <v>19.98</v>
          </cell>
          <cell r="AO115">
            <v>22.77</v>
          </cell>
          <cell r="AP115">
            <v>20.23</v>
          </cell>
          <cell r="AQ115">
            <v>20.47</v>
          </cell>
          <cell r="AR115">
            <v>23.1</v>
          </cell>
          <cell r="AS115">
            <v>23.43</v>
          </cell>
          <cell r="AT115">
            <v>22.62</v>
          </cell>
          <cell r="AU115">
            <v>20.350000000000001</v>
          </cell>
          <cell r="AV115">
            <v>22.93</v>
          </cell>
          <cell r="AX115">
            <v>16.399999999999999</v>
          </cell>
          <cell r="AY115">
            <v>21.86</v>
          </cell>
          <cell r="AZ115">
            <v>0.17</v>
          </cell>
          <cell r="BA115">
            <v>0.12</v>
          </cell>
          <cell r="BB115" t="str">
            <v>#_NA</v>
          </cell>
          <cell r="BC115" t="str">
            <v>#_NA</v>
          </cell>
          <cell r="BD115" t="str">
            <v>#_NA</v>
          </cell>
          <cell r="BE115" t="str">
            <v>-</v>
          </cell>
          <cell r="BF115" t="str">
            <v>-</v>
          </cell>
          <cell r="BG115">
            <v>5.6820000000000002E-2</v>
          </cell>
          <cell r="BH115">
            <v>0.51500000000000001</v>
          </cell>
          <cell r="BI115">
            <v>7.5</v>
          </cell>
          <cell r="BJ115" t="str">
            <v>-</v>
          </cell>
          <cell r="BK115">
            <v>0.6</v>
          </cell>
          <cell r="BL115">
            <v>6.19</v>
          </cell>
          <cell r="BM115" t="str">
            <v>-</v>
          </cell>
          <cell r="BN115" t="str">
            <v>NÃO</v>
          </cell>
          <cell r="BO115" t="str">
            <v>NÃO</v>
          </cell>
          <cell r="BP115" t="str">
            <v>MS|S|NACIONAL|Sim|Negativa</v>
          </cell>
          <cell r="BR115" t="str">
            <v>TBD</v>
          </cell>
          <cell r="BS115">
            <v>0</v>
          </cell>
          <cell r="BT115" t="str">
            <v>#ERRO</v>
          </cell>
          <cell r="BU115">
            <v>6.19</v>
          </cell>
          <cell r="BV115" t="str">
            <v>-</v>
          </cell>
          <cell r="BX115" t="str">
            <v>TBD</v>
          </cell>
          <cell r="BY115" t="str">
            <v>TBD</v>
          </cell>
          <cell r="BZ115" t="str">
            <v>TBD</v>
          </cell>
          <cell r="CA115" t="str">
            <v>#ERRO</v>
          </cell>
          <cell r="CB115" t="str">
            <v>-</v>
          </cell>
        </row>
        <row r="116">
          <cell r="A116" t="str">
            <v>15470-0</v>
          </cell>
          <cell r="B116" t="str">
            <v>15470-0</v>
          </cell>
          <cell r="C116">
            <v>7896714213859</v>
          </cell>
          <cell r="D116" t="str">
            <v>IBUFRAN 300MG COMP CT BL 2X10</v>
          </cell>
          <cell r="E116" t="str">
            <v>SIM</v>
          </cell>
          <cell r="F116" t="str">
            <v>S</v>
          </cell>
          <cell r="G116" t="str">
            <v>Linha</v>
          </cell>
          <cell r="H116">
            <v>5</v>
          </cell>
          <cell r="I116">
            <v>60</v>
          </cell>
          <cell r="J116" t="str">
            <v>Liberado</v>
          </cell>
          <cell r="K116" t="str">
            <v>Negativa</v>
          </cell>
          <cell r="L116" t="str">
            <v>Sim</v>
          </cell>
          <cell r="M116" t="str">
            <v>NACIONAL</v>
          </cell>
          <cell r="N116" t="str">
            <v>NACIONAL</v>
          </cell>
          <cell r="P116">
            <v>17.760000000000002</v>
          </cell>
          <cell r="Q116">
            <v>20.399999999999999</v>
          </cell>
          <cell r="R116">
            <v>20.69</v>
          </cell>
          <cell r="S116">
            <v>20.98</v>
          </cell>
          <cell r="T116">
            <v>19.079999999999998</v>
          </cell>
          <cell r="U116">
            <v>20.54</v>
          </cell>
          <cell r="V116">
            <v>17.87</v>
          </cell>
          <cell r="W116">
            <v>17.98</v>
          </cell>
          <cell r="X116">
            <v>21.29</v>
          </cell>
          <cell r="Y116">
            <v>18.2</v>
          </cell>
          <cell r="Z116">
            <v>18.43</v>
          </cell>
          <cell r="AA116">
            <v>21.6</v>
          </cell>
          <cell r="AB116">
            <v>21.92</v>
          </cell>
          <cell r="AC116">
            <v>21.13</v>
          </cell>
          <cell r="AD116">
            <v>18.309999999999999</v>
          </cell>
          <cell r="AE116">
            <v>21.44</v>
          </cell>
          <cell r="AF116">
            <v>0</v>
          </cell>
          <cell r="AG116">
            <v>24.55</v>
          </cell>
          <cell r="AH116">
            <v>27.19</v>
          </cell>
          <cell r="AI116">
            <v>27.57</v>
          </cell>
          <cell r="AJ116">
            <v>27.94</v>
          </cell>
          <cell r="AK116">
            <v>25.49</v>
          </cell>
          <cell r="AL116">
            <v>27.37</v>
          </cell>
          <cell r="AM116">
            <v>24.7</v>
          </cell>
          <cell r="AN116">
            <v>24.86</v>
          </cell>
          <cell r="AO116">
            <v>28.34</v>
          </cell>
          <cell r="AP116">
            <v>25.16</v>
          </cell>
          <cell r="AQ116">
            <v>25.48</v>
          </cell>
          <cell r="AR116">
            <v>28.74</v>
          </cell>
          <cell r="AS116">
            <v>29.15</v>
          </cell>
          <cell r="AT116">
            <v>28.13</v>
          </cell>
          <cell r="AU116">
            <v>25.31</v>
          </cell>
          <cell r="AV116">
            <v>28.53</v>
          </cell>
          <cell r="AX116">
            <v>20.399999999999999</v>
          </cell>
          <cell r="AY116">
            <v>27.19</v>
          </cell>
          <cell r="AZ116">
            <v>0.17</v>
          </cell>
          <cell r="BA116">
            <v>0.12</v>
          </cell>
          <cell r="BB116" t="str">
            <v>#_NA</v>
          </cell>
          <cell r="BC116" t="str">
            <v>#_NA</v>
          </cell>
          <cell r="BD116" t="str">
            <v>#_NA</v>
          </cell>
          <cell r="BE116" t="str">
            <v>-</v>
          </cell>
          <cell r="BF116" t="str">
            <v>-</v>
          </cell>
          <cell r="BG116">
            <v>5.6820000000000002E-2</v>
          </cell>
          <cell r="BH116">
            <v>0.63629999999999998</v>
          </cell>
          <cell r="BI116">
            <v>7</v>
          </cell>
          <cell r="BJ116" t="str">
            <v>-</v>
          </cell>
          <cell r="BK116">
            <v>0.70009999999999994</v>
          </cell>
          <cell r="BL116">
            <v>5.77</v>
          </cell>
          <cell r="BM116" t="str">
            <v>-</v>
          </cell>
          <cell r="BN116" t="str">
            <v>NÃO</v>
          </cell>
          <cell r="BO116" t="str">
            <v>NÃO</v>
          </cell>
          <cell r="BP116" t="str">
            <v>MS|S|NACIONAL|Sim|Negativa</v>
          </cell>
          <cell r="BR116" t="str">
            <v>TBD</v>
          </cell>
          <cell r="BS116">
            <v>0</v>
          </cell>
          <cell r="BT116" t="str">
            <v>#ERRO</v>
          </cell>
          <cell r="BU116">
            <v>5.77</v>
          </cell>
          <cell r="BV116" t="str">
            <v>-</v>
          </cell>
          <cell r="BX116" t="str">
            <v>TBD</v>
          </cell>
          <cell r="BY116" t="str">
            <v>TBD</v>
          </cell>
          <cell r="BZ116" t="str">
            <v>TBD</v>
          </cell>
          <cell r="CA116" t="str">
            <v>#ERRO</v>
          </cell>
          <cell r="CB116" t="str">
            <v>-</v>
          </cell>
        </row>
        <row r="117">
          <cell r="A117" t="str">
            <v>13365-0</v>
          </cell>
          <cell r="B117" t="str">
            <v>13365-0</v>
          </cell>
          <cell r="C117">
            <v>7896714201146</v>
          </cell>
          <cell r="D117" t="str">
            <v>IBUFRAN 600MG COMP CT BL 3X10</v>
          </cell>
          <cell r="E117" t="str">
            <v>SIM</v>
          </cell>
          <cell r="F117" t="str">
            <v>S</v>
          </cell>
          <cell r="G117" t="str">
            <v>LINHA</v>
          </cell>
          <cell r="H117">
            <v>3</v>
          </cell>
          <cell r="I117">
            <v>60</v>
          </cell>
          <cell r="J117" t="str">
            <v>Monitorado</v>
          </cell>
          <cell r="K117" t="str">
            <v>Positiva</v>
          </cell>
          <cell r="L117" t="str">
            <v>Sim</v>
          </cell>
          <cell r="M117" t="str">
            <v>NACIONAL</v>
          </cell>
          <cell r="N117" t="str">
            <v>IMPORTADO</v>
          </cell>
          <cell r="P117">
            <v>36.54</v>
          </cell>
          <cell r="Q117">
            <v>36.54</v>
          </cell>
          <cell r="R117">
            <v>36.99</v>
          </cell>
          <cell r="S117">
            <v>37.44</v>
          </cell>
          <cell r="T117">
            <v>34.47</v>
          </cell>
          <cell r="U117">
            <v>36.76</v>
          </cell>
          <cell r="V117">
            <v>36.76</v>
          </cell>
          <cell r="W117">
            <v>36.99</v>
          </cell>
          <cell r="X117">
            <v>37.909999999999997</v>
          </cell>
          <cell r="Y117">
            <v>37.44</v>
          </cell>
          <cell r="Z117">
            <v>37.909999999999997</v>
          </cell>
          <cell r="AA117">
            <v>38.39</v>
          </cell>
          <cell r="AB117">
            <v>38.880000000000003</v>
          </cell>
          <cell r="AC117">
            <v>37.68</v>
          </cell>
          <cell r="AD117">
            <v>37.68</v>
          </cell>
          <cell r="AE117">
            <v>38.15</v>
          </cell>
          <cell r="AF117">
            <v>0</v>
          </cell>
          <cell r="AG117">
            <v>50.51</v>
          </cell>
          <cell r="AH117">
            <v>50.51</v>
          </cell>
          <cell r="AI117">
            <v>51.14</v>
          </cell>
          <cell r="AJ117">
            <v>51.76</v>
          </cell>
          <cell r="AK117">
            <v>47.65</v>
          </cell>
          <cell r="AL117">
            <v>50.82</v>
          </cell>
          <cell r="AM117">
            <v>50.82</v>
          </cell>
          <cell r="AN117">
            <v>51.14</v>
          </cell>
          <cell r="AO117">
            <v>52.41</v>
          </cell>
          <cell r="AP117">
            <v>51.76</v>
          </cell>
          <cell r="AQ117">
            <v>52.41</v>
          </cell>
          <cell r="AR117">
            <v>53.07</v>
          </cell>
          <cell r="AS117">
            <v>53.75</v>
          </cell>
          <cell r="AT117">
            <v>52.09</v>
          </cell>
          <cell r="AU117">
            <v>52.09</v>
          </cell>
          <cell r="AV117">
            <v>52.74</v>
          </cell>
          <cell r="AX117">
            <v>36.54</v>
          </cell>
          <cell r="AY117">
            <v>50.51</v>
          </cell>
          <cell r="AZ117">
            <v>0.17</v>
          </cell>
          <cell r="BA117">
            <v>0.04</v>
          </cell>
          <cell r="BB117" t="str">
            <v>#_NA</v>
          </cell>
          <cell r="BC117" t="str">
            <v>#_NA</v>
          </cell>
          <cell r="BD117" t="str">
            <v>#_NA</v>
          </cell>
          <cell r="BE117" t="str">
            <v>-</v>
          </cell>
          <cell r="BF117" t="str">
            <v>-</v>
          </cell>
          <cell r="BG117">
            <v>0.13542000000000001</v>
          </cell>
          <cell r="BH117">
            <v>0.72489999999999999</v>
          </cell>
          <cell r="BI117">
            <v>8.69</v>
          </cell>
          <cell r="BJ117" t="str">
            <v>-</v>
          </cell>
          <cell r="BK117">
            <v>0.73799999999999999</v>
          </cell>
          <cell r="BL117">
            <v>8.2799999999999994</v>
          </cell>
          <cell r="BM117" t="str">
            <v>-</v>
          </cell>
          <cell r="BN117" t="str">
            <v>NÃO</v>
          </cell>
          <cell r="BO117" t="str">
            <v>NÃO</v>
          </cell>
          <cell r="BP117" t="str">
            <v>MS|S|IMPORTADO|Sim|Positiva</v>
          </cell>
          <cell r="BR117" t="str">
            <v>TBD</v>
          </cell>
          <cell r="BS117">
            <v>0</v>
          </cell>
          <cell r="BT117" t="str">
            <v>#ERRO</v>
          </cell>
          <cell r="BU117">
            <v>8.2799999999999994</v>
          </cell>
          <cell r="BV117" t="str">
            <v>-</v>
          </cell>
          <cell r="BX117" t="str">
            <v>TBD</v>
          </cell>
          <cell r="BY117" t="str">
            <v>TBD</v>
          </cell>
          <cell r="BZ117" t="str">
            <v>TBD</v>
          </cell>
          <cell r="CA117" t="str">
            <v>#ERRO</v>
          </cell>
          <cell r="CB117" t="str">
            <v>-</v>
          </cell>
        </row>
        <row r="118">
          <cell r="A118" t="str">
            <v>20757-0</v>
          </cell>
          <cell r="B118" t="str">
            <v>20757-0</v>
          </cell>
          <cell r="C118">
            <v>7898095343880</v>
          </cell>
          <cell r="D118" t="str">
            <v>IBUPROFENO 100MG/ML GTS 20ML</v>
          </cell>
          <cell r="E118" t="str">
            <v>SIM</v>
          </cell>
          <cell r="F118" t="str">
            <v>G</v>
          </cell>
          <cell r="G118" t="str">
            <v>LINHA</v>
          </cell>
          <cell r="H118">
            <v>5</v>
          </cell>
          <cell r="I118">
            <v>112</v>
          </cell>
          <cell r="J118" t="str">
            <v>Liberado</v>
          </cell>
          <cell r="K118" t="str">
            <v>Negativa</v>
          </cell>
          <cell r="L118" t="str">
            <v>Sim</v>
          </cell>
          <cell r="M118" t="str">
            <v>NACIONAL</v>
          </cell>
          <cell r="N118" t="str">
            <v>NACIONAL</v>
          </cell>
          <cell r="P118">
            <v>23.24</v>
          </cell>
          <cell r="Q118">
            <v>26.69</v>
          </cell>
          <cell r="R118">
            <v>27.07</v>
          </cell>
          <cell r="S118">
            <v>27.45</v>
          </cell>
          <cell r="T118">
            <v>24.96</v>
          </cell>
          <cell r="U118">
            <v>26.88</v>
          </cell>
          <cell r="V118">
            <v>23.38</v>
          </cell>
          <cell r="W118">
            <v>23.52</v>
          </cell>
          <cell r="X118">
            <v>27.85</v>
          </cell>
          <cell r="Y118">
            <v>23.81</v>
          </cell>
          <cell r="Z118">
            <v>24.11</v>
          </cell>
          <cell r="AA118">
            <v>28.26</v>
          </cell>
          <cell r="AB118">
            <v>28.68</v>
          </cell>
          <cell r="AC118">
            <v>27.65</v>
          </cell>
          <cell r="AD118">
            <v>23.96</v>
          </cell>
          <cell r="AE118">
            <v>28.05</v>
          </cell>
          <cell r="AF118">
            <v>0</v>
          </cell>
          <cell r="AG118">
            <v>32.130000000000003</v>
          </cell>
          <cell r="AH118">
            <v>35.58</v>
          </cell>
          <cell r="AI118">
            <v>36.07</v>
          </cell>
          <cell r="AJ118">
            <v>36.549999999999997</v>
          </cell>
          <cell r="AK118">
            <v>33.340000000000003</v>
          </cell>
          <cell r="AL118">
            <v>35.82</v>
          </cell>
          <cell r="AM118">
            <v>32.32</v>
          </cell>
          <cell r="AN118">
            <v>32.520000000000003</v>
          </cell>
          <cell r="AO118">
            <v>37.07</v>
          </cell>
          <cell r="AP118">
            <v>32.92</v>
          </cell>
          <cell r="AQ118">
            <v>33.33</v>
          </cell>
          <cell r="AR118">
            <v>37.6</v>
          </cell>
          <cell r="AS118">
            <v>38.14</v>
          </cell>
          <cell r="AT118">
            <v>36.81</v>
          </cell>
          <cell r="AU118">
            <v>33.119999999999997</v>
          </cell>
          <cell r="AV118">
            <v>37.33</v>
          </cell>
          <cell r="AX118">
            <v>26.69</v>
          </cell>
          <cell r="AY118">
            <v>35.58</v>
          </cell>
          <cell r="AZ118">
            <v>0.17</v>
          </cell>
          <cell r="BA118">
            <v>0.12</v>
          </cell>
          <cell r="BB118" t="str">
            <v>#_NA</v>
          </cell>
          <cell r="BC118" t="str">
            <v>#_NA</v>
          </cell>
          <cell r="BD118" t="str">
            <v>#_NA</v>
          </cell>
          <cell r="BE118" t="str">
            <v>-</v>
          </cell>
          <cell r="BF118" t="str">
            <v>-</v>
          </cell>
          <cell r="BG118">
            <v>5.6820000000000002E-2</v>
          </cell>
          <cell r="BH118">
            <v>0.66610000000000003</v>
          </cell>
          <cell r="BI118">
            <v>8.4</v>
          </cell>
          <cell r="BJ118" t="str">
            <v>-</v>
          </cell>
          <cell r="BK118">
            <v>0.72440000000000004</v>
          </cell>
          <cell r="BL118">
            <v>6.94</v>
          </cell>
          <cell r="BM118" t="str">
            <v>-</v>
          </cell>
          <cell r="BN118" t="str">
            <v>NÃO</v>
          </cell>
          <cell r="BO118" t="str">
            <v>NÃO</v>
          </cell>
          <cell r="BP118" t="str">
            <v>MS|G|NACIONAL|Sim|Negativa</v>
          </cell>
          <cell r="BR118" t="str">
            <v>TBD</v>
          </cell>
          <cell r="BS118">
            <v>0</v>
          </cell>
          <cell r="BT118" t="str">
            <v>#ERRO</v>
          </cell>
          <cell r="BU118">
            <v>6.94</v>
          </cell>
          <cell r="BV118" t="str">
            <v>-</v>
          </cell>
          <cell r="BX118" t="str">
            <v>TBD</v>
          </cell>
          <cell r="BY118" t="str">
            <v>TBD</v>
          </cell>
          <cell r="BZ118" t="str">
            <v>TBD</v>
          </cell>
          <cell r="CA118" t="str">
            <v>#ERRO</v>
          </cell>
          <cell r="CB118" t="str">
            <v>-</v>
          </cell>
        </row>
        <row r="119">
          <cell r="A119" t="str">
            <v>12537-0</v>
          </cell>
          <cell r="B119" t="str">
            <v>12537-0</v>
          </cell>
          <cell r="C119">
            <v>7896714211275</v>
          </cell>
          <cell r="D119" t="str">
            <v>IBUPROFENO 400MG COMP CT BL 1X10</v>
          </cell>
          <cell r="E119" t="str">
            <v>SIM</v>
          </cell>
          <cell r="F119" t="str">
            <v>G</v>
          </cell>
          <cell r="G119" t="str">
            <v>FOCO GENERICOS</v>
          </cell>
          <cell r="H119">
            <v>5</v>
          </cell>
          <cell r="I119">
            <v>60</v>
          </cell>
          <cell r="J119" t="str">
            <v>Liberado</v>
          </cell>
          <cell r="K119" t="str">
            <v>Negativa</v>
          </cell>
          <cell r="L119" t="str">
            <v>Sim</v>
          </cell>
          <cell r="M119" t="str">
            <v>NACIONAL</v>
          </cell>
          <cell r="N119" t="str">
            <v>NACIONAL</v>
          </cell>
          <cell r="P119">
            <v>17.04</v>
          </cell>
          <cell r="Q119">
            <v>19.57</v>
          </cell>
          <cell r="R119">
            <v>19.850000000000001</v>
          </cell>
          <cell r="S119">
            <v>20.13</v>
          </cell>
          <cell r="T119">
            <v>18.3</v>
          </cell>
          <cell r="U119">
            <v>19.71</v>
          </cell>
          <cell r="V119">
            <v>17.14</v>
          </cell>
          <cell r="W119">
            <v>17.25</v>
          </cell>
          <cell r="X119">
            <v>20.420000000000002</v>
          </cell>
          <cell r="Y119">
            <v>17.46</v>
          </cell>
          <cell r="Z119">
            <v>17.68</v>
          </cell>
          <cell r="AA119">
            <v>20.72</v>
          </cell>
          <cell r="AB119">
            <v>21.03</v>
          </cell>
          <cell r="AC119">
            <v>20.28</v>
          </cell>
          <cell r="AD119">
            <v>17.57</v>
          </cell>
          <cell r="AE119">
            <v>20.57</v>
          </cell>
          <cell r="AF119">
            <v>0</v>
          </cell>
          <cell r="AG119">
            <v>23.56</v>
          </cell>
          <cell r="AH119">
            <v>26.09</v>
          </cell>
          <cell r="AI119">
            <v>26.45</v>
          </cell>
          <cell r="AJ119">
            <v>26.81</v>
          </cell>
          <cell r="AK119">
            <v>24.44</v>
          </cell>
          <cell r="AL119">
            <v>26.27</v>
          </cell>
          <cell r="AM119">
            <v>23.7</v>
          </cell>
          <cell r="AN119">
            <v>23.85</v>
          </cell>
          <cell r="AO119">
            <v>27.18</v>
          </cell>
          <cell r="AP119">
            <v>24.14</v>
          </cell>
          <cell r="AQ119">
            <v>24.44</v>
          </cell>
          <cell r="AR119">
            <v>27.57</v>
          </cell>
          <cell r="AS119">
            <v>27.96</v>
          </cell>
          <cell r="AT119">
            <v>27</v>
          </cell>
          <cell r="AU119">
            <v>24.29</v>
          </cell>
          <cell r="AV119">
            <v>27.37</v>
          </cell>
          <cell r="AX119">
            <v>19.57</v>
          </cell>
          <cell r="AY119">
            <v>26.09</v>
          </cell>
          <cell r="AZ119">
            <v>0.17</v>
          </cell>
          <cell r="BA119">
            <v>0.12</v>
          </cell>
          <cell r="BB119" t="str">
            <v>#_NA</v>
          </cell>
          <cell r="BC119" t="str">
            <v>#_NA</v>
          </cell>
          <cell r="BD119" t="str">
            <v>#_NA</v>
          </cell>
          <cell r="BE119" t="str">
            <v>-</v>
          </cell>
          <cell r="BF119" t="str">
            <v>-</v>
          </cell>
          <cell r="BG119">
            <v>5.6820000000000002E-2</v>
          </cell>
          <cell r="BH119">
            <v>0.5635</v>
          </cell>
          <cell r="BI119">
            <v>8.06</v>
          </cell>
          <cell r="BJ119" t="str">
            <v>-</v>
          </cell>
          <cell r="BK119">
            <v>0.64049999999999996</v>
          </cell>
          <cell r="BL119">
            <v>6.64</v>
          </cell>
          <cell r="BM119" t="str">
            <v>-</v>
          </cell>
          <cell r="BN119" t="str">
            <v>NÃO</v>
          </cell>
          <cell r="BO119" t="str">
            <v>NÃO</v>
          </cell>
          <cell r="BP119" t="str">
            <v>MS|G|NACIONAL|Sim|Negativa</v>
          </cell>
          <cell r="BR119" t="str">
            <v>TBD</v>
          </cell>
          <cell r="BS119">
            <v>0</v>
          </cell>
          <cell r="BT119" t="str">
            <v>#ERRO</v>
          </cell>
          <cell r="BU119">
            <v>6.64</v>
          </cell>
          <cell r="BV119" t="str">
            <v>-</v>
          </cell>
          <cell r="BX119" t="str">
            <v>TBD</v>
          </cell>
          <cell r="BY119" t="str">
            <v>TBD</v>
          </cell>
          <cell r="BZ119" t="str">
            <v>TBD</v>
          </cell>
          <cell r="CA119" t="str">
            <v>#ERRO</v>
          </cell>
          <cell r="CB119" t="str">
            <v>-</v>
          </cell>
        </row>
        <row r="120">
          <cell r="A120" t="str">
            <v>21904-0</v>
          </cell>
          <cell r="B120" t="str">
            <v>21904-0</v>
          </cell>
          <cell r="C120">
            <v>7896714275192</v>
          </cell>
          <cell r="D120" t="str">
            <v>IVERMECTINA 6MG COMP CT STR 1X2</v>
          </cell>
          <cell r="E120" t="str">
            <v>SIM</v>
          </cell>
          <cell r="F120" t="str">
            <v>G</v>
          </cell>
          <cell r="G120" t="str">
            <v>PRIORITARIO GENERICOS</v>
          </cell>
          <cell r="H120">
            <v>5</v>
          </cell>
          <cell r="I120">
            <v>60</v>
          </cell>
          <cell r="J120" t="str">
            <v>Monitorado</v>
          </cell>
          <cell r="K120" t="str">
            <v>Positiva</v>
          </cell>
          <cell r="L120" t="str">
            <v>Sim</v>
          </cell>
          <cell r="M120" t="str">
            <v>NACIONAL</v>
          </cell>
          <cell r="N120" t="str">
            <v>NACIONAL</v>
          </cell>
          <cell r="P120">
            <v>14.92</v>
          </cell>
          <cell r="Q120">
            <v>14.92</v>
          </cell>
          <cell r="R120">
            <v>15.1</v>
          </cell>
          <cell r="S120">
            <v>15.28</v>
          </cell>
          <cell r="T120">
            <v>14.07</v>
          </cell>
          <cell r="U120">
            <v>15.01</v>
          </cell>
          <cell r="V120">
            <v>15.01</v>
          </cell>
          <cell r="W120">
            <v>15.1</v>
          </cell>
          <cell r="X120">
            <v>15.48</v>
          </cell>
          <cell r="Y120">
            <v>15.28</v>
          </cell>
          <cell r="Z120">
            <v>15.48</v>
          </cell>
          <cell r="AA120">
            <v>15.67</v>
          </cell>
          <cell r="AB120">
            <v>15.87</v>
          </cell>
          <cell r="AC120">
            <v>15.38</v>
          </cell>
          <cell r="AD120">
            <v>15.38</v>
          </cell>
          <cell r="AE120">
            <v>15.57</v>
          </cell>
          <cell r="AF120">
            <v>0</v>
          </cell>
          <cell r="AG120">
            <v>20.63</v>
          </cell>
          <cell r="AH120">
            <v>20.63</v>
          </cell>
          <cell r="AI120">
            <v>20.87</v>
          </cell>
          <cell r="AJ120">
            <v>21.12</v>
          </cell>
          <cell r="AK120">
            <v>19.45</v>
          </cell>
          <cell r="AL120">
            <v>20.75</v>
          </cell>
          <cell r="AM120">
            <v>20.75</v>
          </cell>
          <cell r="AN120">
            <v>20.87</v>
          </cell>
          <cell r="AO120">
            <v>21.4</v>
          </cell>
          <cell r="AP120">
            <v>21.12</v>
          </cell>
          <cell r="AQ120">
            <v>21.4</v>
          </cell>
          <cell r="AR120">
            <v>21.66</v>
          </cell>
          <cell r="AS120">
            <v>21.94</v>
          </cell>
          <cell r="AT120">
            <v>21.26</v>
          </cell>
          <cell r="AU120">
            <v>21.26</v>
          </cell>
          <cell r="AV120">
            <v>21.52</v>
          </cell>
          <cell r="AX120">
            <v>14.92</v>
          </cell>
          <cell r="AY120">
            <v>20.63</v>
          </cell>
          <cell r="AZ120">
            <v>0.17</v>
          </cell>
          <cell r="BA120">
            <v>0.12</v>
          </cell>
          <cell r="BB120" t="str">
            <v>#_NA</v>
          </cell>
          <cell r="BC120" t="str">
            <v>#_NA</v>
          </cell>
          <cell r="BD120" t="str">
            <v>#_NA</v>
          </cell>
          <cell r="BE120" t="str">
            <v>-</v>
          </cell>
          <cell r="BF120" t="str">
            <v>-</v>
          </cell>
          <cell r="BG120">
            <v>5.6820000000000002E-2</v>
          </cell>
          <cell r="BH120">
            <v>0.75</v>
          </cell>
          <cell r="BI120">
            <v>3.52</v>
          </cell>
          <cell r="BJ120" t="str">
            <v>-</v>
          </cell>
          <cell r="BK120">
            <v>0.76190000000000002</v>
          </cell>
          <cell r="BL120">
            <v>3.35</v>
          </cell>
          <cell r="BM120" t="str">
            <v>-</v>
          </cell>
          <cell r="BN120" t="str">
            <v>NÃO</v>
          </cell>
          <cell r="BO120" t="str">
            <v>NÃO</v>
          </cell>
          <cell r="BP120" t="str">
            <v>MS|G|NACIONAL|Sim|Positiva</v>
          </cell>
          <cell r="BR120" t="str">
            <v>TBD</v>
          </cell>
          <cell r="BS120">
            <v>0</v>
          </cell>
          <cell r="BT120" t="str">
            <v>#ERRO</v>
          </cell>
          <cell r="BU120">
            <v>3.35</v>
          </cell>
          <cell r="BV120" t="str">
            <v>-</v>
          </cell>
          <cell r="BX120" t="str">
            <v>TBD</v>
          </cell>
          <cell r="BY120" t="str">
            <v>TBD</v>
          </cell>
          <cell r="BZ120" t="str">
            <v>TBD</v>
          </cell>
          <cell r="CA120" t="str">
            <v>#ERRO</v>
          </cell>
          <cell r="CB120" t="str">
            <v>-</v>
          </cell>
        </row>
        <row r="121">
          <cell r="A121" t="str">
            <v>21903-0</v>
          </cell>
          <cell r="B121" t="str">
            <v>21903-0</v>
          </cell>
          <cell r="C121">
            <v>7896714275208</v>
          </cell>
          <cell r="D121" t="str">
            <v>IVERMECTINA 6MG COMP CT STR 1X4</v>
          </cell>
          <cell r="E121" t="str">
            <v>SIM</v>
          </cell>
          <cell r="F121" t="str">
            <v>G</v>
          </cell>
          <cell r="G121" t="str">
            <v>PRIORITARIO GENERICOS</v>
          </cell>
          <cell r="H121">
            <v>5</v>
          </cell>
          <cell r="I121">
            <v>60</v>
          </cell>
          <cell r="J121" t="str">
            <v>Monitorado</v>
          </cell>
          <cell r="K121" t="str">
            <v>Positiva</v>
          </cell>
          <cell r="L121" t="str">
            <v>Sim</v>
          </cell>
          <cell r="M121" t="str">
            <v>NACIONAL</v>
          </cell>
          <cell r="N121" t="str">
            <v>NACIONAL</v>
          </cell>
          <cell r="P121">
            <v>26.6</v>
          </cell>
          <cell r="Q121">
            <v>26.6</v>
          </cell>
          <cell r="R121">
            <v>26.93</v>
          </cell>
          <cell r="S121">
            <v>27.26</v>
          </cell>
          <cell r="T121">
            <v>25.09</v>
          </cell>
          <cell r="U121">
            <v>26.76</v>
          </cell>
          <cell r="V121">
            <v>26.76</v>
          </cell>
          <cell r="W121">
            <v>26.93</v>
          </cell>
          <cell r="X121">
            <v>27.6</v>
          </cell>
          <cell r="Y121">
            <v>27.26</v>
          </cell>
          <cell r="Z121">
            <v>27.6</v>
          </cell>
          <cell r="AA121">
            <v>27.95</v>
          </cell>
          <cell r="AB121">
            <v>28.31</v>
          </cell>
          <cell r="AC121">
            <v>27.43</v>
          </cell>
          <cell r="AD121">
            <v>27.43</v>
          </cell>
          <cell r="AE121">
            <v>27.77</v>
          </cell>
          <cell r="AF121">
            <v>0</v>
          </cell>
          <cell r="AG121">
            <v>36.770000000000003</v>
          </cell>
          <cell r="AH121">
            <v>36.770000000000003</v>
          </cell>
          <cell r="AI121">
            <v>37.229999999999997</v>
          </cell>
          <cell r="AJ121">
            <v>37.69</v>
          </cell>
          <cell r="AK121">
            <v>34.69</v>
          </cell>
          <cell r="AL121">
            <v>36.99</v>
          </cell>
          <cell r="AM121">
            <v>36.99</v>
          </cell>
          <cell r="AN121">
            <v>37.229999999999997</v>
          </cell>
          <cell r="AO121">
            <v>38.159999999999997</v>
          </cell>
          <cell r="AP121">
            <v>37.69</v>
          </cell>
          <cell r="AQ121">
            <v>38.159999999999997</v>
          </cell>
          <cell r="AR121">
            <v>38.64</v>
          </cell>
          <cell r="AS121">
            <v>39.14</v>
          </cell>
          <cell r="AT121">
            <v>37.92</v>
          </cell>
          <cell r="AU121">
            <v>37.92</v>
          </cell>
          <cell r="AV121">
            <v>38.39</v>
          </cell>
          <cell r="AX121">
            <v>26.6</v>
          </cell>
          <cell r="AY121">
            <v>36.770000000000003</v>
          </cell>
          <cell r="AZ121">
            <v>0.17</v>
          </cell>
          <cell r="BA121">
            <v>0.12</v>
          </cell>
          <cell r="BB121" t="str">
            <v>#_NA</v>
          </cell>
          <cell r="BC121" t="str">
            <v>#_NA</v>
          </cell>
          <cell r="BD121" t="str">
            <v>#_NA</v>
          </cell>
          <cell r="BE121" t="str">
            <v>-</v>
          </cell>
          <cell r="BF121" t="str">
            <v>-</v>
          </cell>
          <cell r="BG121">
            <v>5.6820000000000002E-2</v>
          </cell>
          <cell r="BH121">
            <v>0.79490000000000005</v>
          </cell>
          <cell r="BI121">
            <v>5.15</v>
          </cell>
          <cell r="BJ121" t="str">
            <v>-</v>
          </cell>
          <cell r="BK121">
            <v>0.80510000000000004</v>
          </cell>
          <cell r="BL121">
            <v>4.8899999999999997</v>
          </cell>
          <cell r="BM121" t="str">
            <v>-</v>
          </cell>
          <cell r="BN121" t="str">
            <v>NÃO</v>
          </cell>
          <cell r="BO121" t="str">
            <v>NÃO</v>
          </cell>
          <cell r="BP121" t="str">
            <v>MS|G|NACIONAL|Sim|Positiva</v>
          </cell>
          <cell r="BR121" t="str">
            <v>TBD</v>
          </cell>
          <cell r="BS121">
            <v>0</v>
          </cell>
          <cell r="BT121" t="str">
            <v>#ERRO</v>
          </cell>
          <cell r="BU121">
            <v>4.8899999999999997</v>
          </cell>
          <cell r="BV121" t="str">
            <v>-</v>
          </cell>
          <cell r="BX121" t="str">
            <v>TBD</v>
          </cell>
          <cell r="BY121" t="str">
            <v>TBD</v>
          </cell>
          <cell r="BZ121" t="str">
            <v>TBD</v>
          </cell>
          <cell r="CA121" t="str">
            <v>#ERRO</v>
          </cell>
          <cell r="CB121" t="str">
            <v>-</v>
          </cell>
        </row>
        <row r="122">
          <cell r="A122" t="str">
            <v>15770-0</v>
          </cell>
          <cell r="B122" t="str">
            <v>15770-0</v>
          </cell>
          <cell r="C122">
            <v>7896714212821</v>
          </cell>
          <cell r="D122" t="str">
            <v>IVERNEO 6MG COMP CT ENV 1X2</v>
          </cell>
          <cell r="E122" t="str">
            <v>SIM</v>
          </cell>
          <cell r="F122" t="str">
            <v>S</v>
          </cell>
          <cell r="G122" t="str">
            <v>LINHA</v>
          </cell>
          <cell r="H122">
            <v>5</v>
          </cell>
          <cell r="I122">
            <v>60</v>
          </cell>
          <cell r="J122" t="str">
            <v>Monitorado</v>
          </cell>
          <cell r="K122" t="str">
            <v>Positiva</v>
          </cell>
          <cell r="L122" t="str">
            <v>Sim</v>
          </cell>
          <cell r="M122" t="str">
            <v>NACIONAL</v>
          </cell>
          <cell r="N122" t="str">
            <v>NACIONAL</v>
          </cell>
          <cell r="P122">
            <v>16.61</v>
          </cell>
          <cell r="Q122">
            <v>16.61</v>
          </cell>
          <cell r="R122">
            <v>16.82</v>
          </cell>
          <cell r="S122">
            <v>17.02</v>
          </cell>
          <cell r="T122">
            <v>15.67</v>
          </cell>
          <cell r="U122">
            <v>16.72</v>
          </cell>
          <cell r="V122">
            <v>16.72</v>
          </cell>
          <cell r="W122">
            <v>16.82</v>
          </cell>
          <cell r="X122">
            <v>17.239999999999998</v>
          </cell>
          <cell r="Y122">
            <v>17.02</v>
          </cell>
          <cell r="Z122">
            <v>17.239999999999998</v>
          </cell>
          <cell r="AA122">
            <v>17.46</v>
          </cell>
          <cell r="AB122">
            <v>17.68</v>
          </cell>
          <cell r="AC122">
            <v>17.13</v>
          </cell>
          <cell r="AD122">
            <v>17.13</v>
          </cell>
          <cell r="AE122">
            <v>17.350000000000001</v>
          </cell>
          <cell r="AF122">
            <v>0</v>
          </cell>
          <cell r="AG122">
            <v>22.96</v>
          </cell>
          <cell r="AH122">
            <v>22.96</v>
          </cell>
          <cell r="AI122">
            <v>23.25</v>
          </cell>
          <cell r="AJ122">
            <v>23.53</v>
          </cell>
          <cell r="AK122">
            <v>21.66</v>
          </cell>
          <cell r="AL122">
            <v>23.11</v>
          </cell>
          <cell r="AM122">
            <v>23.11</v>
          </cell>
          <cell r="AN122">
            <v>23.25</v>
          </cell>
          <cell r="AO122">
            <v>23.83</v>
          </cell>
          <cell r="AP122">
            <v>23.53</v>
          </cell>
          <cell r="AQ122">
            <v>23.83</v>
          </cell>
          <cell r="AR122">
            <v>24.14</v>
          </cell>
          <cell r="AS122">
            <v>24.44</v>
          </cell>
          <cell r="AT122">
            <v>23.68</v>
          </cell>
          <cell r="AU122">
            <v>23.68</v>
          </cell>
          <cell r="AV122">
            <v>23.99</v>
          </cell>
          <cell r="AX122">
            <v>16.61</v>
          </cell>
          <cell r="AY122">
            <v>22.96</v>
          </cell>
          <cell r="AZ122">
            <v>0.17</v>
          </cell>
          <cell r="BA122">
            <v>0.12</v>
          </cell>
          <cell r="BB122" t="str">
            <v>#_NA</v>
          </cell>
          <cell r="BC122" t="str">
            <v>#_NA</v>
          </cell>
          <cell r="BD122" t="str">
            <v>#_NA</v>
          </cell>
          <cell r="BE122" t="str">
            <v>-</v>
          </cell>
          <cell r="BF122" t="str">
            <v>-</v>
          </cell>
          <cell r="BG122">
            <v>5.6820000000000002E-2</v>
          </cell>
          <cell r="BH122">
            <v>0.74939999999999996</v>
          </cell>
          <cell r="BI122">
            <v>3.93</v>
          </cell>
          <cell r="BJ122" t="str">
            <v>-</v>
          </cell>
          <cell r="BK122">
            <v>0.76129999999999998</v>
          </cell>
          <cell r="BL122">
            <v>3.74</v>
          </cell>
          <cell r="BM122" t="str">
            <v>-</v>
          </cell>
          <cell r="BN122" t="str">
            <v>NÃO</v>
          </cell>
          <cell r="BO122" t="str">
            <v>NÃO</v>
          </cell>
          <cell r="BP122" t="str">
            <v>MS|S|NACIONAL|Sim|Positiva</v>
          </cell>
          <cell r="BR122" t="str">
            <v>TBD</v>
          </cell>
          <cell r="BS122">
            <v>0</v>
          </cell>
          <cell r="BT122" t="str">
            <v>#ERRO</v>
          </cell>
          <cell r="BU122">
            <v>3.74</v>
          </cell>
          <cell r="BV122" t="str">
            <v>-</v>
          </cell>
          <cell r="BX122" t="str">
            <v>TBD</v>
          </cell>
          <cell r="BY122" t="str">
            <v>TBD</v>
          </cell>
          <cell r="BZ122" t="str">
            <v>TBD</v>
          </cell>
          <cell r="CA122" t="str">
            <v>#ERRO</v>
          </cell>
          <cell r="CB122" t="str">
            <v>-</v>
          </cell>
        </row>
        <row r="123">
          <cell r="A123" t="str">
            <v>15771-0</v>
          </cell>
          <cell r="B123" t="str">
            <v>15771-0</v>
          </cell>
          <cell r="C123">
            <v>7896714212838</v>
          </cell>
          <cell r="D123" t="str">
            <v>IVERNEO 6MG COMP CT ENV 1X4</v>
          </cell>
          <cell r="E123" t="str">
            <v>SIM</v>
          </cell>
          <cell r="F123" t="str">
            <v>S</v>
          </cell>
          <cell r="G123" t="str">
            <v>LINHA</v>
          </cell>
          <cell r="H123">
            <v>5</v>
          </cell>
          <cell r="I123">
            <v>60</v>
          </cell>
          <cell r="J123" t="str">
            <v>Monitorado</v>
          </cell>
          <cell r="K123" t="str">
            <v>Positiva</v>
          </cell>
          <cell r="L123" t="str">
            <v>Sim</v>
          </cell>
          <cell r="M123" t="str">
            <v>NACIONAL</v>
          </cell>
          <cell r="N123" t="str">
            <v>NACIONAL</v>
          </cell>
          <cell r="P123">
            <v>29.2</v>
          </cell>
          <cell r="Q123">
            <v>29.2</v>
          </cell>
          <cell r="R123">
            <v>29.56</v>
          </cell>
          <cell r="S123">
            <v>29.93</v>
          </cell>
          <cell r="T123">
            <v>27.55</v>
          </cell>
          <cell r="U123">
            <v>29.38</v>
          </cell>
          <cell r="V123">
            <v>29.38</v>
          </cell>
          <cell r="W123">
            <v>29.56</v>
          </cell>
          <cell r="X123">
            <v>30.3</v>
          </cell>
          <cell r="Y123">
            <v>29.93</v>
          </cell>
          <cell r="Z123">
            <v>30.3</v>
          </cell>
          <cell r="AA123">
            <v>30.68</v>
          </cell>
          <cell r="AB123">
            <v>31.08</v>
          </cell>
          <cell r="AC123">
            <v>30.11</v>
          </cell>
          <cell r="AD123">
            <v>30.11</v>
          </cell>
          <cell r="AE123">
            <v>30.49</v>
          </cell>
          <cell r="AF123">
            <v>0</v>
          </cell>
          <cell r="AG123">
            <v>40.369999999999997</v>
          </cell>
          <cell r="AH123">
            <v>40.369999999999997</v>
          </cell>
          <cell r="AI123">
            <v>40.86</v>
          </cell>
          <cell r="AJ123">
            <v>41.38</v>
          </cell>
          <cell r="AK123">
            <v>38.090000000000003</v>
          </cell>
          <cell r="AL123">
            <v>40.619999999999997</v>
          </cell>
          <cell r="AM123">
            <v>40.619999999999997</v>
          </cell>
          <cell r="AN123">
            <v>40.86</v>
          </cell>
          <cell r="AO123">
            <v>41.89</v>
          </cell>
          <cell r="AP123">
            <v>41.38</v>
          </cell>
          <cell r="AQ123">
            <v>41.89</v>
          </cell>
          <cell r="AR123">
            <v>42.41</v>
          </cell>
          <cell r="AS123">
            <v>42.97</v>
          </cell>
          <cell r="AT123">
            <v>41.63</v>
          </cell>
          <cell r="AU123">
            <v>41.63</v>
          </cell>
          <cell r="AV123">
            <v>42.15</v>
          </cell>
          <cell r="AX123">
            <v>29.2</v>
          </cell>
          <cell r="AY123">
            <v>40.369999999999997</v>
          </cell>
          <cell r="AZ123">
            <v>0.17</v>
          </cell>
          <cell r="BA123">
            <v>0.12</v>
          </cell>
          <cell r="BB123" t="str">
            <v>#_NA</v>
          </cell>
          <cell r="BC123" t="str">
            <v>#_NA</v>
          </cell>
          <cell r="BD123" t="str">
            <v>#_NA</v>
          </cell>
          <cell r="BE123" t="str">
            <v>-</v>
          </cell>
          <cell r="BF123" t="str">
            <v>-</v>
          </cell>
          <cell r="BG123">
            <v>5.6820000000000002E-2</v>
          </cell>
          <cell r="BH123">
            <v>0.78879999999999995</v>
          </cell>
          <cell r="BI123">
            <v>5.82</v>
          </cell>
          <cell r="BJ123" t="str">
            <v>-</v>
          </cell>
          <cell r="BK123">
            <v>0.79879999999999995</v>
          </cell>
          <cell r="BL123">
            <v>5.54</v>
          </cell>
          <cell r="BM123" t="str">
            <v>-</v>
          </cell>
          <cell r="BN123" t="str">
            <v>NÃO</v>
          </cell>
          <cell r="BO123" t="str">
            <v>NÃO</v>
          </cell>
          <cell r="BP123" t="str">
            <v>MS|S|NACIONAL|Sim|Positiva</v>
          </cell>
          <cell r="BR123" t="str">
            <v>TBD</v>
          </cell>
          <cell r="BS123">
            <v>0</v>
          </cell>
          <cell r="BT123" t="str">
            <v>#ERRO</v>
          </cell>
          <cell r="BU123">
            <v>5.54</v>
          </cell>
          <cell r="BV123" t="str">
            <v>-</v>
          </cell>
          <cell r="BX123" t="str">
            <v>TBD</v>
          </cell>
          <cell r="BY123" t="str">
            <v>TBD</v>
          </cell>
          <cell r="BZ123" t="str">
            <v>TBD</v>
          </cell>
          <cell r="CA123" t="str">
            <v>#ERRO</v>
          </cell>
          <cell r="CB123" t="str">
            <v>-</v>
          </cell>
        </row>
        <row r="124">
          <cell r="A124" t="str">
            <v>20536-0</v>
          </cell>
          <cell r="B124" t="str">
            <v>20536-0</v>
          </cell>
          <cell r="C124">
            <v>7896714274010</v>
          </cell>
          <cell r="D124" t="str">
            <v>LEVOCETIRIZINA 5MG CT BL X 10 CPRS REV</v>
          </cell>
          <cell r="E124" t="str">
            <v>SIM</v>
          </cell>
          <cell r="F124" t="str">
            <v>G</v>
          </cell>
          <cell r="G124" t="str">
            <v>LINHA</v>
          </cell>
          <cell r="H124">
            <v>2</v>
          </cell>
          <cell r="I124">
            <v>18</v>
          </cell>
          <cell r="J124" t="str">
            <v>Liberado</v>
          </cell>
          <cell r="K124" t="str">
            <v>Negativa</v>
          </cell>
          <cell r="L124" t="str">
            <v>Não</v>
          </cell>
          <cell r="M124" t="str">
            <v>IMPORTADO</v>
          </cell>
          <cell r="N124" t="str">
            <v>IMPORTADO</v>
          </cell>
          <cell r="P124">
            <v>27.3</v>
          </cell>
          <cell r="Q124">
            <v>31.36</v>
          </cell>
          <cell r="R124">
            <v>31.8</v>
          </cell>
          <cell r="S124">
            <v>32.26</v>
          </cell>
          <cell r="T124">
            <v>29.33</v>
          </cell>
          <cell r="U124">
            <v>31.58</v>
          </cell>
          <cell r="V124">
            <v>27.47</v>
          </cell>
          <cell r="W124">
            <v>27.64</v>
          </cell>
          <cell r="X124">
            <v>32.72</v>
          </cell>
          <cell r="Y124">
            <v>27.98</v>
          </cell>
          <cell r="Z124">
            <v>28.33</v>
          </cell>
          <cell r="AA124">
            <v>33.21</v>
          </cell>
          <cell r="AB124">
            <v>33.700000000000003</v>
          </cell>
          <cell r="AC124">
            <v>32.49</v>
          </cell>
          <cell r="AD124">
            <v>28.15</v>
          </cell>
          <cell r="AE124">
            <v>32.96</v>
          </cell>
          <cell r="AF124">
            <v>0</v>
          </cell>
          <cell r="AG124">
            <v>37.74</v>
          </cell>
          <cell r="AH124">
            <v>41.8</v>
          </cell>
          <cell r="AI124">
            <v>42.37</v>
          </cell>
          <cell r="AJ124">
            <v>42.96</v>
          </cell>
          <cell r="AK124">
            <v>39.18</v>
          </cell>
          <cell r="AL124">
            <v>42.08</v>
          </cell>
          <cell r="AM124">
            <v>37.979999999999997</v>
          </cell>
          <cell r="AN124">
            <v>38.21</v>
          </cell>
          <cell r="AO124">
            <v>43.55</v>
          </cell>
          <cell r="AP124">
            <v>38.68</v>
          </cell>
          <cell r="AQ124">
            <v>39.159999999999997</v>
          </cell>
          <cell r="AR124">
            <v>44.18</v>
          </cell>
          <cell r="AS124">
            <v>44.81</v>
          </cell>
          <cell r="AT124">
            <v>43.26</v>
          </cell>
          <cell r="AU124">
            <v>38.92</v>
          </cell>
          <cell r="AV124">
            <v>43.86</v>
          </cell>
          <cell r="AX124">
            <v>31.36</v>
          </cell>
          <cell r="AY124">
            <v>41.8</v>
          </cell>
          <cell r="AZ124">
            <v>0.17</v>
          </cell>
          <cell r="BA124">
            <v>0.04</v>
          </cell>
          <cell r="BB124" t="str">
            <v>#_NA</v>
          </cell>
          <cell r="BC124" t="str">
            <v>#_NA</v>
          </cell>
          <cell r="BD124" t="str">
            <v>#_NA</v>
          </cell>
          <cell r="BE124" t="str">
            <v>-</v>
          </cell>
          <cell r="BF124" t="str">
            <v>-</v>
          </cell>
          <cell r="BG124">
            <v>0.13542000000000001</v>
          </cell>
          <cell r="BH124">
            <v>0.55389999999999995</v>
          </cell>
          <cell r="BI124">
            <v>12.09</v>
          </cell>
          <cell r="BJ124" t="str">
            <v>-</v>
          </cell>
          <cell r="BK124">
            <v>0.63219999999999998</v>
          </cell>
          <cell r="BL124">
            <v>9.9700000000000006</v>
          </cell>
          <cell r="BM124" t="str">
            <v>-</v>
          </cell>
          <cell r="BN124" t="str">
            <v>NÃO</v>
          </cell>
          <cell r="BO124" t="str">
            <v>NÃO</v>
          </cell>
          <cell r="BP124" t="str">
            <v>MS|G|IMPORTADO|Não|Negativa</v>
          </cell>
          <cell r="BR124" t="str">
            <v>TBD</v>
          </cell>
          <cell r="BS124">
            <v>0</v>
          </cell>
          <cell r="BT124" t="str">
            <v>#ERRO</v>
          </cell>
          <cell r="BU124">
            <v>9.9700000000000006</v>
          </cell>
          <cell r="BV124" t="str">
            <v>-</v>
          </cell>
          <cell r="BX124" t="str">
            <v>TBD</v>
          </cell>
          <cell r="BY124" t="str">
            <v>TBD</v>
          </cell>
          <cell r="BZ124" t="str">
            <v>TBD</v>
          </cell>
          <cell r="CA124" t="str">
            <v>#ERRO</v>
          </cell>
          <cell r="CB124" t="str">
            <v>-</v>
          </cell>
        </row>
        <row r="125">
          <cell r="A125" t="str">
            <v>15578-0</v>
          </cell>
          <cell r="B125" t="str">
            <v>15578-0</v>
          </cell>
          <cell r="C125">
            <v>7896714213255</v>
          </cell>
          <cell r="D125" t="str">
            <v>LEVONORGESTREL 1,5MG COMP CT BL 1X1</v>
          </cell>
          <cell r="E125" t="str">
            <v>SIM</v>
          </cell>
          <cell r="F125" t="str">
            <v>G</v>
          </cell>
          <cell r="G125" t="str">
            <v>LINHA</v>
          </cell>
          <cell r="H125">
            <v>5</v>
          </cell>
          <cell r="I125">
            <v>60</v>
          </cell>
          <cell r="J125" t="str">
            <v>Monitorado</v>
          </cell>
          <cell r="K125" t="str">
            <v>Positiva</v>
          </cell>
          <cell r="L125" t="str">
            <v>Sim</v>
          </cell>
          <cell r="M125" t="str">
            <v>NACIONAL</v>
          </cell>
          <cell r="N125" t="str">
            <v>NACIONAL</v>
          </cell>
          <cell r="P125">
            <v>20.47</v>
          </cell>
          <cell r="Q125">
            <v>20.47</v>
          </cell>
          <cell r="R125">
            <v>20.72</v>
          </cell>
          <cell r="S125">
            <v>20.98</v>
          </cell>
          <cell r="T125">
            <v>19.309999999999999</v>
          </cell>
          <cell r="U125">
            <v>20.59</v>
          </cell>
          <cell r="V125">
            <v>20.59</v>
          </cell>
          <cell r="W125">
            <v>20.72</v>
          </cell>
          <cell r="X125">
            <v>21.24</v>
          </cell>
          <cell r="Y125">
            <v>20.98</v>
          </cell>
          <cell r="Z125">
            <v>21.24</v>
          </cell>
          <cell r="AA125">
            <v>21.51</v>
          </cell>
          <cell r="AB125">
            <v>21.78</v>
          </cell>
          <cell r="AC125">
            <v>21.11</v>
          </cell>
          <cell r="AD125">
            <v>21.11</v>
          </cell>
          <cell r="AE125">
            <v>21.37</v>
          </cell>
          <cell r="AF125">
            <v>0</v>
          </cell>
          <cell r="AG125">
            <v>28.3</v>
          </cell>
          <cell r="AH125">
            <v>28.3</v>
          </cell>
          <cell r="AI125">
            <v>28.64</v>
          </cell>
          <cell r="AJ125">
            <v>29</v>
          </cell>
          <cell r="AK125">
            <v>26.69</v>
          </cell>
          <cell r="AL125">
            <v>28.46</v>
          </cell>
          <cell r="AM125">
            <v>28.46</v>
          </cell>
          <cell r="AN125">
            <v>28.64</v>
          </cell>
          <cell r="AO125">
            <v>29.36</v>
          </cell>
          <cell r="AP125">
            <v>29</v>
          </cell>
          <cell r="AQ125">
            <v>29.36</v>
          </cell>
          <cell r="AR125">
            <v>29.74</v>
          </cell>
          <cell r="AS125">
            <v>30.11</v>
          </cell>
          <cell r="AT125">
            <v>29.18</v>
          </cell>
          <cell r="AU125">
            <v>29.18</v>
          </cell>
          <cell r="AV125">
            <v>29.54</v>
          </cell>
          <cell r="AX125">
            <v>20.47</v>
          </cell>
          <cell r="AY125">
            <v>28.3</v>
          </cell>
          <cell r="AZ125">
            <v>0.17</v>
          </cell>
          <cell r="BA125">
            <v>0.12</v>
          </cell>
          <cell r="BB125" t="str">
            <v>#_NA</v>
          </cell>
          <cell r="BC125" t="str">
            <v>#_NA</v>
          </cell>
          <cell r="BD125" t="str">
            <v>#_NA</v>
          </cell>
          <cell r="BE125" t="str">
            <v>-</v>
          </cell>
          <cell r="BF125" t="str">
            <v>-</v>
          </cell>
          <cell r="BG125">
            <v>5.6820000000000002E-2</v>
          </cell>
          <cell r="BH125">
            <v>0.73680000000000001</v>
          </cell>
          <cell r="BI125">
            <v>5.08</v>
          </cell>
          <cell r="BJ125" t="str">
            <v>-</v>
          </cell>
          <cell r="BK125">
            <v>0.74990000000000001</v>
          </cell>
          <cell r="BL125">
            <v>4.83</v>
          </cell>
          <cell r="BM125" t="str">
            <v>-</v>
          </cell>
          <cell r="BN125" t="str">
            <v>NÃO</v>
          </cell>
          <cell r="BO125" t="str">
            <v>NÃO</v>
          </cell>
          <cell r="BP125" t="str">
            <v>MS|G|NACIONAL|Sim|Positiva</v>
          </cell>
          <cell r="BR125" t="str">
            <v>TBD</v>
          </cell>
          <cell r="BS125">
            <v>0</v>
          </cell>
          <cell r="BT125" t="str">
            <v>#ERRO</v>
          </cell>
          <cell r="BU125">
            <v>4.83</v>
          </cell>
          <cell r="BV125" t="str">
            <v>-</v>
          </cell>
          <cell r="BX125" t="str">
            <v>TBD</v>
          </cell>
          <cell r="BY125" t="str">
            <v>TBD</v>
          </cell>
          <cell r="BZ125" t="str">
            <v>TBD</v>
          </cell>
          <cell r="CA125" t="str">
            <v>#ERRO</v>
          </cell>
          <cell r="CB125" t="str">
            <v>-</v>
          </cell>
        </row>
        <row r="126">
          <cell r="A126" t="str">
            <v>12658-0</v>
          </cell>
          <cell r="B126" t="str">
            <v>12658-0</v>
          </cell>
          <cell r="C126">
            <v>7896714230160</v>
          </cell>
          <cell r="D126" t="str">
            <v>LIDOGEL 2% CT BG ALUM 1X30G</v>
          </cell>
          <cell r="E126" t="str">
            <v>SIM</v>
          </cell>
          <cell r="F126" t="str">
            <v>S</v>
          </cell>
          <cell r="G126" t="str">
            <v>LINHA</v>
          </cell>
          <cell r="H126">
            <v>5</v>
          </cell>
          <cell r="I126">
            <v>100</v>
          </cell>
          <cell r="J126" t="str">
            <v>Monitorado</v>
          </cell>
          <cell r="K126" t="str">
            <v>Positiva</v>
          </cell>
          <cell r="L126" t="str">
            <v>Sim</v>
          </cell>
          <cell r="M126" t="str">
            <v>NACIONAL</v>
          </cell>
          <cell r="N126" t="str">
            <v>NACIONAL</v>
          </cell>
          <cell r="P126">
            <v>16.989999999999998</v>
          </cell>
          <cell r="Q126">
            <v>16.989999999999998</v>
          </cell>
          <cell r="R126">
            <v>17.2</v>
          </cell>
          <cell r="S126">
            <v>17.41</v>
          </cell>
          <cell r="T126">
            <v>16.02</v>
          </cell>
          <cell r="U126">
            <v>17.09</v>
          </cell>
          <cell r="V126">
            <v>17.09</v>
          </cell>
          <cell r="W126">
            <v>17.2</v>
          </cell>
          <cell r="X126">
            <v>17.63</v>
          </cell>
          <cell r="Y126">
            <v>17.41</v>
          </cell>
          <cell r="Z126">
            <v>17.63</v>
          </cell>
          <cell r="AA126">
            <v>17.850000000000001</v>
          </cell>
          <cell r="AB126">
            <v>18.079999999999998</v>
          </cell>
          <cell r="AC126">
            <v>17.52</v>
          </cell>
          <cell r="AD126">
            <v>17.52</v>
          </cell>
          <cell r="AE126">
            <v>17.739999999999998</v>
          </cell>
          <cell r="AF126">
            <v>0</v>
          </cell>
          <cell r="AG126">
            <v>23.49</v>
          </cell>
          <cell r="AH126">
            <v>23.49</v>
          </cell>
          <cell r="AI126">
            <v>23.78</v>
          </cell>
          <cell r="AJ126">
            <v>24.07</v>
          </cell>
          <cell r="AK126">
            <v>22.15</v>
          </cell>
          <cell r="AL126">
            <v>23.63</v>
          </cell>
          <cell r="AM126">
            <v>23.63</v>
          </cell>
          <cell r="AN126">
            <v>23.78</v>
          </cell>
          <cell r="AO126">
            <v>24.37</v>
          </cell>
          <cell r="AP126">
            <v>24.07</v>
          </cell>
          <cell r="AQ126">
            <v>24.37</v>
          </cell>
          <cell r="AR126">
            <v>24.68</v>
          </cell>
          <cell r="AS126">
            <v>24.99</v>
          </cell>
          <cell r="AT126">
            <v>24.22</v>
          </cell>
          <cell r="AU126">
            <v>24.22</v>
          </cell>
          <cell r="AV126">
            <v>24.52</v>
          </cell>
          <cell r="AX126">
            <v>16.989999999999998</v>
          </cell>
          <cell r="AY126">
            <v>23.49</v>
          </cell>
          <cell r="AZ126">
            <v>0.17</v>
          </cell>
          <cell r="BA126">
            <v>0.12</v>
          </cell>
          <cell r="BB126" t="str">
            <v>#_NA</v>
          </cell>
          <cell r="BC126" t="str">
            <v>#_NA</v>
          </cell>
          <cell r="BD126" t="str">
            <v>#_NA</v>
          </cell>
          <cell r="BE126" t="str">
            <v>-</v>
          </cell>
          <cell r="BF126" t="str">
            <v>-</v>
          </cell>
          <cell r="BG126">
            <v>5.6820000000000002E-2</v>
          </cell>
          <cell r="BH126">
            <v>0.68169999999999997</v>
          </cell>
          <cell r="BI126">
            <v>5.0999999999999996</v>
          </cell>
          <cell r="BJ126" t="str">
            <v>-</v>
          </cell>
          <cell r="BK126">
            <v>0.69740000000000002</v>
          </cell>
          <cell r="BL126">
            <v>4.8499999999999996</v>
          </cell>
          <cell r="BM126" t="str">
            <v>-</v>
          </cell>
          <cell r="BN126" t="str">
            <v>NÃO</v>
          </cell>
          <cell r="BO126" t="str">
            <v>NÃO</v>
          </cell>
          <cell r="BP126" t="str">
            <v>MS|S|NACIONAL|Sim|Positiva</v>
          </cell>
          <cell r="BR126" t="str">
            <v>TBD</v>
          </cell>
          <cell r="BS126">
            <v>0</v>
          </cell>
          <cell r="BT126" t="str">
            <v>#ERRO</v>
          </cell>
          <cell r="BU126">
            <v>4.8499999999999996</v>
          </cell>
          <cell r="BV126" t="str">
            <v>-</v>
          </cell>
          <cell r="BX126" t="str">
            <v>TBD</v>
          </cell>
          <cell r="BY126" t="str">
            <v>TBD</v>
          </cell>
          <cell r="BZ126" t="str">
            <v>TBD</v>
          </cell>
          <cell r="CA126" t="str">
            <v>#ERRO</v>
          </cell>
          <cell r="CB126" t="str">
            <v>-</v>
          </cell>
        </row>
        <row r="127">
          <cell r="A127" t="str">
            <v>20898-0</v>
          </cell>
          <cell r="B127" t="str">
            <v>20898-0</v>
          </cell>
          <cell r="C127">
            <v>7896714221359</v>
          </cell>
          <cell r="D127" t="str">
            <v>LIPNEO 100MG COMP CT BL 2X15</v>
          </cell>
          <cell r="E127" t="str">
            <v>SIM</v>
          </cell>
          <cell r="F127" t="str">
            <v>S</v>
          </cell>
          <cell r="G127" t="str">
            <v>LINHA</v>
          </cell>
          <cell r="H127">
            <v>5</v>
          </cell>
          <cell r="I127">
            <v>60</v>
          </cell>
          <cell r="J127" t="str">
            <v>Monitorado</v>
          </cell>
          <cell r="K127" t="str">
            <v>Positiva</v>
          </cell>
          <cell r="L127" t="str">
            <v>Sim</v>
          </cell>
          <cell r="M127" t="str">
            <v>NACIONAL</v>
          </cell>
          <cell r="N127" t="str">
            <v>NACIONAL</v>
          </cell>
          <cell r="P127">
            <v>90.27</v>
          </cell>
          <cell r="Q127">
            <v>90.27</v>
          </cell>
          <cell r="R127">
            <v>91.37</v>
          </cell>
          <cell r="S127">
            <v>92.49</v>
          </cell>
          <cell r="T127">
            <v>85.14</v>
          </cell>
          <cell r="U127">
            <v>90.81</v>
          </cell>
          <cell r="V127">
            <v>90.81</v>
          </cell>
          <cell r="W127">
            <v>91.37</v>
          </cell>
          <cell r="X127">
            <v>93.65</v>
          </cell>
          <cell r="Y127">
            <v>92.49</v>
          </cell>
          <cell r="Z127">
            <v>93.65</v>
          </cell>
          <cell r="AA127">
            <v>94.84</v>
          </cell>
          <cell r="AB127">
            <v>96.05</v>
          </cell>
          <cell r="AC127">
            <v>93.07</v>
          </cell>
          <cell r="AD127">
            <v>93.07</v>
          </cell>
          <cell r="AE127">
            <v>94.24</v>
          </cell>
          <cell r="AF127">
            <v>0</v>
          </cell>
          <cell r="AG127">
            <v>124.79</v>
          </cell>
          <cell r="AH127">
            <v>124.79</v>
          </cell>
          <cell r="AI127">
            <v>126.31</v>
          </cell>
          <cell r="AJ127">
            <v>127.86</v>
          </cell>
          <cell r="AK127">
            <v>117.7</v>
          </cell>
          <cell r="AL127">
            <v>125.54</v>
          </cell>
          <cell r="AM127">
            <v>125.54</v>
          </cell>
          <cell r="AN127">
            <v>126.31</v>
          </cell>
          <cell r="AO127">
            <v>129.47</v>
          </cell>
          <cell r="AP127">
            <v>127.86</v>
          </cell>
          <cell r="AQ127">
            <v>129.47</v>
          </cell>
          <cell r="AR127">
            <v>131.11000000000001</v>
          </cell>
          <cell r="AS127">
            <v>132.78</v>
          </cell>
          <cell r="AT127">
            <v>128.66</v>
          </cell>
          <cell r="AU127">
            <v>128.66</v>
          </cell>
          <cell r="AV127">
            <v>130.28</v>
          </cell>
          <cell r="AX127">
            <v>90.27</v>
          </cell>
          <cell r="AY127">
            <v>124.79</v>
          </cell>
          <cell r="AZ127">
            <v>0.17</v>
          </cell>
          <cell r="BA127">
            <v>0.12</v>
          </cell>
          <cell r="BB127" t="str">
            <v>#_NA</v>
          </cell>
          <cell r="BC127" t="str">
            <v>#_NA</v>
          </cell>
          <cell r="BD127" t="str">
            <v>#_NA</v>
          </cell>
          <cell r="BE127" t="str">
            <v>-</v>
          </cell>
          <cell r="BF127" t="str">
            <v>-</v>
          </cell>
          <cell r="BG127">
            <v>5.6820000000000002E-2</v>
          </cell>
          <cell r="BH127">
            <v>0.83250000000000002</v>
          </cell>
          <cell r="BI127">
            <v>14.26</v>
          </cell>
          <cell r="BJ127" t="str">
            <v>-</v>
          </cell>
          <cell r="BK127">
            <v>0.84050000000000002</v>
          </cell>
          <cell r="BL127">
            <v>13.58</v>
          </cell>
          <cell r="BM127" t="str">
            <v>-</v>
          </cell>
          <cell r="BN127" t="str">
            <v>NÃO</v>
          </cell>
          <cell r="BO127" t="str">
            <v>NÃO</v>
          </cell>
          <cell r="BP127" t="str">
            <v>MS|S|NACIONAL|Sim|Positiva</v>
          </cell>
          <cell r="BR127" t="str">
            <v>TBD</v>
          </cell>
          <cell r="BS127">
            <v>0</v>
          </cell>
          <cell r="BT127" t="str">
            <v>#ERRO</v>
          </cell>
          <cell r="BU127">
            <v>13.58</v>
          </cell>
          <cell r="BV127" t="str">
            <v>-</v>
          </cell>
          <cell r="BX127" t="str">
            <v>TBD</v>
          </cell>
          <cell r="BY127" t="str">
            <v>TBD</v>
          </cell>
          <cell r="BZ127" t="str">
            <v>TBD</v>
          </cell>
          <cell r="CA127" t="str">
            <v>#ERRO</v>
          </cell>
          <cell r="CB127" t="str">
            <v>-</v>
          </cell>
        </row>
        <row r="128">
          <cell r="A128" t="str">
            <v>17456-0</v>
          </cell>
          <cell r="B128" t="str">
            <v>17456-0</v>
          </cell>
          <cell r="C128">
            <v>7896714238524</v>
          </cell>
          <cell r="D128" t="str">
            <v>LIPOXEN 120MG CAP CT BL 3X14</v>
          </cell>
          <cell r="E128" t="str">
            <v>SIM</v>
          </cell>
          <cell r="F128" t="str">
            <v>S</v>
          </cell>
          <cell r="G128" t="str">
            <v>LINHA</v>
          </cell>
          <cell r="H128">
            <v>0</v>
          </cell>
          <cell r="I128">
            <v>30</v>
          </cell>
          <cell r="J128" t="str">
            <v>Monitorado</v>
          </cell>
          <cell r="K128" t="str">
            <v>Negativa</v>
          </cell>
          <cell r="L128" t="str">
            <v>Sim</v>
          </cell>
          <cell r="M128" t="str">
            <v>NACIONAL</v>
          </cell>
          <cell r="N128" t="str">
            <v>NACIONAL</v>
          </cell>
          <cell r="P128">
            <v>81.48</v>
          </cell>
          <cell r="Q128">
            <v>93.59</v>
          </cell>
          <cell r="R128">
            <v>94.91</v>
          </cell>
          <cell r="S128">
            <v>96.26</v>
          </cell>
          <cell r="T128">
            <v>87.52</v>
          </cell>
          <cell r="U128">
            <v>94.25</v>
          </cell>
          <cell r="V128">
            <v>81.97</v>
          </cell>
          <cell r="W128">
            <v>82.47</v>
          </cell>
          <cell r="X128">
            <v>97.66</v>
          </cell>
          <cell r="Y128">
            <v>83.49</v>
          </cell>
          <cell r="Z128">
            <v>84.53</v>
          </cell>
          <cell r="AA128">
            <v>99.09</v>
          </cell>
          <cell r="AB128">
            <v>100.57</v>
          </cell>
          <cell r="AC128">
            <v>96.96</v>
          </cell>
          <cell r="AD128">
            <v>84.01</v>
          </cell>
          <cell r="AE128">
            <v>98.37</v>
          </cell>
          <cell r="AF128">
            <v>0</v>
          </cell>
          <cell r="AG128">
            <v>112.64</v>
          </cell>
          <cell r="AH128">
            <v>124.75</v>
          </cell>
          <cell r="AI128">
            <v>126.45</v>
          </cell>
          <cell r="AJ128">
            <v>128.19</v>
          </cell>
          <cell r="AK128">
            <v>116.91</v>
          </cell>
          <cell r="AL128">
            <v>125.6</v>
          </cell>
          <cell r="AM128">
            <v>113.32</v>
          </cell>
          <cell r="AN128">
            <v>114.01</v>
          </cell>
          <cell r="AO128">
            <v>129.99</v>
          </cell>
          <cell r="AP128">
            <v>115.42</v>
          </cell>
          <cell r="AQ128">
            <v>116.86</v>
          </cell>
          <cell r="AR128">
            <v>131.83000000000001</v>
          </cell>
          <cell r="AS128">
            <v>133.72999999999999</v>
          </cell>
          <cell r="AT128">
            <v>129.09</v>
          </cell>
          <cell r="AU128">
            <v>116.14</v>
          </cell>
          <cell r="AV128">
            <v>130.9</v>
          </cell>
          <cell r="AX128">
            <v>93.59</v>
          </cell>
          <cell r="AY128">
            <v>124.75</v>
          </cell>
          <cell r="AZ128">
            <v>0.17</v>
          </cell>
          <cell r="BA128">
            <v>0.12</v>
          </cell>
          <cell r="BB128" t="str">
            <v>#_NA</v>
          </cell>
          <cell r="BC128" t="str">
            <v>#_NA</v>
          </cell>
          <cell r="BD128" t="str">
            <v>#_NA</v>
          </cell>
          <cell r="BE128" t="str">
            <v>-</v>
          </cell>
          <cell r="BF128" t="str">
            <v>-</v>
          </cell>
          <cell r="BG128">
            <v>5.6820000000000002E-2</v>
          </cell>
          <cell r="BH128">
            <v>0.1991</v>
          </cell>
          <cell r="BI128">
            <v>70.7</v>
          </cell>
          <cell r="BJ128" t="str">
            <v>-</v>
          </cell>
          <cell r="BK128">
            <v>0.33979999999999999</v>
          </cell>
          <cell r="BL128">
            <v>58.28</v>
          </cell>
          <cell r="BM128" t="str">
            <v>-</v>
          </cell>
          <cell r="BN128" t="str">
            <v>NÃO</v>
          </cell>
          <cell r="BO128" t="str">
            <v>NÃO</v>
          </cell>
          <cell r="BP128" t="str">
            <v>MS|S|NACIONAL|Sim|Negativa</v>
          </cell>
          <cell r="BR128" t="str">
            <v>TBD</v>
          </cell>
          <cell r="BS128">
            <v>0</v>
          </cell>
          <cell r="BT128" t="str">
            <v>#ERRO</v>
          </cell>
          <cell r="BU128">
            <v>58.28</v>
          </cell>
          <cell r="BV128" t="str">
            <v>-</v>
          </cell>
          <cell r="BX128" t="str">
            <v>TBD</v>
          </cell>
          <cell r="BY128" t="str">
            <v>TBD</v>
          </cell>
          <cell r="BZ128" t="str">
            <v>TBD</v>
          </cell>
          <cell r="CA128" t="str">
            <v>#ERRO</v>
          </cell>
          <cell r="CB128" t="str">
            <v>-</v>
          </cell>
        </row>
        <row r="129">
          <cell r="A129" t="str">
            <v>17153-0</v>
          </cell>
          <cell r="B129" t="str">
            <v>17153-0</v>
          </cell>
          <cell r="C129">
            <v>7896714213040</v>
          </cell>
          <cell r="D129" t="str">
            <v>LORATADINA 10MG COMP CT 12 CP</v>
          </cell>
          <cell r="E129" t="str">
            <v>SIM</v>
          </cell>
          <cell r="F129" t="str">
            <v>G</v>
          </cell>
          <cell r="G129" t="str">
            <v>FOCO GENERICOS</v>
          </cell>
          <cell r="H129">
            <v>5</v>
          </cell>
          <cell r="I129">
            <v>60</v>
          </cell>
          <cell r="J129" t="str">
            <v>Liberado</v>
          </cell>
          <cell r="K129" t="str">
            <v>Negativa</v>
          </cell>
          <cell r="L129" t="str">
            <v>Sim</v>
          </cell>
          <cell r="M129" t="str">
            <v>NACIONAL</v>
          </cell>
          <cell r="N129" t="str">
            <v>NACIONAL</v>
          </cell>
          <cell r="P129">
            <v>33.97</v>
          </cell>
          <cell r="Q129">
            <v>39.020000000000003</v>
          </cell>
          <cell r="R129">
            <v>39.57</v>
          </cell>
          <cell r="S129">
            <v>40.14</v>
          </cell>
          <cell r="T129">
            <v>36.49</v>
          </cell>
          <cell r="U129">
            <v>39.299999999999997</v>
          </cell>
          <cell r="V129">
            <v>34.18</v>
          </cell>
          <cell r="W129">
            <v>34.39</v>
          </cell>
          <cell r="X129">
            <v>40.72</v>
          </cell>
          <cell r="Y129">
            <v>34.81</v>
          </cell>
          <cell r="Z129">
            <v>35.25</v>
          </cell>
          <cell r="AA129">
            <v>41.32</v>
          </cell>
          <cell r="AB129">
            <v>41.93</v>
          </cell>
          <cell r="AC129">
            <v>40.43</v>
          </cell>
          <cell r="AD129">
            <v>35.03</v>
          </cell>
          <cell r="AE129">
            <v>41.02</v>
          </cell>
          <cell r="AF129">
            <v>0</v>
          </cell>
          <cell r="AG129">
            <v>46.96</v>
          </cell>
          <cell r="AH129">
            <v>52.01</v>
          </cell>
          <cell r="AI129">
            <v>52.72</v>
          </cell>
          <cell r="AJ129">
            <v>53.45</v>
          </cell>
          <cell r="AK129">
            <v>48.74</v>
          </cell>
          <cell r="AL129">
            <v>52.37</v>
          </cell>
          <cell r="AM129">
            <v>47.25</v>
          </cell>
          <cell r="AN129">
            <v>47.54</v>
          </cell>
          <cell r="AO129">
            <v>54.2</v>
          </cell>
          <cell r="AP129">
            <v>48.12</v>
          </cell>
          <cell r="AQ129">
            <v>48.73</v>
          </cell>
          <cell r="AR129">
            <v>54.97</v>
          </cell>
          <cell r="AS129">
            <v>55.75</v>
          </cell>
          <cell r="AT129">
            <v>53.83</v>
          </cell>
          <cell r="AU129">
            <v>48.43</v>
          </cell>
          <cell r="AV129">
            <v>54.59</v>
          </cell>
          <cell r="AX129">
            <v>39.020000000000003</v>
          </cell>
          <cell r="AY129">
            <v>52.01</v>
          </cell>
          <cell r="AZ129">
            <v>0.17</v>
          </cell>
          <cell r="BA129">
            <v>0.12</v>
          </cell>
          <cell r="BB129" t="str">
            <v>#_NA</v>
          </cell>
          <cell r="BC129" t="str">
            <v>#_NA</v>
          </cell>
          <cell r="BD129" t="str">
            <v>#_NA</v>
          </cell>
          <cell r="BE129" t="str">
            <v>-</v>
          </cell>
          <cell r="BF129" t="str">
            <v>-</v>
          </cell>
          <cell r="BG129">
            <v>5.6820000000000002E-2</v>
          </cell>
          <cell r="BH129">
            <v>0.63629999999999998</v>
          </cell>
          <cell r="BI129">
            <v>13.38</v>
          </cell>
          <cell r="BJ129" t="str">
            <v>-</v>
          </cell>
          <cell r="BK129">
            <v>0.7</v>
          </cell>
          <cell r="BL129">
            <v>11.04</v>
          </cell>
          <cell r="BM129" t="str">
            <v>-</v>
          </cell>
          <cell r="BN129" t="str">
            <v>NÃO</v>
          </cell>
          <cell r="BO129" t="str">
            <v>NÃO</v>
          </cell>
          <cell r="BP129" t="str">
            <v>MS|G|NACIONAL|Sim|Negativa</v>
          </cell>
          <cell r="BR129" t="str">
            <v>TBD</v>
          </cell>
          <cell r="BS129">
            <v>0</v>
          </cell>
          <cell r="BT129" t="str">
            <v>#ERRO</v>
          </cell>
          <cell r="BU129">
            <v>11.04</v>
          </cell>
          <cell r="BV129" t="str">
            <v>-</v>
          </cell>
          <cell r="BX129" t="str">
            <v>TBD</v>
          </cell>
          <cell r="BY129" t="str">
            <v>TBD</v>
          </cell>
          <cell r="BZ129" t="str">
            <v>TBD</v>
          </cell>
          <cell r="CA129" t="str">
            <v>#ERRO</v>
          </cell>
          <cell r="CB129" t="str">
            <v>-</v>
          </cell>
        </row>
        <row r="130">
          <cell r="A130" t="str">
            <v>12511-0</v>
          </cell>
          <cell r="B130" t="str">
            <v>12511-0</v>
          </cell>
          <cell r="C130">
            <v>7896714208763</v>
          </cell>
          <cell r="D130" t="str">
            <v>LOSARTANA POTA 100MG COMP REV CT BL 3X10</v>
          </cell>
          <cell r="E130" t="str">
            <v>SIM</v>
          </cell>
          <cell r="F130" t="str">
            <v>G</v>
          </cell>
          <cell r="G130" t="str">
            <v>LINHA</v>
          </cell>
          <cell r="H130">
            <v>5</v>
          </cell>
          <cell r="I130">
            <v>60</v>
          </cell>
          <cell r="J130" t="str">
            <v>Monitorado</v>
          </cell>
          <cell r="K130" t="str">
            <v>Positiva</v>
          </cell>
          <cell r="L130" t="str">
            <v>Sim</v>
          </cell>
          <cell r="M130" t="str">
            <v>NACIONAL</v>
          </cell>
          <cell r="N130" t="str">
            <v>NACIONAL</v>
          </cell>
          <cell r="P130">
            <v>45.54</v>
          </cell>
          <cell r="Q130">
            <v>45.54</v>
          </cell>
          <cell r="R130">
            <v>46.1</v>
          </cell>
          <cell r="S130">
            <v>46.67</v>
          </cell>
          <cell r="T130">
            <v>42.95</v>
          </cell>
          <cell r="U130">
            <v>45.82</v>
          </cell>
          <cell r="V130">
            <v>45.82</v>
          </cell>
          <cell r="W130">
            <v>46.1</v>
          </cell>
          <cell r="X130">
            <v>47.25</v>
          </cell>
          <cell r="Y130">
            <v>46.67</v>
          </cell>
          <cell r="Z130">
            <v>47.25</v>
          </cell>
          <cell r="AA130">
            <v>47.85</v>
          </cell>
          <cell r="AB130">
            <v>48.46</v>
          </cell>
          <cell r="AC130">
            <v>46.96</v>
          </cell>
          <cell r="AD130">
            <v>46.96</v>
          </cell>
          <cell r="AE130">
            <v>47.55</v>
          </cell>
          <cell r="AF130">
            <v>0</v>
          </cell>
          <cell r="AG130">
            <v>62.96</v>
          </cell>
          <cell r="AH130">
            <v>62.96</v>
          </cell>
          <cell r="AI130">
            <v>63.73</v>
          </cell>
          <cell r="AJ130">
            <v>64.52</v>
          </cell>
          <cell r="AK130">
            <v>59.38</v>
          </cell>
          <cell r="AL130">
            <v>63.34</v>
          </cell>
          <cell r="AM130">
            <v>63.34</v>
          </cell>
          <cell r="AN130">
            <v>63.73</v>
          </cell>
          <cell r="AO130">
            <v>65.319999999999993</v>
          </cell>
          <cell r="AP130">
            <v>64.52</v>
          </cell>
          <cell r="AQ130">
            <v>65.319999999999993</v>
          </cell>
          <cell r="AR130">
            <v>66.150000000000006</v>
          </cell>
          <cell r="AS130">
            <v>66.989999999999995</v>
          </cell>
          <cell r="AT130">
            <v>64.92</v>
          </cell>
          <cell r="AU130">
            <v>64.92</v>
          </cell>
          <cell r="AV130">
            <v>65.739999999999995</v>
          </cell>
          <cell r="AX130">
            <v>45.54</v>
          </cell>
          <cell r="AY130">
            <v>62.96</v>
          </cell>
          <cell r="AZ130">
            <v>0.17</v>
          </cell>
          <cell r="BA130">
            <v>0.12</v>
          </cell>
          <cell r="BB130" t="str">
            <v>#_NA</v>
          </cell>
          <cell r="BC130" t="str">
            <v>#_NA</v>
          </cell>
          <cell r="BD130" t="str">
            <v>#_NA</v>
          </cell>
          <cell r="BE130" t="str">
            <v>-</v>
          </cell>
          <cell r="BF130" t="str">
            <v>-</v>
          </cell>
          <cell r="BG130">
            <v>5.6820000000000002E-2</v>
          </cell>
          <cell r="BH130">
            <v>0.61060000000000003</v>
          </cell>
          <cell r="BI130">
            <v>16.72</v>
          </cell>
          <cell r="BJ130" t="str">
            <v>-</v>
          </cell>
          <cell r="BK130">
            <v>0.62939999999999996</v>
          </cell>
          <cell r="BL130">
            <v>15.92</v>
          </cell>
          <cell r="BM130" t="str">
            <v>-</v>
          </cell>
          <cell r="BN130" t="str">
            <v>NÃO</v>
          </cell>
          <cell r="BO130" t="str">
            <v>NÃO</v>
          </cell>
          <cell r="BP130" t="str">
            <v>MS|G|NACIONAL|Sim|Positiva</v>
          </cell>
          <cell r="BR130" t="str">
            <v>TBD</v>
          </cell>
          <cell r="BS130">
            <v>0</v>
          </cell>
          <cell r="BT130" t="str">
            <v>#ERRO</v>
          </cell>
          <cell r="BU130">
            <v>15.92</v>
          </cell>
          <cell r="BV130" t="str">
            <v>-</v>
          </cell>
          <cell r="BX130" t="str">
            <v>TBD</v>
          </cell>
          <cell r="BY130" t="str">
            <v>TBD</v>
          </cell>
          <cell r="BZ130" t="str">
            <v>TBD</v>
          </cell>
          <cell r="CA130" t="str">
            <v>#ERRO</v>
          </cell>
          <cell r="CB130" t="str">
            <v>-</v>
          </cell>
        </row>
        <row r="131">
          <cell r="A131" t="str">
            <v>12512-0</v>
          </cell>
          <cell r="B131" t="str">
            <v>12512-0</v>
          </cell>
          <cell r="C131">
            <v>7896714208565</v>
          </cell>
          <cell r="D131" t="str">
            <v>LOSARTANA POTAS 50MG COMP REV CT BL 2X15</v>
          </cell>
          <cell r="E131" t="str">
            <v>SIM</v>
          </cell>
          <cell r="F131" t="str">
            <v>G</v>
          </cell>
          <cell r="G131" t="str">
            <v>PRIORITARIO GENERICOS</v>
          </cell>
          <cell r="H131">
            <v>5</v>
          </cell>
          <cell r="I131">
            <v>60</v>
          </cell>
          <cell r="J131" t="str">
            <v>Monitorado</v>
          </cell>
          <cell r="K131" t="str">
            <v>Positiva</v>
          </cell>
          <cell r="L131" t="str">
            <v>Sim</v>
          </cell>
          <cell r="M131" t="str">
            <v>NACIONAL</v>
          </cell>
          <cell r="N131" t="str">
            <v>NACIONAL</v>
          </cell>
          <cell r="P131">
            <v>7.12</v>
          </cell>
          <cell r="Q131">
            <v>7.12</v>
          </cell>
          <cell r="R131">
            <v>7.21</v>
          </cell>
          <cell r="S131">
            <v>7.3</v>
          </cell>
          <cell r="T131">
            <v>6.72</v>
          </cell>
          <cell r="U131">
            <v>7.16</v>
          </cell>
          <cell r="V131">
            <v>7.16</v>
          </cell>
          <cell r="W131">
            <v>7.21</v>
          </cell>
          <cell r="X131">
            <v>7.39</v>
          </cell>
          <cell r="Y131">
            <v>7.3</v>
          </cell>
          <cell r="Z131">
            <v>7.39</v>
          </cell>
          <cell r="AA131">
            <v>7.48</v>
          </cell>
          <cell r="AB131">
            <v>7.58</v>
          </cell>
          <cell r="AC131">
            <v>7.34</v>
          </cell>
          <cell r="AD131">
            <v>7.34</v>
          </cell>
          <cell r="AE131">
            <v>7.43</v>
          </cell>
          <cell r="AF131">
            <v>0</v>
          </cell>
          <cell r="AG131">
            <v>9.84</v>
          </cell>
          <cell r="AH131">
            <v>9.84</v>
          </cell>
          <cell r="AI131">
            <v>9.9700000000000006</v>
          </cell>
          <cell r="AJ131">
            <v>10.09</v>
          </cell>
          <cell r="AK131">
            <v>9.2899999999999991</v>
          </cell>
          <cell r="AL131">
            <v>9.9</v>
          </cell>
          <cell r="AM131">
            <v>9.9</v>
          </cell>
          <cell r="AN131">
            <v>9.9700000000000006</v>
          </cell>
          <cell r="AO131">
            <v>10.220000000000001</v>
          </cell>
          <cell r="AP131">
            <v>10.09</v>
          </cell>
          <cell r="AQ131">
            <v>10.220000000000001</v>
          </cell>
          <cell r="AR131">
            <v>10.34</v>
          </cell>
          <cell r="AS131">
            <v>10.48</v>
          </cell>
          <cell r="AT131">
            <v>10.15</v>
          </cell>
          <cell r="AU131">
            <v>10.15</v>
          </cell>
          <cell r="AV131">
            <v>10.27</v>
          </cell>
          <cell r="AX131">
            <v>7.12</v>
          </cell>
          <cell r="AY131">
            <v>9.84</v>
          </cell>
          <cell r="AZ131">
            <v>0.17</v>
          </cell>
          <cell r="BA131">
            <v>0.12</v>
          </cell>
          <cell r="BB131" t="str">
            <v>#_NA</v>
          </cell>
          <cell r="BC131" t="str">
            <v>#_NA</v>
          </cell>
          <cell r="BD131" t="str">
            <v>#_NA</v>
          </cell>
          <cell r="BE131" t="str">
            <v>-</v>
          </cell>
          <cell r="BF131" t="str">
            <v>-</v>
          </cell>
          <cell r="BG131">
            <v>5.6820000000000002E-2</v>
          </cell>
          <cell r="BH131">
            <v>0.73909999999999998</v>
          </cell>
          <cell r="BI131">
            <v>1.75</v>
          </cell>
          <cell r="BJ131" t="str">
            <v>-</v>
          </cell>
          <cell r="BK131">
            <v>0.75739999999999996</v>
          </cell>
          <cell r="BL131">
            <v>1.63</v>
          </cell>
          <cell r="BM131" t="str">
            <v>-</v>
          </cell>
          <cell r="BN131" t="str">
            <v>SIM</v>
          </cell>
          <cell r="BO131" t="str">
            <v>NÃO</v>
          </cell>
          <cell r="BP131" t="str">
            <v>MS|G|NACIONAL|Sim|Positiva</v>
          </cell>
          <cell r="BR131" t="str">
            <v>TBD</v>
          </cell>
          <cell r="BS131">
            <v>0</v>
          </cell>
          <cell r="BT131" t="str">
            <v>#ERRO</v>
          </cell>
          <cell r="BU131">
            <v>1.63</v>
          </cell>
          <cell r="BV131" t="str">
            <v>-</v>
          </cell>
          <cell r="BX131" t="str">
            <v>TBD</v>
          </cell>
          <cell r="BY131" t="str">
            <v>TBD</v>
          </cell>
          <cell r="BZ131" t="str">
            <v>TBD</v>
          </cell>
          <cell r="CA131" t="str">
            <v>#ERRO</v>
          </cell>
          <cell r="CB131" t="str">
            <v>-</v>
          </cell>
        </row>
        <row r="132">
          <cell r="A132" t="str">
            <v>15603-0</v>
          </cell>
          <cell r="B132" t="str">
            <v>15603-0</v>
          </cell>
          <cell r="C132">
            <v>7896714228679</v>
          </cell>
          <cell r="D132" t="str">
            <v>LOXAM 15MG COMP CT BL 1X10</v>
          </cell>
          <cell r="E132" t="str">
            <v>SIM</v>
          </cell>
          <cell r="F132" t="str">
            <v>S</v>
          </cell>
          <cell r="G132" t="str">
            <v>LINHA</v>
          </cell>
          <cell r="H132">
            <v>5</v>
          </cell>
          <cell r="I132">
            <v>60</v>
          </cell>
          <cell r="J132" t="str">
            <v>Monitorado</v>
          </cell>
          <cell r="K132" t="str">
            <v>Positiva</v>
          </cell>
          <cell r="L132" t="str">
            <v>Sim</v>
          </cell>
          <cell r="M132" t="str">
            <v>NACIONAL</v>
          </cell>
          <cell r="N132" t="str">
            <v>NACIONAL</v>
          </cell>
          <cell r="P132">
            <v>45.01</v>
          </cell>
          <cell r="Q132">
            <v>45.01</v>
          </cell>
          <cell r="R132">
            <v>45.56</v>
          </cell>
          <cell r="S132">
            <v>46.12</v>
          </cell>
          <cell r="T132">
            <v>42.45</v>
          </cell>
          <cell r="U132">
            <v>45.28</v>
          </cell>
          <cell r="V132">
            <v>45.28</v>
          </cell>
          <cell r="W132">
            <v>45.56</v>
          </cell>
          <cell r="X132">
            <v>46.7</v>
          </cell>
          <cell r="Y132">
            <v>46.12</v>
          </cell>
          <cell r="Z132">
            <v>46.7</v>
          </cell>
          <cell r="AA132">
            <v>47.29</v>
          </cell>
          <cell r="AB132">
            <v>47.9</v>
          </cell>
          <cell r="AC132">
            <v>46.41</v>
          </cell>
          <cell r="AD132">
            <v>46.41</v>
          </cell>
          <cell r="AE132">
            <v>46.99</v>
          </cell>
          <cell r="AF132">
            <v>0</v>
          </cell>
          <cell r="AG132">
            <v>62.22</v>
          </cell>
          <cell r="AH132">
            <v>62.22</v>
          </cell>
          <cell r="AI132">
            <v>62.98</v>
          </cell>
          <cell r="AJ132">
            <v>63.76</v>
          </cell>
          <cell r="AK132">
            <v>58.68</v>
          </cell>
          <cell r="AL132">
            <v>62.6</v>
          </cell>
          <cell r="AM132">
            <v>62.6</v>
          </cell>
          <cell r="AN132">
            <v>62.98</v>
          </cell>
          <cell r="AO132">
            <v>64.56</v>
          </cell>
          <cell r="AP132">
            <v>63.76</v>
          </cell>
          <cell r="AQ132">
            <v>64.56</v>
          </cell>
          <cell r="AR132">
            <v>65.38</v>
          </cell>
          <cell r="AS132">
            <v>66.22</v>
          </cell>
          <cell r="AT132">
            <v>64.16</v>
          </cell>
          <cell r="AU132">
            <v>64.16</v>
          </cell>
          <cell r="AV132">
            <v>64.959999999999994</v>
          </cell>
          <cell r="AX132">
            <v>45.01</v>
          </cell>
          <cell r="AY132">
            <v>62.22</v>
          </cell>
          <cell r="AZ132">
            <v>0.17</v>
          </cell>
          <cell r="BA132">
            <v>0.12</v>
          </cell>
          <cell r="BB132" t="str">
            <v>#_NA</v>
          </cell>
          <cell r="BC132" t="str">
            <v>#_NA</v>
          </cell>
          <cell r="BD132" t="str">
            <v>#_NA</v>
          </cell>
          <cell r="BE132" t="str">
            <v>-</v>
          </cell>
          <cell r="BF132" t="str">
            <v>-</v>
          </cell>
          <cell r="BG132">
            <v>5.6820000000000002E-2</v>
          </cell>
          <cell r="BH132">
            <v>0.90480000000000005</v>
          </cell>
          <cell r="BI132">
            <v>4.04</v>
          </cell>
          <cell r="BJ132" t="str">
            <v>-</v>
          </cell>
          <cell r="BK132">
            <v>0.9093</v>
          </cell>
          <cell r="BL132">
            <v>3.85</v>
          </cell>
          <cell r="BM132" t="str">
            <v>-</v>
          </cell>
          <cell r="BN132" t="str">
            <v>NÃO</v>
          </cell>
          <cell r="BO132" t="str">
            <v>NÃO</v>
          </cell>
          <cell r="BP132" t="str">
            <v>MS|S|NACIONAL|Sim|Positiva</v>
          </cell>
          <cell r="BR132" t="str">
            <v>TBD</v>
          </cell>
          <cell r="BS132">
            <v>0</v>
          </cell>
          <cell r="BT132" t="str">
            <v>#ERRO</v>
          </cell>
          <cell r="BU132">
            <v>3.85</v>
          </cell>
          <cell r="BV132" t="str">
            <v>-</v>
          </cell>
          <cell r="BX132" t="str">
            <v>TBD</v>
          </cell>
          <cell r="BY132" t="str">
            <v>TBD</v>
          </cell>
          <cell r="BZ132" t="str">
            <v>TBD</v>
          </cell>
          <cell r="CA132" t="str">
            <v>#ERRO</v>
          </cell>
          <cell r="CB132" t="str">
            <v>-</v>
          </cell>
        </row>
        <row r="133">
          <cell r="A133" t="str">
            <v>18328-0</v>
          </cell>
          <cell r="B133" t="str">
            <v>18328-0</v>
          </cell>
          <cell r="C133">
            <v>7896714236148</v>
          </cell>
          <cell r="D133" t="str">
            <v>MAGNOSTASE 2MG COMP CT BL PVDC 1X12</v>
          </cell>
          <cell r="E133" t="str">
            <v>SIM</v>
          </cell>
          <cell r="F133" t="str">
            <v>S</v>
          </cell>
          <cell r="G133" t="str">
            <v>LINHA</v>
          </cell>
          <cell r="H133">
            <v>5</v>
          </cell>
          <cell r="I133">
            <v>60</v>
          </cell>
          <cell r="J133" t="str">
            <v>Monitorado</v>
          </cell>
          <cell r="K133" t="str">
            <v>Negativa</v>
          </cell>
          <cell r="L133" t="str">
            <v>Sim</v>
          </cell>
          <cell r="M133" t="str">
            <v>NACIONAL</v>
          </cell>
          <cell r="N133" t="str">
            <v>NACIONAL</v>
          </cell>
          <cell r="P133">
            <v>6.81</v>
          </cell>
          <cell r="Q133">
            <v>7.82</v>
          </cell>
          <cell r="R133">
            <v>7.93</v>
          </cell>
          <cell r="S133">
            <v>8.0500000000000007</v>
          </cell>
          <cell r="T133">
            <v>7.31</v>
          </cell>
          <cell r="U133">
            <v>7.88</v>
          </cell>
          <cell r="V133">
            <v>6.85</v>
          </cell>
          <cell r="W133">
            <v>6.89</v>
          </cell>
          <cell r="X133">
            <v>8.16</v>
          </cell>
          <cell r="Y133">
            <v>6.98</v>
          </cell>
          <cell r="Z133">
            <v>7.06</v>
          </cell>
          <cell r="AA133">
            <v>8.2799999999999994</v>
          </cell>
          <cell r="AB133">
            <v>8.41</v>
          </cell>
          <cell r="AC133">
            <v>8.1</v>
          </cell>
          <cell r="AD133">
            <v>7.02</v>
          </cell>
          <cell r="AE133">
            <v>8.2200000000000006</v>
          </cell>
          <cell r="AF133">
            <v>0</v>
          </cell>
          <cell r="AG133">
            <v>9.41</v>
          </cell>
          <cell r="AH133">
            <v>10.42</v>
          </cell>
          <cell r="AI133">
            <v>10.57</v>
          </cell>
          <cell r="AJ133">
            <v>10.72</v>
          </cell>
          <cell r="AK133">
            <v>9.76</v>
          </cell>
          <cell r="AL133">
            <v>10.5</v>
          </cell>
          <cell r="AM133">
            <v>9.4700000000000006</v>
          </cell>
          <cell r="AN133">
            <v>9.5299999999999994</v>
          </cell>
          <cell r="AO133">
            <v>10.86</v>
          </cell>
          <cell r="AP133">
            <v>9.65</v>
          </cell>
          <cell r="AQ133">
            <v>9.76</v>
          </cell>
          <cell r="AR133">
            <v>11.02</v>
          </cell>
          <cell r="AS133">
            <v>11.18</v>
          </cell>
          <cell r="AT133">
            <v>10.78</v>
          </cell>
          <cell r="AU133">
            <v>9.6999999999999993</v>
          </cell>
          <cell r="AV133">
            <v>10.94</v>
          </cell>
          <cell r="AX133">
            <v>7.82</v>
          </cell>
          <cell r="AY133">
            <v>10.42</v>
          </cell>
          <cell r="AZ133">
            <v>0.17</v>
          </cell>
          <cell r="BA133">
            <v>0.12</v>
          </cell>
          <cell r="BB133" t="str">
            <v>#_NA</v>
          </cell>
          <cell r="BC133" t="str">
            <v>#_NA</v>
          </cell>
          <cell r="BD133" t="str">
            <v>#_NA</v>
          </cell>
          <cell r="BE133" t="str">
            <v>-</v>
          </cell>
          <cell r="BF133" t="str">
            <v>-</v>
          </cell>
          <cell r="BG133">
            <v>5.6820000000000002E-2</v>
          </cell>
          <cell r="BH133">
            <v>0.69450000000000001</v>
          </cell>
          <cell r="BI133">
            <v>2.25</v>
          </cell>
          <cell r="BJ133" t="str">
            <v>-</v>
          </cell>
          <cell r="BK133">
            <v>0.74829999999999997</v>
          </cell>
          <cell r="BL133">
            <v>1.86</v>
          </cell>
          <cell r="BM133" t="str">
            <v>-</v>
          </cell>
          <cell r="BN133" t="str">
            <v>NÃO</v>
          </cell>
          <cell r="BO133" t="str">
            <v>NÃO</v>
          </cell>
          <cell r="BP133" t="str">
            <v>MS|S|NACIONAL|Sim|Negativa</v>
          </cell>
          <cell r="BR133" t="str">
            <v>TBD</v>
          </cell>
          <cell r="BS133">
            <v>0</v>
          </cell>
          <cell r="BT133" t="str">
            <v>#ERRO</v>
          </cell>
          <cell r="BU133">
            <v>1.86</v>
          </cell>
          <cell r="BV133" t="str">
            <v>-</v>
          </cell>
          <cell r="BX133" t="str">
            <v>TBD</v>
          </cell>
          <cell r="BY133" t="str">
            <v>TBD</v>
          </cell>
          <cell r="BZ133" t="str">
            <v>TBD</v>
          </cell>
          <cell r="CA133" t="str">
            <v>#ERRO</v>
          </cell>
          <cell r="CB133" t="str">
            <v>-</v>
          </cell>
        </row>
        <row r="134">
          <cell r="A134" t="str">
            <v>12535-0</v>
          </cell>
          <cell r="B134" t="str">
            <v>12535-0</v>
          </cell>
          <cell r="C134">
            <v>7896714201498</v>
          </cell>
          <cell r="D134" t="str">
            <v>MAL DEXCLORFENIRAM 2MG COMP CT BL 1X20</v>
          </cell>
          <cell r="E134" t="str">
            <v>SIM</v>
          </cell>
          <cell r="F134" t="str">
            <v>G</v>
          </cell>
          <cell r="G134" t="str">
            <v>LINHA</v>
          </cell>
          <cell r="H134">
            <v>5</v>
          </cell>
          <cell r="I134">
            <v>60</v>
          </cell>
          <cell r="J134" t="str">
            <v>Liberado</v>
          </cell>
          <cell r="K134" t="str">
            <v>Negativa</v>
          </cell>
          <cell r="L134" t="str">
            <v>Sim</v>
          </cell>
          <cell r="M134" t="str">
            <v>NACIONAL</v>
          </cell>
          <cell r="N134" t="str">
            <v>NACIONAL</v>
          </cell>
          <cell r="P134">
            <v>10.039999999999999</v>
          </cell>
          <cell r="Q134">
            <v>11.53</v>
          </cell>
          <cell r="R134">
            <v>11.69</v>
          </cell>
          <cell r="S134">
            <v>11.86</v>
          </cell>
          <cell r="T134">
            <v>10.78</v>
          </cell>
          <cell r="U134">
            <v>11.61</v>
          </cell>
          <cell r="V134">
            <v>10.1</v>
          </cell>
          <cell r="W134">
            <v>10.16</v>
          </cell>
          <cell r="X134">
            <v>12.03</v>
          </cell>
          <cell r="Y134">
            <v>10.28</v>
          </cell>
          <cell r="Z134">
            <v>10.41</v>
          </cell>
          <cell r="AA134">
            <v>12.21</v>
          </cell>
          <cell r="AB134">
            <v>12.39</v>
          </cell>
          <cell r="AC134">
            <v>11.94</v>
          </cell>
          <cell r="AD134">
            <v>10.35</v>
          </cell>
          <cell r="AE134">
            <v>12.12</v>
          </cell>
          <cell r="AF134">
            <v>0</v>
          </cell>
          <cell r="AG134">
            <v>13.88</v>
          </cell>
          <cell r="AH134">
            <v>15.37</v>
          </cell>
          <cell r="AI134">
            <v>15.57</v>
          </cell>
          <cell r="AJ134">
            <v>15.79</v>
          </cell>
          <cell r="AK134">
            <v>14.4</v>
          </cell>
          <cell r="AL134">
            <v>15.47</v>
          </cell>
          <cell r="AM134">
            <v>13.96</v>
          </cell>
          <cell r="AN134">
            <v>14.05</v>
          </cell>
          <cell r="AO134">
            <v>16.010000000000002</v>
          </cell>
          <cell r="AP134">
            <v>14.21</v>
          </cell>
          <cell r="AQ134">
            <v>14.39</v>
          </cell>
          <cell r="AR134">
            <v>16.239999999999998</v>
          </cell>
          <cell r="AS134">
            <v>16.47</v>
          </cell>
          <cell r="AT134">
            <v>15.9</v>
          </cell>
          <cell r="AU134">
            <v>14.31</v>
          </cell>
          <cell r="AV134">
            <v>16.13</v>
          </cell>
          <cell r="AX134">
            <v>11.53</v>
          </cell>
          <cell r="AY134">
            <v>15.37</v>
          </cell>
          <cell r="AZ134">
            <v>0.17</v>
          </cell>
          <cell r="BA134">
            <v>0.12</v>
          </cell>
          <cell r="BB134" t="str">
            <v>#_NA</v>
          </cell>
          <cell r="BC134" t="str">
            <v>#_NA</v>
          </cell>
          <cell r="BD134" t="str">
            <v>#_NA</v>
          </cell>
          <cell r="BE134" t="str">
            <v>-</v>
          </cell>
          <cell r="BF134" t="str">
            <v>-</v>
          </cell>
          <cell r="BG134">
            <v>5.6820000000000002E-2</v>
          </cell>
          <cell r="BH134">
            <v>0.6915</v>
          </cell>
          <cell r="BI134">
            <v>3.35</v>
          </cell>
          <cell r="BJ134" t="str">
            <v>-</v>
          </cell>
          <cell r="BK134">
            <v>0.74560000000000004</v>
          </cell>
          <cell r="BL134">
            <v>2.77</v>
          </cell>
          <cell r="BM134" t="str">
            <v>-</v>
          </cell>
          <cell r="BN134" t="str">
            <v>NÃO</v>
          </cell>
          <cell r="BO134" t="str">
            <v>NÃO</v>
          </cell>
          <cell r="BP134" t="str">
            <v>MS|G|NACIONAL|Sim|Negativa</v>
          </cell>
          <cell r="BR134" t="str">
            <v>TBD</v>
          </cell>
          <cell r="BS134">
            <v>0</v>
          </cell>
          <cell r="BT134" t="str">
            <v>#ERRO</v>
          </cell>
          <cell r="BU134">
            <v>2.77</v>
          </cell>
          <cell r="BV134" t="str">
            <v>-</v>
          </cell>
          <cell r="BX134" t="str">
            <v>TBD</v>
          </cell>
          <cell r="BY134" t="str">
            <v>TBD</v>
          </cell>
          <cell r="BZ134" t="str">
            <v>TBD</v>
          </cell>
          <cell r="CA134" t="str">
            <v>#ERRO</v>
          </cell>
          <cell r="CB134" t="str">
            <v>-</v>
          </cell>
        </row>
        <row r="135">
          <cell r="A135" t="str">
            <v>12410-0</v>
          </cell>
          <cell r="B135" t="str">
            <v>12410-0</v>
          </cell>
          <cell r="C135">
            <v>7896714203645</v>
          </cell>
          <cell r="D135" t="str">
            <v>MAL DEXCLORFENIRAM 2MG/5ML SOL 1X120ML</v>
          </cell>
          <cell r="E135" t="str">
            <v>SIM</v>
          </cell>
          <cell r="F135" t="str">
            <v>G</v>
          </cell>
          <cell r="G135" t="str">
            <v>LINHA</v>
          </cell>
          <cell r="H135">
            <v>5</v>
          </cell>
          <cell r="I135">
            <v>60</v>
          </cell>
          <cell r="J135" t="str">
            <v>Monitorado</v>
          </cell>
          <cell r="K135" t="str">
            <v>Negativa</v>
          </cell>
          <cell r="L135" t="str">
            <v>Sim</v>
          </cell>
          <cell r="M135" t="str">
            <v>NACIONAL</v>
          </cell>
          <cell r="N135" t="str">
            <v>NACIONAL</v>
          </cell>
          <cell r="P135">
            <v>11.68</v>
          </cell>
          <cell r="Q135">
            <v>13.42</v>
          </cell>
          <cell r="R135">
            <v>13.61</v>
          </cell>
          <cell r="S135">
            <v>13.8</v>
          </cell>
          <cell r="T135">
            <v>12.55</v>
          </cell>
          <cell r="U135">
            <v>13.51</v>
          </cell>
          <cell r="V135">
            <v>11.75</v>
          </cell>
          <cell r="W135">
            <v>11.82</v>
          </cell>
          <cell r="X135">
            <v>14</v>
          </cell>
          <cell r="Y135">
            <v>11.97</v>
          </cell>
          <cell r="Z135">
            <v>12.12</v>
          </cell>
          <cell r="AA135">
            <v>14.21</v>
          </cell>
          <cell r="AB135">
            <v>14.42</v>
          </cell>
          <cell r="AC135">
            <v>13.9</v>
          </cell>
          <cell r="AD135">
            <v>12.05</v>
          </cell>
          <cell r="AE135">
            <v>14.1</v>
          </cell>
          <cell r="AF135">
            <v>0</v>
          </cell>
          <cell r="AG135">
            <v>16.149999999999999</v>
          </cell>
          <cell r="AH135">
            <v>17.89</v>
          </cell>
          <cell r="AI135">
            <v>18.13</v>
          </cell>
          <cell r="AJ135">
            <v>18.38</v>
          </cell>
          <cell r="AK135">
            <v>16.760000000000002</v>
          </cell>
          <cell r="AL135">
            <v>18</v>
          </cell>
          <cell r="AM135">
            <v>16.239999999999998</v>
          </cell>
          <cell r="AN135">
            <v>16.34</v>
          </cell>
          <cell r="AO135">
            <v>18.63</v>
          </cell>
          <cell r="AP135">
            <v>16.55</v>
          </cell>
          <cell r="AQ135">
            <v>16.760000000000002</v>
          </cell>
          <cell r="AR135">
            <v>18.899999999999999</v>
          </cell>
          <cell r="AS135">
            <v>19.170000000000002</v>
          </cell>
          <cell r="AT135">
            <v>18.510000000000002</v>
          </cell>
          <cell r="AU135">
            <v>16.66</v>
          </cell>
          <cell r="AV135">
            <v>18.760000000000002</v>
          </cell>
          <cell r="AX135">
            <v>13.42</v>
          </cell>
          <cell r="AY135">
            <v>17.89</v>
          </cell>
          <cell r="AZ135">
            <v>0.17</v>
          </cell>
          <cell r="BA135">
            <v>0.12</v>
          </cell>
          <cell r="BB135" t="str">
            <v>#_NA</v>
          </cell>
          <cell r="BC135" t="str">
            <v>#_NA</v>
          </cell>
          <cell r="BD135" t="str">
            <v>#_NA</v>
          </cell>
          <cell r="BE135" t="str">
            <v>-</v>
          </cell>
          <cell r="BF135" t="str">
            <v>-</v>
          </cell>
          <cell r="BG135">
            <v>5.6820000000000002E-2</v>
          </cell>
          <cell r="BH135">
            <v>0.63319999999999999</v>
          </cell>
          <cell r="BI135">
            <v>4.6399999999999997</v>
          </cell>
          <cell r="BJ135" t="str">
            <v>-</v>
          </cell>
          <cell r="BK135">
            <v>0.69720000000000004</v>
          </cell>
          <cell r="BL135">
            <v>3.83</v>
          </cell>
          <cell r="BM135" t="str">
            <v>-</v>
          </cell>
          <cell r="BN135" t="str">
            <v>NÃO</v>
          </cell>
          <cell r="BO135" t="str">
            <v>NÃO</v>
          </cell>
          <cell r="BP135" t="str">
            <v>MS|G|NACIONAL|Sim|Negativa</v>
          </cell>
          <cell r="BR135" t="str">
            <v>TBD</v>
          </cell>
          <cell r="BS135">
            <v>0</v>
          </cell>
          <cell r="BT135" t="str">
            <v>#ERRO</v>
          </cell>
          <cell r="BU135">
            <v>3.83</v>
          </cell>
          <cell r="BV135" t="str">
            <v>-</v>
          </cell>
          <cell r="BX135" t="str">
            <v>TBD</v>
          </cell>
          <cell r="BY135" t="str">
            <v>TBD</v>
          </cell>
          <cell r="BZ135" t="str">
            <v>TBD</v>
          </cell>
          <cell r="CA135" t="str">
            <v>#ERRO</v>
          </cell>
          <cell r="CB135" t="str">
            <v>-</v>
          </cell>
        </row>
        <row r="136">
          <cell r="A136" t="str">
            <v>19592-0</v>
          </cell>
          <cell r="B136" t="str">
            <v>19592-1</v>
          </cell>
          <cell r="C136">
            <v>7896714205823</v>
          </cell>
          <cell r="D136" t="str">
            <v>MALEATO ENALAPRIL 10MG CT ENV 30 COMP</v>
          </cell>
          <cell r="E136" t="str">
            <v>SIM</v>
          </cell>
          <cell r="F136" t="str">
            <v>G</v>
          </cell>
          <cell r="G136" t="str">
            <v>FOCO GENERICOS</v>
          </cell>
          <cell r="H136">
            <v>5</v>
          </cell>
          <cell r="I136">
            <v>60</v>
          </cell>
          <cell r="J136" t="str">
            <v>Monitorado</v>
          </cell>
          <cell r="K136" t="str">
            <v>Positiva</v>
          </cell>
          <cell r="L136" t="str">
            <v>Sim</v>
          </cell>
          <cell r="M136" t="str">
            <v>NACIONAL</v>
          </cell>
          <cell r="N136" t="str">
            <v>NACIONAL</v>
          </cell>
          <cell r="P136">
            <v>6.66</v>
          </cell>
          <cell r="Q136">
            <v>6.66</v>
          </cell>
          <cell r="R136">
            <v>6.74</v>
          </cell>
          <cell r="S136">
            <v>6.83</v>
          </cell>
          <cell r="T136">
            <v>6.28</v>
          </cell>
          <cell r="U136">
            <v>6.7</v>
          </cell>
          <cell r="V136">
            <v>6.7</v>
          </cell>
          <cell r="W136">
            <v>6.74</v>
          </cell>
          <cell r="X136">
            <v>6.91</v>
          </cell>
          <cell r="Y136">
            <v>6.83</v>
          </cell>
          <cell r="Z136">
            <v>6.91</v>
          </cell>
          <cell r="AA136">
            <v>7</v>
          </cell>
          <cell r="AB136">
            <v>7.09</v>
          </cell>
          <cell r="AC136">
            <v>6.87</v>
          </cell>
          <cell r="AD136">
            <v>6.87</v>
          </cell>
          <cell r="AE136">
            <v>6.96</v>
          </cell>
          <cell r="AF136">
            <v>0</v>
          </cell>
          <cell r="AG136">
            <v>9.2100000000000009</v>
          </cell>
          <cell r="AH136">
            <v>9.2100000000000009</v>
          </cell>
          <cell r="AI136">
            <v>9.32</v>
          </cell>
          <cell r="AJ136">
            <v>9.44</v>
          </cell>
          <cell r="AK136">
            <v>8.68</v>
          </cell>
          <cell r="AL136">
            <v>9.26</v>
          </cell>
          <cell r="AM136">
            <v>9.26</v>
          </cell>
          <cell r="AN136">
            <v>9.32</v>
          </cell>
          <cell r="AO136">
            <v>9.5500000000000007</v>
          </cell>
          <cell r="AP136">
            <v>9.44</v>
          </cell>
          <cell r="AQ136">
            <v>9.5500000000000007</v>
          </cell>
          <cell r="AR136">
            <v>9.68</v>
          </cell>
          <cell r="AS136">
            <v>9.8000000000000007</v>
          </cell>
          <cell r="AT136">
            <v>9.5</v>
          </cell>
          <cell r="AU136">
            <v>9.5</v>
          </cell>
          <cell r="AV136">
            <v>9.6199999999999992</v>
          </cell>
          <cell r="AX136">
            <v>6.66</v>
          </cell>
          <cell r="AY136">
            <v>9.2100000000000009</v>
          </cell>
          <cell r="AZ136">
            <v>0.17</v>
          </cell>
          <cell r="BA136">
            <v>0.12</v>
          </cell>
          <cell r="BB136" t="str">
            <v>#_NA</v>
          </cell>
          <cell r="BC136" t="str">
            <v>#_NA</v>
          </cell>
          <cell r="BD136" t="str">
            <v>#_NA</v>
          </cell>
          <cell r="BE136" t="str">
            <v>-</v>
          </cell>
          <cell r="BF136" t="str">
            <v>-</v>
          </cell>
          <cell r="BG136">
            <v>5.6820000000000002E-2</v>
          </cell>
          <cell r="BH136">
            <v>0.53690000000000004</v>
          </cell>
          <cell r="BI136">
            <v>2.91</v>
          </cell>
          <cell r="BJ136" t="str">
            <v>-</v>
          </cell>
          <cell r="BK136">
            <v>0.56850000000000001</v>
          </cell>
          <cell r="BL136">
            <v>2.71</v>
          </cell>
          <cell r="BM136" t="str">
            <v>-</v>
          </cell>
          <cell r="BN136" t="str">
            <v>SIM</v>
          </cell>
          <cell r="BO136" t="str">
            <v>NÃO</v>
          </cell>
          <cell r="BP136" t="str">
            <v>MS|G|NACIONAL|Sim|Positiva</v>
          </cell>
          <cell r="BR136" t="str">
            <v>TBD</v>
          </cell>
          <cell r="BS136">
            <v>0</v>
          </cell>
          <cell r="BT136" t="str">
            <v>#ERRO</v>
          </cell>
          <cell r="BU136">
            <v>2.71</v>
          </cell>
          <cell r="BV136" t="str">
            <v>-</v>
          </cell>
          <cell r="BX136" t="str">
            <v>TBD</v>
          </cell>
          <cell r="BY136" t="str">
            <v>TBD</v>
          </cell>
          <cell r="BZ136" t="str">
            <v>TBD</v>
          </cell>
          <cell r="CA136" t="str">
            <v>#ERRO</v>
          </cell>
          <cell r="CB136" t="str">
            <v>-</v>
          </cell>
        </row>
        <row r="137">
          <cell r="A137" t="str">
            <v>19593-0</v>
          </cell>
          <cell r="B137" t="str">
            <v>19593-1</v>
          </cell>
          <cell r="C137">
            <v>7896714205816</v>
          </cell>
          <cell r="D137" t="str">
            <v>MALEATO ENALAPRIL 20MG CT ENV 30 COMP</v>
          </cell>
          <cell r="E137" t="str">
            <v>SIM</v>
          </cell>
          <cell r="F137" t="str">
            <v>G</v>
          </cell>
          <cell r="G137" t="str">
            <v>FOCO GENERICOS</v>
          </cell>
          <cell r="H137">
            <v>5</v>
          </cell>
          <cell r="I137">
            <v>60</v>
          </cell>
          <cell r="J137" t="str">
            <v>Monitorado</v>
          </cell>
          <cell r="K137" t="str">
            <v>Positiva</v>
          </cell>
          <cell r="L137" t="str">
            <v>Sim</v>
          </cell>
          <cell r="M137" t="str">
            <v>NACIONAL</v>
          </cell>
          <cell r="N137" t="str">
            <v>NACIONAL</v>
          </cell>
          <cell r="P137">
            <v>46.6</v>
          </cell>
          <cell r="Q137">
            <v>46.6</v>
          </cell>
          <cell r="R137">
            <v>47.17</v>
          </cell>
          <cell r="S137">
            <v>47.75</v>
          </cell>
          <cell r="T137">
            <v>43.95</v>
          </cell>
          <cell r="U137">
            <v>46.88</v>
          </cell>
          <cell r="V137">
            <v>46.88</v>
          </cell>
          <cell r="W137">
            <v>47.17</v>
          </cell>
          <cell r="X137">
            <v>48.35</v>
          </cell>
          <cell r="Y137">
            <v>47.75</v>
          </cell>
          <cell r="Z137">
            <v>48.35</v>
          </cell>
          <cell r="AA137">
            <v>48.96</v>
          </cell>
          <cell r="AB137">
            <v>49.59</v>
          </cell>
          <cell r="AC137">
            <v>48.05</v>
          </cell>
          <cell r="AD137">
            <v>48.05</v>
          </cell>
          <cell r="AE137">
            <v>48.65</v>
          </cell>
          <cell r="AF137">
            <v>0</v>
          </cell>
          <cell r="AG137">
            <v>64.42</v>
          </cell>
          <cell r="AH137">
            <v>64.42</v>
          </cell>
          <cell r="AI137">
            <v>65.209999999999994</v>
          </cell>
          <cell r="AJ137">
            <v>66.010000000000005</v>
          </cell>
          <cell r="AK137">
            <v>60.76</v>
          </cell>
          <cell r="AL137">
            <v>64.81</v>
          </cell>
          <cell r="AM137">
            <v>64.81</v>
          </cell>
          <cell r="AN137">
            <v>65.209999999999994</v>
          </cell>
          <cell r="AO137">
            <v>66.84</v>
          </cell>
          <cell r="AP137">
            <v>66.010000000000005</v>
          </cell>
          <cell r="AQ137">
            <v>66.84</v>
          </cell>
          <cell r="AR137">
            <v>67.680000000000007</v>
          </cell>
          <cell r="AS137">
            <v>68.56</v>
          </cell>
          <cell r="AT137">
            <v>66.430000000000007</v>
          </cell>
          <cell r="AU137">
            <v>66.430000000000007</v>
          </cell>
          <cell r="AV137">
            <v>67.260000000000005</v>
          </cell>
          <cell r="AX137">
            <v>46.6</v>
          </cell>
          <cell r="AY137">
            <v>64.42</v>
          </cell>
          <cell r="AZ137">
            <v>0.17</v>
          </cell>
          <cell r="BA137">
            <v>0.12</v>
          </cell>
          <cell r="BB137" t="str">
            <v>#_NA</v>
          </cell>
          <cell r="BC137" t="str">
            <v>#_NA</v>
          </cell>
          <cell r="BD137" t="str">
            <v>#_NA</v>
          </cell>
          <cell r="BE137" t="str">
            <v>-</v>
          </cell>
          <cell r="BF137" t="str">
            <v>-</v>
          </cell>
          <cell r="BG137">
            <v>5.6820000000000002E-2</v>
          </cell>
          <cell r="BH137">
            <v>0.83279999999999998</v>
          </cell>
          <cell r="BI137">
            <v>7.35</v>
          </cell>
          <cell r="BJ137" t="str">
            <v>-</v>
          </cell>
          <cell r="BK137">
            <v>0.84099999999999997</v>
          </cell>
          <cell r="BL137">
            <v>6.99</v>
          </cell>
          <cell r="BM137" t="str">
            <v>-</v>
          </cell>
          <cell r="BN137" t="str">
            <v>NÃO</v>
          </cell>
          <cell r="BO137" t="str">
            <v>NÃO</v>
          </cell>
          <cell r="BP137" t="str">
            <v>MS|G|NACIONAL|Sim|Positiva</v>
          </cell>
          <cell r="BR137" t="str">
            <v>TBD</v>
          </cell>
          <cell r="BS137">
            <v>0</v>
          </cell>
          <cell r="BT137" t="str">
            <v>#ERRO</v>
          </cell>
          <cell r="BU137">
            <v>6.99</v>
          </cell>
          <cell r="BV137" t="str">
            <v>-</v>
          </cell>
          <cell r="BX137" t="str">
            <v>TBD</v>
          </cell>
          <cell r="BY137" t="str">
            <v>TBD</v>
          </cell>
          <cell r="BZ137" t="str">
            <v>TBD</v>
          </cell>
          <cell r="CA137" t="str">
            <v>#ERRO</v>
          </cell>
          <cell r="CB137" t="str">
            <v>-</v>
          </cell>
        </row>
        <row r="138">
          <cell r="A138" t="str">
            <v>19591-0</v>
          </cell>
          <cell r="B138" t="str">
            <v>19591-1</v>
          </cell>
          <cell r="C138">
            <v>7896714205830</v>
          </cell>
          <cell r="D138" t="str">
            <v>MALEATO ENALAPRIL 5MG CT ENV 30 COMP</v>
          </cell>
          <cell r="E138" t="str">
            <v>SIM</v>
          </cell>
          <cell r="F138" t="str">
            <v>G</v>
          </cell>
          <cell r="G138" t="str">
            <v>FOCO GENERICOS</v>
          </cell>
          <cell r="H138">
            <v>5</v>
          </cell>
          <cell r="I138">
            <v>60</v>
          </cell>
          <cell r="J138" t="str">
            <v>Monitorado</v>
          </cell>
          <cell r="K138" t="str">
            <v>Positiva</v>
          </cell>
          <cell r="L138" t="str">
            <v>Sim</v>
          </cell>
          <cell r="M138" t="str">
            <v>NACIONAL</v>
          </cell>
          <cell r="N138" t="str">
            <v>NACIONAL</v>
          </cell>
          <cell r="P138">
            <v>18.89</v>
          </cell>
          <cell r="Q138">
            <v>18.89</v>
          </cell>
          <cell r="R138">
            <v>19.12</v>
          </cell>
          <cell r="S138">
            <v>19.36</v>
          </cell>
          <cell r="T138">
            <v>17.82</v>
          </cell>
          <cell r="U138">
            <v>19.010000000000002</v>
          </cell>
          <cell r="V138">
            <v>19.010000000000002</v>
          </cell>
          <cell r="W138">
            <v>19.12</v>
          </cell>
          <cell r="X138">
            <v>19.600000000000001</v>
          </cell>
          <cell r="Y138">
            <v>19.36</v>
          </cell>
          <cell r="Z138">
            <v>19.600000000000001</v>
          </cell>
          <cell r="AA138">
            <v>19.850000000000001</v>
          </cell>
          <cell r="AB138">
            <v>20.100000000000001</v>
          </cell>
          <cell r="AC138">
            <v>19.48</v>
          </cell>
          <cell r="AD138">
            <v>19.48</v>
          </cell>
          <cell r="AE138">
            <v>19.72</v>
          </cell>
          <cell r="AF138">
            <v>0</v>
          </cell>
          <cell r="AG138">
            <v>26.11</v>
          </cell>
          <cell r="AH138">
            <v>26.11</v>
          </cell>
          <cell r="AI138">
            <v>26.43</v>
          </cell>
          <cell r="AJ138">
            <v>26.76</v>
          </cell>
          <cell r="AK138">
            <v>24.64</v>
          </cell>
          <cell r="AL138">
            <v>26.28</v>
          </cell>
          <cell r="AM138">
            <v>26.28</v>
          </cell>
          <cell r="AN138">
            <v>26.43</v>
          </cell>
          <cell r="AO138">
            <v>27.1</v>
          </cell>
          <cell r="AP138">
            <v>26.76</v>
          </cell>
          <cell r="AQ138">
            <v>27.1</v>
          </cell>
          <cell r="AR138">
            <v>27.44</v>
          </cell>
          <cell r="AS138">
            <v>27.79</v>
          </cell>
          <cell r="AT138">
            <v>26.93</v>
          </cell>
          <cell r="AU138">
            <v>26.93</v>
          </cell>
          <cell r="AV138">
            <v>27.26</v>
          </cell>
          <cell r="AX138">
            <v>18.89</v>
          </cell>
          <cell r="AY138">
            <v>26.11</v>
          </cell>
          <cell r="AZ138">
            <v>0.17</v>
          </cell>
          <cell r="BA138">
            <v>0.12</v>
          </cell>
          <cell r="BB138" t="str">
            <v>#_NA</v>
          </cell>
          <cell r="BC138" t="str">
            <v>#_NA</v>
          </cell>
          <cell r="BD138" t="str">
            <v>#_NA</v>
          </cell>
          <cell r="BE138" t="str">
            <v>-</v>
          </cell>
          <cell r="BF138" t="str">
            <v>-</v>
          </cell>
          <cell r="BG138">
            <v>5.6820000000000002E-2</v>
          </cell>
          <cell r="BH138">
            <v>0.73899999999999999</v>
          </cell>
          <cell r="BI138">
            <v>4.6500000000000004</v>
          </cell>
          <cell r="BJ138" t="str">
            <v>-</v>
          </cell>
          <cell r="BK138">
            <v>0.752</v>
          </cell>
          <cell r="BL138">
            <v>4.42</v>
          </cell>
          <cell r="BM138" t="str">
            <v>-</v>
          </cell>
          <cell r="BN138" t="str">
            <v>NÃO</v>
          </cell>
          <cell r="BO138" t="str">
            <v>NÃO</v>
          </cell>
          <cell r="BP138" t="str">
            <v>MS|G|NACIONAL|Sim|Positiva</v>
          </cell>
          <cell r="BR138" t="str">
            <v>TBD</v>
          </cell>
          <cell r="BS138">
            <v>0</v>
          </cell>
          <cell r="BT138" t="str">
            <v>#ERRO</v>
          </cell>
          <cell r="BU138">
            <v>4.42</v>
          </cell>
          <cell r="BV138" t="str">
            <v>-</v>
          </cell>
          <cell r="BX138" t="str">
            <v>TBD</v>
          </cell>
          <cell r="BY138" t="str">
            <v>TBD</v>
          </cell>
          <cell r="BZ138" t="str">
            <v>TBD</v>
          </cell>
          <cell r="CA138" t="str">
            <v>#ERRO</v>
          </cell>
          <cell r="CB138" t="str">
            <v>-</v>
          </cell>
        </row>
        <row r="139">
          <cell r="A139" t="str">
            <v>19572-0</v>
          </cell>
          <cell r="B139" t="str">
            <v>19572-0</v>
          </cell>
          <cell r="C139">
            <v>7896714225753</v>
          </cell>
          <cell r="D139" t="str">
            <v>MALEATO TIMOLOL 5MG/ML SOL OFT FR 5ML</v>
          </cell>
          <cell r="E139" t="str">
            <v>SIM</v>
          </cell>
          <cell r="F139" t="str">
            <v>G</v>
          </cell>
          <cell r="G139" t="str">
            <v>LINHA</v>
          </cell>
          <cell r="H139">
            <v>5</v>
          </cell>
          <cell r="I139">
            <v>50</v>
          </cell>
          <cell r="J139" t="str">
            <v>Monitorado</v>
          </cell>
          <cell r="K139" t="str">
            <v>Positiva</v>
          </cell>
          <cell r="L139" t="str">
            <v>Sim</v>
          </cell>
          <cell r="M139" t="str">
            <v>NACIONAL</v>
          </cell>
          <cell r="N139" t="str">
            <v>NACIONAL</v>
          </cell>
          <cell r="P139">
            <v>10.119999999999999</v>
          </cell>
          <cell r="Q139">
            <v>10.119999999999999</v>
          </cell>
          <cell r="R139">
            <v>10.24</v>
          </cell>
          <cell r="S139">
            <v>10.37</v>
          </cell>
          <cell r="T139">
            <v>9.5500000000000007</v>
          </cell>
          <cell r="U139">
            <v>10.18</v>
          </cell>
          <cell r="V139">
            <v>10.18</v>
          </cell>
          <cell r="W139">
            <v>10.24</v>
          </cell>
          <cell r="X139">
            <v>10.5</v>
          </cell>
          <cell r="Y139">
            <v>10.37</v>
          </cell>
          <cell r="Z139">
            <v>10.5</v>
          </cell>
          <cell r="AA139">
            <v>10.63</v>
          </cell>
          <cell r="AB139">
            <v>10.77</v>
          </cell>
          <cell r="AC139">
            <v>10.43</v>
          </cell>
          <cell r="AD139">
            <v>10.43</v>
          </cell>
          <cell r="AE139">
            <v>10.57</v>
          </cell>
          <cell r="AF139">
            <v>0</v>
          </cell>
          <cell r="AG139">
            <v>13.99</v>
          </cell>
          <cell r="AH139">
            <v>13.99</v>
          </cell>
          <cell r="AI139">
            <v>14.16</v>
          </cell>
          <cell r="AJ139">
            <v>14.34</v>
          </cell>
          <cell r="AK139">
            <v>13.2</v>
          </cell>
          <cell r="AL139">
            <v>14.07</v>
          </cell>
          <cell r="AM139">
            <v>14.07</v>
          </cell>
          <cell r="AN139">
            <v>14.16</v>
          </cell>
          <cell r="AO139">
            <v>14.52</v>
          </cell>
          <cell r="AP139">
            <v>14.34</v>
          </cell>
          <cell r="AQ139">
            <v>14.52</v>
          </cell>
          <cell r="AR139">
            <v>14.7</v>
          </cell>
          <cell r="AS139">
            <v>14.89</v>
          </cell>
          <cell r="AT139">
            <v>14.42</v>
          </cell>
          <cell r="AU139">
            <v>14.42</v>
          </cell>
          <cell r="AV139">
            <v>14.61</v>
          </cell>
          <cell r="AX139">
            <v>10.119999999999999</v>
          </cell>
          <cell r="AY139">
            <v>13.99</v>
          </cell>
          <cell r="AZ139">
            <v>0.17</v>
          </cell>
          <cell r="BA139">
            <v>0.12</v>
          </cell>
          <cell r="BB139" t="str">
            <v>#_NA</v>
          </cell>
          <cell r="BC139" t="str">
            <v>#_NA</v>
          </cell>
          <cell r="BD139" t="str">
            <v>#_NA</v>
          </cell>
          <cell r="BE139" t="str">
            <v>-</v>
          </cell>
          <cell r="BF139" t="str">
            <v>-</v>
          </cell>
          <cell r="BG139">
            <v>5.6820000000000002E-2</v>
          </cell>
          <cell r="BH139">
            <v>0.66100000000000003</v>
          </cell>
          <cell r="BI139">
            <v>3.23</v>
          </cell>
          <cell r="BJ139" t="str">
            <v>-</v>
          </cell>
          <cell r="BK139">
            <v>0.67710000000000004</v>
          </cell>
          <cell r="BL139">
            <v>3.08</v>
          </cell>
          <cell r="BM139" t="str">
            <v>-</v>
          </cell>
          <cell r="BN139" t="str">
            <v>NÃO</v>
          </cell>
          <cell r="BO139" t="str">
            <v>NÃO</v>
          </cell>
          <cell r="BP139" t="str">
            <v>MS|G|NACIONAL|Sim|Positiva</v>
          </cell>
          <cell r="BR139" t="str">
            <v>TBD</v>
          </cell>
          <cell r="BS139">
            <v>0</v>
          </cell>
          <cell r="BT139" t="str">
            <v>#ERRO</v>
          </cell>
          <cell r="BU139">
            <v>3.08</v>
          </cell>
          <cell r="BV139" t="str">
            <v>-</v>
          </cell>
          <cell r="BX139" t="str">
            <v>TBD</v>
          </cell>
          <cell r="BY139" t="str">
            <v>TBD</v>
          </cell>
          <cell r="BZ139" t="str">
            <v>TBD</v>
          </cell>
          <cell r="CA139" t="str">
            <v>#ERRO</v>
          </cell>
          <cell r="CB139" t="str">
            <v>-</v>
          </cell>
        </row>
        <row r="140">
          <cell r="A140" t="str">
            <v>12339-0</v>
          </cell>
          <cell r="B140" t="str">
            <v>12339-0</v>
          </cell>
          <cell r="C140">
            <v>7896714273006</v>
          </cell>
          <cell r="D140" t="str">
            <v>MASSAGEOL AEROSSOL TUB ALUM 1X120ML</v>
          </cell>
          <cell r="E140" t="str">
            <v>SIM</v>
          </cell>
          <cell r="F140" t="str">
            <v>S</v>
          </cell>
          <cell r="G140" t="str">
            <v>PRIORITARIO SMART</v>
          </cell>
          <cell r="H140">
            <v>5</v>
          </cell>
          <cell r="I140">
            <v>50</v>
          </cell>
          <cell r="J140" t="str">
            <v>Liberado</v>
          </cell>
          <cell r="K140" t="str">
            <v>Negativa</v>
          </cell>
          <cell r="L140" t="str">
            <v>Sim</v>
          </cell>
          <cell r="M140" t="str">
            <v>NACIONAL</v>
          </cell>
          <cell r="N140" t="str">
            <v>NACIONAL</v>
          </cell>
          <cell r="P140">
            <v>36.54</v>
          </cell>
          <cell r="Q140">
            <v>41.98</v>
          </cell>
          <cell r="R140">
            <v>42.57</v>
          </cell>
          <cell r="S140">
            <v>43.18</v>
          </cell>
          <cell r="T140">
            <v>39.26</v>
          </cell>
          <cell r="U140">
            <v>42.27</v>
          </cell>
          <cell r="V140">
            <v>36.76</v>
          </cell>
          <cell r="W140">
            <v>36.99</v>
          </cell>
          <cell r="X140">
            <v>43.8</v>
          </cell>
          <cell r="Y140">
            <v>37.44</v>
          </cell>
          <cell r="Z140">
            <v>37.909999999999997</v>
          </cell>
          <cell r="AA140">
            <v>44.44</v>
          </cell>
          <cell r="AB140">
            <v>45.11</v>
          </cell>
          <cell r="AC140">
            <v>43.49</v>
          </cell>
          <cell r="AD140">
            <v>37.68</v>
          </cell>
          <cell r="AE140">
            <v>44.12</v>
          </cell>
          <cell r="AF140">
            <v>0</v>
          </cell>
          <cell r="AG140">
            <v>50.51</v>
          </cell>
          <cell r="AH140">
            <v>55.96</v>
          </cell>
          <cell r="AI140">
            <v>56.72</v>
          </cell>
          <cell r="AJ140">
            <v>57.5</v>
          </cell>
          <cell r="AK140">
            <v>52.44</v>
          </cell>
          <cell r="AL140">
            <v>56.33</v>
          </cell>
          <cell r="AM140">
            <v>50.82</v>
          </cell>
          <cell r="AN140">
            <v>51.14</v>
          </cell>
          <cell r="AO140">
            <v>58.3</v>
          </cell>
          <cell r="AP140">
            <v>51.76</v>
          </cell>
          <cell r="AQ140">
            <v>52.41</v>
          </cell>
          <cell r="AR140">
            <v>59.12</v>
          </cell>
          <cell r="AS140">
            <v>59.98</v>
          </cell>
          <cell r="AT140">
            <v>57.9</v>
          </cell>
          <cell r="AU140">
            <v>52.09</v>
          </cell>
          <cell r="AV140">
            <v>58.71</v>
          </cell>
          <cell r="AX140">
            <v>41.98</v>
          </cell>
          <cell r="AY140">
            <v>55.96</v>
          </cell>
          <cell r="AZ140">
            <v>0.17</v>
          </cell>
          <cell r="BA140">
            <v>0.12</v>
          </cell>
          <cell r="BB140" t="str">
            <v>#_NA</v>
          </cell>
          <cell r="BC140" t="str">
            <v>#_NA</v>
          </cell>
          <cell r="BD140" t="str">
            <v>#_NA</v>
          </cell>
          <cell r="BE140" t="str">
            <v>-</v>
          </cell>
          <cell r="BF140" t="str">
            <v>-</v>
          </cell>
          <cell r="BG140">
            <v>5.6820000000000002E-2</v>
          </cell>
          <cell r="BH140">
            <v>0.65410000000000001</v>
          </cell>
          <cell r="BI140">
            <v>13.69</v>
          </cell>
          <cell r="BJ140" t="str">
            <v>-</v>
          </cell>
          <cell r="BK140">
            <v>0.71489999999999998</v>
          </cell>
          <cell r="BL140">
            <v>11.29</v>
          </cell>
          <cell r="BM140" t="str">
            <v>-</v>
          </cell>
          <cell r="BN140" t="str">
            <v>NÃO</v>
          </cell>
          <cell r="BO140" t="str">
            <v>NÃO</v>
          </cell>
          <cell r="BP140" t="str">
            <v>MS|S|NACIONAL|Sim|Negativa</v>
          </cell>
          <cell r="BR140" t="str">
            <v>TBD</v>
          </cell>
          <cell r="BS140">
            <v>0</v>
          </cell>
          <cell r="BT140" t="str">
            <v>#ERRO</v>
          </cell>
          <cell r="BU140">
            <v>11.29</v>
          </cell>
          <cell r="BV140" t="str">
            <v>-</v>
          </cell>
          <cell r="BX140" t="str">
            <v>TBD</v>
          </cell>
          <cell r="BY140" t="str">
            <v>TBD</v>
          </cell>
          <cell r="BZ140" t="str">
            <v>TBD</v>
          </cell>
          <cell r="CA140" t="str">
            <v>#ERRO</v>
          </cell>
          <cell r="CB140" t="str">
            <v>-</v>
          </cell>
        </row>
        <row r="141">
          <cell r="A141" t="str">
            <v>12304-0</v>
          </cell>
          <cell r="B141" t="str">
            <v>12304-0</v>
          </cell>
          <cell r="C141">
            <v>7896714230054</v>
          </cell>
          <cell r="D141" t="str">
            <v>MASSAGEOL POM BG ALUM 1X15G</v>
          </cell>
          <cell r="E141" t="str">
            <v>SIM</v>
          </cell>
          <cell r="F141" t="str">
            <v>S</v>
          </cell>
          <cell r="G141" t="str">
            <v>PRIORITARIO SMART</v>
          </cell>
          <cell r="H141">
            <v>5</v>
          </cell>
          <cell r="I141">
            <v>100</v>
          </cell>
          <cell r="J141" t="str">
            <v>Liberado</v>
          </cell>
          <cell r="K141" t="str">
            <v>Negativa</v>
          </cell>
          <cell r="L141" t="str">
            <v>Sim</v>
          </cell>
          <cell r="M141" t="str">
            <v>NACIONAL</v>
          </cell>
          <cell r="N141" t="str">
            <v>NACIONAL</v>
          </cell>
          <cell r="P141">
            <v>10.130000000000001</v>
          </cell>
          <cell r="Q141">
            <v>11.64</v>
          </cell>
          <cell r="R141">
            <v>11.8</v>
          </cell>
          <cell r="S141">
            <v>11.97</v>
          </cell>
          <cell r="T141">
            <v>10.89</v>
          </cell>
          <cell r="U141">
            <v>11.72</v>
          </cell>
          <cell r="V141">
            <v>10.19</v>
          </cell>
          <cell r="W141">
            <v>10.26</v>
          </cell>
          <cell r="X141">
            <v>12.15</v>
          </cell>
          <cell r="Y141">
            <v>10.38</v>
          </cell>
          <cell r="Z141">
            <v>10.51</v>
          </cell>
          <cell r="AA141">
            <v>12.32</v>
          </cell>
          <cell r="AB141">
            <v>12.51</v>
          </cell>
          <cell r="AC141">
            <v>12.06</v>
          </cell>
          <cell r="AD141">
            <v>10.45</v>
          </cell>
          <cell r="AE141">
            <v>12.23</v>
          </cell>
          <cell r="AF141">
            <v>0</v>
          </cell>
          <cell r="AG141">
            <v>14</v>
          </cell>
          <cell r="AH141">
            <v>15.52</v>
          </cell>
          <cell r="AI141">
            <v>15.72</v>
          </cell>
          <cell r="AJ141">
            <v>15.94</v>
          </cell>
          <cell r="AK141">
            <v>14.55</v>
          </cell>
          <cell r="AL141">
            <v>15.62</v>
          </cell>
          <cell r="AM141">
            <v>14.09</v>
          </cell>
          <cell r="AN141">
            <v>14.18</v>
          </cell>
          <cell r="AO141">
            <v>16.170000000000002</v>
          </cell>
          <cell r="AP141">
            <v>14.35</v>
          </cell>
          <cell r="AQ141">
            <v>14.53</v>
          </cell>
          <cell r="AR141">
            <v>16.39</v>
          </cell>
          <cell r="AS141">
            <v>16.63</v>
          </cell>
          <cell r="AT141">
            <v>16.059999999999999</v>
          </cell>
          <cell r="AU141">
            <v>14.45</v>
          </cell>
          <cell r="AV141">
            <v>16.27</v>
          </cell>
          <cell r="AX141">
            <v>11.64</v>
          </cell>
          <cell r="AY141">
            <v>15.52</v>
          </cell>
          <cell r="AZ141">
            <v>0.17</v>
          </cell>
          <cell r="BA141">
            <v>0.12</v>
          </cell>
          <cell r="BB141" t="str">
            <v>#_NA</v>
          </cell>
          <cell r="BC141" t="str">
            <v>#_NA</v>
          </cell>
          <cell r="BD141" t="str">
            <v>#_NA</v>
          </cell>
          <cell r="BE141" t="str">
            <v>-</v>
          </cell>
          <cell r="BF141" t="str">
            <v>-</v>
          </cell>
          <cell r="BG141">
            <v>5.6820000000000002E-2</v>
          </cell>
          <cell r="BH141">
            <v>0.65059999999999996</v>
          </cell>
          <cell r="BI141">
            <v>3.84</v>
          </cell>
          <cell r="BJ141" t="str">
            <v>-</v>
          </cell>
          <cell r="BK141">
            <v>0.71179999999999999</v>
          </cell>
          <cell r="BL141">
            <v>3.16</v>
          </cell>
          <cell r="BM141" t="str">
            <v>-</v>
          </cell>
          <cell r="BN141" t="str">
            <v>NÃO</v>
          </cell>
          <cell r="BO141" t="str">
            <v>NÃO</v>
          </cell>
          <cell r="BP141" t="str">
            <v>MS|S|NACIONAL|Sim|Negativa</v>
          </cell>
          <cell r="BR141" t="str">
            <v>TBD</v>
          </cell>
          <cell r="BS141">
            <v>0</v>
          </cell>
          <cell r="BT141" t="str">
            <v>#ERRO</v>
          </cell>
          <cell r="BU141">
            <v>3.16</v>
          </cell>
          <cell r="BV141" t="str">
            <v>-</v>
          </cell>
          <cell r="BX141" t="str">
            <v>TBD</v>
          </cell>
          <cell r="BY141" t="str">
            <v>TBD</v>
          </cell>
          <cell r="BZ141" t="str">
            <v>TBD</v>
          </cell>
          <cell r="CA141" t="str">
            <v>#ERRO</v>
          </cell>
          <cell r="CB141" t="str">
            <v>-</v>
          </cell>
        </row>
        <row r="142">
          <cell r="A142" t="str">
            <v>12307-0</v>
          </cell>
          <cell r="B142" t="str">
            <v>12307-0</v>
          </cell>
          <cell r="C142">
            <v>7896714230504</v>
          </cell>
          <cell r="D142" t="str">
            <v>MASSAGEOL POM BG ALUM 1X30G</v>
          </cell>
          <cell r="E142" t="str">
            <v>SIM</v>
          </cell>
          <cell r="F142" t="str">
            <v>S</v>
          </cell>
          <cell r="G142" t="str">
            <v>PRIORITARIO SMART</v>
          </cell>
          <cell r="H142">
            <v>5</v>
          </cell>
          <cell r="I142">
            <v>100</v>
          </cell>
          <cell r="J142" t="str">
            <v>Liberado</v>
          </cell>
          <cell r="K142" t="str">
            <v>Negativa</v>
          </cell>
          <cell r="L142" t="str">
            <v>Sim</v>
          </cell>
          <cell r="M142" t="str">
            <v>NACIONAL</v>
          </cell>
          <cell r="N142" t="str">
            <v>NACIONAL</v>
          </cell>
          <cell r="P142">
            <v>18.079999999999998</v>
          </cell>
          <cell r="Q142">
            <v>20.77</v>
          </cell>
          <cell r="R142">
            <v>21.06</v>
          </cell>
          <cell r="S142">
            <v>21.37</v>
          </cell>
          <cell r="T142">
            <v>19.43</v>
          </cell>
          <cell r="U142">
            <v>20.92</v>
          </cell>
          <cell r="V142">
            <v>18.190000000000001</v>
          </cell>
          <cell r="W142">
            <v>18.3</v>
          </cell>
          <cell r="X142">
            <v>21.67</v>
          </cell>
          <cell r="Y142">
            <v>18.53</v>
          </cell>
          <cell r="Z142">
            <v>18.760000000000002</v>
          </cell>
          <cell r="AA142">
            <v>21.99</v>
          </cell>
          <cell r="AB142">
            <v>22.32</v>
          </cell>
          <cell r="AC142">
            <v>21.52</v>
          </cell>
          <cell r="AD142">
            <v>18.64</v>
          </cell>
          <cell r="AE142">
            <v>21.83</v>
          </cell>
          <cell r="AF142">
            <v>0</v>
          </cell>
          <cell r="AG142">
            <v>24.99</v>
          </cell>
          <cell r="AH142">
            <v>27.68</v>
          </cell>
          <cell r="AI142">
            <v>28.06</v>
          </cell>
          <cell r="AJ142">
            <v>28.46</v>
          </cell>
          <cell r="AK142">
            <v>25.95</v>
          </cell>
          <cell r="AL142">
            <v>27.88</v>
          </cell>
          <cell r="AM142">
            <v>25.15</v>
          </cell>
          <cell r="AN142">
            <v>25.3</v>
          </cell>
          <cell r="AO142">
            <v>28.84</v>
          </cell>
          <cell r="AP142">
            <v>25.62</v>
          </cell>
          <cell r="AQ142">
            <v>25.93</v>
          </cell>
          <cell r="AR142">
            <v>29.25</v>
          </cell>
          <cell r="AS142">
            <v>29.68</v>
          </cell>
          <cell r="AT142">
            <v>28.65</v>
          </cell>
          <cell r="AU142">
            <v>25.77</v>
          </cell>
          <cell r="AV142">
            <v>29.05</v>
          </cell>
          <cell r="AX142">
            <v>20.77</v>
          </cell>
          <cell r="AY142">
            <v>27.68</v>
          </cell>
          <cell r="AZ142">
            <v>0.17</v>
          </cell>
          <cell r="BA142">
            <v>0.12</v>
          </cell>
          <cell r="BB142" t="str">
            <v>#_NA</v>
          </cell>
          <cell r="BC142" t="str">
            <v>#_NA</v>
          </cell>
          <cell r="BD142" t="str">
            <v>#_NA</v>
          </cell>
          <cell r="BE142" t="str">
            <v>-</v>
          </cell>
          <cell r="BF142" t="str">
            <v>-</v>
          </cell>
          <cell r="BG142">
            <v>5.6820000000000002E-2</v>
          </cell>
          <cell r="BH142">
            <v>0.69279999999999997</v>
          </cell>
          <cell r="BI142">
            <v>6.02</v>
          </cell>
          <cell r="BJ142" t="str">
            <v>-</v>
          </cell>
          <cell r="BK142">
            <v>0.74670000000000003</v>
          </cell>
          <cell r="BL142">
            <v>4.96</v>
          </cell>
          <cell r="BM142" t="str">
            <v>-</v>
          </cell>
          <cell r="BN142" t="str">
            <v>NÃO</v>
          </cell>
          <cell r="BO142" t="str">
            <v>NÃO</v>
          </cell>
          <cell r="BP142" t="str">
            <v>MS|S|NACIONAL|Sim|Negativa</v>
          </cell>
          <cell r="BR142" t="str">
            <v>TBD</v>
          </cell>
          <cell r="BS142">
            <v>0</v>
          </cell>
          <cell r="BT142" t="str">
            <v>#ERRO</v>
          </cell>
          <cell r="BU142">
            <v>4.96</v>
          </cell>
          <cell r="BV142" t="str">
            <v>-</v>
          </cell>
          <cell r="BX142" t="str">
            <v>TBD</v>
          </cell>
          <cell r="BY142" t="str">
            <v>TBD</v>
          </cell>
          <cell r="BZ142" t="str">
            <v>TBD</v>
          </cell>
          <cell r="CA142" t="str">
            <v>#ERRO</v>
          </cell>
          <cell r="CB142" t="str">
            <v>-</v>
          </cell>
        </row>
        <row r="143">
          <cell r="A143" t="str">
            <v>12503-0</v>
          </cell>
          <cell r="B143" t="str">
            <v>12503-0</v>
          </cell>
          <cell r="C143">
            <v>7896714228853</v>
          </cell>
          <cell r="D143" t="str">
            <v>MELOXICAM 15MG COMP CT BL 1X10</v>
          </cell>
          <cell r="E143" t="str">
            <v>SIM</v>
          </cell>
          <cell r="F143" t="str">
            <v>G</v>
          </cell>
          <cell r="G143" t="str">
            <v>LINHA</v>
          </cell>
          <cell r="H143">
            <v>5</v>
          </cell>
          <cell r="I143">
            <v>60</v>
          </cell>
          <cell r="J143" t="str">
            <v>Monitorado</v>
          </cell>
          <cell r="K143" t="str">
            <v>Positiva</v>
          </cell>
          <cell r="L143" t="str">
            <v>Sim</v>
          </cell>
          <cell r="M143" t="str">
            <v>NACIONAL</v>
          </cell>
          <cell r="N143" t="str">
            <v>NACIONAL</v>
          </cell>
          <cell r="P143">
            <v>27.98</v>
          </cell>
          <cell r="Q143">
            <v>27.98</v>
          </cell>
          <cell r="R143">
            <v>28.32</v>
          </cell>
          <cell r="S143">
            <v>28.67</v>
          </cell>
          <cell r="T143">
            <v>26.39</v>
          </cell>
          <cell r="U143">
            <v>28.15</v>
          </cell>
          <cell r="V143">
            <v>28.15</v>
          </cell>
          <cell r="W143">
            <v>28.32</v>
          </cell>
          <cell r="X143">
            <v>29.03</v>
          </cell>
          <cell r="Y143">
            <v>28.67</v>
          </cell>
          <cell r="Z143">
            <v>29.03</v>
          </cell>
          <cell r="AA143">
            <v>29.39</v>
          </cell>
          <cell r="AB143">
            <v>29.77</v>
          </cell>
          <cell r="AC143">
            <v>28.84</v>
          </cell>
          <cell r="AD143">
            <v>28.84</v>
          </cell>
          <cell r="AE143">
            <v>29.21</v>
          </cell>
          <cell r="AF143">
            <v>0</v>
          </cell>
          <cell r="AG143">
            <v>38.68</v>
          </cell>
          <cell r="AH143">
            <v>38.68</v>
          </cell>
          <cell r="AI143">
            <v>39.15</v>
          </cell>
          <cell r="AJ143">
            <v>39.630000000000003</v>
          </cell>
          <cell r="AK143">
            <v>36.479999999999997</v>
          </cell>
          <cell r="AL143">
            <v>38.92</v>
          </cell>
          <cell r="AM143">
            <v>38.92</v>
          </cell>
          <cell r="AN143">
            <v>39.15</v>
          </cell>
          <cell r="AO143">
            <v>40.130000000000003</v>
          </cell>
          <cell r="AP143">
            <v>39.630000000000003</v>
          </cell>
          <cell r="AQ143">
            <v>40.130000000000003</v>
          </cell>
          <cell r="AR143">
            <v>40.630000000000003</v>
          </cell>
          <cell r="AS143">
            <v>41.16</v>
          </cell>
          <cell r="AT143">
            <v>39.869999999999997</v>
          </cell>
          <cell r="AU143">
            <v>39.869999999999997</v>
          </cell>
          <cell r="AV143">
            <v>40.380000000000003</v>
          </cell>
          <cell r="AX143">
            <v>27.98</v>
          </cell>
          <cell r="AY143">
            <v>38.68</v>
          </cell>
          <cell r="AZ143">
            <v>0.17</v>
          </cell>
          <cell r="BA143">
            <v>0.12</v>
          </cell>
          <cell r="BB143" t="str">
            <v>#_NA</v>
          </cell>
          <cell r="BC143" t="str">
            <v>#_NA</v>
          </cell>
          <cell r="BD143" t="str">
            <v>#_NA</v>
          </cell>
          <cell r="BE143" t="str">
            <v>-</v>
          </cell>
          <cell r="BF143" t="str">
            <v>-</v>
          </cell>
          <cell r="BG143">
            <v>5.6820000000000002E-2</v>
          </cell>
          <cell r="BH143">
            <v>0.93789999999999996</v>
          </cell>
          <cell r="BI143">
            <v>1.64</v>
          </cell>
          <cell r="BJ143" t="str">
            <v>-</v>
          </cell>
          <cell r="BK143">
            <v>0.94089999999999996</v>
          </cell>
          <cell r="BL143">
            <v>1.56</v>
          </cell>
          <cell r="BM143" t="str">
            <v>-</v>
          </cell>
          <cell r="BN143" t="str">
            <v>NÃO</v>
          </cell>
          <cell r="BO143" t="str">
            <v>NÃO</v>
          </cell>
          <cell r="BP143" t="str">
            <v>MS|G|NACIONAL|Sim|Positiva</v>
          </cell>
          <cell r="BR143" t="str">
            <v>TBD</v>
          </cell>
          <cell r="BS143">
            <v>0</v>
          </cell>
          <cell r="BT143" t="str">
            <v>#ERRO</v>
          </cell>
          <cell r="BU143">
            <v>1.56</v>
          </cell>
          <cell r="BV143" t="str">
            <v>-</v>
          </cell>
          <cell r="BX143" t="str">
            <v>TBD</v>
          </cell>
          <cell r="BY143" t="str">
            <v>TBD</v>
          </cell>
          <cell r="BZ143" t="str">
            <v>TBD</v>
          </cell>
          <cell r="CA143" t="str">
            <v>#ERRO</v>
          </cell>
          <cell r="CB143" t="str">
            <v>-</v>
          </cell>
        </row>
        <row r="144">
          <cell r="A144" t="str">
            <v>15871-0</v>
          </cell>
          <cell r="B144" t="str">
            <v>15871-0</v>
          </cell>
          <cell r="C144">
            <v>7896714223049</v>
          </cell>
          <cell r="D144" t="str">
            <v>MESALAZINA 400MG COMP REV CT BL 3X10</v>
          </cell>
          <cell r="E144" t="str">
            <v>SIM</v>
          </cell>
          <cell r="F144" t="str">
            <v>G</v>
          </cell>
          <cell r="G144" t="str">
            <v>LINHA</v>
          </cell>
          <cell r="H144">
            <v>5</v>
          </cell>
          <cell r="I144">
            <v>60</v>
          </cell>
          <cell r="J144" t="str">
            <v>Monitorado</v>
          </cell>
          <cell r="K144" t="str">
            <v>Positiva</v>
          </cell>
          <cell r="L144" t="str">
            <v>Sim</v>
          </cell>
          <cell r="M144" t="str">
            <v>NACIONAL</v>
          </cell>
          <cell r="N144" t="str">
            <v>NACIONAL</v>
          </cell>
          <cell r="P144">
            <v>88.57</v>
          </cell>
          <cell r="Q144">
            <v>88.57</v>
          </cell>
          <cell r="R144">
            <v>89.65</v>
          </cell>
          <cell r="S144">
            <v>90.75</v>
          </cell>
          <cell r="T144">
            <v>83.53</v>
          </cell>
          <cell r="U144">
            <v>89.1</v>
          </cell>
          <cell r="V144">
            <v>89.1</v>
          </cell>
          <cell r="W144">
            <v>89.65</v>
          </cell>
          <cell r="X144">
            <v>91.89</v>
          </cell>
          <cell r="Y144">
            <v>90.75</v>
          </cell>
          <cell r="Z144">
            <v>91.89</v>
          </cell>
          <cell r="AA144">
            <v>93.05</v>
          </cell>
          <cell r="AB144">
            <v>94.24</v>
          </cell>
          <cell r="AC144">
            <v>91.32</v>
          </cell>
          <cell r="AD144">
            <v>91.32</v>
          </cell>
          <cell r="AE144">
            <v>92.47</v>
          </cell>
          <cell r="AF144">
            <v>0</v>
          </cell>
          <cell r="AG144">
            <v>122.44</v>
          </cell>
          <cell r="AH144">
            <v>122.44</v>
          </cell>
          <cell r="AI144">
            <v>123.94</v>
          </cell>
          <cell r="AJ144">
            <v>125.46</v>
          </cell>
          <cell r="AK144">
            <v>115.48</v>
          </cell>
          <cell r="AL144">
            <v>123.18</v>
          </cell>
          <cell r="AM144">
            <v>123.18</v>
          </cell>
          <cell r="AN144">
            <v>123.94</v>
          </cell>
          <cell r="AO144">
            <v>127.03</v>
          </cell>
          <cell r="AP144">
            <v>125.46</v>
          </cell>
          <cell r="AQ144">
            <v>127.03</v>
          </cell>
          <cell r="AR144">
            <v>128.63999999999999</v>
          </cell>
          <cell r="AS144">
            <v>130.28</v>
          </cell>
          <cell r="AT144">
            <v>126.24</v>
          </cell>
          <cell r="AU144">
            <v>126.24</v>
          </cell>
          <cell r="AV144">
            <v>127.83</v>
          </cell>
          <cell r="AX144">
            <v>88.57</v>
          </cell>
          <cell r="AY144">
            <v>122.44</v>
          </cell>
          <cell r="AZ144">
            <v>0.17</v>
          </cell>
          <cell r="BA144">
            <v>0.12</v>
          </cell>
          <cell r="BB144" t="str">
            <v>#_NA</v>
          </cell>
          <cell r="BC144" t="str">
            <v>#_NA</v>
          </cell>
          <cell r="BD144" t="str">
            <v>#_NA</v>
          </cell>
          <cell r="BE144" t="str">
            <v>-</v>
          </cell>
          <cell r="BF144" t="str">
            <v>-</v>
          </cell>
          <cell r="BG144">
            <v>5.6820000000000002E-2</v>
          </cell>
          <cell r="BH144">
            <v>0.3644</v>
          </cell>
          <cell r="BI144">
            <v>53.1</v>
          </cell>
          <cell r="BJ144" t="str">
            <v>-</v>
          </cell>
          <cell r="BK144">
            <v>0.45550000000000002</v>
          </cell>
          <cell r="BL144">
            <v>45.49</v>
          </cell>
          <cell r="BM144" t="str">
            <v>-</v>
          </cell>
          <cell r="BN144" t="str">
            <v>SIM</v>
          </cell>
          <cell r="BO144" t="str">
            <v>NÃO</v>
          </cell>
          <cell r="BP144" t="str">
            <v>MS|G|NACIONAL|Sim|Positiva</v>
          </cell>
          <cell r="BR144" t="str">
            <v>TBD</v>
          </cell>
          <cell r="BS144">
            <v>0</v>
          </cell>
          <cell r="BT144" t="str">
            <v>#ERRO</v>
          </cell>
          <cell r="BU144">
            <v>45.49</v>
          </cell>
          <cell r="BV144" t="str">
            <v>-</v>
          </cell>
          <cell r="BX144" t="str">
            <v>TBD</v>
          </cell>
          <cell r="BY144" t="str">
            <v>TBD</v>
          </cell>
          <cell r="BZ144" t="str">
            <v>TBD</v>
          </cell>
          <cell r="CA144" t="str">
            <v>#ERRO</v>
          </cell>
          <cell r="CB144" t="str">
            <v>-</v>
          </cell>
        </row>
        <row r="145">
          <cell r="A145" t="str">
            <v>15852-0</v>
          </cell>
          <cell r="B145" t="str">
            <v>15852-0</v>
          </cell>
          <cell r="C145">
            <v>7896714223131</v>
          </cell>
          <cell r="D145" t="str">
            <v>MESALAZINA 800MG COMP REV CT BL 3X10</v>
          </cell>
          <cell r="E145" t="str">
            <v>SIM</v>
          </cell>
          <cell r="F145" t="str">
            <v>G</v>
          </cell>
          <cell r="G145" t="str">
            <v>LINHA</v>
          </cell>
          <cell r="H145">
            <v>5</v>
          </cell>
          <cell r="I145">
            <v>60</v>
          </cell>
          <cell r="J145" t="str">
            <v>Monitorado</v>
          </cell>
          <cell r="K145" t="str">
            <v>Positiva</v>
          </cell>
          <cell r="L145" t="str">
            <v>Sim</v>
          </cell>
          <cell r="M145" t="str">
            <v>NACIONAL</v>
          </cell>
          <cell r="N145" t="str">
            <v>NACIONAL</v>
          </cell>
          <cell r="P145">
            <v>85.81</v>
          </cell>
          <cell r="Q145">
            <v>85.81</v>
          </cell>
          <cell r="R145">
            <v>86.85</v>
          </cell>
          <cell r="S145">
            <v>87.93</v>
          </cell>
          <cell r="T145">
            <v>80.930000000000007</v>
          </cell>
          <cell r="U145">
            <v>86.33</v>
          </cell>
          <cell r="V145">
            <v>86.33</v>
          </cell>
          <cell r="W145">
            <v>86.85</v>
          </cell>
          <cell r="X145">
            <v>89.03</v>
          </cell>
          <cell r="Y145">
            <v>87.93</v>
          </cell>
          <cell r="Z145">
            <v>89.03</v>
          </cell>
          <cell r="AA145">
            <v>90.15</v>
          </cell>
          <cell r="AB145">
            <v>91.31</v>
          </cell>
          <cell r="AC145">
            <v>88.47</v>
          </cell>
          <cell r="AD145">
            <v>88.47</v>
          </cell>
          <cell r="AE145">
            <v>89.58</v>
          </cell>
          <cell r="AF145">
            <v>0</v>
          </cell>
          <cell r="AG145">
            <v>118.63</v>
          </cell>
          <cell r="AH145">
            <v>118.63</v>
          </cell>
          <cell r="AI145">
            <v>120.07</v>
          </cell>
          <cell r="AJ145">
            <v>121.56</v>
          </cell>
          <cell r="AK145">
            <v>111.88</v>
          </cell>
          <cell r="AL145">
            <v>119.35</v>
          </cell>
          <cell r="AM145">
            <v>119.35</v>
          </cell>
          <cell r="AN145">
            <v>120.07</v>
          </cell>
          <cell r="AO145">
            <v>123.08</v>
          </cell>
          <cell r="AP145">
            <v>121.56</v>
          </cell>
          <cell r="AQ145">
            <v>123.08</v>
          </cell>
          <cell r="AR145">
            <v>124.63</v>
          </cell>
          <cell r="AS145">
            <v>126.23</v>
          </cell>
          <cell r="AT145">
            <v>122.3</v>
          </cell>
          <cell r="AU145">
            <v>122.3</v>
          </cell>
          <cell r="AV145">
            <v>123.84</v>
          </cell>
          <cell r="AX145">
            <v>85.81</v>
          </cell>
          <cell r="AY145">
            <v>118.63</v>
          </cell>
          <cell r="AZ145">
            <v>0.17</v>
          </cell>
          <cell r="BA145">
            <v>0.12</v>
          </cell>
          <cell r="BB145" t="str">
            <v>#_NA</v>
          </cell>
          <cell r="BC145" t="str">
            <v>#_NA</v>
          </cell>
          <cell r="BD145" t="str">
            <v>#_NA</v>
          </cell>
          <cell r="BE145" t="str">
            <v>-</v>
          </cell>
          <cell r="BF145" t="str">
            <v>-</v>
          </cell>
          <cell r="BG145">
            <v>5.6820000000000002E-2</v>
          </cell>
          <cell r="BH145">
            <v>0.37009999999999998</v>
          </cell>
          <cell r="BI145">
            <v>50.98</v>
          </cell>
          <cell r="BJ145" t="str">
            <v>-</v>
          </cell>
          <cell r="BK145">
            <v>0.40010000000000001</v>
          </cell>
          <cell r="BL145">
            <v>48.55</v>
          </cell>
          <cell r="BM145" t="str">
            <v>-</v>
          </cell>
          <cell r="BN145" t="str">
            <v>SIM</v>
          </cell>
          <cell r="BO145" t="str">
            <v>NÃO</v>
          </cell>
          <cell r="BP145" t="str">
            <v>MS|G|NACIONAL|Sim|Positiva</v>
          </cell>
          <cell r="BR145" t="str">
            <v>TBD</v>
          </cell>
          <cell r="BS145">
            <v>0</v>
          </cell>
          <cell r="BT145" t="str">
            <v>#ERRO</v>
          </cell>
          <cell r="BU145">
            <v>48.55</v>
          </cell>
          <cell r="BV145" t="str">
            <v>-</v>
          </cell>
          <cell r="BX145" t="str">
            <v>TBD</v>
          </cell>
          <cell r="BY145" t="str">
            <v>TBD</v>
          </cell>
          <cell r="BZ145" t="str">
            <v>TBD</v>
          </cell>
          <cell r="CA145" t="str">
            <v>#ERRO</v>
          </cell>
          <cell r="CB145" t="str">
            <v>-</v>
          </cell>
        </row>
        <row r="146">
          <cell r="A146" t="str">
            <v>19705-0</v>
          </cell>
          <cell r="B146" t="str">
            <v>19705-0</v>
          </cell>
          <cell r="C146">
            <v>7896714245393</v>
          </cell>
          <cell r="D146" t="str">
            <v>MESILATO DOXAZOSINA 2MG CT BL 30 COMP</v>
          </cell>
          <cell r="E146" t="str">
            <v>SIM</v>
          </cell>
          <cell r="F146" t="str">
            <v>G</v>
          </cell>
          <cell r="G146" t="str">
            <v>LINHA</v>
          </cell>
          <cell r="H146">
            <v>5</v>
          </cell>
          <cell r="I146">
            <v>60</v>
          </cell>
          <cell r="J146" t="str">
            <v>Monitorado</v>
          </cell>
          <cell r="K146" t="str">
            <v>Positiva</v>
          </cell>
          <cell r="L146" t="str">
            <v>Sim</v>
          </cell>
          <cell r="M146" t="str">
            <v>NACIONAL</v>
          </cell>
          <cell r="N146" t="str">
            <v>NACIONAL</v>
          </cell>
          <cell r="P146">
            <v>47.75</v>
          </cell>
          <cell r="Q146">
            <v>47.75</v>
          </cell>
          <cell r="R146">
            <v>48.33</v>
          </cell>
          <cell r="S146">
            <v>48.93</v>
          </cell>
          <cell r="T146">
            <v>45.03</v>
          </cell>
          <cell r="U146">
            <v>48.04</v>
          </cell>
          <cell r="V146">
            <v>48.04</v>
          </cell>
          <cell r="W146">
            <v>48.33</v>
          </cell>
          <cell r="X146">
            <v>49.54</v>
          </cell>
          <cell r="Y146">
            <v>48.93</v>
          </cell>
          <cell r="Z146">
            <v>49.54</v>
          </cell>
          <cell r="AA146">
            <v>50.16</v>
          </cell>
          <cell r="AB146">
            <v>50.81</v>
          </cell>
          <cell r="AC146">
            <v>49.23</v>
          </cell>
          <cell r="AD146">
            <v>49.23</v>
          </cell>
          <cell r="AE146">
            <v>49.85</v>
          </cell>
          <cell r="AF146">
            <v>0</v>
          </cell>
          <cell r="AG146">
            <v>66.010000000000005</v>
          </cell>
          <cell r="AH146">
            <v>66.010000000000005</v>
          </cell>
          <cell r="AI146">
            <v>66.81</v>
          </cell>
          <cell r="AJ146">
            <v>67.64</v>
          </cell>
          <cell r="AK146">
            <v>62.25</v>
          </cell>
          <cell r="AL146">
            <v>66.41</v>
          </cell>
          <cell r="AM146">
            <v>66.41</v>
          </cell>
          <cell r="AN146">
            <v>66.81</v>
          </cell>
          <cell r="AO146">
            <v>68.489999999999995</v>
          </cell>
          <cell r="AP146">
            <v>67.64</v>
          </cell>
          <cell r="AQ146">
            <v>68.489999999999995</v>
          </cell>
          <cell r="AR146">
            <v>69.34</v>
          </cell>
          <cell r="AS146">
            <v>70.239999999999995</v>
          </cell>
          <cell r="AT146">
            <v>68.06</v>
          </cell>
          <cell r="AU146">
            <v>68.06</v>
          </cell>
          <cell r="AV146">
            <v>68.91</v>
          </cell>
          <cell r="AX146">
            <v>47.75</v>
          </cell>
          <cell r="AY146">
            <v>66.010000000000005</v>
          </cell>
          <cell r="AZ146">
            <v>0.17</v>
          </cell>
          <cell r="BA146">
            <v>0.12</v>
          </cell>
          <cell r="BB146" t="str">
            <v>#_NA</v>
          </cell>
          <cell r="BC146" t="str">
            <v>#_NA</v>
          </cell>
          <cell r="BD146" t="str">
            <v>#_NA</v>
          </cell>
          <cell r="BE146" t="str">
            <v>-</v>
          </cell>
          <cell r="BF146" t="str">
            <v>-</v>
          </cell>
          <cell r="BG146">
            <v>5.6820000000000002E-2</v>
          </cell>
          <cell r="BH146">
            <v>0.88219999999999998</v>
          </cell>
          <cell r="BI146">
            <v>5.31</v>
          </cell>
          <cell r="BJ146" t="str">
            <v>-</v>
          </cell>
          <cell r="BK146">
            <v>0.88790000000000002</v>
          </cell>
          <cell r="BL146">
            <v>5.05</v>
          </cell>
          <cell r="BM146" t="str">
            <v>-</v>
          </cell>
          <cell r="BN146" t="str">
            <v>NÃO</v>
          </cell>
          <cell r="BO146" t="str">
            <v>NÃO</v>
          </cell>
          <cell r="BP146" t="str">
            <v>MS|G|NACIONAL|Sim|Positiva</v>
          </cell>
          <cell r="BR146" t="str">
            <v>TBD</v>
          </cell>
          <cell r="BS146">
            <v>0</v>
          </cell>
          <cell r="BT146" t="str">
            <v>#ERRO</v>
          </cell>
          <cell r="BU146">
            <v>5.05</v>
          </cell>
          <cell r="BV146" t="str">
            <v>-</v>
          </cell>
          <cell r="BX146" t="str">
            <v>TBD</v>
          </cell>
          <cell r="BY146" t="str">
            <v>TBD</v>
          </cell>
          <cell r="BZ146" t="str">
            <v>TBD</v>
          </cell>
          <cell r="CA146" t="str">
            <v>#ERRO</v>
          </cell>
          <cell r="CB146" t="str">
            <v>-</v>
          </cell>
        </row>
        <row r="147">
          <cell r="A147" t="str">
            <v>18964-0</v>
          </cell>
          <cell r="B147" t="str">
            <v>18964-0</v>
          </cell>
          <cell r="C147">
            <v>7896714245478</v>
          </cell>
          <cell r="D147" t="str">
            <v>MESILATO DOXAZOSINA 4MG CT BL 30 COMP</v>
          </cell>
          <cell r="E147" t="str">
            <v>SIM</v>
          </cell>
          <cell r="F147" t="str">
            <v>G</v>
          </cell>
          <cell r="G147" t="str">
            <v>LINHA</v>
          </cell>
          <cell r="H147">
            <v>5</v>
          </cell>
          <cell r="I147">
            <v>60</v>
          </cell>
          <cell r="J147" t="str">
            <v>Monitorado</v>
          </cell>
          <cell r="K147" t="str">
            <v>Positiva</v>
          </cell>
          <cell r="L147" t="str">
            <v>Sim</v>
          </cell>
          <cell r="M147" t="str">
            <v>NACIONAL</v>
          </cell>
          <cell r="N147" t="str">
            <v>NACIONAL</v>
          </cell>
          <cell r="P147">
            <v>94.93</v>
          </cell>
          <cell r="Q147">
            <v>94.93</v>
          </cell>
          <cell r="R147">
            <v>96.09</v>
          </cell>
          <cell r="S147">
            <v>97.27</v>
          </cell>
          <cell r="T147">
            <v>89.53</v>
          </cell>
          <cell r="U147">
            <v>95.5</v>
          </cell>
          <cell r="V147">
            <v>95.5</v>
          </cell>
          <cell r="W147">
            <v>96.09</v>
          </cell>
          <cell r="X147">
            <v>98.49</v>
          </cell>
          <cell r="Y147">
            <v>97.27</v>
          </cell>
          <cell r="Z147">
            <v>98.49</v>
          </cell>
          <cell r="AA147">
            <v>99.73</v>
          </cell>
          <cell r="AB147">
            <v>101.01</v>
          </cell>
          <cell r="AC147">
            <v>97.88</v>
          </cell>
          <cell r="AD147">
            <v>97.88</v>
          </cell>
          <cell r="AE147">
            <v>99.11</v>
          </cell>
          <cell r="AF147">
            <v>0</v>
          </cell>
          <cell r="AG147">
            <v>131.24</v>
          </cell>
          <cell r="AH147">
            <v>131.24</v>
          </cell>
          <cell r="AI147">
            <v>132.84</v>
          </cell>
          <cell r="AJ147">
            <v>134.47</v>
          </cell>
          <cell r="AK147">
            <v>123.77</v>
          </cell>
          <cell r="AL147">
            <v>132.02000000000001</v>
          </cell>
          <cell r="AM147">
            <v>132.02000000000001</v>
          </cell>
          <cell r="AN147">
            <v>132.84</v>
          </cell>
          <cell r="AO147">
            <v>136.16</v>
          </cell>
          <cell r="AP147">
            <v>134.47</v>
          </cell>
          <cell r="AQ147">
            <v>136.16</v>
          </cell>
          <cell r="AR147">
            <v>137.87</v>
          </cell>
          <cell r="AS147">
            <v>139.63999999999999</v>
          </cell>
          <cell r="AT147">
            <v>135.31</v>
          </cell>
          <cell r="AU147">
            <v>135.31</v>
          </cell>
          <cell r="AV147">
            <v>137.01</v>
          </cell>
          <cell r="AX147">
            <v>94.93</v>
          </cell>
          <cell r="AY147">
            <v>131.24</v>
          </cell>
          <cell r="AZ147">
            <v>0.17</v>
          </cell>
          <cell r="BA147">
            <v>0.12</v>
          </cell>
          <cell r="BB147" t="str">
            <v>#_NA</v>
          </cell>
          <cell r="BC147" t="str">
            <v>#_NA</v>
          </cell>
          <cell r="BD147" t="str">
            <v>#_NA</v>
          </cell>
          <cell r="BE147" t="str">
            <v>-</v>
          </cell>
          <cell r="BF147" t="str">
            <v>-</v>
          </cell>
          <cell r="BG147">
            <v>5.6820000000000002E-2</v>
          </cell>
          <cell r="BH147">
            <v>0.84230000000000005</v>
          </cell>
          <cell r="BI147">
            <v>14.12</v>
          </cell>
          <cell r="BJ147" t="str">
            <v>-</v>
          </cell>
          <cell r="BK147">
            <v>0.84989999999999999</v>
          </cell>
          <cell r="BL147">
            <v>13.44</v>
          </cell>
          <cell r="BM147" t="str">
            <v>-</v>
          </cell>
          <cell r="BN147" t="str">
            <v>NÃO</v>
          </cell>
          <cell r="BO147" t="str">
            <v>NÃO</v>
          </cell>
          <cell r="BP147" t="str">
            <v>MS|G|NACIONAL|Sim|Positiva</v>
          </cell>
          <cell r="BR147" t="str">
            <v>TBD</v>
          </cell>
          <cell r="BS147">
            <v>0</v>
          </cell>
          <cell r="BT147" t="str">
            <v>#ERRO</v>
          </cell>
          <cell r="BU147">
            <v>13.44</v>
          </cell>
          <cell r="BV147" t="str">
            <v>-</v>
          </cell>
          <cell r="BX147" t="str">
            <v>TBD</v>
          </cell>
          <cell r="BY147" t="str">
            <v>TBD</v>
          </cell>
          <cell r="BZ147" t="str">
            <v>TBD</v>
          </cell>
          <cell r="CA147" t="str">
            <v>#ERRO</v>
          </cell>
          <cell r="CB147" t="str">
            <v>-</v>
          </cell>
        </row>
        <row r="148">
          <cell r="A148" t="str">
            <v>20754-0</v>
          </cell>
          <cell r="B148" t="str">
            <v>20754-0</v>
          </cell>
          <cell r="C148">
            <v>7896714202693</v>
          </cell>
          <cell r="D148" t="str">
            <v>METRONIDAZOL 100MG/G GEL VAG BG 55G</v>
          </cell>
          <cell r="E148" t="str">
            <v>SIM</v>
          </cell>
          <cell r="F148" t="str">
            <v>G</v>
          </cell>
          <cell r="G148" t="str">
            <v>LINHA</v>
          </cell>
          <cell r="H148">
            <v>5</v>
          </cell>
          <cell r="I148">
            <v>60</v>
          </cell>
          <cell r="J148" t="str">
            <v>Monitorado</v>
          </cell>
          <cell r="K148" t="str">
            <v>Positiva</v>
          </cell>
          <cell r="L148" t="str">
            <v>Sim</v>
          </cell>
          <cell r="M148" t="str">
            <v>NACIONAL</v>
          </cell>
          <cell r="N148" t="str">
            <v>NACIONAL</v>
          </cell>
          <cell r="P148">
            <v>30.89</v>
          </cell>
          <cell r="Q148">
            <v>30.89</v>
          </cell>
          <cell r="R148">
            <v>31.27</v>
          </cell>
          <cell r="S148">
            <v>31.65</v>
          </cell>
          <cell r="T148">
            <v>29.14</v>
          </cell>
          <cell r="U148">
            <v>31.08</v>
          </cell>
          <cell r="V148">
            <v>31.08</v>
          </cell>
          <cell r="W148">
            <v>31.27</v>
          </cell>
          <cell r="X148">
            <v>32.049999999999997</v>
          </cell>
          <cell r="Y148">
            <v>31.65</v>
          </cell>
          <cell r="Z148">
            <v>32.049999999999997</v>
          </cell>
          <cell r="AA148">
            <v>32.46</v>
          </cell>
          <cell r="AB148">
            <v>32.869999999999997</v>
          </cell>
          <cell r="AC148">
            <v>31.85</v>
          </cell>
          <cell r="AD148">
            <v>31.85</v>
          </cell>
          <cell r="AE148">
            <v>32.25</v>
          </cell>
          <cell r="AF148">
            <v>0</v>
          </cell>
          <cell r="AG148">
            <v>42.7</v>
          </cell>
          <cell r="AH148">
            <v>42.7</v>
          </cell>
          <cell r="AI148">
            <v>43.23</v>
          </cell>
          <cell r="AJ148">
            <v>43.75</v>
          </cell>
          <cell r="AK148">
            <v>40.28</v>
          </cell>
          <cell r="AL148">
            <v>42.97</v>
          </cell>
          <cell r="AM148">
            <v>42.97</v>
          </cell>
          <cell r="AN148">
            <v>43.23</v>
          </cell>
          <cell r="AO148">
            <v>44.31</v>
          </cell>
          <cell r="AP148">
            <v>43.75</v>
          </cell>
          <cell r="AQ148">
            <v>44.31</v>
          </cell>
          <cell r="AR148">
            <v>44.87</v>
          </cell>
          <cell r="AS148">
            <v>45.44</v>
          </cell>
          <cell r="AT148">
            <v>44.03</v>
          </cell>
          <cell r="AU148">
            <v>44.03</v>
          </cell>
          <cell r="AV148">
            <v>44.58</v>
          </cell>
          <cell r="AX148">
            <v>30.89</v>
          </cell>
          <cell r="AY148">
            <v>42.7</v>
          </cell>
          <cell r="AZ148">
            <v>0.17</v>
          </cell>
          <cell r="BA148">
            <v>0.12</v>
          </cell>
          <cell r="BB148" t="str">
            <v>#_NA</v>
          </cell>
          <cell r="BC148" t="str">
            <v>#_NA</v>
          </cell>
          <cell r="BD148" t="str">
            <v>#_NA</v>
          </cell>
          <cell r="BE148" t="str">
            <v>-</v>
          </cell>
          <cell r="BF148" t="str">
            <v>-</v>
          </cell>
          <cell r="BG148">
            <v>5.6820000000000002E-2</v>
          </cell>
          <cell r="BH148">
            <v>0.57630000000000003</v>
          </cell>
          <cell r="BI148">
            <v>12.34</v>
          </cell>
          <cell r="BJ148" t="str">
            <v>-</v>
          </cell>
          <cell r="BK148">
            <v>0.59630000000000005</v>
          </cell>
          <cell r="BL148">
            <v>11.76</v>
          </cell>
          <cell r="BM148" t="str">
            <v>-</v>
          </cell>
          <cell r="BN148" t="str">
            <v>NÃO</v>
          </cell>
          <cell r="BO148" t="str">
            <v>NÃO</v>
          </cell>
          <cell r="BP148" t="str">
            <v>MS|G|NACIONAL|Sim|Positiva</v>
          </cell>
          <cell r="BR148" t="str">
            <v>TBD</v>
          </cell>
          <cell r="BS148">
            <v>0</v>
          </cell>
          <cell r="BT148" t="str">
            <v>#ERRO</v>
          </cell>
          <cell r="BU148">
            <v>11.76</v>
          </cell>
          <cell r="BV148" t="str">
            <v>-</v>
          </cell>
          <cell r="BX148" t="str">
            <v>TBD</v>
          </cell>
          <cell r="BY148" t="str">
            <v>TBD</v>
          </cell>
          <cell r="BZ148" t="str">
            <v>TBD</v>
          </cell>
          <cell r="CA148" t="str">
            <v>#ERRO</v>
          </cell>
          <cell r="CB148" t="str">
            <v>-</v>
          </cell>
        </row>
        <row r="149">
          <cell r="A149" t="str">
            <v>12432-0</v>
          </cell>
          <cell r="B149" t="str">
            <v>12432-0</v>
          </cell>
          <cell r="C149">
            <v>7896714205809</v>
          </cell>
          <cell r="D149" t="str">
            <v>METRONIDAZOL 250MG COMP CT BL 2X10</v>
          </cell>
          <cell r="E149" t="str">
            <v>SIM</v>
          </cell>
          <cell r="F149" t="str">
            <v>G</v>
          </cell>
          <cell r="G149" t="str">
            <v>LINHA</v>
          </cell>
          <cell r="H149">
            <v>5</v>
          </cell>
          <cell r="I149">
            <v>60</v>
          </cell>
          <cell r="J149" t="str">
            <v>Monitorado</v>
          </cell>
          <cell r="K149" t="str">
            <v>Positiva</v>
          </cell>
          <cell r="L149" t="str">
            <v>Sim</v>
          </cell>
          <cell r="M149" t="str">
            <v>NACIONAL</v>
          </cell>
          <cell r="N149" t="str">
            <v>NACIONAL</v>
          </cell>
          <cell r="P149">
            <v>10.84</v>
          </cell>
          <cell r="Q149">
            <v>10.84</v>
          </cell>
          <cell r="R149">
            <v>10.98</v>
          </cell>
          <cell r="S149">
            <v>11.11</v>
          </cell>
          <cell r="T149">
            <v>10.23</v>
          </cell>
          <cell r="U149">
            <v>10.91</v>
          </cell>
          <cell r="V149">
            <v>10.91</v>
          </cell>
          <cell r="W149">
            <v>10.98</v>
          </cell>
          <cell r="X149">
            <v>11.25</v>
          </cell>
          <cell r="Y149">
            <v>11.11</v>
          </cell>
          <cell r="Z149">
            <v>11.25</v>
          </cell>
          <cell r="AA149">
            <v>11.39</v>
          </cell>
          <cell r="AB149">
            <v>11.54</v>
          </cell>
          <cell r="AC149">
            <v>11.18</v>
          </cell>
          <cell r="AD149">
            <v>11.18</v>
          </cell>
          <cell r="AE149">
            <v>11.32</v>
          </cell>
          <cell r="AF149">
            <v>0</v>
          </cell>
          <cell r="AG149">
            <v>14.99</v>
          </cell>
          <cell r="AH149">
            <v>14.99</v>
          </cell>
          <cell r="AI149">
            <v>15.18</v>
          </cell>
          <cell r="AJ149">
            <v>15.36</v>
          </cell>
          <cell r="AK149">
            <v>14.14</v>
          </cell>
          <cell r="AL149">
            <v>15.08</v>
          </cell>
          <cell r="AM149">
            <v>15.08</v>
          </cell>
          <cell r="AN149">
            <v>15.18</v>
          </cell>
          <cell r="AO149">
            <v>15.55</v>
          </cell>
          <cell r="AP149">
            <v>15.36</v>
          </cell>
          <cell r="AQ149">
            <v>15.55</v>
          </cell>
          <cell r="AR149">
            <v>15.75</v>
          </cell>
          <cell r="AS149">
            <v>15.95</v>
          </cell>
          <cell r="AT149">
            <v>15.46</v>
          </cell>
          <cell r="AU149">
            <v>15.46</v>
          </cell>
          <cell r="AV149">
            <v>15.65</v>
          </cell>
          <cell r="AX149">
            <v>10.84</v>
          </cell>
          <cell r="AY149">
            <v>14.99</v>
          </cell>
          <cell r="AZ149">
            <v>0.17</v>
          </cell>
          <cell r="BA149">
            <v>0.12</v>
          </cell>
          <cell r="BB149" t="str">
            <v>#_NA</v>
          </cell>
          <cell r="BC149" t="str">
            <v>#_NA</v>
          </cell>
          <cell r="BD149" t="str">
            <v>#_NA</v>
          </cell>
          <cell r="BE149" t="str">
            <v>-</v>
          </cell>
          <cell r="BF149" t="str">
            <v>-</v>
          </cell>
          <cell r="BG149">
            <v>5.6820000000000002E-2</v>
          </cell>
          <cell r="BH149">
            <v>0.61919999999999997</v>
          </cell>
          <cell r="BI149">
            <v>3.89</v>
          </cell>
          <cell r="BJ149" t="str">
            <v>-</v>
          </cell>
          <cell r="BK149">
            <v>0.63729999999999998</v>
          </cell>
          <cell r="BL149">
            <v>3.71</v>
          </cell>
          <cell r="BM149" t="str">
            <v>-</v>
          </cell>
          <cell r="BN149" t="str">
            <v>NÃO</v>
          </cell>
          <cell r="BO149" t="str">
            <v>NÃO</v>
          </cell>
          <cell r="BP149" t="str">
            <v>MS|G|NACIONAL|Sim|Positiva</v>
          </cell>
          <cell r="BR149" t="str">
            <v>TBD</v>
          </cell>
          <cell r="BS149">
            <v>0</v>
          </cell>
          <cell r="BT149" t="str">
            <v>#ERRO</v>
          </cell>
          <cell r="BU149">
            <v>3.71</v>
          </cell>
          <cell r="BV149" t="str">
            <v>-</v>
          </cell>
          <cell r="BX149" t="str">
            <v>TBD</v>
          </cell>
          <cell r="BY149" t="str">
            <v>TBD</v>
          </cell>
          <cell r="BZ149" t="str">
            <v>TBD</v>
          </cell>
          <cell r="CA149" t="str">
            <v>#ERRO</v>
          </cell>
          <cell r="CB149" t="str">
            <v>-</v>
          </cell>
        </row>
        <row r="150">
          <cell r="A150" t="str">
            <v>21106-0</v>
          </cell>
          <cell r="B150" t="str">
            <v>21106-0</v>
          </cell>
          <cell r="C150">
            <v>7896714274393</v>
          </cell>
          <cell r="D150" t="str">
            <v>MINOXIDIL 50MG/ML SOL CAP X 50ML</v>
          </cell>
          <cell r="E150" t="str">
            <v>SIM</v>
          </cell>
          <cell r="F150" t="str">
            <v>G</v>
          </cell>
          <cell r="G150" t="str">
            <v>LINHA</v>
          </cell>
          <cell r="H150">
            <v>5</v>
          </cell>
          <cell r="I150">
            <v>30</v>
          </cell>
          <cell r="J150" t="str">
            <v>Monitorado</v>
          </cell>
          <cell r="K150" t="str">
            <v>Negativa</v>
          </cell>
          <cell r="L150" t="str">
            <v>Sim</v>
          </cell>
          <cell r="M150" t="str">
            <v>NACIONAL</v>
          </cell>
          <cell r="N150" t="str">
            <v>NACIONAL</v>
          </cell>
          <cell r="P150">
            <v>65.33</v>
          </cell>
          <cell r="Q150">
            <v>75.05</v>
          </cell>
          <cell r="R150">
            <v>76.099999999999994</v>
          </cell>
          <cell r="S150">
            <v>77.19</v>
          </cell>
          <cell r="T150">
            <v>70.180000000000007</v>
          </cell>
          <cell r="U150">
            <v>75.569999999999993</v>
          </cell>
          <cell r="V150">
            <v>65.73</v>
          </cell>
          <cell r="W150">
            <v>66.13</v>
          </cell>
          <cell r="X150">
            <v>78.3</v>
          </cell>
          <cell r="Y150">
            <v>66.94</v>
          </cell>
          <cell r="Z150">
            <v>67.78</v>
          </cell>
          <cell r="AA150">
            <v>79.459999999999994</v>
          </cell>
          <cell r="AB150">
            <v>80.64</v>
          </cell>
          <cell r="AC150">
            <v>77.739999999999995</v>
          </cell>
          <cell r="AD150">
            <v>67.36</v>
          </cell>
          <cell r="AE150">
            <v>78.88</v>
          </cell>
          <cell r="AF150">
            <v>0</v>
          </cell>
          <cell r="AG150">
            <v>90.31</v>
          </cell>
          <cell r="AH150">
            <v>100.04</v>
          </cell>
          <cell r="AI150">
            <v>101.39</v>
          </cell>
          <cell r="AJ150">
            <v>102.79</v>
          </cell>
          <cell r="AK150">
            <v>93.75</v>
          </cell>
          <cell r="AL150">
            <v>100.71</v>
          </cell>
          <cell r="AM150">
            <v>90.87</v>
          </cell>
          <cell r="AN150">
            <v>91.42</v>
          </cell>
          <cell r="AO150">
            <v>104.22</v>
          </cell>
          <cell r="AP150">
            <v>92.54</v>
          </cell>
          <cell r="AQ150">
            <v>93.7</v>
          </cell>
          <cell r="AR150">
            <v>105.71</v>
          </cell>
          <cell r="AS150">
            <v>107.23</v>
          </cell>
          <cell r="AT150">
            <v>103.5</v>
          </cell>
          <cell r="AU150">
            <v>93.12</v>
          </cell>
          <cell r="AV150">
            <v>104.97</v>
          </cell>
          <cell r="AX150">
            <v>75.05</v>
          </cell>
          <cell r="AY150">
            <v>100.04</v>
          </cell>
          <cell r="AZ150">
            <v>0.17</v>
          </cell>
          <cell r="BA150">
            <v>0.12</v>
          </cell>
          <cell r="BB150" t="str">
            <v>#_NA</v>
          </cell>
          <cell r="BC150" t="str">
            <v>#_NA</v>
          </cell>
          <cell r="BD150" t="str">
            <v>#_NA</v>
          </cell>
          <cell r="BE150" t="str">
            <v>-</v>
          </cell>
          <cell r="BF150" t="str">
            <v>-</v>
          </cell>
          <cell r="BG150">
            <v>5.6820000000000002E-2</v>
          </cell>
          <cell r="BH150">
            <v>0.58750000000000002</v>
          </cell>
          <cell r="BI150">
            <v>29.2</v>
          </cell>
          <cell r="BJ150" t="str">
            <v>-</v>
          </cell>
          <cell r="BK150">
            <v>0.73060000000000003</v>
          </cell>
          <cell r="BL150">
            <v>19.07</v>
          </cell>
          <cell r="BM150" t="str">
            <v>-</v>
          </cell>
          <cell r="BN150" t="str">
            <v>SIM</v>
          </cell>
          <cell r="BO150" t="str">
            <v>NÃO</v>
          </cell>
          <cell r="BP150" t="str">
            <v>MS|G|NACIONAL|Sim|Negativa</v>
          </cell>
          <cell r="BR150" t="str">
            <v>TBD</v>
          </cell>
          <cell r="BS150">
            <v>0</v>
          </cell>
          <cell r="BT150" t="str">
            <v>#ERRO</v>
          </cell>
          <cell r="BU150">
            <v>19.07</v>
          </cell>
          <cell r="BV150" t="str">
            <v>-</v>
          </cell>
          <cell r="BX150" t="str">
            <v>TBD</v>
          </cell>
          <cell r="BY150" t="str">
            <v>TBD</v>
          </cell>
          <cell r="BZ150" t="str">
            <v>TBD</v>
          </cell>
          <cell r="CA150" t="str">
            <v>#ERRO</v>
          </cell>
          <cell r="CB150" t="str">
            <v>-</v>
          </cell>
        </row>
        <row r="151">
          <cell r="A151" t="str">
            <v>20534-0</v>
          </cell>
          <cell r="B151" t="str">
            <v>23043-0</v>
          </cell>
          <cell r="C151">
            <v>7896714274027</v>
          </cell>
          <cell r="D151" t="str">
            <v>MIORRELAX COM CT BL AL PLAS X 20</v>
          </cell>
          <cell r="E151" t="str">
            <v>SIM</v>
          </cell>
          <cell r="F151" t="str">
            <v>S</v>
          </cell>
          <cell r="G151" t="str">
            <v>LINHA</v>
          </cell>
          <cell r="H151">
            <v>5</v>
          </cell>
          <cell r="I151">
            <v>24</v>
          </cell>
          <cell r="J151" t="str">
            <v>Liberado</v>
          </cell>
          <cell r="K151" t="str">
            <v>Negativa</v>
          </cell>
          <cell r="L151" t="str">
            <v>Sim</v>
          </cell>
          <cell r="M151" t="str">
            <v>NACIONAL</v>
          </cell>
          <cell r="N151" t="str">
            <v>NACIONAL</v>
          </cell>
          <cell r="P151">
            <v>8.85</v>
          </cell>
          <cell r="Q151">
            <v>10.17</v>
          </cell>
          <cell r="R151">
            <v>10.31</v>
          </cell>
          <cell r="S151">
            <v>10.46</v>
          </cell>
          <cell r="T151">
            <v>9.51</v>
          </cell>
          <cell r="U151">
            <v>10.24</v>
          </cell>
          <cell r="V151">
            <v>8.91</v>
          </cell>
          <cell r="W151">
            <v>8.9600000000000009</v>
          </cell>
          <cell r="X151">
            <v>10.61</v>
          </cell>
          <cell r="Y151">
            <v>9.07</v>
          </cell>
          <cell r="Z151">
            <v>9.19</v>
          </cell>
          <cell r="AA151">
            <v>10.77</v>
          </cell>
          <cell r="AB151">
            <v>10.93</v>
          </cell>
          <cell r="AC151">
            <v>10.54</v>
          </cell>
          <cell r="AD151">
            <v>9.1300000000000008</v>
          </cell>
          <cell r="AE151">
            <v>10.69</v>
          </cell>
          <cell r="AF151">
            <v>0</v>
          </cell>
          <cell r="AG151">
            <v>12.23</v>
          </cell>
          <cell r="AH151">
            <v>13.56</v>
          </cell>
          <cell r="AI151">
            <v>13.74</v>
          </cell>
          <cell r="AJ151">
            <v>13.93</v>
          </cell>
          <cell r="AK151">
            <v>12.7</v>
          </cell>
          <cell r="AL151">
            <v>13.65</v>
          </cell>
          <cell r="AM151">
            <v>12.32</v>
          </cell>
          <cell r="AN151">
            <v>12.39</v>
          </cell>
          <cell r="AO151">
            <v>14.12</v>
          </cell>
          <cell r="AP151">
            <v>12.54</v>
          </cell>
          <cell r="AQ151">
            <v>12.7</v>
          </cell>
          <cell r="AR151">
            <v>14.33</v>
          </cell>
          <cell r="AS151">
            <v>14.53</v>
          </cell>
          <cell r="AT151">
            <v>14.03</v>
          </cell>
          <cell r="AU151">
            <v>12.62</v>
          </cell>
          <cell r="AV151">
            <v>14.23</v>
          </cell>
          <cell r="AX151">
            <v>10.17</v>
          </cell>
          <cell r="AY151">
            <v>13.56</v>
          </cell>
          <cell r="AZ151">
            <v>0.17</v>
          </cell>
          <cell r="BA151">
            <v>0.12</v>
          </cell>
          <cell r="BB151" t="str">
            <v>#_NA</v>
          </cell>
          <cell r="BC151" t="str">
            <v>#_NA</v>
          </cell>
          <cell r="BD151" t="str">
            <v>#_NA</v>
          </cell>
          <cell r="BE151" t="str">
            <v>-</v>
          </cell>
          <cell r="BF151" t="str">
            <v>-</v>
          </cell>
          <cell r="BG151">
            <v>5.6820000000000002E-2</v>
          </cell>
          <cell r="BH151">
            <v>0.52470000000000006</v>
          </cell>
          <cell r="BI151">
            <v>4.5599999999999996</v>
          </cell>
          <cell r="BJ151" t="str">
            <v>-</v>
          </cell>
          <cell r="BK151">
            <v>0.60870000000000002</v>
          </cell>
          <cell r="BL151">
            <v>3.75</v>
          </cell>
          <cell r="BM151" t="str">
            <v>-</v>
          </cell>
          <cell r="BN151" t="str">
            <v>NÃO</v>
          </cell>
          <cell r="BO151" t="str">
            <v>NÃO</v>
          </cell>
          <cell r="BP151" t="str">
            <v>MS|S|NACIONAL|Sim|Negativa</v>
          </cell>
          <cell r="BR151" t="str">
            <v>TBD</v>
          </cell>
          <cell r="BS151">
            <v>0</v>
          </cell>
          <cell r="BT151" t="str">
            <v>#ERRO</v>
          </cell>
          <cell r="BU151">
            <v>3.75</v>
          </cell>
          <cell r="BV151" t="str">
            <v>-</v>
          </cell>
          <cell r="BX151" t="str">
            <v>TBD</v>
          </cell>
          <cell r="BY151" t="str">
            <v>TBD</v>
          </cell>
          <cell r="BZ151" t="str">
            <v>TBD</v>
          </cell>
          <cell r="CA151" t="str">
            <v>#ERRO</v>
          </cell>
          <cell r="CB151" t="str">
            <v>-</v>
          </cell>
        </row>
        <row r="152">
          <cell r="A152" t="str">
            <v>19799-0</v>
          </cell>
          <cell r="B152" t="str">
            <v>23044-0</v>
          </cell>
          <cell r="C152">
            <v>7896714273525</v>
          </cell>
          <cell r="D152" t="str">
            <v>MIORRELAX CT BL 30 COMP</v>
          </cell>
          <cell r="E152" t="str">
            <v>SIM</v>
          </cell>
          <cell r="F152" t="str">
            <v>S</v>
          </cell>
          <cell r="G152" t="str">
            <v>LINHA</v>
          </cell>
          <cell r="H152">
            <v>5</v>
          </cell>
          <cell r="I152">
            <v>24</v>
          </cell>
          <cell r="J152" t="str">
            <v>Liberado</v>
          </cell>
          <cell r="K152" t="str">
            <v>Negativa</v>
          </cell>
          <cell r="L152" t="str">
            <v>Sim</v>
          </cell>
          <cell r="M152" t="str">
            <v>NACIONAL</v>
          </cell>
          <cell r="N152" t="str">
            <v>NACIONAL</v>
          </cell>
          <cell r="P152">
            <v>13.3</v>
          </cell>
          <cell r="Q152">
            <v>15.27</v>
          </cell>
          <cell r="R152">
            <v>15.49</v>
          </cell>
          <cell r="S152">
            <v>15.71</v>
          </cell>
          <cell r="T152">
            <v>14.28</v>
          </cell>
          <cell r="U152">
            <v>15.38</v>
          </cell>
          <cell r="V152">
            <v>13.38</v>
          </cell>
          <cell r="W152">
            <v>13.46</v>
          </cell>
          <cell r="X152">
            <v>15.94</v>
          </cell>
          <cell r="Y152">
            <v>13.62</v>
          </cell>
          <cell r="Z152">
            <v>13.79</v>
          </cell>
          <cell r="AA152">
            <v>16.170000000000002</v>
          </cell>
          <cell r="AB152">
            <v>16.41</v>
          </cell>
          <cell r="AC152">
            <v>15.82</v>
          </cell>
          <cell r="AD152">
            <v>13.71</v>
          </cell>
          <cell r="AE152">
            <v>16.05</v>
          </cell>
          <cell r="AF152">
            <v>0</v>
          </cell>
          <cell r="AG152">
            <v>18.39</v>
          </cell>
          <cell r="AH152">
            <v>20.350000000000001</v>
          </cell>
          <cell r="AI152">
            <v>20.64</v>
          </cell>
          <cell r="AJ152">
            <v>20.92</v>
          </cell>
          <cell r="AK152">
            <v>19.07</v>
          </cell>
          <cell r="AL152">
            <v>20.5</v>
          </cell>
          <cell r="AM152">
            <v>18.5</v>
          </cell>
          <cell r="AN152">
            <v>18.61</v>
          </cell>
          <cell r="AO152">
            <v>21.22</v>
          </cell>
          <cell r="AP152">
            <v>18.829999999999998</v>
          </cell>
          <cell r="AQ152">
            <v>19.059999999999999</v>
          </cell>
          <cell r="AR152">
            <v>21.51</v>
          </cell>
          <cell r="AS152">
            <v>21.82</v>
          </cell>
          <cell r="AT152">
            <v>21.06</v>
          </cell>
          <cell r="AU152">
            <v>18.95</v>
          </cell>
          <cell r="AV152">
            <v>21.36</v>
          </cell>
          <cell r="AX152">
            <v>15.27</v>
          </cell>
          <cell r="AY152">
            <v>20.350000000000001</v>
          </cell>
          <cell r="AZ152">
            <v>0.17</v>
          </cell>
          <cell r="BA152">
            <v>0.12</v>
          </cell>
          <cell r="BB152" t="str">
            <v>#_NA</v>
          </cell>
          <cell r="BC152" t="str">
            <v>#_NA</v>
          </cell>
          <cell r="BD152" t="str">
            <v>#_NA</v>
          </cell>
          <cell r="BE152" t="str">
            <v>-</v>
          </cell>
          <cell r="BF152" t="str">
            <v>-</v>
          </cell>
          <cell r="BG152">
            <v>5.6820000000000002E-2</v>
          </cell>
          <cell r="BH152">
            <v>0.53280000000000005</v>
          </cell>
          <cell r="BI152">
            <v>6.73</v>
          </cell>
          <cell r="BJ152" t="str">
            <v>-</v>
          </cell>
          <cell r="BK152">
            <v>0.61539999999999995</v>
          </cell>
          <cell r="BL152">
            <v>5.54</v>
          </cell>
          <cell r="BM152" t="str">
            <v>-</v>
          </cell>
          <cell r="BN152" t="str">
            <v>NÃO</v>
          </cell>
          <cell r="BO152" t="str">
            <v>NÃO</v>
          </cell>
          <cell r="BP152" t="str">
            <v>MS|S|NACIONAL|Sim|Negativa</v>
          </cell>
          <cell r="BR152" t="str">
            <v>TBD</v>
          </cell>
          <cell r="BS152">
            <v>0</v>
          </cell>
          <cell r="BT152" t="str">
            <v>#ERRO</v>
          </cell>
          <cell r="BU152">
            <v>5.54</v>
          </cell>
          <cell r="BV152" t="str">
            <v>-</v>
          </cell>
          <cell r="BX152" t="str">
            <v>TBD</v>
          </cell>
          <cell r="BY152" t="str">
            <v>TBD</v>
          </cell>
          <cell r="BZ152" t="str">
            <v>TBD</v>
          </cell>
          <cell r="CA152" t="str">
            <v>#ERRO</v>
          </cell>
          <cell r="CB152" t="str">
            <v>-</v>
          </cell>
        </row>
        <row r="153">
          <cell r="A153" t="str">
            <v>19801-0</v>
          </cell>
          <cell r="B153" t="str">
            <v>23045-0</v>
          </cell>
          <cell r="C153">
            <v>7896714273532</v>
          </cell>
          <cell r="D153" t="str">
            <v>MIORRELAX DISP BL 200 COMP (20X10)</v>
          </cell>
          <cell r="E153" t="str">
            <v>SIM</v>
          </cell>
          <cell r="F153" t="str">
            <v>S</v>
          </cell>
          <cell r="G153" t="str">
            <v>LINHA</v>
          </cell>
          <cell r="H153">
            <v>5</v>
          </cell>
          <cell r="I153">
            <v>12</v>
          </cell>
          <cell r="J153" t="str">
            <v>Liberado</v>
          </cell>
          <cell r="K153" t="str">
            <v>Negativa</v>
          </cell>
          <cell r="L153" t="str">
            <v>Sim</v>
          </cell>
          <cell r="M153" t="str">
            <v>NACIONAL</v>
          </cell>
          <cell r="N153" t="str">
            <v>NACIONAL</v>
          </cell>
          <cell r="P153">
            <v>78.78</v>
          </cell>
          <cell r="Q153">
            <v>90.49</v>
          </cell>
          <cell r="R153">
            <v>91.77</v>
          </cell>
          <cell r="S153">
            <v>93.07</v>
          </cell>
          <cell r="T153">
            <v>84.62</v>
          </cell>
          <cell r="U153">
            <v>91.12</v>
          </cell>
          <cell r="V153">
            <v>79.25</v>
          </cell>
          <cell r="W153">
            <v>79.739999999999995</v>
          </cell>
          <cell r="X153">
            <v>94.42</v>
          </cell>
          <cell r="Y153">
            <v>80.72</v>
          </cell>
          <cell r="Z153">
            <v>81.73</v>
          </cell>
          <cell r="AA153">
            <v>95.81</v>
          </cell>
          <cell r="AB153">
            <v>97.24</v>
          </cell>
          <cell r="AC153">
            <v>93.74</v>
          </cell>
          <cell r="AD153">
            <v>81.22</v>
          </cell>
          <cell r="AE153">
            <v>95.11</v>
          </cell>
          <cell r="AF153">
            <v>0</v>
          </cell>
          <cell r="AG153">
            <v>108.91</v>
          </cell>
          <cell r="AH153">
            <v>120.62</v>
          </cell>
          <cell r="AI153">
            <v>122.27</v>
          </cell>
          <cell r="AJ153">
            <v>123.94</v>
          </cell>
          <cell r="AK153">
            <v>113.03</v>
          </cell>
          <cell r="AL153">
            <v>121.43</v>
          </cell>
          <cell r="AM153">
            <v>109.56</v>
          </cell>
          <cell r="AN153">
            <v>110.24</v>
          </cell>
          <cell r="AO153">
            <v>125.68</v>
          </cell>
          <cell r="AP153">
            <v>111.59</v>
          </cell>
          <cell r="AQ153">
            <v>112.99</v>
          </cell>
          <cell r="AR153">
            <v>127.46</v>
          </cell>
          <cell r="AS153">
            <v>129.30000000000001</v>
          </cell>
          <cell r="AT153">
            <v>124.8</v>
          </cell>
          <cell r="AU153">
            <v>112.28</v>
          </cell>
          <cell r="AV153">
            <v>126.56</v>
          </cell>
          <cell r="AX153">
            <v>90.49</v>
          </cell>
          <cell r="AY153">
            <v>120.62</v>
          </cell>
          <cell r="AZ153">
            <v>0.17</v>
          </cell>
          <cell r="BA153">
            <v>0.12</v>
          </cell>
          <cell r="BB153" t="str">
            <v>#_NA</v>
          </cell>
          <cell r="BC153" t="str">
            <v>#_NA</v>
          </cell>
          <cell r="BD153" t="str">
            <v>#_NA</v>
          </cell>
          <cell r="BE153" t="str">
            <v>-</v>
          </cell>
          <cell r="BF153" t="str">
            <v>-</v>
          </cell>
          <cell r="BG153">
            <v>5.6820000000000002E-2</v>
          </cell>
          <cell r="BH153">
            <v>0.5726</v>
          </cell>
          <cell r="BI153">
            <v>36.479999999999997</v>
          </cell>
          <cell r="BJ153" t="str">
            <v>-</v>
          </cell>
          <cell r="BK153">
            <v>0.64749999999999996</v>
          </cell>
          <cell r="BL153">
            <v>30.09</v>
          </cell>
          <cell r="BM153" t="str">
            <v>-</v>
          </cell>
          <cell r="BN153" t="str">
            <v>NÃO</v>
          </cell>
          <cell r="BO153" t="str">
            <v>NÃO</v>
          </cell>
          <cell r="BP153" t="str">
            <v>MS|S|NACIONAL|Sim|Negativa</v>
          </cell>
          <cell r="BR153" t="str">
            <v>TBD</v>
          </cell>
          <cell r="BS153">
            <v>0</v>
          </cell>
          <cell r="BT153" t="str">
            <v>#ERRO</v>
          </cell>
          <cell r="BU153">
            <v>30.09</v>
          </cell>
          <cell r="BV153" t="str">
            <v>-</v>
          </cell>
          <cell r="BX153" t="str">
            <v>TBD</v>
          </cell>
          <cell r="BY153" t="str">
            <v>TBD</v>
          </cell>
          <cell r="BZ153" t="str">
            <v>TBD</v>
          </cell>
          <cell r="CA153" t="str">
            <v>#ERRO</v>
          </cell>
          <cell r="CB153" t="str">
            <v>-</v>
          </cell>
        </row>
        <row r="154">
          <cell r="A154" t="str">
            <v>21097-0</v>
          </cell>
          <cell r="B154" t="str">
            <v>21097-1</v>
          </cell>
          <cell r="C154">
            <v>7896714274577</v>
          </cell>
          <cell r="D154" t="str">
            <v>MIRADOR 1G COMPRIMIDO CT BL X 10</v>
          </cell>
          <cell r="E154" t="str">
            <v>SIM</v>
          </cell>
          <cell r="F154" t="str">
            <v>S</v>
          </cell>
          <cell r="G154" t="str">
            <v>PRIORITARIO SMART</v>
          </cell>
          <cell r="H154">
            <v>5</v>
          </cell>
          <cell r="I154">
            <v>48</v>
          </cell>
          <cell r="J154" t="str">
            <v>Liberado</v>
          </cell>
          <cell r="K154" t="str">
            <v>Negativa</v>
          </cell>
          <cell r="L154" t="str">
            <v>Sim</v>
          </cell>
          <cell r="M154" t="str">
            <v>NACIONAL</v>
          </cell>
          <cell r="N154" t="str">
            <v>NACIONAL</v>
          </cell>
          <cell r="P154">
            <v>15.77</v>
          </cell>
          <cell r="Q154">
            <v>18.12</v>
          </cell>
          <cell r="R154">
            <v>18.37</v>
          </cell>
          <cell r="S154">
            <v>18.63</v>
          </cell>
          <cell r="T154">
            <v>16.940000000000001</v>
          </cell>
          <cell r="U154">
            <v>18.239999999999998</v>
          </cell>
          <cell r="V154">
            <v>15.87</v>
          </cell>
          <cell r="W154">
            <v>15.96</v>
          </cell>
          <cell r="X154">
            <v>18.899999999999999</v>
          </cell>
          <cell r="Y154">
            <v>16.16</v>
          </cell>
          <cell r="Z154">
            <v>16.36</v>
          </cell>
          <cell r="AA154">
            <v>19.18</v>
          </cell>
          <cell r="AB154">
            <v>19.47</v>
          </cell>
          <cell r="AC154">
            <v>18.77</v>
          </cell>
          <cell r="AD154">
            <v>16.260000000000002</v>
          </cell>
          <cell r="AE154">
            <v>19.04</v>
          </cell>
          <cell r="AF154">
            <v>0</v>
          </cell>
          <cell r="AG154">
            <v>21.8</v>
          </cell>
          <cell r="AH154">
            <v>24.15</v>
          </cell>
          <cell r="AI154">
            <v>24.47</v>
          </cell>
          <cell r="AJ154">
            <v>24.81</v>
          </cell>
          <cell r="AK154">
            <v>22.63</v>
          </cell>
          <cell r="AL154">
            <v>24.31</v>
          </cell>
          <cell r="AM154">
            <v>21.94</v>
          </cell>
          <cell r="AN154">
            <v>22.06</v>
          </cell>
          <cell r="AO154">
            <v>25.16</v>
          </cell>
          <cell r="AP154">
            <v>22.34</v>
          </cell>
          <cell r="AQ154">
            <v>22.62</v>
          </cell>
          <cell r="AR154">
            <v>25.52</v>
          </cell>
          <cell r="AS154">
            <v>25.89</v>
          </cell>
          <cell r="AT154">
            <v>24.99</v>
          </cell>
          <cell r="AU154">
            <v>22.48</v>
          </cell>
          <cell r="AV154">
            <v>25.34</v>
          </cell>
          <cell r="AX154">
            <v>18.12</v>
          </cell>
          <cell r="AY154">
            <v>24.15</v>
          </cell>
          <cell r="AZ154">
            <v>0.17</v>
          </cell>
          <cell r="BA154">
            <v>0.12</v>
          </cell>
          <cell r="BB154" t="str">
            <v>#_NA</v>
          </cell>
          <cell r="BC154" t="str">
            <v>#_NA</v>
          </cell>
          <cell r="BD154" t="str">
            <v>#_NA</v>
          </cell>
          <cell r="BE154" t="str">
            <v>-</v>
          </cell>
          <cell r="BF154" t="str">
            <v>-</v>
          </cell>
          <cell r="BG154">
            <v>5.6820000000000002E-2</v>
          </cell>
          <cell r="BH154">
            <v>0.64119999999999999</v>
          </cell>
          <cell r="BI154">
            <v>6.13</v>
          </cell>
          <cell r="BJ154" t="str">
            <v>-</v>
          </cell>
          <cell r="BK154">
            <v>0.70389999999999997</v>
          </cell>
          <cell r="BL154">
            <v>5.0599999999999996</v>
          </cell>
          <cell r="BM154" t="str">
            <v>-</v>
          </cell>
          <cell r="BN154" t="str">
            <v>SIM</v>
          </cell>
          <cell r="BO154" t="str">
            <v>NÃO</v>
          </cell>
          <cell r="BP154" t="str">
            <v>MS|S|NACIONAL|Sim|Negativa</v>
          </cell>
          <cell r="BR154" t="str">
            <v>TBD</v>
          </cell>
          <cell r="BS154">
            <v>0</v>
          </cell>
          <cell r="BT154" t="str">
            <v>#ERRO</v>
          </cell>
          <cell r="BU154">
            <v>5.0599999999999996</v>
          </cell>
          <cell r="BV154" t="str">
            <v>-</v>
          </cell>
          <cell r="BX154" t="str">
            <v>TBD</v>
          </cell>
          <cell r="BY154" t="str">
            <v>TBD</v>
          </cell>
          <cell r="BZ154" t="str">
            <v>TBD</v>
          </cell>
          <cell r="CA154" t="str">
            <v>#ERRO</v>
          </cell>
          <cell r="CB154" t="str">
            <v>-</v>
          </cell>
        </row>
        <row r="155">
          <cell r="A155" t="str">
            <v>20575-0</v>
          </cell>
          <cell r="B155" t="str">
            <v>20575-0</v>
          </cell>
          <cell r="C155">
            <v>7896714274133</v>
          </cell>
          <cell r="D155" t="str">
            <v>MIRTAZAPINA 15MG C1 CT BL X30 CPRS ODT</v>
          </cell>
          <cell r="E155" t="str">
            <v>SIM</v>
          </cell>
          <cell r="F155" t="str">
            <v>G</v>
          </cell>
          <cell r="G155" t="str">
            <v>LINHA</v>
          </cell>
          <cell r="H155">
            <v>2</v>
          </cell>
          <cell r="I155">
            <v>60</v>
          </cell>
          <cell r="J155" t="str">
            <v>Monitorado</v>
          </cell>
          <cell r="K155" t="str">
            <v>Positiva</v>
          </cell>
          <cell r="L155" t="str">
            <v>Não</v>
          </cell>
          <cell r="M155" t="str">
            <v>IMPORTADO</v>
          </cell>
          <cell r="N155" t="str">
            <v>IMPORTADO</v>
          </cell>
          <cell r="P155">
            <v>89.65</v>
          </cell>
          <cell r="Q155">
            <v>89.65</v>
          </cell>
          <cell r="R155">
            <v>90.74</v>
          </cell>
          <cell r="S155">
            <v>91.86</v>
          </cell>
          <cell r="T155">
            <v>84.56</v>
          </cell>
          <cell r="U155">
            <v>90.19</v>
          </cell>
          <cell r="V155">
            <v>90.19</v>
          </cell>
          <cell r="W155">
            <v>90.74</v>
          </cell>
          <cell r="X155">
            <v>93.01</v>
          </cell>
          <cell r="Y155">
            <v>91.86</v>
          </cell>
          <cell r="Z155">
            <v>93.01</v>
          </cell>
          <cell r="AA155">
            <v>94.19</v>
          </cell>
          <cell r="AB155">
            <v>95.4</v>
          </cell>
          <cell r="AC155">
            <v>92.43</v>
          </cell>
          <cell r="AD155">
            <v>92.43</v>
          </cell>
          <cell r="AE155">
            <v>93.6</v>
          </cell>
          <cell r="AF155">
            <v>0</v>
          </cell>
          <cell r="AG155">
            <v>123.94</v>
          </cell>
          <cell r="AH155">
            <v>123.94</v>
          </cell>
          <cell r="AI155">
            <v>125.44</v>
          </cell>
          <cell r="AJ155">
            <v>126.99</v>
          </cell>
          <cell r="AK155">
            <v>116.9</v>
          </cell>
          <cell r="AL155">
            <v>124.68</v>
          </cell>
          <cell r="AM155">
            <v>124.68</v>
          </cell>
          <cell r="AN155">
            <v>125.44</v>
          </cell>
          <cell r="AO155">
            <v>128.58000000000001</v>
          </cell>
          <cell r="AP155">
            <v>126.99</v>
          </cell>
          <cell r="AQ155">
            <v>128.58000000000001</v>
          </cell>
          <cell r="AR155">
            <v>130.21</v>
          </cell>
          <cell r="AS155">
            <v>131.88</v>
          </cell>
          <cell r="AT155">
            <v>127.78</v>
          </cell>
          <cell r="AU155">
            <v>127.78</v>
          </cell>
          <cell r="AV155">
            <v>129.4</v>
          </cell>
          <cell r="AX155">
            <v>89.65</v>
          </cell>
          <cell r="AY155">
            <v>123.94</v>
          </cell>
          <cell r="AZ155">
            <v>0.17</v>
          </cell>
          <cell r="BA155">
            <v>0.04</v>
          </cell>
          <cell r="BB155" t="str">
            <v>#_NA</v>
          </cell>
          <cell r="BC155" t="str">
            <v>#_NA</v>
          </cell>
          <cell r="BD155" t="str">
            <v>#_NA</v>
          </cell>
          <cell r="BE155" t="str">
            <v>-</v>
          </cell>
          <cell r="BF155" t="str">
            <v>-</v>
          </cell>
          <cell r="BG155">
            <v>0.13542000000000001</v>
          </cell>
          <cell r="BH155">
            <v>0.55659999999999998</v>
          </cell>
          <cell r="BI155">
            <v>34.369999999999997</v>
          </cell>
          <cell r="BJ155" t="str">
            <v>-</v>
          </cell>
          <cell r="BK155">
            <v>0.57769999999999999</v>
          </cell>
          <cell r="BL155">
            <v>32.729999999999997</v>
          </cell>
          <cell r="BM155" t="str">
            <v>-</v>
          </cell>
          <cell r="BN155" t="str">
            <v>NÃO</v>
          </cell>
          <cell r="BO155" t="str">
            <v>NÃO</v>
          </cell>
          <cell r="BP155" t="str">
            <v>MS|G|IMPORTADO|Não|Positiva</v>
          </cell>
          <cell r="BR155" t="str">
            <v>TBD</v>
          </cell>
          <cell r="BS155">
            <v>0</v>
          </cell>
          <cell r="BT155" t="str">
            <v>#ERRO</v>
          </cell>
          <cell r="BU155">
            <v>32.729999999999997</v>
          </cell>
          <cell r="BV155" t="str">
            <v>-</v>
          </cell>
          <cell r="BX155" t="str">
            <v>TBD</v>
          </cell>
          <cell r="BY155" t="str">
            <v>TBD</v>
          </cell>
          <cell r="BZ155" t="str">
            <v>TBD</v>
          </cell>
          <cell r="CA155" t="str">
            <v>#ERRO</v>
          </cell>
          <cell r="CB155" t="str">
            <v>-</v>
          </cell>
        </row>
        <row r="156">
          <cell r="A156" t="str">
            <v>20576-0</v>
          </cell>
          <cell r="B156" t="str">
            <v>20576-0</v>
          </cell>
          <cell r="C156">
            <v>7896714274140</v>
          </cell>
          <cell r="D156" t="str">
            <v>MIRTAZAPINA 30MG C1 CT BL X30 CPRS ODT</v>
          </cell>
          <cell r="E156" t="str">
            <v>SIM</v>
          </cell>
          <cell r="F156" t="str">
            <v>G</v>
          </cell>
          <cell r="G156" t="str">
            <v>LINHA</v>
          </cell>
          <cell r="H156">
            <v>2</v>
          </cell>
          <cell r="I156">
            <v>60</v>
          </cell>
          <cell r="J156" t="str">
            <v>Monitorado</v>
          </cell>
          <cell r="K156" t="str">
            <v>Positiva</v>
          </cell>
          <cell r="L156" t="str">
            <v>Não</v>
          </cell>
          <cell r="M156" t="str">
            <v>IMPORTADO</v>
          </cell>
          <cell r="N156" t="str">
            <v>IMPORTADO</v>
          </cell>
          <cell r="P156">
            <v>179.36</v>
          </cell>
          <cell r="Q156">
            <v>179.36</v>
          </cell>
          <cell r="R156">
            <v>181.55</v>
          </cell>
          <cell r="S156">
            <v>183.79</v>
          </cell>
          <cell r="T156">
            <v>169.17</v>
          </cell>
          <cell r="U156">
            <v>180.45</v>
          </cell>
          <cell r="V156">
            <v>180.45</v>
          </cell>
          <cell r="W156">
            <v>181.55</v>
          </cell>
          <cell r="X156">
            <v>186.09</v>
          </cell>
          <cell r="Y156">
            <v>183.79</v>
          </cell>
          <cell r="Z156">
            <v>186.09</v>
          </cell>
          <cell r="AA156">
            <v>188.44</v>
          </cell>
          <cell r="AB156">
            <v>190.86</v>
          </cell>
          <cell r="AC156">
            <v>184.93</v>
          </cell>
          <cell r="AD156">
            <v>184.93</v>
          </cell>
          <cell r="AE156">
            <v>187.26</v>
          </cell>
          <cell r="AF156">
            <v>0</v>
          </cell>
          <cell r="AG156">
            <v>247.95</v>
          </cell>
          <cell r="AH156">
            <v>247.95</v>
          </cell>
          <cell r="AI156">
            <v>250.98</v>
          </cell>
          <cell r="AJ156">
            <v>254.08</v>
          </cell>
          <cell r="AK156">
            <v>233.87</v>
          </cell>
          <cell r="AL156">
            <v>249.46</v>
          </cell>
          <cell r="AM156">
            <v>249.46</v>
          </cell>
          <cell r="AN156">
            <v>250.98</v>
          </cell>
          <cell r="AO156">
            <v>257.26</v>
          </cell>
          <cell r="AP156">
            <v>254.08</v>
          </cell>
          <cell r="AQ156">
            <v>257.26</v>
          </cell>
          <cell r="AR156">
            <v>260.51</v>
          </cell>
          <cell r="AS156">
            <v>263.85000000000002</v>
          </cell>
          <cell r="AT156">
            <v>255.65</v>
          </cell>
          <cell r="AU156">
            <v>255.65</v>
          </cell>
          <cell r="AV156">
            <v>258.88</v>
          </cell>
          <cell r="AX156">
            <v>179.36</v>
          </cell>
          <cell r="AY156">
            <v>247.95</v>
          </cell>
          <cell r="AZ156">
            <v>0.17</v>
          </cell>
          <cell r="BA156">
            <v>0.04</v>
          </cell>
          <cell r="BB156" t="str">
            <v>#_NA</v>
          </cell>
          <cell r="BC156" t="str">
            <v>#_NA</v>
          </cell>
          <cell r="BD156" t="str">
            <v>#_NA</v>
          </cell>
          <cell r="BE156" t="str">
            <v>-</v>
          </cell>
          <cell r="BF156" t="str">
            <v>-</v>
          </cell>
          <cell r="BG156">
            <v>0.13542000000000001</v>
          </cell>
          <cell r="BH156">
            <v>0.59630000000000005</v>
          </cell>
          <cell r="BI156">
            <v>62.6</v>
          </cell>
          <cell r="BJ156" t="str">
            <v>-</v>
          </cell>
          <cell r="BK156">
            <v>0.61550000000000005</v>
          </cell>
          <cell r="BL156">
            <v>59.62</v>
          </cell>
          <cell r="BM156" t="str">
            <v>-</v>
          </cell>
          <cell r="BN156" t="str">
            <v>NÃO</v>
          </cell>
          <cell r="BO156" t="str">
            <v>NÃO</v>
          </cell>
          <cell r="BP156" t="str">
            <v>MS|G|IMPORTADO|Não|Positiva</v>
          </cell>
          <cell r="BR156" t="str">
            <v>TBD</v>
          </cell>
          <cell r="BS156">
            <v>0</v>
          </cell>
          <cell r="BT156" t="str">
            <v>#ERRO</v>
          </cell>
          <cell r="BU156">
            <v>59.62</v>
          </cell>
          <cell r="BV156" t="str">
            <v>-</v>
          </cell>
          <cell r="BX156" t="str">
            <v>TBD</v>
          </cell>
          <cell r="BY156" t="str">
            <v>TBD</v>
          </cell>
          <cell r="BZ156" t="str">
            <v>TBD</v>
          </cell>
          <cell r="CA156" t="str">
            <v>#ERRO</v>
          </cell>
          <cell r="CB156" t="str">
            <v>-</v>
          </cell>
        </row>
        <row r="157">
          <cell r="A157" t="str">
            <v>20746-0</v>
          </cell>
          <cell r="B157" t="str">
            <v>20746-0</v>
          </cell>
          <cell r="C157">
            <v>7896714218700</v>
          </cell>
          <cell r="D157" t="str">
            <v>NAPRONAX 550MG COMP REV CT BL X10</v>
          </cell>
          <cell r="E157" t="str">
            <v>SIM</v>
          </cell>
          <cell r="F157" t="str">
            <v>S</v>
          </cell>
          <cell r="G157" t="str">
            <v>LINHA</v>
          </cell>
          <cell r="H157">
            <v>5</v>
          </cell>
          <cell r="I157">
            <v>60</v>
          </cell>
          <cell r="J157" t="str">
            <v>Liberado</v>
          </cell>
          <cell r="K157" t="str">
            <v>Negativa</v>
          </cell>
          <cell r="L157" t="str">
            <v>Sim</v>
          </cell>
          <cell r="M157" t="str">
            <v>NACIONAL</v>
          </cell>
          <cell r="N157" t="str">
            <v>NACIONAL</v>
          </cell>
          <cell r="P157">
            <v>25.19</v>
          </cell>
          <cell r="Q157">
            <v>28.94</v>
          </cell>
          <cell r="R157">
            <v>29.35</v>
          </cell>
          <cell r="S157">
            <v>29.77</v>
          </cell>
          <cell r="T157">
            <v>27.06</v>
          </cell>
          <cell r="U157">
            <v>29.14</v>
          </cell>
          <cell r="V157">
            <v>25.35</v>
          </cell>
          <cell r="W157">
            <v>25.5</v>
          </cell>
          <cell r="X157">
            <v>30.2</v>
          </cell>
          <cell r="Y157">
            <v>25.82</v>
          </cell>
          <cell r="Z157">
            <v>26.14</v>
          </cell>
          <cell r="AA157">
            <v>30.64</v>
          </cell>
          <cell r="AB157">
            <v>31.1</v>
          </cell>
          <cell r="AC157">
            <v>29.98</v>
          </cell>
          <cell r="AD157">
            <v>25.98</v>
          </cell>
          <cell r="AE157">
            <v>30.42</v>
          </cell>
          <cell r="AF157">
            <v>0</v>
          </cell>
          <cell r="AG157">
            <v>34.82</v>
          </cell>
          <cell r="AH157">
            <v>38.57</v>
          </cell>
          <cell r="AI157">
            <v>39.1</v>
          </cell>
          <cell r="AJ157">
            <v>39.64</v>
          </cell>
          <cell r="AK157">
            <v>36.15</v>
          </cell>
          <cell r="AL157">
            <v>38.83</v>
          </cell>
          <cell r="AM157">
            <v>35.04</v>
          </cell>
          <cell r="AN157">
            <v>35.25</v>
          </cell>
          <cell r="AO157">
            <v>40.200000000000003</v>
          </cell>
          <cell r="AP157">
            <v>35.69</v>
          </cell>
          <cell r="AQ157">
            <v>36.14</v>
          </cell>
          <cell r="AR157">
            <v>40.76</v>
          </cell>
          <cell r="AS157">
            <v>41.35</v>
          </cell>
          <cell r="AT157">
            <v>39.909999999999997</v>
          </cell>
          <cell r="AU157">
            <v>35.92</v>
          </cell>
          <cell r="AV157">
            <v>40.479999999999997</v>
          </cell>
          <cell r="AX157">
            <v>28.94</v>
          </cell>
          <cell r="AY157">
            <v>38.57</v>
          </cell>
          <cell r="AZ157">
            <v>0.17</v>
          </cell>
          <cell r="BA157">
            <v>0.12</v>
          </cell>
          <cell r="BB157" t="str">
            <v>#_NA</v>
          </cell>
          <cell r="BC157" t="str">
            <v>#_NA</v>
          </cell>
          <cell r="BD157" t="str">
            <v>#_NA</v>
          </cell>
          <cell r="BE157" t="str">
            <v>-</v>
          </cell>
          <cell r="BF157" t="str">
            <v>-</v>
          </cell>
          <cell r="BG157">
            <v>5.6820000000000002E-2</v>
          </cell>
          <cell r="BH157">
            <v>0.46439999999999998</v>
          </cell>
          <cell r="BI157">
            <v>14.62</v>
          </cell>
          <cell r="BJ157" t="str">
            <v>-</v>
          </cell>
          <cell r="BK157">
            <v>0.55830000000000002</v>
          </cell>
          <cell r="BL157">
            <v>12.06</v>
          </cell>
          <cell r="BM157" t="str">
            <v>-</v>
          </cell>
          <cell r="BN157" t="str">
            <v>NÃO</v>
          </cell>
          <cell r="BO157" t="str">
            <v>NÃO</v>
          </cell>
          <cell r="BP157" t="str">
            <v>MS|S|NACIONAL|Sim|Negativa</v>
          </cell>
          <cell r="BR157" t="str">
            <v>TBD</v>
          </cell>
          <cell r="BS157">
            <v>0</v>
          </cell>
          <cell r="BT157" t="str">
            <v>#ERRO</v>
          </cell>
          <cell r="BU157">
            <v>12.06</v>
          </cell>
          <cell r="BV157" t="str">
            <v>-</v>
          </cell>
          <cell r="BX157" t="str">
            <v>TBD</v>
          </cell>
          <cell r="BY157" t="str">
            <v>TBD</v>
          </cell>
          <cell r="BZ157" t="str">
            <v>TBD</v>
          </cell>
          <cell r="CA157" t="str">
            <v>#ERRO</v>
          </cell>
          <cell r="CB157" t="str">
            <v>-</v>
          </cell>
        </row>
        <row r="158">
          <cell r="A158" t="str">
            <v>12469-0</v>
          </cell>
          <cell r="B158" t="str">
            <v>12469-0</v>
          </cell>
          <cell r="C158">
            <v>7896714214405</v>
          </cell>
          <cell r="D158" t="str">
            <v>NAPROXENO SOD 550MG COMP REV CT BL 1X10</v>
          </cell>
          <cell r="E158" t="str">
            <v>SIM</v>
          </cell>
          <cell r="F158" t="str">
            <v>G</v>
          </cell>
          <cell r="G158" t="str">
            <v>PRIORITARIO GENERICOS</v>
          </cell>
          <cell r="H158">
            <v>5</v>
          </cell>
          <cell r="I158">
            <v>60</v>
          </cell>
          <cell r="J158" t="str">
            <v>Liberado</v>
          </cell>
          <cell r="K158" t="str">
            <v>Negativa</v>
          </cell>
          <cell r="L158" t="str">
            <v>Sim</v>
          </cell>
          <cell r="M158" t="str">
            <v>NACIONAL</v>
          </cell>
          <cell r="N158" t="str">
            <v>NACIONAL</v>
          </cell>
          <cell r="P158">
            <v>17.72</v>
          </cell>
          <cell r="Q158">
            <v>20.350000000000001</v>
          </cell>
          <cell r="R158">
            <v>20.64</v>
          </cell>
          <cell r="S158">
            <v>20.93</v>
          </cell>
          <cell r="T158">
            <v>19.03</v>
          </cell>
          <cell r="U158">
            <v>20.49</v>
          </cell>
          <cell r="V158">
            <v>17.82</v>
          </cell>
          <cell r="W158">
            <v>17.93</v>
          </cell>
          <cell r="X158">
            <v>21.24</v>
          </cell>
          <cell r="Y158">
            <v>18.149999999999999</v>
          </cell>
          <cell r="Z158">
            <v>18.38</v>
          </cell>
          <cell r="AA158">
            <v>21.55</v>
          </cell>
          <cell r="AB158">
            <v>21.87</v>
          </cell>
          <cell r="AC158">
            <v>21.08</v>
          </cell>
          <cell r="AD158">
            <v>18.27</v>
          </cell>
          <cell r="AE158">
            <v>21.39</v>
          </cell>
          <cell r="AF158">
            <v>0</v>
          </cell>
          <cell r="AG158">
            <v>24.5</v>
          </cell>
          <cell r="AH158">
            <v>27.13</v>
          </cell>
          <cell r="AI158">
            <v>27.5</v>
          </cell>
          <cell r="AJ158">
            <v>27.87</v>
          </cell>
          <cell r="AK158">
            <v>25.42</v>
          </cell>
          <cell r="AL158">
            <v>27.31</v>
          </cell>
          <cell r="AM158">
            <v>24.64</v>
          </cell>
          <cell r="AN158">
            <v>24.79</v>
          </cell>
          <cell r="AO158">
            <v>28.27</v>
          </cell>
          <cell r="AP158">
            <v>25.09</v>
          </cell>
          <cell r="AQ158">
            <v>25.41</v>
          </cell>
          <cell r="AR158">
            <v>28.67</v>
          </cell>
          <cell r="AS158">
            <v>29.08</v>
          </cell>
          <cell r="AT158">
            <v>28.07</v>
          </cell>
          <cell r="AU158">
            <v>25.26</v>
          </cell>
          <cell r="AV158">
            <v>28.46</v>
          </cell>
          <cell r="AX158">
            <v>20.350000000000001</v>
          </cell>
          <cell r="AY158">
            <v>27.13</v>
          </cell>
          <cell r="AZ158">
            <v>0.17</v>
          </cell>
          <cell r="BA158">
            <v>0.12</v>
          </cell>
          <cell r="BB158" t="str">
            <v>#_NA</v>
          </cell>
          <cell r="BC158" t="str">
            <v>#_NA</v>
          </cell>
          <cell r="BD158" t="str">
            <v>#_NA</v>
          </cell>
          <cell r="BE158" t="str">
            <v>-</v>
          </cell>
          <cell r="BF158" t="str">
            <v>-</v>
          </cell>
          <cell r="BG158">
            <v>5.6820000000000002E-2</v>
          </cell>
          <cell r="BH158">
            <v>0.30819999999999997</v>
          </cell>
          <cell r="BI158">
            <v>13.28</v>
          </cell>
          <cell r="BJ158" t="str">
            <v>-</v>
          </cell>
          <cell r="BK158">
            <v>0.42949999999999999</v>
          </cell>
          <cell r="BL158">
            <v>10.95</v>
          </cell>
          <cell r="BM158" t="str">
            <v>-</v>
          </cell>
          <cell r="BN158" t="str">
            <v>NÃO</v>
          </cell>
          <cell r="BO158" t="str">
            <v>NÃO</v>
          </cell>
          <cell r="BP158" t="str">
            <v>MS|G|NACIONAL|Sim|Negativa</v>
          </cell>
          <cell r="BR158" t="str">
            <v>TBD</v>
          </cell>
          <cell r="BS158">
            <v>0</v>
          </cell>
          <cell r="BT158" t="str">
            <v>#ERRO</v>
          </cell>
          <cell r="BU158">
            <v>10.95</v>
          </cell>
          <cell r="BV158" t="str">
            <v>-</v>
          </cell>
          <cell r="BX158" t="str">
            <v>TBD</v>
          </cell>
          <cell r="BY158" t="str">
            <v>TBD</v>
          </cell>
          <cell r="BZ158" t="str">
            <v>TBD</v>
          </cell>
          <cell r="CA158" t="str">
            <v>#ERRO</v>
          </cell>
          <cell r="CB158" t="str">
            <v>-</v>
          </cell>
        </row>
        <row r="159">
          <cell r="A159" t="str">
            <v>12468-0</v>
          </cell>
          <cell r="B159" t="str">
            <v>12468-0</v>
          </cell>
          <cell r="C159">
            <v>7896714214399</v>
          </cell>
          <cell r="D159" t="str">
            <v>NAPROXENO SOD 550MG COMP REV CT BL 2X10</v>
          </cell>
          <cell r="E159" t="str">
            <v>SIM</v>
          </cell>
          <cell r="F159" t="str">
            <v>G</v>
          </cell>
          <cell r="G159" t="str">
            <v>PRIORITARIO GENERICOS</v>
          </cell>
          <cell r="H159">
            <v>5</v>
          </cell>
          <cell r="I159">
            <v>60</v>
          </cell>
          <cell r="J159" t="str">
            <v>Liberado</v>
          </cell>
          <cell r="K159" t="str">
            <v>Negativa</v>
          </cell>
          <cell r="L159" t="str">
            <v>Sim</v>
          </cell>
          <cell r="M159" t="str">
            <v>NACIONAL</v>
          </cell>
          <cell r="N159" t="str">
            <v>NACIONAL</v>
          </cell>
          <cell r="P159">
            <v>42.02</v>
          </cell>
          <cell r="Q159">
            <v>48.27</v>
          </cell>
          <cell r="R159">
            <v>48.95</v>
          </cell>
          <cell r="S159">
            <v>49.64</v>
          </cell>
          <cell r="T159">
            <v>45.14</v>
          </cell>
          <cell r="U159">
            <v>48.6</v>
          </cell>
          <cell r="V159">
            <v>42.27</v>
          </cell>
          <cell r="W159">
            <v>42.53</v>
          </cell>
          <cell r="X159">
            <v>50.36</v>
          </cell>
          <cell r="Y159">
            <v>43.06</v>
          </cell>
          <cell r="Z159">
            <v>43.59</v>
          </cell>
          <cell r="AA159">
            <v>51.1</v>
          </cell>
          <cell r="AB159">
            <v>51.87</v>
          </cell>
          <cell r="AC159">
            <v>50</v>
          </cell>
          <cell r="AD159">
            <v>43.32</v>
          </cell>
          <cell r="AE159">
            <v>50.73</v>
          </cell>
          <cell r="AF159">
            <v>0</v>
          </cell>
          <cell r="AG159">
            <v>58.09</v>
          </cell>
          <cell r="AH159">
            <v>64.34</v>
          </cell>
          <cell r="AI159">
            <v>65.22</v>
          </cell>
          <cell r="AJ159">
            <v>66.099999999999994</v>
          </cell>
          <cell r="AK159">
            <v>60.3</v>
          </cell>
          <cell r="AL159">
            <v>64.77</v>
          </cell>
          <cell r="AM159">
            <v>58.44</v>
          </cell>
          <cell r="AN159">
            <v>58.8</v>
          </cell>
          <cell r="AO159">
            <v>67.03</v>
          </cell>
          <cell r="AP159">
            <v>59.53</v>
          </cell>
          <cell r="AQ159">
            <v>60.26</v>
          </cell>
          <cell r="AR159">
            <v>67.98</v>
          </cell>
          <cell r="AS159">
            <v>68.97</v>
          </cell>
          <cell r="AT159">
            <v>66.569999999999993</v>
          </cell>
          <cell r="AU159">
            <v>59.89</v>
          </cell>
          <cell r="AV159">
            <v>67.510000000000005</v>
          </cell>
          <cell r="AX159">
            <v>48.27</v>
          </cell>
          <cell r="AY159">
            <v>64.34</v>
          </cell>
          <cell r="AZ159">
            <v>0.17</v>
          </cell>
          <cell r="BA159">
            <v>0.12</v>
          </cell>
          <cell r="BB159" t="str">
            <v>#_NA</v>
          </cell>
          <cell r="BC159" t="str">
            <v>#_NA</v>
          </cell>
          <cell r="BD159" t="str">
            <v>#_NA</v>
          </cell>
          <cell r="BE159" t="str">
            <v>-</v>
          </cell>
          <cell r="BF159" t="str">
            <v>-</v>
          </cell>
          <cell r="BG159">
            <v>5.6820000000000002E-2</v>
          </cell>
          <cell r="BH159">
            <v>0.42930000000000001</v>
          </cell>
          <cell r="BI159">
            <v>25.98</v>
          </cell>
          <cell r="BJ159" t="str">
            <v>-</v>
          </cell>
          <cell r="BK159">
            <v>0.52969999999999995</v>
          </cell>
          <cell r="BL159">
            <v>21.41</v>
          </cell>
          <cell r="BM159" t="str">
            <v>-</v>
          </cell>
          <cell r="BN159" t="str">
            <v>NÃO</v>
          </cell>
          <cell r="BO159" t="str">
            <v>NÃO</v>
          </cell>
          <cell r="BP159" t="str">
            <v>MS|G|NACIONAL|Sim|Negativa</v>
          </cell>
          <cell r="BR159" t="str">
            <v>TBD</v>
          </cell>
          <cell r="BS159">
            <v>0</v>
          </cell>
          <cell r="BT159" t="str">
            <v>#ERRO</v>
          </cell>
          <cell r="BU159">
            <v>21.41</v>
          </cell>
          <cell r="BV159" t="str">
            <v>-</v>
          </cell>
          <cell r="BX159" t="str">
            <v>TBD</v>
          </cell>
          <cell r="BY159" t="str">
            <v>TBD</v>
          </cell>
          <cell r="BZ159" t="str">
            <v>TBD</v>
          </cell>
          <cell r="CA159" t="str">
            <v>#ERRO</v>
          </cell>
          <cell r="CB159" t="str">
            <v>-</v>
          </cell>
        </row>
        <row r="160">
          <cell r="A160" t="str">
            <v>12562-0</v>
          </cell>
          <cell r="B160" t="str">
            <v>12562-0</v>
          </cell>
          <cell r="C160">
            <v>7896714200064</v>
          </cell>
          <cell r="D160" t="str">
            <v>NEO FEDIPINA 10MG COMP CT BL 1X30</v>
          </cell>
          <cell r="E160" t="str">
            <v>SIM</v>
          </cell>
          <cell r="F160" t="str">
            <v>S</v>
          </cell>
          <cell r="G160" t="str">
            <v>PRIORITARIO SMART</v>
          </cell>
          <cell r="H160">
            <v>5</v>
          </cell>
          <cell r="I160">
            <v>60</v>
          </cell>
          <cell r="J160" t="str">
            <v>Monitorado</v>
          </cell>
          <cell r="K160" t="str">
            <v>Positiva</v>
          </cell>
          <cell r="L160" t="str">
            <v>Sim</v>
          </cell>
          <cell r="M160" t="str">
            <v>NACIONAL</v>
          </cell>
          <cell r="N160" t="str">
            <v>NACIONAL</v>
          </cell>
          <cell r="P160">
            <v>16.059999999999999</v>
          </cell>
          <cell r="Q160">
            <v>16.059999999999999</v>
          </cell>
          <cell r="R160">
            <v>16.260000000000002</v>
          </cell>
          <cell r="S160">
            <v>16.46</v>
          </cell>
          <cell r="T160">
            <v>15.15</v>
          </cell>
          <cell r="U160">
            <v>16.16</v>
          </cell>
          <cell r="V160">
            <v>16.16</v>
          </cell>
          <cell r="W160">
            <v>16.260000000000002</v>
          </cell>
          <cell r="X160">
            <v>16.66</v>
          </cell>
          <cell r="Y160">
            <v>16.46</v>
          </cell>
          <cell r="Z160">
            <v>16.66</v>
          </cell>
          <cell r="AA160">
            <v>16.87</v>
          </cell>
          <cell r="AB160">
            <v>17.09</v>
          </cell>
          <cell r="AC160">
            <v>16.559999999999999</v>
          </cell>
          <cell r="AD160">
            <v>16.559999999999999</v>
          </cell>
          <cell r="AE160">
            <v>16.77</v>
          </cell>
          <cell r="AF160">
            <v>0</v>
          </cell>
          <cell r="AG160">
            <v>22.2</v>
          </cell>
          <cell r="AH160">
            <v>22.2</v>
          </cell>
          <cell r="AI160">
            <v>22.48</v>
          </cell>
          <cell r="AJ160">
            <v>22.75</v>
          </cell>
          <cell r="AK160">
            <v>20.94</v>
          </cell>
          <cell r="AL160">
            <v>22.34</v>
          </cell>
          <cell r="AM160">
            <v>22.34</v>
          </cell>
          <cell r="AN160">
            <v>22.48</v>
          </cell>
          <cell r="AO160">
            <v>23.03</v>
          </cell>
          <cell r="AP160">
            <v>22.75</v>
          </cell>
          <cell r="AQ160">
            <v>23.03</v>
          </cell>
          <cell r="AR160">
            <v>23.32</v>
          </cell>
          <cell r="AS160">
            <v>23.63</v>
          </cell>
          <cell r="AT160">
            <v>22.89</v>
          </cell>
          <cell r="AU160">
            <v>22.89</v>
          </cell>
          <cell r="AV160">
            <v>23.18</v>
          </cell>
          <cell r="AX160">
            <v>16.059999999999999</v>
          </cell>
          <cell r="AY160">
            <v>22.2</v>
          </cell>
          <cell r="AZ160">
            <v>0.17</v>
          </cell>
          <cell r="BA160">
            <v>0.12</v>
          </cell>
          <cell r="BB160" t="str">
            <v>#_NA</v>
          </cell>
          <cell r="BC160" t="str">
            <v>#_NA</v>
          </cell>
          <cell r="BD160" t="str">
            <v>#_NA</v>
          </cell>
          <cell r="BE160" t="str">
            <v>-</v>
          </cell>
          <cell r="BF160" t="str">
            <v>-</v>
          </cell>
          <cell r="BG160">
            <v>5.6820000000000002E-2</v>
          </cell>
          <cell r="BH160">
            <v>0.1094</v>
          </cell>
          <cell r="BI160">
            <v>13.49</v>
          </cell>
          <cell r="BJ160" t="str">
            <v>-</v>
          </cell>
          <cell r="BK160">
            <v>0.1525</v>
          </cell>
          <cell r="BL160">
            <v>12.84</v>
          </cell>
          <cell r="BM160" t="str">
            <v>-</v>
          </cell>
          <cell r="BN160" t="str">
            <v>NÃO</v>
          </cell>
          <cell r="BO160" t="str">
            <v>NÃO</v>
          </cell>
          <cell r="BP160" t="str">
            <v>MS|S|NACIONAL|Sim|Positiva</v>
          </cell>
          <cell r="BR160" t="str">
            <v>TBD</v>
          </cell>
          <cell r="BS160">
            <v>0</v>
          </cell>
          <cell r="BT160" t="str">
            <v>#ERRO</v>
          </cell>
          <cell r="BU160">
            <v>12.84</v>
          </cell>
          <cell r="BV160" t="str">
            <v>-</v>
          </cell>
          <cell r="BX160" t="str">
            <v>TBD</v>
          </cell>
          <cell r="BY160" t="str">
            <v>TBD</v>
          </cell>
          <cell r="BZ160" t="str">
            <v>TBD</v>
          </cell>
          <cell r="CA160" t="str">
            <v>#ERRO</v>
          </cell>
          <cell r="CB160" t="str">
            <v>-</v>
          </cell>
        </row>
        <row r="161">
          <cell r="A161" t="str">
            <v>12564-0</v>
          </cell>
          <cell r="B161" t="str">
            <v>12564-0</v>
          </cell>
          <cell r="C161">
            <v>7896714200125</v>
          </cell>
          <cell r="D161" t="str">
            <v>NEO FEDIPINA 20MG COMP CT BL 1X30</v>
          </cell>
          <cell r="E161" t="str">
            <v>SIM</v>
          </cell>
          <cell r="F161" t="str">
            <v>S</v>
          </cell>
          <cell r="G161" t="str">
            <v>PRIORITARIO SMART</v>
          </cell>
          <cell r="H161">
            <v>5</v>
          </cell>
          <cell r="I161">
            <v>60</v>
          </cell>
          <cell r="J161" t="str">
            <v>Monitorado</v>
          </cell>
          <cell r="K161" t="str">
            <v>Positiva</v>
          </cell>
          <cell r="L161" t="str">
            <v>Sim</v>
          </cell>
          <cell r="M161" t="str">
            <v>NACIONAL</v>
          </cell>
          <cell r="N161" t="str">
            <v>NACIONAL</v>
          </cell>
          <cell r="P161">
            <v>24.84</v>
          </cell>
          <cell r="Q161">
            <v>24.84</v>
          </cell>
          <cell r="R161">
            <v>25.15</v>
          </cell>
          <cell r="S161">
            <v>25.46</v>
          </cell>
          <cell r="T161">
            <v>23.43</v>
          </cell>
          <cell r="U161">
            <v>24.99</v>
          </cell>
          <cell r="V161">
            <v>24.99</v>
          </cell>
          <cell r="W161">
            <v>25.15</v>
          </cell>
          <cell r="X161">
            <v>25.78</v>
          </cell>
          <cell r="Y161">
            <v>25.46</v>
          </cell>
          <cell r="Z161">
            <v>25.78</v>
          </cell>
          <cell r="AA161">
            <v>26.1</v>
          </cell>
          <cell r="AB161">
            <v>26.44</v>
          </cell>
          <cell r="AC161">
            <v>25.61</v>
          </cell>
          <cell r="AD161">
            <v>25.61</v>
          </cell>
          <cell r="AE161">
            <v>25.94</v>
          </cell>
          <cell r="AF161">
            <v>0</v>
          </cell>
          <cell r="AG161">
            <v>34.340000000000003</v>
          </cell>
          <cell r="AH161">
            <v>34.340000000000003</v>
          </cell>
          <cell r="AI161">
            <v>34.770000000000003</v>
          </cell>
          <cell r="AJ161">
            <v>35.200000000000003</v>
          </cell>
          <cell r="AK161">
            <v>32.39</v>
          </cell>
          <cell r="AL161">
            <v>34.549999999999997</v>
          </cell>
          <cell r="AM161">
            <v>34.549999999999997</v>
          </cell>
          <cell r="AN161">
            <v>34.770000000000003</v>
          </cell>
          <cell r="AO161">
            <v>35.64</v>
          </cell>
          <cell r="AP161">
            <v>35.200000000000003</v>
          </cell>
          <cell r="AQ161">
            <v>35.64</v>
          </cell>
          <cell r="AR161">
            <v>36.08</v>
          </cell>
          <cell r="AS161">
            <v>36.549999999999997</v>
          </cell>
          <cell r="AT161">
            <v>35.4</v>
          </cell>
          <cell r="AU161">
            <v>35.4</v>
          </cell>
          <cell r="AV161">
            <v>35.86</v>
          </cell>
          <cell r="AX161">
            <v>24.84</v>
          </cell>
          <cell r="AY161">
            <v>34.340000000000003</v>
          </cell>
          <cell r="AZ161">
            <v>0.17</v>
          </cell>
          <cell r="BA161">
            <v>0.12</v>
          </cell>
          <cell r="BB161" t="str">
            <v>#_NA</v>
          </cell>
          <cell r="BC161" t="str">
            <v>#_NA</v>
          </cell>
          <cell r="BD161" t="str">
            <v>#_NA</v>
          </cell>
          <cell r="BE161" t="str">
            <v>-</v>
          </cell>
          <cell r="BF161" t="str">
            <v>-</v>
          </cell>
          <cell r="BG161">
            <v>5.6820000000000002E-2</v>
          </cell>
          <cell r="BH161">
            <v>0.72089999999999999</v>
          </cell>
          <cell r="BI161">
            <v>6.54</v>
          </cell>
          <cell r="BJ161" t="str">
            <v>-</v>
          </cell>
          <cell r="BK161">
            <v>0.73409999999999997</v>
          </cell>
          <cell r="BL161">
            <v>6.23</v>
          </cell>
          <cell r="BM161" t="str">
            <v>-</v>
          </cell>
          <cell r="BN161" t="str">
            <v>NÃO</v>
          </cell>
          <cell r="BO161" t="str">
            <v>NÃO</v>
          </cell>
          <cell r="BP161" t="str">
            <v>MS|S|NACIONAL|Sim|Positiva</v>
          </cell>
          <cell r="BR161" t="str">
            <v>TBD</v>
          </cell>
          <cell r="BS161">
            <v>0</v>
          </cell>
          <cell r="BT161" t="str">
            <v>#ERRO</v>
          </cell>
          <cell r="BU161">
            <v>6.23</v>
          </cell>
          <cell r="BV161" t="str">
            <v>-</v>
          </cell>
          <cell r="BX161" t="str">
            <v>TBD</v>
          </cell>
          <cell r="BY161" t="str">
            <v>TBD</v>
          </cell>
          <cell r="BZ161" t="str">
            <v>TBD</v>
          </cell>
          <cell r="CA161" t="str">
            <v>#ERRO</v>
          </cell>
          <cell r="CB161" t="str">
            <v>-</v>
          </cell>
        </row>
        <row r="162">
          <cell r="A162" t="str">
            <v>12614-0</v>
          </cell>
          <cell r="B162" t="str">
            <v>12614-0</v>
          </cell>
          <cell r="C162">
            <v>7896714201108</v>
          </cell>
          <cell r="D162" t="str">
            <v>NEO FOLICO 5MG COMP REV CT BL 1X20</v>
          </cell>
          <cell r="E162" t="str">
            <v>SIM</v>
          </cell>
          <cell r="F162" t="str">
            <v>S</v>
          </cell>
          <cell r="G162" t="str">
            <v>LINHA</v>
          </cell>
          <cell r="H162">
            <v>5</v>
          </cell>
          <cell r="I162">
            <v>60</v>
          </cell>
          <cell r="J162" t="str">
            <v>Monitorado</v>
          </cell>
          <cell r="K162" t="str">
            <v>Negativa</v>
          </cell>
          <cell r="L162" t="str">
            <v>Sim</v>
          </cell>
          <cell r="M162" t="str">
            <v>NACIONAL</v>
          </cell>
          <cell r="N162" t="str">
            <v>NACIONAL</v>
          </cell>
          <cell r="P162">
            <v>8.7899999999999991</v>
          </cell>
          <cell r="Q162">
            <v>10.1</v>
          </cell>
          <cell r="R162">
            <v>10.24</v>
          </cell>
          <cell r="S162">
            <v>10.38</v>
          </cell>
          <cell r="T162">
            <v>9.44</v>
          </cell>
          <cell r="U162">
            <v>10.17</v>
          </cell>
          <cell r="V162">
            <v>8.84</v>
          </cell>
          <cell r="W162">
            <v>8.9</v>
          </cell>
          <cell r="X162">
            <v>10.53</v>
          </cell>
          <cell r="Y162">
            <v>9.01</v>
          </cell>
          <cell r="Z162">
            <v>9.1199999999999992</v>
          </cell>
          <cell r="AA162">
            <v>10.69</v>
          </cell>
          <cell r="AB162">
            <v>10.85</v>
          </cell>
          <cell r="AC162">
            <v>10.46</v>
          </cell>
          <cell r="AD162">
            <v>9.06</v>
          </cell>
          <cell r="AE162">
            <v>10.61</v>
          </cell>
          <cell r="AF162">
            <v>0</v>
          </cell>
          <cell r="AG162">
            <v>12.15</v>
          </cell>
          <cell r="AH162">
            <v>13.46</v>
          </cell>
          <cell r="AI162">
            <v>13.64</v>
          </cell>
          <cell r="AJ162">
            <v>13.82</v>
          </cell>
          <cell r="AK162">
            <v>12.61</v>
          </cell>
          <cell r="AL162">
            <v>13.55</v>
          </cell>
          <cell r="AM162">
            <v>12.22</v>
          </cell>
          <cell r="AN162">
            <v>12.3</v>
          </cell>
          <cell r="AO162">
            <v>14.02</v>
          </cell>
          <cell r="AP162">
            <v>12.46</v>
          </cell>
          <cell r="AQ162">
            <v>12.61</v>
          </cell>
          <cell r="AR162">
            <v>14.22</v>
          </cell>
          <cell r="AS162">
            <v>14.43</v>
          </cell>
          <cell r="AT162">
            <v>13.93</v>
          </cell>
          <cell r="AU162">
            <v>12.52</v>
          </cell>
          <cell r="AV162">
            <v>14.12</v>
          </cell>
          <cell r="AX162">
            <v>10.1</v>
          </cell>
          <cell r="AY162">
            <v>13.46</v>
          </cell>
          <cell r="AZ162">
            <v>0.17</v>
          </cell>
          <cell r="BA162">
            <v>0.12</v>
          </cell>
          <cell r="BB162" t="str">
            <v>#_NA</v>
          </cell>
          <cell r="BC162" t="str">
            <v>#_NA</v>
          </cell>
          <cell r="BD162" t="str">
            <v>#_NA</v>
          </cell>
          <cell r="BE162" t="str">
            <v>-</v>
          </cell>
          <cell r="BF162" t="str">
            <v>-</v>
          </cell>
          <cell r="BG162">
            <v>5.6820000000000002E-2</v>
          </cell>
          <cell r="BH162">
            <v>0.66320000000000001</v>
          </cell>
          <cell r="BI162">
            <v>3.21</v>
          </cell>
          <cell r="BJ162" t="str">
            <v>-</v>
          </cell>
          <cell r="BK162">
            <v>0.72219999999999995</v>
          </cell>
          <cell r="BL162">
            <v>2.65</v>
          </cell>
          <cell r="BM162" t="str">
            <v>-</v>
          </cell>
          <cell r="BN162" t="str">
            <v>NÃO</v>
          </cell>
          <cell r="BO162" t="str">
            <v>NÃO</v>
          </cell>
          <cell r="BP162" t="str">
            <v>MS|S|NACIONAL|Sim|Negativa</v>
          </cell>
          <cell r="BR162" t="str">
            <v>TBD</v>
          </cell>
          <cell r="BS162">
            <v>0</v>
          </cell>
          <cell r="BT162" t="str">
            <v>#ERRO</v>
          </cell>
          <cell r="BU162">
            <v>2.65</v>
          </cell>
          <cell r="BV162" t="str">
            <v>-</v>
          </cell>
          <cell r="BX162" t="str">
            <v>TBD</v>
          </cell>
          <cell r="BY162" t="str">
            <v>TBD</v>
          </cell>
          <cell r="BZ162" t="str">
            <v>TBD</v>
          </cell>
          <cell r="CA162" t="str">
            <v>#ERRO</v>
          </cell>
          <cell r="CB162" t="str">
            <v>-</v>
          </cell>
        </row>
        <row r="163">
          <cell r="A163" t="str">
            <v>17579-0</v>
          </cell>
          <cell r="B163" t="str">
            <v>17579-0</v>
          </cell>
          <cell r="C163">
            <v>7896714224053</v>
          </cell>
          <cell r="D163" t="str">
            <v>NEO FRESH 5MG/ML SOLU OFT FR 15ML</v>
          </cell>
          <cell r="E163" t="str">
            <v>SIM</v>
          </cell>
          <cell r="F163" t="str">
            <v>S</v>
          </cell>
          <cell r="G163" t="str">
            <v>LINHA</v>
          </cell>
          <cell r="H163">
            <v>5</v>
          </cell>
          <cell r="I163">
            <v>100</v>
          </cell>
          <cell r="J163" t="str">
            <v>Liberado</v>
          </cell>
          <cell r="K163" t="str">
            <v>Negativa</v>
          </cell>
          <cell r="L163" t="str">
            <v>Sim</v>
          </cell>
          <cell r="M163" t="str">
            <v>NACIONAL</v>
          </cell>
          <cell r="N163" t="str">
            <v>NACIONAL</v>
          </cell>
          <cell r="P163">
            <v>25.37</v>
          </cell>
          <cell r="Q163">
            <v>29.14</v>
          </cell>
          <cell r="R163">
            <v>29.55</v>
          </cell>
          <cell r="S163">
            <v>29.97</v>
          </cell>
          <cell r="T163">
            <v>27.25</v>
          </cell>
          <cell r="U163">
            <v>29.34</v>
          </cell>
          <cell r="V163">
            <v>25.52</v>
          </cell>
          <cell r="W163">
            <v>25.68</v>
          </cell>
          <cell r="X163">
            <v>30.4</v>
          </cell>
          <cell r="Y163">
            <v>25.99</v>
          </cell>
          <cell r="Z163">
            <v>26.32</v>
          </cell>
          <cell r="AA163">
            <v>30.85</v>
          </cell>
          <cell r="AB163">
            <v>31.31</v>
          </cell>
          <cell r="AC163">
            <v>30.19</v>
          </cell>
          <cell r="AD163">
            <v>26.15</v>
          </cell>
          <cell r="AE163">
            <v>30.63</v>
          </cell>
          <cell r="AF163">
            <v>0</v>
          </cell>
          <cell r="AG163">
            <v>35.07</v>
          </cell>
          <cell r="AH163">
            <v>38.840000000000003</v>
          </cell>
          <cell r="AI163">
            <v>39.369999999999997</v>
          </cell>
          <cell r="AJ163">
            <v>39.909999999999997</v>
          </cell>
          <cell r="AK163">
            <v>36.4</v>
          </cell>
          <cell r="AL163">
            <v>39.1</v>
          </cell>
          <cell r="AM163">
            <v>35.28</v>
          </cell>
          <cell r="AN163">
            <v>35.5</v>
          </cell>
          <cell r="AO163">
            <v>40.46</v>
          </cell>
          <cell r="AP163">
            <v>35.93</v>
          </cell>
          <cell r="AQ163">
            <v>36.39</v>
          </cell>
          <cell r="AR163">
            <v>41.04</v>
          </cell>
          <cell r="AS163">
            <v>41.63</v>
          </cell>
          <cell r="AT163">
            <v>40.19</v>
          </cell>
          <cell r="AU163">
            <v>36.15</v>
          </cell>
          <cell r="AV163">
            <v>40.76</v>
          </cell>
          <cell r="AX163">
            <v>29.14</v>
          </cell>
          <cell r="AY163">
            <v>38.840000000000003</v>
          </cell>
          <cell r="AZ163">
            <v>0.17</v>
          </cell>
          <cell r="BA163">
            <v>0.12</v>
          </cell>
          <cell r="BB163" t="str">
            <v>#_NA</v>
          </cell>
          <cell r="BC163" t="str">
            <v>#_NA</v>
          </cell>
          <cell r="BD163" t="str">
            <v>#_NA</v>
          </cell>
          <cell r="BE163" t="str">
            <v>-</v>
          </cell>
          <cell r="BF163" t="str">
            <v>-</v>
          </cell>
          <cell r="BG163">
            <v>5.6820000000000002E-2</v>
          </cell>
          <cell r="BH163">
            <v>0.26069999999999999</v>
          </cell>
          <cell r="BI163">
            <v>20.32</v>
          </cell>
          <cell r="BJ163" t="str">
            <v>-</v>
          </cell>
          <cell r="BK163">
            <v>0.39069999999999999</v>
          </cell>
          <cell r="BL163">
            <v>16.739999999999998</v>
          </cell>
          <cell r="BM163" t="str">
            <v>-</v>
          </cell>
          <cell r="BN163" t="str">
            <v>NÃO</v>
          </cell>
          <cell r="BO163" t="str">
            <v>NÃO</v>
          </cell>
          <cell r="BP163" t="str">
            <v>MS|S|NACIONAL|Sim|Negativa</v>
          </cell>
          <cell r="BR163" t="str">
            <v>TBD</v>
          </cell>
          <cell r="BS163">
            <v>0</v>
          </cell>
          <cell r="BT163" t="str">
            <v>#ERRO</v>
          </cell>
          <cell r="BU163">
            <v>16.739999999999998</v>
          </cell>
          <cell r="BV163" t="str">
            <v>-</v>
          </cell>
          <cell r="BX163" t="str">
            <v>TBD</v>
          </cell>
          <cell r="BY163" t="str">
            <v>TBD</v>
          </cell>
          <cell r="BZ163" t="str">
            <v>TBD</v>
          </cell>
          <cell r="CA163" t="str">
            <v>#ERRO</v>
          </cell>
          <cell r="CB163" t="str">
            <v>-</v>
          </cell>
        </row>
        <row r="164">
          <cell r="A164" t="str">
            <v>20707-0</v>
          </cell>
          <cell r="B164" t="str">
            <v>20707-0</v>
          </cell>
          <cell r="C164">
            <v>7896714240206</v>
          </cell>
          <cell r="D164" t="str">
            <v>NEO LORATADIN 10MG COMP CT X 12</v>
          </cell>
          <cell r="E164" t="str">
            <v>SIM</v>
          </cell>
          <cell r="F164" t="str">
            <v>S</v>
          </cell>
          <cell r="G164" t="str">
            <v>LINHA</v>
          </cell>
          <cell r="H164">
            <v>5</v>
          </cell>
          <cell r="I164">
            <v>60</v>
          </cell>
          <cell r="J164" t="str">
            <v>Liberado</v>
          </cell>
          <cell r="K164" t="str">
            <v>Negativa</v>
          </cell>
          <cell r="L164" t="str">
            <v>Sim</v>
          </cell>
          <cell r="M164" t="str">
            <v>NACIONAL</v>
          </cell>
          <cell r="N164" t="str">
            <v>NACIONAL</v>
          </cell>
          <cell r="P164">
            <v>10.93</v>
          </cell>
          <cell r="Q164">
            <v>12.55</v>
          </cell>
          <cell r="R164">
            <v>12.73</v>
          </cell>
          <cell r="S164">
            <v>12.91</v>
          </cell>
          <cell r="T164">
            <v>11.74</v>
          </cell>
          <cell r="U164">
            <v>12.64</v>
          </cell>
          <cell r="V164">
            <v>11</v>
          </cell>
          <cell r="W164">
            <v>11.06</v>
          </cell>
          <cell r="X164">
            <v>13.1</v>
          </cell>
          <cell r="Y164">
            <v>11.2</v>
          </cell>
          <cell r="Z164">
            <v>11.34</v>
          </cell>
          <cell r="AA164">
            <v>13.29</v>
          </cell>
          <cell r="AB164">
            <v>13.49</v>
          </cell>
          <cell r="AC164">
            <v>13.01</v>
          </cell>
          <cell r="AD164">
            <v>11.27</v>
          </cell>
          <cell r="AE164">
            <v>13.2</v>
          </cell>
          <cell r="AF164">
            <v>0</v>
          </cell>
          <cell r="AG164">
            <v>15.11</v>
          </cell>
          <cell r="AH164">
            <v>16.73</v>
          </cell>
          <cell r="AI164">
            <v>16.96</v>
          </cell>
          <cell r="AJ164">
            <v>17.190000000000001</v>
          </cell>
          <cell r="AK164">
            <v>15.68</v>
          </cell>
          <cell r="AL164">
            <v>16.84</v>
          </cell>
          <cell r="AM164">
            <v>15.21</v>
          </cell>
          <cell r="AN164">
            <v>15.29</v>
          </cell>
          <cell r="AO164">
            <v>17.440000000000001</v>
          </cell>
          <cell r="AP164">
            <v>15.48</v>
          </cell>
          <cell r="AQ164">
            <v>15.68</v>
          </cell>
          <cell r="AR164">
            <v>17.68</v>
          </cell>
          <cell r="AS164">
            <v>17.940000000000001</v>
          </cell>
          <cell r="AT164">
            <v>17.32</v>
          </cell>
          <cell r="AU164">
            <v>15.58</v>
          </cell>
          <cell r="AV164">
            <v>17.57</v>
          </cell>
          <cell r="AX164">
            <v>12.55</v>
          </cell>
          <cell r="AY164">
            <v>16.73</v>
          </cell>
          <cell r="AZ164">
            <v>0.17</v>
          </cell>
          <cell r="BA164">
            <v>0.12</v>
          </cell>
          <cell r="BB164" t="str">
            <v>#_NA</v>
          </cell>
          <cell r="BC164" t="str">
            <v>#_NA</v>
          </cell>
          <cell r="BD164" t="str">
            <v>#_NA</v>
          </cell>
          <cell r="BE164" t="str">
            <v>-</v>
          </cell>
          <cell r="BF164" t="str">
            <v>-</v>
          </cell>
          <cell r="BG164">
            <v>5.6820000000000002E-2</v>
          </cell>
          <cell r="BH164">
            <v>0.79810000000000003</v>
          </cell>
          <cell r="BI164">
            <v>2.39</v>
          </cell>
          <cell r="BJ164" t="str">
            <v>-</v>
          </cell>
          <cell r="BK164">
            <v>0.83389999999999997</v>
          </cell>
          <cell r="BL164">
            <v>1.97</v>
          </cell>
          <cell r="BM164" t="str">
            <v>-</v>
          </cell>
          <cell r="BN164" t="str">
            <v>NÃO</v>
          </cell>
          <cell r="BO164" t="str">
            <v>NÃO</v>
          </cell>
          <cell r="BP164" t="str">
            <v>MS|S|NACIONAL|Sim|Negativa</v>
          </cell>
          <cell r="BR164" t="str">
            <v>TBD</v>
          </cell>
          <cell r="BS164">
            <v>0</v>
          </cell>
          <cell r="BT164" t="str">
            <v>#ERRO</v>
          </cell>
          <cell r="BU164">
            <v>1.97</v>
          </cell>
          <cell r="BV164" t="str">
            <v>-</v>
          </cell>
          <cell r="BX164" t="str">
            <v>TBD</v>
          </cell>
          <cell r="BY164" t="str">
            <v>TBD</v>
          </cell>
          <cell r="BZ164" t="str">
            <v>TBD</v>
          </cell>
          <cell r="CA164" t="str">
            <v>#ERRO</v>
          </cell>
          <cell r="CB164" t="str">
            <v>-</v>
          </cell>
        </row>
        <row r="165">
          <cell r="A165" t="str">
            <v>12589-0</v>
          </cell>
          <cell r="B165" t="str">
            <v>12589-0</v>
          </cell>
          <cell r="C165">
            <v>7896714200545</v>
          </cell>
          <cell r="D165" t="str">
            <v>NEO METRODAZOL 250MG COMP CT BL 2X10</v>
          </cell>
          <cell r="E165" t="str">
            <v>SIM</v>
          </cell>
          <cell r="F165" t="str">
            <v>S</v>
          </cell>
          <cell r="G165" t="str">
            <v>LINHA</v>
          </cell>
          <cell r="H165">
            <v>5</v>
          </cell>
          <cell r="I165">
            <v>60</v>
          </cell>
          <cell r="J165" t="str">
            <v>Monitorado</v>
          </cell>
          <cell r="K165" t="str">
            <v>Positiva</v>
          </cell>
          <cell r="L165" t="str">
            <v>Sim</v>
          </cell>
          <cell r="M165" t="str">
            <v>NACIONAL</v>
          </cell>
          <cell r="N165" t="str">
            <v>NACIONAL</v>
          </cell>
          <cell r="P165">
            <v>17.670000000000002</v>
          </cell>
          <cell r="Q165">
            <v>17.670000000000002</v>
          </cell>
          <cell r="R165">
            <v>17.89</v>
          </cell>
          <cell r="S165">
            <v>18.11</v>
          </cell>
          <cell r="T165">
            <v>16.670000000000002</v>
          </cell>
          <cell r="U165">
            <v>17.78</v>
          </cell>
          <cell r="V165">
            <v>17.78</v>
          </cell>
          <cell r="W165">
            <v>17.89</v>
          </cell>
          <cell r="X165">
            <v>18.34</v>
          </cell>
          <cell r="Y165">
            <v>18.11</v>
          </cell>
          <cell r="Z165">
            <v>18.34</v>
          </cell>
          <cell r="AA165">
            <v>18.57</v>
          </cell>
          <cell r="AB165">
            <v>18.809999999999999</v>
          </cell>
          <cell r="AC165">
            <v>18.22</v>
          </cell>
          <cell r="AD165">
            <v>18.22</v>
          </cell>
          <cell r="AE165">
            <v>18.45</v>
          </cell>
          <cell r="AF165">
            <v>0</v>
          </cell>
          <cell r="AG165">
            <v>24.43</v>
          </cell>
          <cell r="AH165">
            <v>24.43</v>
          </cell>
          <cell r="AI165">
            <v>24.73</v>
          </cell>
          <cell r="AJ165">
            <v>25.04</v>
          </cell>
          <cell r="AK165">
            <v>23.05</v>
          </cell>
          <cell r="AL165">
            <v>24.58</v>
          </cell>
          <cell r="AM165">
            <v>24.58</v>
          </cell>
          <cell r="AN165">
            <v>24.73</v>
          </cell>
          <cell r="AO165">
            <v>25.35</v>
          </cell>
          <cell r="AP165">
            <v>25.04</v>
          </cell>
          <cell r="AQ165">
            <v>25.35</v>
          </cell>
          <cell r="AR165">
            <v>25.67</v>
          </cell>
          <cell r="AS165">
            <v>26</v>
          </cell>
          <cell r="AT165">
            <v>25.19</v>
          </cell>
          <cell r="AU165">
            <v>25.19</v>
          </cell>
          <cell r="AV165">
            <v>25.51</v>
          </cell>
          <cell r="AX165">
            <v>17.670000000000002</v>
          </cell>
          <cell r="AY165">
            <v>24.43</v>
          </cell>
          <cell r="AZ165">
            <v>0.17</v>
          </cell>
          <cell r="BA165">
            <v>0.12</v>
          </cell>
          <cell r="BB165" t="str">
            <v>#_NA</v>
          </cell>
          <cell r="BC165" t="str">
            <v>#_NA</v>
          </cell>
          <cell r="BD165" t="str">
            <v>#_NA</v>
          </cell>
          <cell r="BE165" t="str">
            <v>-</v>
          </cell>
          <cell r="BF165" t="str">
            <v>-</v>
          </cell>
          <cell r="BG165">
            <v>5.6820000000000002E-2</v>
          </cell>
          <cell r="BH165">
            <v>0.74680000000000002</v>
          </cell>
          <cell r="BI165">
            <v>4.22</v>
          </cell>
          <cell r="BJ165" t="str">
            <v>-</v>
          </cell>
          <cell r="BK165">
            <v>0.75939999999999996</v>
          </cell>
          <cell r="BL165">
            <v>4.01</v>
          </cell>
          <cell r="BM165" t="str">
            <v>-</v>
          </cell>
          <cell r="BN165" t="str">
            <v>NÃO</v>
          </cell>
          <cell r="BO165" t="str">
            <v>NÃO</v>
          </cell>
          <cell r="BP165" t="str">
            <v>MS|S|NACIONAL|Sim|Positiva</v>
          </cell>
          <cell r="BR165" t="str">
            <v>TBD</v>
          </cell>
          <cell r="BS165">
            <v>0</v>
          </cell>
          <cell r="BT165" t="str">
            <v>#ERRO</v>
          </cell>
          <cell r="BU165">
            <v>4.01</v>
          </cell>
          <cell r="BV165" t="str">
            <v>-</v>
          </cell>
          <cell r="BX165" t="str">
            <v>TBD</v>
          </cell>
          <cell r="BY165" t="str">
            <v>TBD</v>
          </cell>
          <cell r="BZ165" t="str">
            <v>TBD</v>
          </cell>
          <cell r="CA165" t="str">
            <v>#ERRO</v>
          </cell>
          <cell r="CB165" t="str">
            <v>-</v>
          </cell>
        </row>
        <row r="166">
          <cell r="A166" t="str">
            <v>19511-0</v>
          </cell>
          <cell r="B166" t="str">
            <v>19511-0</v>
          </cell>
          <cell r="C166">
            <v>7896714265742</v>
          </cell>
          <cell r="D166" t="str">
            <v>NEO MISTATIN 25000UI/G CR VAG 1X60G 14AP</v>
          </cell>
          <cell r="E166" t="str">
            <v>SIM</v>
          </cell>
          <cell r="F166" t="str">
            <v>S</v>
          </cell>
          <cell r="G166" t="str">
            <v>LINHA</v>
          </cell>
          <cell r="H166">
            <v>5</v>
          </cell>
          <cell r="I166">
            <v>60</v>
          </cell>
          <cell r="J166" t="str">
            <v>Monitorado</v>
          </cell>
          <cell r="K166" t="str">
            <v>Positiva</v>
          </cell>
          <cell r="L166" t="str">
            <v>Sim</v>
          </cell>
          <cell r="M166" t="str">
            <v>NACIONAL</v>
          </cell>
          <cell r="N166" t="str">
            <v>NACIONAL</v>
          </cell>
          <cell r="P166">
            <v>28.47</v>
          </cell>
          <cell r="Q166">
            <v>28.47</v>
          </cell>
          <cell r="R166">
            <v>28.82</v>
          </cell>
          <cell r="S166">
            <v>29.17</v>
          </cell>
          <cell r="T166">
            <v>26.85</v>
          </cell>
          <cell r="U166">
            <v>28.64</v>
          </cell>
          <cell r="V166">
            <v>28.64</v>
          </cell>
          <cell r="W166">
            <v>28.82</v>
          </cell>
          <cell r="X166">
            <v>29.54</v>
          </cell>
          <cell r="Y166">
            <v>29.17</v>
          </cell>
          <cell r="Z166">
            <v>29.54</v>
          </cell>
          <cell r="AA166">
            <v>29.91</v>
          </cell>
          <cell r="AB166">
            <v>30.29</v>
          </cell>
          <cell r="AC166">
            <v>29.35</v>
          </cell>
          <cell r="AD166">
            <v>29.35</v>
          </cell>
          <cell r="AE166">
            <v>29.72</v>
          </cell>
          <cell r="AF166">
            <v>0</v>
          </cell>
          <cell r="AG166">
            <v>39.36</v>
          </cell>
          <cell r="AH166">
            <v>39.36</v>
          </cell>
          <cell r="AI166">
            <v>39.840000000000003</v>
          </cell>
          <cell r="AJ166">
            <v>40.33</v>
          </cell>
          <cell r="AK166">
            <v>37.119999999999997</v>
          </cell>
          <cell r="AL166">
            <v>39.590000000000003</v>
          </cell>
          <cell r="AM166">
            <v>39.590000000000003</v>
          </cell>
          <cell r="AN166">
            <v>39.840000000000003</v>
          </cell>
          <cell r="AO166">
            <v>40.840000000000003</v>
          </cell>
          <cell r="AP166">
            <v>40.33</v>
          </cell>
          <cell r="AQ166">
            <v>40.840000000000003</v>
          </cell>
          <cell r="AR166">
            <v>41.35</v>
          </cell>
          <cell r="AS166">
            <v>41.87</v>
          </cell>
          <cell r="AT166">
            <v>40.57</v>
          </cell>
          <cell r="AU166">
            <v>40.57</v>
          </cell>
          <cell r="AV166">
            <v>41.09</v>
          </cell>
          <cell r="AX166">
            <v>28.47</v>
          </cell>
          <cell r="AY166">
            <v>39.36</v>
          </cell>
          <cell r="AZ166">
            <v>0.17</v>
          </cell>
          <cell r="BA166">
            <v>0.12</v>
          </cell>
          <cell r="BB166" t="str">
            <v>#_NA</v>
          </cell>
          <cell r="BC166" t="str">
            <v>#_NA</v>
          </cell>
          <cell r="BD166" t="str">
            <v>#_NA</v>
          </cell>
          <cell r="BE166" t="str">
            <v>-</v>
          </cell>
          <cell r="BF166" t="str">
            <v>-</v>
          </cell>
          <cell r="BG166">
            <v>5.6820000000000002E-2</v>
          </cell>
          <cell r="BH166">
            <v>0.66769999999999996</v>
          </cell>
          <cell r="BI166">
            <v>8.92</v>
          </cell>
          <cell r="BJ166" t="str">
            <v>-</v>
          </cell>
          <cell r="BK166">
            <v>0.68389999999999995</v>
          </cell>
          <cell r="BL166">
            <v>8.49</v>
          </cell>
          <cell r="BM166" t="str">
            <v>-</v>
          </cell>
          <cell r="BN166" t="str">
            <v>NÃO</v>
          </cell>
          <cell r="BO166" t="str">
            <v>NÃO</v>
          </cell>
          <cell r="BP166" t="str">
            <v>MS|S|NACIONAL|Sim|Positiva</v>
          </cell>
          <cell r="BR166" t="str">
            <v>TBD</v>
          </cell>
          <cell r="BS166">
            <v>0</v>
          </cell>
          <cell r="BT166" t="str">
            <v>#ERRO</v>
          </cell>
          <cell r="BU166">
            <v>8.49</v>
          </cell>
          <cell r="BV166" t="str">
            <v>-</v>
          </cell>
          <cell r="BX166" t="str">
            <v>TBD</v>
          </cell>
          <cell r="BY166" t="str">
            <v>TBD</v>
          </cell>
          <cell r="BZ166" t="str">
            <v>TBD</v>
          </cell>
          <cell r="CA166" t="str">
            <v>#ERRO</v>
          </cell>
          <cell r="CB166" t="str">
            <v>-</v>
          </cell>
        </row>
        <row r="167">
          <cell r="A167" t="str">
            <v>18039-0</v>
          </cell>
          <cell r="B167" t="str">
            <v>18039-0</v>
          </cell>
          <cell r="C167">
            <v>7896714221083</v>
          </cell>
          <cell r="D167" t="str">
            <v>NEOCOFLAN 11,6 MG/G AERO TOP TUB 85ML</v>
          </cell>
          <cell r="E167" t="str">
            <v>SIM</v>
          </cell>
          <cell r="F167" t="str">
            <v>S</v>
          </cell>
          <cell r="G167" t="str">
            <v>PRIORITARIO SMART</v>
          </cell>
          <cell r="H167">
            <v>5</v>
          </cell>
          <cell r="I167">
            <v>50</v>
          </cell>
          <cell r="J167" t="str">
            <v>Liberado</v>
          </cell>
          <cell r="K167" t="str">
            <v>Negativa</v>
          </cell>
          <cell r="L167" t="str">
            <v>Sim</v>
          </cell>
          <cell r="M167" t="str">
            <v>NACIONAL</v>
          </cell>
          <cell r="N167" t="str">
            <v>NACIONAL</v>
          </cell>
          <cell r="P167">
            <v>31.66</v>
          </cell>
          <cell r="Q167">
            <v>36.369999999999997</v>
          </cell>
          <cell r="R167">
            <v>36.880000000000003</v>
          </cell>
          <cell r="S167">
            <v>37.409999999999997</v>
          </cell>
          <cell r="T167">
            <v>34.01</v>
          </cell>
          <cell r="U167">
            <v>36.619999999999997</v>
          </cell>
          <cell r="V167">
            <v>31.85</v>
          </cell>
          <cell r="W167">
            <v>32.04</v>
          </cell>
          <cell r="X167">
            <v>37.950000000000003</v>
          </cell>
          <cell r="Y167">
            <v>32.44</v>
          </cell>
          <cell r="Z167">
            <v>32.85</v>
          </cell>
          <cell r="AA167">
            <v>38.5</v>
          </cell>
          <cell r="AB167">
            <v>39.08</v>
          </cell>
          <cell r="AC167">
            <v>37.67</v>
          </cell>
          <cell r="AD167">
            <v>32.64</v>
          </cell>
          <cell r="AE167">
            <v>38.22</v>
          </cell>
          <cell r="AF167">
            <v>0</v>
          </cell>
          <cell r="AG167">
            <v>43.77</v>
          </cell>
          <cell r="AH167">
            <v>48.48</v>
          </cell>
          <cell r="AI167">
            <v>49.14</v>
          </cell>
          <cell r="AJ167">
            <v>49.82</v>
          </cell>
          <cell r="AK167">
            <v>45.43</v>
          </cell>
          <cell r="AL167">
            <v>48.8</v>
          </cell>
          <cell r="AM167">
            <v>44.03</v>
          </cell>
          <cell r="AN167">
            <v>44.29</v>
          </cell>
          <cell r="AO167">
            <v>50.51</v>
          </cell>
          <cell r="AP167">
            <v>44.85</v>
          </cell>
          <cell r="AQ167">
            <v>45.41</v>
          </cell>
          <cell r="AR167">
            <v>51.22</v>
          </cell>
          <cell r="AS167">
            <v>51.96</v>
          </cell>
          <cell r="AT167">
            <v>50.15</v>
          </cell>
          <cell r="AU167">
            <v>45.12</v>
          </cell>
          <cell r="AV167">
            <v>50.86</v>
          </cell>
          <cell r="AX167">
            <v>36.369999999999997</v>
          </cell>
          <cell r="AY167">
            <v>48.48</v>
          </cell>
          <cell r="AZ167">
            <v>0.17</v>
          </cell>
          <cell r="BA167">
            <v>0.12</v>
          </cell>
          <cell r="BB167" t="str">
            <v>#_NA</v>
          </cell>
          <cell r="BC167" t="str">
            <v>#_NA</v>
          </cell>
          <cell r="BD167" t="str">
            <v>#_NA</v>
          </cell>
          <cell r="BE167" t="str">
            <v>-</v>
          </cell>
          <cell r="BF167" t="str">
            <v>-</v>
          </cell>
          <cell r="BG167">
            <v>5.6820000000000002E-2</v>
          </cell>
          <cell r="BH167">
            <v>0.67249999999999999</v>
          </cell>
          <cell r="BI167">
            <v>11.23</v>
          </cell>
          <cell r="BJ167" t="str">
            <v>-</v>
          </cell>
          <cell r="BK167">
            <v>0.73</v>
          </cell>
          <cell r="BL167">
            <v>9.26</v>
          </cell>
          <cell r="BM167" t="str">
            <v>-</v>
          </cell>
          <cell r="BN167" t="str">
            <v>NÃO</v>
          </cell>
          <cell r="BO167" t="str">
            <v>NÃO</v>
          </cell>
          <cell r="BP167" t="str">
            <v>MS|S|NACIONAL|Sim|Negativa</v>
          </cell>
          <cell r="BR167" t="str">
            <v>TBD</v>
          </cell>
          <cell r="BS167">
            <v>0</v>
          </cell>
          <cell r="BT167" t="str">
            <v>#ERRO</v>
          </cell>
          <cell r="BU167">
            <v>9.26</v>
          </cell>
          <cell r="BV167" t="str">
            <v>-</v>
          </cell>
          <cell r="BX167" t="str">
            <v>TBD</v>
          </cell>
          <cell r="BY167" t="str">
            <v>TBD</v>
          </cell>
          <cell r="BZ167" t="str">
            <v>TBD</v>
          </cell>
          <cell r="CA167" t="str">
            <v>#ERRO</v>
          </cell>
          <cell r="CB167" t="str">
            <v>-</v>
          </cell>
        </row>
        <row r="168">
          <cell r="A168" t="str">
            <v>12303-0</v>
          </cell>
          <cell r="B168" t="str">
            <v>12303-0</v>
          </cell>
          <cell r="C168">
            <v>7896714230030</v>
          </cell>
          <cell r="D168" t="str">
            <v>NEOCOFLAN 11,6MG/G GEL BG ALUM 1X60G</v>
          </cell>
          <cell r="E168" t="str">
            <v>SIM</v>
          </cell>
          <cell r="F168" t="str">
            <v>S</v>
          </cell>
          <cell r="G168" t="str">
            <v>LINHA</v>
          </cell>
          <cell r="H168">
            <v>5</v>
          </cell>
          <cell r="I168">
            <v>60</v>
          </cell>
          <cell r="J168" t="str">
            <v>Liberado</v>
          </cell>
          <cell r="K168" t="str">
            <v>Negativa</v>
          </cell>
          <cell r="L168" t="str">
            <v>Sim</v>
          </cell>
          <cell r="M168" t="str">
            <v>NACIONAL</v>
          </cell>
          <cell r="N168" t="str">
            <v>NACIONAL</v>
          </cell>
          <cell r="P168">
            <v>20.190000000000001</v>
          </cell>
          <cell r="Q168">
            <v>23.19</v>
          </cell>
          <cell r="R168">
            <v>23.52</v>
          </cell>
          <cell r="S168">
            <v>23.86</v>
          </cell>
          <cell r="T168">
            <v>21.69</v>
          </cell>
          <cell r="U168">
            <v>23.36</v>
          </cell>
          <cell r="V168">
            <v>20.309999999999999</v>
          </cell>
          <cell r="W168">
            <v>20.440000000000001</v>
          </cell>
          <cell r="X168">
            <v>24.2</v>
          </cell>
          <cell r="Y168">
            <v>20.69</v>
          </cell>
          <cell r="Z168">
            <v>20.95</v>
          </cell>
          <cell r="AA168">
            <v>24.56</v>
          </cell>
          <cell r="AB168">
            <v>24.92</v>
          </cell>
          <cell r="AC168">
            <v>24.03</v>
          </cell>
          <cell r="AD168">
            <v>20.82</v>
          </cell>
          <cell r="AE168">
            <v>24.38</v>
          </cell>
          <cell r="AF168">
            <v>0</v>
          </cell>
          <cell r="AG168">
            <v>27.91</v>
          </cell>
          <cell r="AH168">
            <v>30.91</v>
          </cell>
          <cell r="AI168">
            <v>31.34</v>
          </cell>
          <cell r="AJ168">
            <v>31.77</v>
          </cell>
          <cell r="AK168">
            <v>28.97</v>
          </cell>
          <cell r="AL168">
            <v>31.13</v>
          </cell>
          <cell r="AM168">
            <v>28.08</v>
          </cell>
          <cell r="AN168">
            <v>28.26</v>
          </cell>
          <cell r="AO168">
            <v>32.21</v>
          </cell>
          <cell r="AP168">
            <v>28.6</v>
          </cell>
          <cell r="AQ168">
            <v>28.96</v>
          </cell>
          <cell r="AR168">
            <v>32.67</v>
          </cell>
          <cell r="AS168">
            <v>33.14</v>
          </cell>
          <cell r="AT168">
            <v>31.99</v>
          </cell>
          <cell r="AU168">
            <v>28.78</v>
          </cell>
          <cell r="AV168">
            <v>32.44</v>
          </cell>
          <cell r="AX168">
            <v>23.19</v>
          </cell>
          <cell r="AY168">
            <v>30.91</v>
          </cell>
          <cell r="AZ168">
            <v>0.17</v>
          </cell>
          <cell r="BA168">
            <v>0.12</v>
          </cell>
          <cell r="BB168" t="str">
            <v>#_NA</v>
          </cell>
          <cell r="BC168" t="str">
            <v>#_NA</v>
          </cell>
          <cell r="BD168" t="str">
            <v>#_NA</v>
          </cell>
          <cell r="BE168" t="str">
            <v>-</v>
          </cell>
          <cell r="BF168" t="str">
            <v>-</v>
          </cell>
          <cell r="BG168">
            <v>5.6820000000000002E-2</v>
          </cell>
          <cell r="BH168">
            <v>0.69630000000000003</v>
          </cell>
          <cell r="BI168">
            <v>6.64</v>
          </cell>
          <cell r="BJ168" t="str">
            <v>-</v>
          </cell>
          <cell r="BK168">
            <v>0.74950000000000006</v>
          </cell>
          <cell r="BL168">
            <v>5.48</v>
          </cell>
          <cell r="BM168" t="str">
            <v>-</v>
          </cell>
          <cell r="BN168" t="str">
            <v>NÃO</v>
          </cell>
          <cell r="BO168" t="str">
            <v>NÃO</v>
          </cell>
          <cell r="BP168" t="str">
            <v>MS|S|NACIONAL|Sim|Negativa</v>
          </cell>
          <cell r="BR168" t="str">
            <v>TBD</v>
          </cell>
          <cell r="BS168">
            <v>0</v>
          </cell>
          <cell r="BT168" t="str">
            <v>#ERRO</v>
          </cell>
          <cell r="BU168">
            <v>5.48</v>
          </cell>
          <cell r="BV168" t="str">
            <v>-</v>
          </cell>
          <cell r="BX168" t="str">
            <v>TBD</v>
          </cell>
          <cell r="BY168" t="str">
            <v>TBD</v>
          </cell>
          <cell r="BZ168" t="str">
            <v>TBD</v>
          </cell>
          <cell r="CA168" t="str">
            <v>#ERRO</v>
          </cell>
          <cell r="CB168" t="str">
            <v>-</v>
          </cell>
        </row>
        <row r="169">
          <cell r="A169" t="str">
            <v>12383-0</v>
          </cell>
          <cell r="B169" t="str">
            <v>12383-0</v>
          </cell>
          <cell r="C169">
            <v>7896714227290</v>
          </cell>
          <cell r="D169" t="str">
            <v>NEOCOFLAN 11,6MG/G GEL CT BG 1X30G</v>
          </cell>
          <cell r="E169" t="str">
            <v>SIM</v>
          </cell>
          <cell r="F169" t="str">
            <v>S</v>
          </cell>
          <cell r="G169" t="str">
            <v>LINHA</v>
          </cell>
          <cell r="H169">
            <v>0</v>
          </cell>
          <cell r="I169">
            <v>100</v>
          </cell>
          <cell r="J169" t="str">
            <v>Liberado</v>
          </cell>
          <cell r="K169" t="str">
            <v>Negativa</v>
          </cell>
          <cell r="L169" t="str">
            <v>Sim</v>
          </cell>
          <cell r="M169" t="str">
            <v>NACIONAL</v>
          </cell>
          <cell r="N169" t="str">
            <v>NACIONAL</v>
          </cell>
          <cell r="P169">
            <v>11.06</v>
          </cell>
          <cell r="Q169">
            <v>12.7</v>
          </cell>
          <cell r="R169">
            <v>12.88</v>
          </cell>
          <cell r="S169">
            <v>13.07</v>
          </cell>
          <cell r="T169">
            <v>11.88</v>
          </cell>
          <cell r="U169">
            <v>12.79</v>
          </cell>
          <cell r="V169">
            <v>11.13</v>
          </cell>
          <cell r="W169">
            <v>11.19</v>
          </cell>
          <cell r="X169">
            <v>13.25</v>
          </cell>
          <cell r="Y169">
            <v>11.33</v>
          </cell>
          <cell r="Z169">
            <v>11.47</v>
          </cell>
          <cell r="AA169">
            <v>13.45</v>
          </cell>
          <cell r="AB169">
            <v>13.65</v>
          </cell>
          <cell r="AC169">
            <v>13.16</v>
          </cell>
          <cell r="AD169">
            <v>11.4</v>
          </cell>
          <cell r="AE169">
            <v>13.35</v>
          </cell>
          <cell r="AF169">
            <v>0</v>
          </cell>
          <cell r="AG169">
            <v>15.29</v>
          </cell>
          <cell r="AH169">
            <v>16.93</v>
          </cell>
          <cell r="AI169">
            <v>17.16</v>
          </cell>
          <cell r="AJ169">
            <v>17.41</v>
          </cell>
          <cell r="AK169">
            <v>15.87</v>
          </cell>
          <cell r="AL169">
            <v>17.04</v>
          </cell>
          <cell r="AM169">
            <v>15.39</v>
          </cell>
          <cell r="AN169">
            <v>15.47</v>
          </cell>
          <cell r="AO169">
            <v>17.64</v>
          </cell>
          <cell r="AP169">
            <v>15.66</v>
          </cell>
          <cell r="AQ169">
            <v>15.86</v>
          </cell>
          <cell r="AR169">
            <v>17.89</v>
          </cell>
          <cell r="AS169">
            <v>18.149999999999999</v>
          </cell>
          <cell r="AT169">
            <v>17.52</v>
          </cell>
          <cell r="AU169">
            <v>15.76</v>
          </cell>
          <cell r="AV169">
            <v>17.760000000000002</v>
          </cell>
          <cell r="AX169">
            <v>12.7</v>
          </cell>
          <cell r="AY169">
            <v>16.93</v>
          </cell>
          <cell r="AZ169">
            <v>0.17</v>
          </cell>
          <cell r="BA169">
            <v>0.12</v>
          </cell>
          <cell r="BB169" t="str">
            <v>#_NA</v>
          </cell>
          <cell r="BC169" t="str">
            <v>#_NA</v>
          </cell>
          <cell r="BD169" t="str">
            <v>#_NA</v>
          </cell>
          <cell r="BE169" t="str">
            <v>-</v>
          </cell>
          <cell r="BF169" t="str">
            <v>-</v>
          </cell>
          <cell r="BG169">
            <v>5.6820000000000002E-2</v>
          </cell>
          <cell r="BH169">
            <v>0.57740000000000002</v>
          </cell>
          <cell r="BI169">
            <v>5.0599999999999996</v>
          </cell>
          <cell r="BJ169" t="str">
            <v>-</v>
          </cell>
          <cell r="BK169">
            <v>0.65080000000000005</v>
          </cell>
          <cell r="BL169">
            <v>4.18</v>
          </cell>
          <cell r="BM169" t="str">
            <v>-</v>
          </cell>
          <cell r="BN169" t="str">
            <v>NÃO</v>
          </cell>
          <cell r="BO169" t="str">
            <v>NÃO</v>
          </cell>
          <cell r="BP169" t="str">
            <v>MS|S|NACIONAL|Sim|Negativa</v>
          </cell>
          <cell r="BR169" t="str">
            <v>TBD</v>
          </cell>
          <cell r="BS169">
            <v>0</v>
          </cell>
          <cell r="BT169" t="str">
            <v>#ERRO</v>
          </cell>
          <cell r="BU169">
            <v>4.18</v>
          </cell>
          <cell r="BV169" t="str">
            <v>-</v>
          </cell>
          <cell r="BX169" t="str">
            <v>TBD</v>
          </cell>
          <cell r="BY169" t="str">
            <v>TBD</v>
          </cell>
          <cell r="BZ169" t="str">
            <v>TBD</v>
          </cell>
          <cell r="CA169" t="str">
            <v>#ERRO</v>
          </cell>
          <cell r="CB169" t="str">
            <v>-</v>
          </cell>
        </row>
        <row r="170">
          <cell r="A170" t="str">
            <v>15579-0</v>
          </cell>
          <cell r="B170" t="str">
            <v>15579-0</v>
          </cell>
          <cell r="C170">
            <v>7896714213446</v>
          </cell>
          <cell r="D170" t="str">
            <v>NEODIA 1,5MG COMP CT BL 1X1</v>
          </cell>
          <cell r="E170" t="str">
            <v>SIM</v>
          </cell>
          <cell r="F170" t="str">
            <v>S</v>
          </cell>
          <cell r="G170" t="str">
            <v>LINHA</v>
          </cell>
          <cell r="H170">
            <v>5</v>
          </cell>
          <cell r="I170">
            <v>60</v>
          </cell>
          <cell r="J170" t="str">
            <v>Monitorado</v>
          </cell>
          <cell r="K170" t="str">
            <v>Positiva</v>
          </cell>
          <cell r="L170" t="str">
            <v>Sim</v>
          </cell>
          <cell r="M170" t="str">
            <v>NACIONAL</v>
          </cell>
          <cell r="N170" t="str">
            <v>NACIONAL</v>
          </cell>
          <cell r="P170">
            <v>15.71</v>
          </cell>
          <cell r="Q170">
            <v>15.71</v>
          </cell>
          <cell r="R170">
            <v>15.9</v>
          </cell>
          <cell r="S170">
            <v>16.100000000000001</v>
          </cell>
          <cell r="T170">
            <v>14.82</v>
          </cell>
          <cell r="U170">
            <v>15.81</v>
          </cell>
          <cell r="V170">
            <v>15.81</v>
          </cell>
          <cell r="W170">
            <v>15.9</v>
          </cell>
          <cell r="X170">
            <v>16.3</v>
          </cell>
          <cell r="Y170">
            <v>16.100000000000001</v>
          </cell>
          <cell r="Z170">
            <v>16.3</v>
          </cell>
          <cell r="AA170">
            <v>16.510000000000002</v>
          </cell>
          <cell r="AB170">
            <v>16.72</v>
          </cell>
          <cell r="AC170">
            <v>16.2</v>
          </cell>
          <cell r="AD170">
            <v>16.2</v>
          </cell>
          <cell r="AE170">
            <v>16.399999999999999</v>
          </cell>
          <cell r="AF170">
            <v>0</v>
          </cell>
          <cell r="AG170">
            <v>21.72</v>
          </cell>
          <cell r="AH170">
            <v>21.72</v>
          </cell>
          <cell r="AI170">
            <v>21.98</v>
          </cell>
          <cell r="AJ170">
            <v>22.26</v>
          </cell>
          <cell r="AK170">
            <v>20.49</v>
          </cell>
          <cell r="AL170">
            <v>21.86</v>
          </cell>
          <cell r="AM170">
            <v>21.86</v>
          </cell>
          <cell r="AN170">
            <v>21.98</v>
          </cell>
          <cell r="AO170">
            <v>22.53</v>
          </cell>
          <cell r="AP170">
            <v>22.26</v>
          </cell>
          <cell r="AQ170">
            <v>22.53</v>
          </cell>
          <cell r="AR170">
            <v>22.82</v>
          </cell>
          <cell r="AS170">
            <v>23.11</v>
          </cell>
          <cell r="AT170">
            <v>22.4</v>
          </cell>
          <cell r="AU170">
            <v>22.4</v>
          </cell>
          <cell r="AV170">
            <v>22.67</v>
          </cell>
          <cell r="AX170">
            <v>15.71</v>
          </cell>
          <cell r="AY170">
            <v>21.72</v>
          </cell>
          <cell r="AZ170">
            <v>0.17</v>
          </cell>
          <cell r="BA170">
            <v>0.12</v>
          </cell>
          <cell r="BB170" t="str">
            <v>#_NA</v>
          </cell>
          <cell r="BC170" t="str">
            <v>#_NA</v>
          </cell>
          <cell r="BD170" t="str">
            <v>#_NA</v>
          </cell>
          <cell r="BE170" t="str">
            <v>-</v>
          </cell>
          <cell r="BF170" t="str">
            <v>-</v>
          </cell>
          <cell r="BG170">
            <v>5.6820000000000002E-2</v>
          </cell>
          <cell r="BH170">
            <v>0.93200000000000005</v>
          </cell>
          <cell r="BI170">
            <v>1.01</v>
          </cell>
          <cell r="BJ170" t="str">
            <v>-</v>
          </cell>
          <cell r="BK170">
            <v>0.93520000000000003</v>
          </cell>
          <cell r="BL170">
            <v>0.96</v>
          </cell>
          <cell r="BM170" t="str">
            <v>-</v>
          </cell>
          <cell r="BN170" t="str">
            <v>NÃO</v>
          </cell>
          <cell r="BO170" t="str">
            <v>NÃO</v>
          </cell>
          <cell r="BP170" t="str">
            <v>MS|S|NACIONAL|Sim|Positiva</v>
          </cell>
          <cell r="BR170" t="str">
            <v>TBD</v>
          </cell>
          <cell r="BS170">
            <v>0</v>
          </cell>
          <cell r="BT170" t="str">
            <v>#ERRO</v>
          </cell>
          <cell r="BU170">
            <v>0.96</v>
          </cell>
          <cell r="BV170" t="str">
            <v>-</v>
          </cell>
          <cell r="BX170" t="str">
            <v>TBD</v>
          </cell>
          <cell r="BY170" t="str">
            <v>TBD</v>
          </cell>
          <cell r="BZ170" t="str">
            <v>TBD</v>
          </cell>
          <cell r="CA170" t="str">
            <v>#ERRO</v>
          </cell>
          <cell r="CB170" t="str">
            <v>-</v>
          </cell>
        </row>
        <row r="171">
          <cell r="A171" t="str">
            <v>19669-0</v>
          </cell>
          <cell r="B171" t="str">
            <v>19669-0</v>
          </cell>
          <cell r="C171">
            <v>7896714265933</v>
          </cell>
          <cell r="D171" t="str">
            <v>NEOLEFRIN CT BL 20 COMP</v>
          </cell>
          <cell r="E171" t="str">
            <v>SIM</v>
          </cell>
          <cell r="F171" t="str">
            <v>S</v>
          </cell>
          <cell r="G171" t="str">
            <v>FOCO SMART</v>
          </cell>
          <cell r="H171">
            <v>5</v>
          </cell>
          <cell r="I171">
            <v>30</v>
          </cell>
          <cell r="J171" t="str">
            <v>Liberado</v>
          </cell>
          <cell r="K171" t="str">
            <v>Negativa</v>
          </cell>
          <cell r="L171" t="str">
            <v>Sim</v>
          </cell>
          <cell r="M171" t="str">
            <v>NACIONAL</v>
          </cell>
          <cell r="N171" t="str">
            <v>NACIONAL</v>
          </cell>
          <cell r="P171">
            <v>12.17</v>
          </cell>
          <cell r="Q171">
            <v>13.98</v>
          </cell>
          <cell r="R171">
            <v>14.17</v>
          </cell>
          <cell r="S171">
            <v>14.37</v>
          </cell>
          <cell r="T171">
            <v>13.07</v>
          </cell>
          <cell r="U171">
            <v>14.07</v>
          </cell>
          <cell r="V171">
            <v>12.24</v>
          </cell>
          <cell r="W171">
            <v>12.31</v>
          </cell>
          <cell r="X171">
            <v>14.58</v>
          </cell>
          <cell r="Y171">
            <v>12.47</v>
          </cell>
          <cell r="Z171">
            <v>12.62</v>
          </cell>
          <cell r="AA171">
            <v>14.8</v>
          </cell>
          <cell r="AB171">
            <v>15.02</v>
          </cell>
          <cell r="AC171">
            <v>14.48</v>
          </cell>
          <cell r="AD171">
            <v>12.54</v>
          </cell>
          <cell r="AE171">
            <v>14.69</v>
          </cell>
          <cell r="AF171">
            <v>0</v>
          </cell>
          <cell r="AG171">
            <v>16.82</v>
          </cell>
          <cell r="AH171">
            <v>18.63</v>
          </cell>
          <cell r="AI171">
            <v>18.88</v>
          </cell>
          <cell r="AJ171">
            <v>19.14</v>
          </cell>
          <cell r="AK171">
            <v>17.46</v>
          </cell>
          <cell r="AL171">
            <v>18.75</v>
          </cell>
          <cell r="AM171">
            <v>16.920000000000002</v>
          </cell>
          <cell r="AN171">
            <v>17.02</v>
          </cell>
          <cell r="AO171">
            <v>19.41</v>
          </cell>
          <cell r="AP171">
            <v>17.239999999999998</v>
          </cell>
          <cell r="AQ171">
            <v>17.45</v>
          </cell>
          <cell r="AR171">
            <v>19.690000000000001</v>
          </cell>
          <cell r="AS171">
            <v>19.97</v>
          </cell>
          <cell r="AT171">
            <v>19.28</v>
          </cell>
          <cell r="AU171">
            <v>17.34</v>
          </cell>
          <cell r="AV171">
            <v>19.55</v>
          </cell>
          <cell r="AX171">
            <v>13.98</v>
          </cell>
          <cell r="AY171">
            <v>18.63</v>
          </cell>
          <cell r="AZ171">
            <v>0.17</v>
          </cell>
          <cell r="BA171">
            <v>0.12</v>
          </cell>
          <cell r="BB171" t="str">
            <v>#_NA</v>
          </cell>
          <cell r="BC171" t="str">
            <v>#_NA</v>
          </cell>
          <cell r="BD171" t="str">
            <v>#_NA</v>
          </cell>
          <cell r="BE171" t="str">
            <v>-</v>
          </cell>
          <cell r="BF171" t="str">
            <v>-</v>
          </cell>
          <cell r="BG171">
            <v>5.6820000000000002E-2</v>
          </cell>
          <cell r="BH171">
            <v>0.53779999999999994</v>
          </cell>
          <cell r="BI171">
            <v>6.1</v>
          </cell>
          <cell r="BJ171" t="str">
            <v>-</v>
          </cell>
          <cell r="BK171">
            <v>0.62019999999999997</v>
          </cell>
          <cell r="BL171">
            <v>5.01</v>
          </cell>
          <cell r="BM171" t="str">
            <v>-</v>
          </cell>
          <cell r="BN171" t="str">
            <v>SIM</v>
          </cell>
          <cell r="BO171" t="str">
            <v>NÃO</v>
          </cell>
          <cell r="BP171" t="str">
            <v>MS|S|NACIONAL|Sim|Negativa</v>
          </cell>
          <cell r="BR171" t="str">
            <v>TBD</v>
          </cell>
          <cell r="BS171">
            <v>0</v>
          </cell>
          <cell r="BT171" t="str">
            <v>#ERRO</v>
          </cell>
          <cell r="BU171">
            <v>5.01</v>
          </cell>
          <cell r="BV171" t="str">
            <v>-</v>
          </cell>
          <cell r="BX171" t="str">
            <v>TBD</v>
          </cell>
          <cell r="BY171" t="str">
            <v>TBD</v>
          </cell>
          <cell r="BZ171" t="str">
            <v>TBD</v>
          </cell>
          <cell r="CA171" t="str">
            <v>#ERRO</v>
          </cell>
          <cell r="CB171" t="str">
            <v>-</v>
          </cell>
        </row>
        <row r="172">
          <cell r="A172" t="str">
            <v>20418-0</v>
          </cell>
          <cell r="B172" t="str">
            <v>20418-0</v>
          </cell>
          <cell r="C172">
            <v>7896714273822</v>
          </cell>
          <cell r="D172" t="str">
            <v>NEOLEFRIN DIA CT BL 20 COMP</v>
          </cell>
          <cell r="E172" t="str">
            <v>SIM</v>
          </cell>
          <cell r="F172" t="str">
            <v>S</v>
          </cell>
          <cell r="G172" t="str">
            <v>FOCO SMART</v>
          </cell>
          <cell r="H172">
            <v>5</v>
          </cell>
          <cell r="I172">
            <v>30</v>
          </cell>
          <cell r="J172" t="str">
            <v>Liberado</v>
          </cell>
          <cell r="K172" t="str">
            <v>Negativa</v>
          </cell>
          <cell r="L172" t="str">
            <v>Sim</v>
          </cell>
          <cell r="M172" t="str">
            <v>NACIONAL</v>
          </cell>
          <cell r="N172" t="str">
            <v>NACIONAL</v>
          </cell>
          <cell r="P172">
            <v>12.17</v>
          </cell>
          <cell r="Q172">
            <v>13.98</v>
          </cell>
          <cell r="R172">
            <v>14.17</v>
          </cell>
          <cell r="S172">
            <v>14.37</v>
          </cell>
          <cell r="T172">
            <v>13.07</v>
          </cell>
          <cell r="U172">
            <v>14.07</v>
          </cell>
          <cell r="V172">
            <v>12.24</v>
          </cell>
          <cell r="W172">
            <v>12.31</v>
          </cell>
          <cell r="X172">
            <v>14.58</v>
          </cell>
          <cell r="Y172">
            <v>12.47</v>
          </cell>
          <cell r="Z172">
            <v>12.62</v>
          </cell>
          <cell r="AA172">
            <v>14.8</v>
          </cell>
          <cell r="AB172">
            <v>15.02</v>
          </cell>
          <cell r="AC172">
            <v>14.48</v>
          </cell>
          <cell r="AD172">
            <v>12.54</v>
          </cell>
          <cell r="AE172">
            <v>14.69</v>
          </cell>
          <cell r="AF172">
            <v>0</v>
          </cell>
          <cell r="AG172">
            <v>16.82</v>
          </cell>
          <cell r="AH172">
            <v>18.63</v>
          </cell>
          <cell r="AI172">
            <v>18.88</v>
          </cell>
          <cell r="AJ172">
            <v>19.14</v>
          </cell>
          <cell r="AK172">
            <v>17.46</v>
          </cell>
          <cell r="AL172">
            <v>18.75</v>
          </cell>
          <cell r="AM172">
            <v>16.920000000000002</v>
          </cell>
          <cell r="AN172">
            <v>17.02</v>
          </cell>
          <cell r="AO172">
            <v>19.41</v>
          </cell>
          <cell r="AP172">
            <v>17.239999999999998</v>
          </cell>
          <cell r="AQ172">
            <v>17.45</v>
          </cell>
          <cell r="AR172">
            <v>19.690000000000001</v>
          </cell>
          <cell r="AS172">
            <v>19.97</v>
          </cell>
          <cell r="AT172">
            <v>19.28</v>
          </cell>
          <cell r="AU172">
            <v>17.34</v>
          </cell>
          <cell r="AV172">
            <v>19.55</v>
          </cell>
          <cell r="AX172">
            <v>13.98</v>
          </cell>
          <cell r="AY172">
            <v>18.63</v>
          </cell>
          <cell r="AZ172">
            <v>0.17</v>
          </cell>
          <cell r="BA172">
            <v>0.12</v>
          </cell>
          <cell r="BB172" t="str">
            <v>#_NA</v>
          </cell>
          <cell r="BC172" t="str">
            <v>#_NA</v>
          </cell>
          <cell r="BD172" t="str">
            <v>#_NA</v>
          </cell>
          <cell r="BE172" t="str">
            <v>-</v>
          </cell>
          <cell r="BF172" t="str">
            <v>-</v>
          </cell>
          <cell r="BG172">
            <v>5.6820000000000002E-2</v>
          </cell>
          <cell r="BH172">
            <v>0.58479999999999999</v>
          </cell>
          <cell r="BI172">
            <v>5.48</v>
          </cell>
          <cell r="BJ172" t="str">
            <v>-</v>
          </cell>
          <cell r="BK172">
            <v>0.65880000000000005</v>
          </cell>
          <cell r="BL172">
            <v>4.5</v>
          </cell>
          <cell r="BM172" t="str">
            <v>-</v>
          </cell>
          <cell r="BN172" t="str">
            <v>SIM</v>
          </cell>
          <cell r="BO172" t="str">
            <v>NÃO</v>
          </cell>
          <cell r="BP172" t="str">
            <v>MS|S|NACIONAL|Sim|Negativa</v>
          </cell>
          <cell r="BR172" t="str">
            <v>TBD</v>
          </cell>
          <cell r="BS172">
            <v>0</v>
          </cell>
          <cell r="BT172" t="str">
            <v>#ERRO</v>
          </cell>
          <cell r="BU172">
            <v>4.5</v>
          </cell>
          <cell r="BV172" t="str">
            <v>-</v>
          </cell>
          <cell r="BX172" t="str">
            <v>TBD</v>
          </cell>
          <cell r="BY172" t="str">
            <v>TBD</v>
          </cell>
          <cell r="BZ172" t="str">
            <v>TBD</v>
          </cell>
          <cell r="CA172" t="str">
            <v>#ERRO</v>
          </cell>
          <cell r="CB172" t="str">
            <v>-</v>
          </cell>
        </row>
        <row r="173">
          <cell r="A173" t="str">
            <v>19759-0</v>
          </cell>
          <cell r="B173" t="str">
            <v>19759-0</v>
          </cell>
          <cell r="C173">
            <v>7896714214566</v>
          </cell>
          <cell r="D173" t="str">
            <v>NEOLEFRIN DISP BL 200 COMP (50X4)</v>
          </cell>
          <cell r="E173" t="str">
            <v>SIM</v>
          </cell>
          <cell r="F173" t="str">
            <v>S</v>
          </cell>
          <cell r="G173" t="str">
            <v>FOCO SMART</v>
          </cell>
          <cell r="H173">
            <v>5</v>
          </cell>
          <cell r="I173">
            <v>12</v>
          </cell>
          <cell r="J173" t="str">
            <v>Liberado</v>
          </cell>
          <cell r="K173" t="str">
            <v>Negativa</v>
          </cell>
          <cell r="L173" t="str">
            <v>Sim</v>
          </cell>
          <cell r="M173" t="str">
            <v>NACIONAL</v>
          </cell>
          <cell r="N173" t="str">
            <v>NACIONAL</v>
          </cell>
          <cell r="P173">
            <v>417.37</v>
          </cell>
          <cell r="Q173">
            <v>479.45</v>
          </cell>
          <cell r="R173">
            <v>486.19</v>
          </cell>
          <cell r="S173">
            <v>493.13</v>
          </cell>
          <cell r="T173">
            <v>448.36</v>
          </cell>
          <cell r="U173">
            <v>482.8</v>
          </cell>
          <cell r="V173">
            <v>419.9</v>
          </cell>
          <cell r="W173">
            <v>422.46</v>
          </cell>
          <cell r="X173">
            <v>500.27</v>
          </cell>
          <cell r="Y173">
            <v>427.68</v>
          </cell>
          <cell r="Z173">
            <v>433.02</v>
          </cell>
          <cell r="AA173">
            <v>507.62</v>
          </cell>
          <cell r="AB173">
            <v>515.19000000000005</v>
          </cell>
          <cell r="AC173">
            <v>496.68</v>
          </cell>
          <cell r="AD173">
            <v>430.33</v>
          </cell>
          <cell r="AE173">
            <v>503.92</v>
          </cell>
          <cell r="AF173">
            <v>0</v>
          </cell>
          <cell r="AG173">
            <v>576.99</v>
          </cell>
          <cell r="AH173">
            <v>639.07000000000005</v>
          </cell>
          <cell r="AI173">
            <v>647.75</v>
          </cell>
          <cell r="AJ173">
            <v>656.69</v>
          </cell>
          <cell r="AK173">
            <v>598.91</v>
          </cell>
          <cell r="AL173">
            <v>643.39</v>
          </cell>
          <cell r="AM173">
            <v>580.49</v>
          </cell>
          <cell r="AN173">
            <v>584.03</v>
          </cell>
          <cell r="AO173">
            <v>665.88</v>
          </cell>
          <cell r="AP173">
            <v>591.24</v>
          </cell>
          <cell r="AQ173">
            <v>598.62</v>
          </cell>
          <cell r="AR173">
            <v>675.32</v>
          </cell>
          <cell r="AS173">
            <v>685.04</v>
          </cell>
          <cell r="AT173">
            <v>661.26</v>
          </cell>
          <cell r="AU173">
            <v>594.91</v>
          </cell>
          <cell r="AV173">
            <v>670.57</v>
          </cell>
          <cell r="AX173">
            <v>479.45</v>
          </cell>
          <cell r="AY173">
            <v>639.07000000000005</v>
          </cell>
          <cell r="AZ173">
            <v>0.17</v>
          </cell>
          <cell r="BA173">
            <v>0.12</v>
          </cell>
          <cell r="BB173" t="str">
            <v>#_NA</v>
          </cell>
          <cell r="BC173" t="str">
            <v>#_NA</v>
          </cell>
          <cell r="BD173" t="str">
            <v>#_NA</v>
          </cell>
          <cell r="BE173" t="str">
            <v>-</v>
          </cell>
          <cell r="BF173" t="str">
            <v>-</v>
          </cell>
          <cell r="BG173">
            <v>5.6820000000000002E-2</v>
          </cell>
          <cell r="BH173">
            <v>0.76719999999999999</v>
          </cell>
          <cell r="BI173">
            <v>105.27</v>
          </cell>
          <cell r="BJ173" t="str">
            <v>-</v>
          </cell>
          <cell r="BK173">
            <v>0.80810000000000004</v>
          </cell>
          <cell r="BL173">
            <v>86.78</v>
          </cell>
          <cell r="BM173" t="str">
            <v>-</v>
          </cell>
          <cell r="BN173" t="str">
            <v>NÃO</v>
          </cell>
          <cell r="BO173" t="str">
            <v>NÃO</v>
          </cell>
          <cell r="BP173" t="str">
            <v>MS|S|NACIONAL|Sim|Negativa</v>
          </cell>
          <cell r="BR173" t="str">
            <v>TBD</v>
          </cell>
          <cell r="BS173">
            <v>0</v>
          </cell>
          <cell r="BT173" t="str">
            <v>#ERRO</v>
          </cell>
          <cell r="BU173">
            <v>86.78</v>
          </cell>
          <cell r="BV173" t="str">
            <v>-</v>
          </cell>
          <cell r="BX173" t="str">
            <v>TBD</v>
          </cell>
          <cell r="BY173" t="str">
            <v>TBD</v>
          </cell>
          <cell r="BZ173" t="str">
            <v>TBD</v>
          </cell>
          <cell r="CA173" t="str">
            <v>#ERRO</v>
          </cell>
          <cell r="CB173" t="str">
            <v>-</v>
          </cell>
        </row>
        <row r="174">
          <cell r="A174" t="str">
            <v>18335-0</v>
          </cell>
          <cell r="B174" t="str">
            <v>18335-0</v>
          </cell>
          <cell r="C174">
            <v>7896714254784</v>
          </cell>
          <cell r="D174" t="str">
            <v>NEOLEFRIN XPE FR VD AMB 1X60ML+COPO MED</v>
          </cell>
          <cell r="E174" t="str">
            <v>SIM</v>
          </cell>
          <cell r="F174" t="str">
            <v>S</v>
          </cell>
          <cell r="G174" t="str">
            <v>FOCO SMART</v>
          </cell>
          <cell r="H174">
            <v>5</v>
          </cell>
          <cell r="I174">
            <v>60</v>
          </cell>
          <cell r="J174" t="str">
            <v>Liberado</v>
          </cell>
          <cell r="K174" t="str">
            <v>Negativa</v>
          </cell>
          <cell r="L174" t="str">
            <v>Sim</v>
          </cell>
          <cell r="M174" t="str">
            <v>NACIONAL</v>
          </cell>
          <cell r="N174" t="str">
            <v>NACIONAL</v>
          </cell>
          <cell r="P174">
            <v>15.89</v>
          </cell>
          <cell r="Q174">
            <v>18.25</v>
          </cell>
          <cell r="R174">
            <v>18.510000000000002</v>
          </cell>
          <cell r="S174">
            <v>18.77</v>
          </cell>
          <cell r="T174">
            <v>17.07</v>
          </cell>
          <cell r="U174">
            <v>18.38</v>
          </cell>
          <cell r="V174">
            <v>15.98</v>
          </cell>
          <cell r="W174">
            <v>16.079999999999998</v>
          </cell>
          <cell r="X174">
            <v>19.04</v>
          </cell>
          <cell r="Y174">
            <v>16.28</v>
          </cell>
          <cell r="Z174">
            <v>16.48</v>
          </cell>
          <cell r="AA174">
            <v>19.32</v>
          </cell>
          <cell r="AB174">
            <v>19.61</v>
          </cell>
          <cell r="AC174">
            <v>18.91</v>
          </cell>
          <cell r="AD174">
            <v>16.38</v>
          </cell>
          <cell r="AE174">
            <v>19.18</v>
          </cell>
          <cell r="AF174">
            <v>0</v>
          </cell>
          <cell r="AG174">
            <v>21.97</v>
          </cell>
          <cell r="AH174">
            <v>24.33</v>
          </cell>
          <cell r="AI174">
            <v>24.66</v>
          </cell>
          <cell r="AJ174">
            <v>25</v>
          </cell>
          <cell r="AK174">
            <v>22.8</v>
          </cell>
          <cell r="AL174">
            <v>24.49</v>
          </cell>
          <cell r="AM174">
            <v>22.09</v>
          </cell>
          <cell r="AN174">
            <v>22.23</v>
          </cell>
          <cell r="AO174">
            <v>25.34</v>
          </cell>
          <cell r="AP174">
            <v>22.51</v>
          </cell>
          <cell r="AQ174">
            <v>22.78</v>
          </cell>
          <cell r="AR174">
            <v>25.7</v>
          </cell>
          <cell r="AS174">
            <v>26.08</v>
          </cell>
          <cell r="AT174">
            <v>25.18</v>
          </cell>
          <cell r="AU174">
            <v>22.64</v>
          </cell>
          <cell r="AV174">
            <v>25.52</v>
          </cell>
          <cell r="AX174">
            <v>18.25</v>
          </cell>
          <cell r="AY174">
            <v>24.33</v>
          </cell>
          <cell r="AZ174">
            <v>0.17</v>
          </cell>
          <cell r="BA174">
            <v>0.12</v>
          </cell>
          <cell r="BB174" t="str">
            <v>#_NA</v>
          </cell>
          <cell r="BC174" t="str">
            <v>#_NA</v>
          </cell>
          <cell r="BD174" t="str">
            <v>#_NA</v>
          </cell>
          <cell r="BE174" t="str">
            <v>-</v>
          </cell>
          <cell r="BF174" t="str">
            <v>-</v>
          </cell>
          <cell r="BG174">
            <v>5.6820000000000002E-2</v>
          </cell>
          <cell r="BH174">
            <v>0.57150000000000001</v>
          </cell>
          <cell r="BI174">
            <v>7.37</v>
          </cell>
          <cell r="BJ174" t="str">
            <v>-</v>
          </cell>
          <cell r="BK174">
            <v>0.64700000000000002</v>
          </cell>
          <cell r="BL174">
            <v>6.08</v>
          </cell>
          <cell r="BM174" t="str">
            <v>-</v>
          </cell>
          <cell r="BN174" t="str">
            <v>NÃO</v>
          </cell>
          <cell r="BO174" t="str">
            <v>NÃO</v>
          </cell>
          <cell r="BP174" t="str">
            <v>MS|S|NACIONAL|Sim|Negativa</v>
          </cell>
          <cell r="BR174" t="str">
            <v>TBD</v>
          </cell>
          <cell r="BS174">
            <v>0</v>
          </cell>
          <cell r="BT174" t="str">
            <v>#ERRO</v>
          </cell>
          <cell r="BU174">
            <v>6.08</v>
          </cell>
          <cell r="BV174" t="str">
            <v>-</v>
          </cell>
          <cell r="BX174" t="str">
            <v>TBD</v>
          </cell>
          <cell r="BY174" t="str">
            <v>TBD</v>
          </cell>
          <cell r="BZ174" t="str">
            <v>TBD</v>
          </cell>
          <cell r="CA174" t="str">
            <v>#ERRO</v>
          </cell>
          <cell r="CB174" t="str">
            <v>-</v>
          </cell>
        </row>
        <row r="175">
          <cell r="A175" t="str">
            <v>12334-0</v>
          </cell>
          <cell r="B175" t="str">
            <v>12334-0</v>
          </cell>
          <cell r="C175">
            <v>7896714283005</v>
          </cell>
          <cell r="D175" t="str">
            <v>NEOPIRIDIN PAST CT ENV ALUM 3X4</v>
          </cell>
          <cell r="E175" t="str">
            <v>SIM</v>
          </cell>
          <cell r="F175" t="str">
            <v>S</v>
          </cell>
          <cell r="G175" t="str">
            <v>PRIORITARIO SMART</v>
          </cell>
          <cell r="H175">
            <v>5</v>
          </cell>
          <cell r="I175">
            <v>60</v>
          </cell>
          <cell r="J175" t="str">
            <v>Liberado</v>
          </cell>
          <cell r="K175" t="str">
            <v>Negativa</v>
          </cell>
          <cell r="L175" t="str">
            <v>Não</v>
          </cell>
          <cell r="M175" t="str">
            <v>NACIONAL</v>
          </cell>
          <cell r="N175" t="str">
            <v>NACIONAL</v>
          </cell>
          <cell r="P175">
            <v>9.9499999999999993</v>
          </cell>
          <cell r="Q175">
            <v>11.43</v>
          </cell>
          <cell r="R175">
            <v>11.59</v>
          </cell>
          <cell r="S175">
            <v>11.76</v>
          </cell>
          <cell r="T175">
            <v>10.69</v>
          </cell>
          <cell r="U175">
            <v>11.51</v>
          </cell>
          <cell r="V175">
            <v>10.01</v>
          </cell>
          <cell r="W175">
            <v>10.07</v>
          </cell>
          <cell r="X175">
            <v>11.93</v>
          </cell>
          <cell r="Y175">
            <v>10.199999999999999</v>
          </cell>
          <cell r="Z175">
            <v>10.32</v>
          </cell>
          <cell r="AA175">
            <v>12.1</v>
          </cell>
          <cell r="AB175">
            <v>12.28</v>
          </cell>
          <cell r="AC175">
            <v>11.84</v>
          </cell>
          <cell r="AD175">
            <v>10.26</v>
          </cell>
          <cell r="AE175">
            <v>12.01</v>
          </cell>
          <cell r="AF175">
            <v>0</v>
          </cell>
          <cell r="AG175">
            <v>13.76</v>
          </cell>
          <cell r="AH175">
            <v>15.24</v>
          </cell>
          <cell r="AI175">
            <v>15.44</v>
          </cell>
          <cell r="AJ175">
            <v>15.66</v>
          </cell>
          <cell r="AK175">
            <v>14.28</v>
          </cell>
          <cell r="AL175">
            <v>15.34</v>
          </cell>
          <cell r="AM175">
            <v>13.84</v>
          </cell>
          <cell r="AN175">
            <v>13.92</v>
          </cell>
          <cell r="AO175">
            <v>15.88</v>
          </cell>
          <cell r="AP175">
            <v>14.1</v>
          </cell>
          <cell r="AQ175">
            <v>14.27</v>
          </cell>
          <cell r="AR175">
            <v>16.100000000000001</v>
          </cell>
          <cell r="AS175">
            <v>16.329999999999998</v>
          </cell>
          <cell r="AT175">
            <v>15.76</v>
          </cell>
          <cell r="AU175">
            <v>14.18</v>
          </cell>
          <cell r="AV175">
            <v>15.98</v>
          </cell>
          <cell r="AX175">
            <v>11.43</v>
          </cell>
          <cell r="AY175">
            <v>15.24</v>
          </cell>
          <cell r="AZ175">
            <v>0.17</v>
          </cell>
          <cell r="BA175">
            <v>0.12</v>
          </cell>
          <cell r="BB175" t="str">
            <v>#_NA</v>
          </cell>
          <cell r="BC175" t="str">
            <v>#_NA</v>
          </cell>
          <cell r="BD175" t="str">
            <v>#_NA</v>
          </cell>
          <cell r="BE175" t="str">
            <v>-</v>
          </cell>
          <cell r="BF175" t="str">
            <v>-</v>
          </cell>
          <cell r="BG175">
            <v>5.6820000000000002E-2</v>
          </cell>
          <cell r="BH175">
            <v>0.3039</v>
          </cell>
          <cell r="BI175">
            <v>7.5</v>
          </cell>
          <cell r="BJ175" t="str">
            <v>-</v>
          </cell>
          <cell r="BK175">
            <v>0.4259</v>
          </cell>
          <cell r="BL175">
            <v>6.19</v>
          </cell>
          <cell r="BM175" t="str">
            <v>-</v>
          </cell>
          <cell r="BN175" t="str">
            <v>NÃO</v>
          </cell>
          <cell r="BO175" t="str">
            <v>NÃO</v>
          </cell>
          <cell r="BP175" t="str">
            <v>MS|S|NACIONAL|Não|Negativa</v>
          </cell>
          <cell r="BR175" t="str">
            <v>TBD</v>
          </cell>
          <cell r="BS175">
            <v>0</v>
          </cell>
          <cell r="BT175" t="str">
            <v>#ERRO</v>
          </cell>
          <cell r="BU175">
            <v>6.19</v>
          </cell>
          <cell r="BV175" t="str">
            <v>-</v>
          </cell>
          <cell r="BX175" t="str">
            <v>TBD</v>
          </cell>
          <cell r="BY175" t="str">
            <v>TBD</v>
          </cell>
          <cell r="BZ175" t="str">
            <v>TBD</v>
          </cell>
          <cell r="CA175" t="str">
            <v>#ERRO</v>
          </cell>
          <cell r="CB175" t="str">
            <v>-</v>
          </cell>
        </row>
        <row r="176">
          <cell r="A176" t="str">
            <v>12321-0</v>
          </cell>
          <cell r="B176" t="str">
            <v>12321-0</v>
          </cell>
          <cell r="C176">
            <v>7896714270029</v>
          </cell>
          <cell r="D176" t="str">
            <v>NEOPIRIDIN SPRAY FR VD 1X50ML</v>
          </cell>
          <cell r="E176" t="str">
            <v>SIM</v>
          </cell>
          <cell r="F176" t="str">
            <v>S</v>
          </cell>
          <cell r="G176" t="str">
            <v>PRIORITARIO SMART</v>
          </cell>
          <cell r="H176">
            <v>5</v>
          </cell>
          <cell r="I176">
            <v>60</v>
          </cell>
          <cell r="J176" t="str">
            <v>Liberado</v>
          </cell>
          <cell r="K176" t="str">
            <v>Negativa</v>
          </cell>
          <cell r="L176" t="str">
            <v>Sim</v>
          </cell>
          <cell r="M176" t="str">
            <v>NACIONAL</v>
          </cell>
          <cell r="N176" t="str">
            <v>NACIONAL</v>
          </cell>
          <cell r="P176">
            <v>27.25</v>
          </cell>
          <cell r="Q176">
            <v>31.3</v>
          </cell>
          <cell r="R176">
            <v>31.74</v>
          </cell>
          <cell r="S176">
            <v>32.19</v>
          </cell>
          <cell r="T176">
            <v>29.27</v>
          </cell>
          <cell r="U176">
            <v>31.52</v>
          </cell>
          <cell r="V176">
            <v>27.41</v>
          </cell>
          <cell r="W176">
            <v>27.58</v>
          </cell>
          <cell r="X176">
            <v>32.659999999999997</v>
          </cell>
          <cell r="Y176">
            <v>27.92</v>
          </cell>
          <cell r="Z176">
            <v>28.27</v>
          </cell>
          <cell r="AA176">
            <v>33.14</v>
          </cell>
          <cell r="AB176">
            <v>33.630000000000003</v>
          </cell>
          <cell r="AC176">
            <v>32.43</v>
          </cell>
          <cell r="AD176">
            <v>28.09</v>
          </cell>
          <cell r="AE176">
            <v>32.9</v>
          </cell>
          <cell r="AF176">
            <v>0</v>
          </cell>
          <cell r="AG176">
            <v>37.67</v>
          </cell>
          <cell r="AH176">
            <v>41.72</v>
          </cell>
          <cell r="AI176">
            <v>42.29</v>
          </cell>
          <cell r="AJ176">
            <v>42.87</v>
          </cell>
          <cell r="AK176">
            <v>39.1</v>
          </cell>
          <cell r="AL176">
            <v>42</v>
          </cell>
          <cell r="AM176">
            <v>37.89</v>
          </cell>
          <cell r="AN176">
            <v>38.130000000000003</v>
          </cell>
          <cell r="AO176">
            <v>43.47</v>
          </cell>
          <cell r="AP176">
            <v>38.6</v>
          </cell>
          <cell r="AQ176">
            <v>39.08</v>
          </cell>
          <cell r="AR176">
            <v>44.09</v>
          </cell>
          <cell r="AS176">
            <v>44.72</v>
          </cell>
          <cell r="AT176">
            <v>43.18</v>
          </cell>
          <cell r="AU176">
            <v>38.83</v>
          </cell>
          <cell r="AV176">
            <v>43.78</v>
          </cell>
          <cell r="AX176">
            <v>31.3</v>
          </cell>
          <cell r="AY176">
            <v>41.72</v>
          </cell>
          <cell r="AZ176">
            <v>0.17</v>
          </cell>
          <cell r="BA176">
            <v>0.12</v>
          </cell>
          <cell r="BB176" t="str">
            <v>#_NA</v>
          </cell>
          <cell r="BC176" t="str">
            <v>#_NA</v>
          </cell>
          <cell r="BD176" t="str">
            <v>#_NA</v>
          </cell>
          <cell r="BE176" t="str">
            <v>-</v>
          </cell>
          <cell r="BF176" t="str">
            <v>-</v>
          </cell>
          <cell r="BG176">
            <v>5.6820000000000002E-2</v>
          </cell>
          <cell r="BH176">
            <v>0.6482</v>
          </cell>
          <cell r="BI176">
            <v>10.39</v>
          </cell>
          <cell r="BJ176" t="str">
            <v>-</v>
          </cell>
          <cell r="BK176">
            <v>0.70989999999999998</v>
          </cell>
          <cell r="BL176">
            <v>8.56</v>
          </cell>
          <cell r="BM176" t="str">
            <v>-</v>
          </cell>
          <cell r="BN176" t="str">
            <v>NÃO</v>
          </cell>
          <cell r="BO176" t="str">
            <v>NÃO</v>
          </cell>
          <cell r="BP176" t="str">
            <v>MS|S|NACIONAL|Sim|Negativa</v>
          </cell>
          <cell r="BR176" t="str">
            <v>TBD</v>
          </cell>
          <cell r="BS176">
            <v>0</v>
          </cell>
          <cell r="BT176" t="str">
            <v>#ERRO</v>
          </cell>
          <cell r="BU176">
            <v>8.56</v>
          </cell>
          <cell r="BV176" t="str">
            <v>-</v>
          </cell>
          <cell r="BX176" t="str">
            <v>TBD</v>
          </cell>
          <cell r="BY176" t="str">
            <v>TBD</v>
          </cell>
          <cell r="BZ176" t="str">
            <v>TBD</v>
          </cell>
          <cell r="CA176" t="str">
            <v>#ERRO</v>
          </cell>
          <cell r="CB176" t="str">
            <v>-</v>
          </cell>
        </row>
        <row r="177">
          <cell r="A177" t="str">
            <v>12761-0</v>
          </cell>
          <cell r="B177" t="str">
            <v>12761-0</v>
          </cell>
          <cell r="C177">
            <v>7896714218205</v>
          </cell>
          <cell r="D177" t="str">
            <v>NEOPRAZOL 20MG CAP CT FR PL 1X28</v>
          </cell>
          <cell r="E177" t="str">
            <v>SIM</v>
          </cell>
          <cell r="F177" t="str">
            <v>S</v>
          </cell>
          <cell r="G177" t="str">
            <v>LINHA</v>
          </cell>
          <cell r="H177">
            <v>0</v>
          </cell>
          <cell r="I177">
            <v>100</v>
          </cell>
          <cell r="J177" t="str">
            <v>Monitorado</v>
          </cell>
          <cell r="K177" t="str">
            <v>Positiva</v>
          </cell>
          <cell r="L177" t="str">
            <v>Sim</v>
          </cell>
          <cell r="M177" t="str">
            <v>NACIONAL</v>
          </cell>
          <cell r="N177" t="str">
            <v>NACIONAL</v>
          </cell>
          <cell r="P177">
            <v>38.479999999999997</v>
          </cell>
          <cell r="Q177">
            <v>38.479999999999997</v>
          </cell>
          <cell r="R177">
            <v>38.950000000000003</v>
          </cell>
          <cell r="S177">
            <v>39.43</v>
          </cell>
          <cell r="T177">
            <v>36.299999999999997</v>
          </cell>
          <cell r="U177">
            <v>38.72</v>
          </cell>
          <cell r="V177">
            <v>38.72</v>
          </cell>
          <cell r="W177">
            <v>38.950000000000003</v>
          </cell>
          <cell r="X177">
            <v>39.93</v>
          </cell>
          <cell r="Y177">
            <v>39.43</v>
          </cell>
          <cell r="Z177">
            <v>39.93</v>
          </cell>
          <cell r="AA177">
            <v>40.43</v>
          </cell>
          <cell r="AB177">
            <v>40.950000000000003</v>
          </cell>
          <cell r="AC177">
            <v>39.68</v>
          </cell>
          <cell r="AD177">
            <v>39.68</v>
          </cell>
          <cell r="AE177">
            <v>40.18</v>
          </cell>
          <cell r="AF177">
            <v>0</v>
          </cell>
          <cell r="AG177">
            <v>53.2</v>
          </cell>
          <cell r="AH177">
            <v>53.2</v>
          </cell>
          <cell r="AI177">
            <v>53.85</v>
          </cell>
          <cell r="AJ177">
            <v>54.51</v>
          </cell>
          <cell r="AK177">
            <v>50.18</v>
          </cell>
          <cell r="AL177">
            <v>53.53</v>
          </cell>
          <cell r="AM177">
            <v>53.53</v>
          </cell>
          <cell r="AN177">
            <v>53.85</v>
          </cell>
          <cell r="AO177">
            <v>55.2</v>
          </cell>
          <cell r="AP177">
            <v>54.51</v>
          </cell>
          <cell r="AQ177">
            <v>55.2</v>
          </cell>
          <cell r="AR177">
            <v>55.89</v>
          </cell>
          <cell r="AS177">
            <v>56.61</v>
          </cell>
          <cell r="AT177">
            <v>54.86</v>
          </cell>
          <cell r="AU177">
            <v>54.86</v>
          </cell>
          <cell r="AV177">
            <v>55.55</v>
          </cell>
          <cell r="AX177">
            <v>38.479999999999997</v>
          </cell>
          <cell r="AY177">
            <v>53.2</v>
          </cell>
          <cell r="AZ177">
            <v>0.17</v>
          </cell>
          <cell r="BA177">
            <v>0.12</v>
          </cell>
          <cell r="BB177" t="str">
            <v>#_NA</v>
          </cell>
          <cell r="BC177" t="str">
            <v>#_NA</v>
          </cell>
          <cell r="BD177" t="str">
            <v>#_NA</v>
          </cell>
          <cell r="BE177" t="str">
            <v>-</v>
          </cell>
          <cell r="BF177" t="str">
            <v>-</v>
          </cell>
          <cell r="BG177">
            <v>5.6820000000000002E-2</v>
          </cell>
          <cell r="BH177">
            <v>0.81710000000000005</v>
          </cell>
          <cell r="BI177">
            <v>6.64</v>
          </cell>
          <cell r="BJ177" t="str">
            <v>-</v>
          </cell>
          <cell r="BK177">
            <v>0.82579999999999998</v>
          </cell>
          <cell r="BL177">
            <v>6.32</v>
          </cell>
          <cell r="BM177" t="str">
            <v>-</v>
          </cell>
          <cell r="BN177" t="str">
            <v>NÃO</v>
          </cell>
          <cell r="BO177" t="str">
            <v>NÃO</v>
          </cell>
          <cell r="BP177" t="str">
            <v>MS|S|NACIONAL|Sim|Positiva</v>
          </cell>
          <cell r="BR177" t="str">
            <v>TBD</v>
          </cell>
          <cell r="BS177">
            <v>0</v>
          </cell>
          <cell r="BT177" t="str">
            <v>#ERRO</v>
          </cell>
          <cell r="BU177">
            <v>6.32</v>
          </cell>
          <cell r="BV177" t="str">
            <v>-</v>
          </cell>
          <cell r="BX177" t="str">
            <v>TBD</v>
          </cell>
          <cell r="BY177" t="str">
            <v>TBD</v>
          </cell>
          <cell r="BZ177" t="str">
            <v>TBD</v>
          </cell>
          <cell r="CA177" t="str">
            <v>#ERRO</v>
          </cell>
          <cell r="CB177" t="str">
            <v>-</v>
          </cell>
        </row>
        <row r="178">
          <cell r="A178" t="str">
            <v>16047-0</v>
          </cell>
          <cell r="B178" t="str">
            <v>16047-0</v>
          </cell>
          <cell r="C178">
            <v>7896714229898</v>
          </cell>
          <cell r="D178" t="str">
            <v>NEOPRAZOL 40MG CAP CT FR PL 1X28</v>
          </cell>
          <cell r="E178" t="str">
            <v>SIM</v>
          </cell>
          <cell r="F178" t="str">
            <v>S</v>
          </cell>
          <cell r="G178" t="str">
            <v>LINHA</v>
          </cell>
          <cell r="H178">
            <v>5</v>
          </cell>
          <cell r="I178">
            <v>60</v>
          </cell>
          <cell r="J178" t="str">
            <v>Monitorado</v>
          </cell>
          <cell r="K178" t="str">
            <v>Positiva</v>
          </cell>
          <cell r="L178" t="str">
            <v>Sim</v>
          </cell>
          <cell r="M178" t="str">
            <v>NACIONAL</v>
          </cell>
          <cell r="N178" t="str">
            <v>NACIONAL</v>
          </cell>
          <cell r="P178">
            <v>102.9</v>
          </cell>
          <cell r="Q178">
            <v>102.9</v>
          </cell>
          <cell r="R178">
            <v>104.16</v>
          </cell>
          <cell r="S178">
            <v>105.44</v>
          </cell>
          <cell r="T178">
            <v>97.06</v>
          </cell>
          <cell r="U178">
            <v>103.53</v>
          </cell>
          <cell r="V178">
            <v>103.53</v>
          </cell>
          <cell r="W178">
            <v>104.16</v>
          </cell>
          <cell r="X178">
            <v>106.76</v>
          </cell>
          <cell r="Y178">
            <v>105.44</v>
          </cell>
          <cell r="Z178">
            <v>106.76</v>
          </cell>
          <cell r="AA178">
            <v>108.11</v>
          </cell>
          <cell r="AB178">
            <v>109.5</v>
          </cell>
          <cell r="AC178">
            <v>106.1</v>
          </cell>
          <cell r="AD178">
            <v>106.1</v>
          </cell>
          <cell r="AE178">
            <v>107.43</v>
          </cell>
          <cell r="AF178">
            <v>0</v>
          </cell>
          <cell r="AG178">
            <v>142.25</v>
          </cell>
          <cell r="AH178">
            <v>142.25</v>
          </cell>
          <cell r="AI178">
            <v>144</v>
          </cell>
          <cell r="AJ178">
            <v>145.76</v>
          </cell>
          <cell r="AK178">
            <v>134.18</v>
          </cell>
          <cell r="AL178">
            <v>143.12</v>
          </cell>
          <cell r="AM178">
            <v>143.12</v>
          </cell>
          <cell r="AN178">
            <v>144</v>
          </cell>
          <cell r="AO178">
            <v>147.59</v>
          </cell>
          <cell r="AP178">
            <v>145.76</v>
          </cell>
          <cell r="AQ178">
            <v>147.59</v>
          </cell>
          <cell r="AR178">
            <v>149.46</v>
          </cell>
          <cell r="AS178">
            <v>151.38</v>
          </cell>
          <cell r="AT178">
            <v>146.68</v>
          </cell>
          <cell r="AU178">
            <v>146.68</v>
          </cell>
          <cell r="AV178">
            <v>148.52000000000001</v>
          </cell>
          <cell r="AX178">
            <v>102.9</v>
          </cell>
          <cell r="AY178">
            <v>142.25</v>
          </cell>
          <cell r="AZ178">
            <v>0.17</v>
          </cell>
          <cell r="BA178">
            <v>0.12</v>
          </cell>
          <cell r="BB178" t="str">
            <v>#_NA</v>
          </cell>
          <cell r="BC178" t="str">
            <v>#_NA</v>
          </cell>
          <cell r="BD178" t="str">
            <v>#_NA</v>
          </cell>
          <cell r="BE178" t="str">
            <v>-</v>
          </cell>
          <cell r="BF178" t="str">
            <v>-</v>
          </cell>
          <cell r="BG178">
            <v>5.6820000000000002E-2</v>
          </cell>
          <cell r="BH178">
            <v>0.73740000000000006</v>
          </cell>
          <cell r="BI178">
            <v>25.49</v>
          </cell>
          <cell r="BJ178" t="str">
            <v>-</v>
          </cell>
          <cell r="BK178">
            <v>0.74990000000000001</v>
          </cell>
          <cell r="BL178">
            <v>24.27</v>
          </cell>
          <cell r="BM178" t="str">
            <v>-</v>
          </cell>
          <cell r="BN178" t="str">
            <v>NÃO</v>
          </cell>
          <cell r="BO178" t="str">
            <v>NÃO</v>
          </cell>
          <cell r="BP178" t="str">
            <v>MS|S|NACIONAL|Sim|Positiva</v>
          </cell>
          <cell r="BR178" t="str">
            <v>TBD</v>
          </cell>
          <cell r="BS178">
            <v>0</v>
          </cell>
          <cell r="BT178" t="str">
            <v>#ERRO</v>
          </cell>
          <cell r="BU178">
            <v>24.27</v>
          </cell>
          <cell r="BV178" t="str">
            <v>-</v>
          </cell>
          <cell r="BX178" t="str">
            <v>TBD</v>
          </cell>
          <cell r="BY178" t="str">
            <v>TBD</v>
          </cell>
          <cell r="BZ178" t="str">
            <v>TBD</v>
          </cell>
          <cell r="CA178" t="str">
            <v>#ERRO</v>
          </cell>
          <cell r="CB178" t="str">
            <v>-</v>
          </cell>
        </row>
        <row r="179">
          <cell r="A179" t="str">
            <v>19711-0</v>
          </cell>
          <cell r="B179" t="str">
            <v>19711-0</v>
          </cell>
          <cell r="C179">
            <v>7896714200255</v>
          </cell>
          <cell r="D179" t="str">
            <v>NEOSEMID 40MG CT BL 20 COMP</v>
          </cell>
          <cell r="E179" t="str">
            <v>SIM</v>
          </cell>
          <cell r="F179" t="str">
            <v>S</v>
          </cell>
          <cell r="G179" t="str">
            <v>LINHA</v>
          </cell>
          <cell r="H179">
            <v>5</v>
          </cell>
          <cell r="I179">
            <v>60</v>
          </cell>
          <cell r="J179" t="str">
            <v>Monitorado</v>
          </cell>
          <cell r="K179" t="str">
            <v>Positiva</v>
          </cell>
          <cell r="L179" t="str">
            <v>Sim</v>
          </cell>
          <cell r="M179" t="str">
            <v>NACIONAL</v>
          </cell>
          <cell r="N179" t="str">
            <v>NACIONAL</v>
          </cell>
          <cell r="P179">
            <v>8.6999999999999993</v>
          </cell>
          <cell r="Q179">
            <v>8.6999999999999993</v>
          </cell>
          <cell r="R179">
            <v>8.8000000000000007</v>
          </cell>
          <cell r="S179">
            <v>8.91</v>
          </cell>
          <cell r="T179">
            <v>8.1999999999999993</v>
          </cell>
          <cell r="U179">
            <v>8.75</v>
          </cell>
          <cell r="V179">
            <v>8.75</v>
          </cell>
          <cell r="W179">
            <v>8.8000000000000007</v>
          </cell>
          <cell r="X179">
            <v>9.0299999999999994</v>
          </cell>
          <cell r="Y179">
            <v>8.91</v>
          </cell>
          <cell r="Z179">
            <v>9.0299999999999994</v>
          </cell>
          <cell r="AA179">
            <v>9.14</v>
          </cell>
          <cell r="AB179">
            <v>9.26</v>
          </cell>
          <cell r="AC179">
            <v>8.9700000000000006</v>
          </cell>
          <cell r="AD179">
            <v>8.9700000000000006</v>
          </cell>
          <cell r="AE179">
            <v>9.08</v>
          </cell>
          <cell r="AF179">
            <v>0</v>
          </cell>
          <cell r="AG179">
            <v>12.03</v>
          </cell>
          <cell r="AH179">
            <v>12.03</v>
          </cell>
          <cell r="AI179">
            <v>12.17</v>
          </cell>
          <cell r="AJ179">
            <v>12.32</v>
          </cell>
          <cell r="AK179">
            <v>11.34</v>
          </cell>
          <cell r="AL179">
            <v>12.1</v>
          </cell>
          <cell r="AM179">
            <v>12.1</v>
          </cell>
          <cell r="AN179">
            <v>12.17</v>
          </cell>
          <cell r="AO179">
            <v>12.48</v>
          </cell>
          <cell r="AP179">
            <v>12.32</v>
          </cell>
          <cell r="AQ179">
            <v>12.48</v>
          </cell>
          <cell r="AR179">
            <v>12.64</v>
          </cell>
          <cell r="AS179">
            <v>12.8</v>
          </cell>
          <cell r="AT179">
            <v>12.4</v>
          </cell>
          <cell r="AU179">
            <v>12.4</v>
          </cell>
          <cell r="AV179">
            <v>12.55</v>
          </cell>
          <cell r="AX179">
            <v>8.6999999999999993</v>
          </cell>
          <cell r="AY179">
            <v>12.03</v>
          </cell>
          <cell r="AZ179">
            <v>0.17</v>
          </cell>
          <cell r="BA179">
            <v>0.12</v>
          </cell>
          <cell r="BB179" t="str">
            <v>#_NA</v>
          </cell>
          <cell r="BC179" t="str">
            <v>#_NA</v>
          </cell>
          <cell r="BD179" t="str">
            <v>#_NA</v>
          </cell>
          <cell r="BE179" t="str">
            <v>-</v>
          </cell>
          <cell r="BF179" t="str">
            <v>-</v>
          </cell>
          <cell r="BG179">
            <v>5.6820000000000002E-2</v>
          </cell>
          <cell r="BH179">
            <v>0.66710000000000003</v>
          </cell>
          <cell r="BI179">
            <v>2.73</v>
          </cell>
          <cell r="BJ179" t="str">
            <v>-</v>
          </cell>
          <cell r="BK179">
            <v>0.68289999999999995</v>
          </cell>
          <cell r="BL179">
            <v>2.6</v>
          </cell>
          <cell r="BM179" t="str">
            <v>-</v>
          </cell>
          <cell r="BN179" t="str">
            <v>NÃO</v>
          </cell>
          <cell r="BO179" t="str">
            <v>NÃO</v>
          </cell>
          <cell r="BP179" t="str">
            <v>MS|S|NACIONAL|Sim|Positiva</v>
          </cell>
          <cell r="BR179" t="str">
            <v>TBD</v>
          </cell>
          <cell r="BS179">
            <v>0</v>
          </cell>
          <cell r="BT179" t="str">
            <v>#ERRO</v>
          </cell>
          <cell r="BU179">
            <v>2.6</v>
          </cell>
          <cell r="BV179" t="str">
            <v>-</v>
          </cell>
          <cell r="BX179" t="str">
            <v>TBD</v>
          </cell>
          <cell r="BY179" t="str">
            <v>TBD</v>
          </cell>
          <cell r="BZ179" t="str">
            <v>TBD</v>
          </cell>
          <cell r="CA179" t="str">
            <v>#ERRO</v>
          </cell>
          <cell r="CB179" t="str">
            <v>-</v>
          </cell>
        </row>
        <row r="180">
          <cell r="A180" t="str">
            <v>21733-0</v>
          </cell>
          <cell r="B180" t="str">
            <v>21733-0</v>
          </cell>
          <cell r="C180">
            <v>7896714290515</v>
          </cell>
          <cell r="D180" t="str">
            <v>NEOSORO FLUID SPR 0.9% SIC CT 50ML</v>
          </cell>
          <cell r="E180" t="str">
            <v>SIM</v>
          </cell>
          <cell r="F180" t="str">
            <v>S</v>
          </cell>
          <cell r="G180" t="str">
            <v>LINHA</v>
          </cell>
          <cell r="H180">
            <v>0</v>
          </cell>
          <cell r="I180">
            <v>24</v>
          </cell>
          <cell r="J180" t="str">
            <v>Liberado</v>
          </cell>
          <cell r="K180" t="str">
            <v>Negativa</v>
          </cell>
          <cell r="L180" t="str">
            <v>Sim</v>
          </cell>
          <cell r="M180" t="str">
            <v>NACIONAL</v>
          </cell>
          <cell r="N180" t="str">
            <v>NACIONAL</v>
          </cell>
          <cell r="P180">
            <v>19.579999999999998</v>
          </cell>
          <cell r="Q180">
            <v>22.49</v>
          </cell>
          <cell r="R180">
            <v>22.81</v>
          </cell>
          <cell r="S180">
            <v>23.13</v>
          </cell>
          <cell r="T180">
            <v>21.03</v>
          </cell>
          <cell r="U180">
            <v>22.65</v>
          </cell>
          <cell r="V180">
            <v>19.7</v>
          </cell>
          <cell r="W180">
            <v>19.82</v>
          </cell>
          <cell r="X180">
            <v>23.47</v>
          </cell>
          <cell r="Y180">
            <v>20.059999999999999</v>
          </cell>
          <cell r="Z180">
            <v>20.309999999999999</v>
          </cell>
          <cell r="AA180">
            <v>23.81</v>
          </cell>
          <cell r="AB180">
            <v>24.17</v>
          </cell>
          <cell r="AC180">
            <v>23.3</v>
          </cell>
          <cell r="AD180">
            <v>20.190000000000001</v>
          </cell>
          <cell r="AE180">
            <v>23.64</v>
          </cell>
          <cell r="AF180">
            <v>0</v>
          </cell>
          <cell r="AG180">
            <v>27.07</v>
          </cell>
          <cell r="AH180">
            <v>29.98</v>
          </cell>
          <cell r="AI180">
            <v>30.39</v>
          </cell>
          <cell r="AJ180">
            <v>30.8</v>
          </cell>
          <cell r="AK180">
            <v>28.09</v>
          </cell>
          <cell r="AL180">
            <v>30.18</v>
          </cell>
          <cell r="AM180">
            <v>27.23</v>
          </cell>
          <cell r="AN180">
            <v>27.4</v>
          </cell>
          <cell r="AO180">
            <v>31.24</v>
          </cell>
          <cell r="AP180">
            <v>27.73</v>
          </cell>
          <cell r="AQ180">
            <v>28.08</v>
          </cell>
          <cell r="AR180">
            <v>31.68</v>
          </cell>
          <cell r="AS180">
            <v>32.14</v>
          </cell>
          <cell r="AT180">
            <v>31.02</v>
          </cell>
          <cell r="AU180">
            <v>27.91</v>
          </cell>
          <cell r="AV180">
            <v>31.46</v>
          </cell>
          <cell r="AX180">
            <v>22.49</v>
          </cell>
          <cell r="AY180">
            <v>29.98</v>
          </cell>
          <cell r="AZ180">
            <v>0.17</v>
          </cell>
          <cell r="BA180">
            <v>0.12</v>
          </cell>
          <cell r="BB180" t="str">
            <v>#_NA</v>
          </cell>
          <cell r="BC180" t="str">
            <v>#_NA</v>
          </cell>
          <cell r="BD180" t="str">
            <v>#_NA</v>
          </cell>
          <cell r="BE180" t="str">
            <v>-</v>
          </cell>
          <cell r="BF180" t="str">
            <v>-</v>
          </cell>
          <cell r="BG180">
            <v>5.6820000000000002E-2</v>
          </cell>
          <cell r="BH180">
            <v>0.60519999999999996</v>
          </cell>
          <cell r="BI180">
            <v>8.3699999999999992</v>
          </cell>
          <cell r="BJ180" t="str">
            <v>-</v>
          </cell>
          <cell r="BK180">
            <v>0.67479999999999996</v>
          </cell>
          <cell r="BL180">
            <v>6.9</v>
          </cell>
          <cell r="BM180" t="str">
            <v>-</v>
          </cell>
          <cell r="BN180" t="str">
            <v>NÃO</v>
          </cell>
          <cell r="BO180" t="str">
            <v>NÃO</v>
          </cell>
          <cell r="BP180" t="str">
            <v>MS|S|NACIONAL|Sim|Negativa</v>
          </cell>
          <cell r="BR180" t="str">
            <v>TBD</v>
          </cell>
          <cell r="BS180">
            <v>0</v>
          </cell>
          <cell r="BT180" t="str">
            <v>#ERRO</v>
          </cell>
          <cell r="BU180">
            <v>6.9</v>
          </cell>
          <cell r="BV180" t="str">
            <v>-</v>
          </cell>
          <cell r="BX180" t="str">
            <v>TBD</v>
          </cell>
          <cell r="BY180" t="str">
            <v>TBD</v>
          </cell>
          <cell r="BZ180" t="str">
            <v>TBD</v>
          </cell>
          <cell r="CA180" t="str">
            <v>#ERRO</v>
          </cell>
          <cell r="CB180" t="str">
            <v>-</v>
          </cell>
        </row>
        <row r="181">
          <cell r="A181" t="str">
            <v>22852-0</v>
          </cell>
          <cell r="B181" t="str">
            <v>22852-0</v>
          </cell>
          <cell r="C181">
            <v>7896714294360</v>
          </cell>
          <cell r="D181" t="str">
            <v>NEOSORO H FLUID 3% SOL SPR FR AMB 1X60ML</v>
          </cell>
          <cell r="E181" t="str">
            <v>SIM</v>
          </cell>
          <cell r="F181" t="str">
            <v>S</v>
          </cell>
          <cell r="G181" t="str">
            <v>LINHA</v>
          </cell>
          <cell r="H181">
            <v>0</v>
          </cell>
          <cell r="I181" t="str">
            <v>TBD</v>
          </cell>
          <cell r="J181" t="str">
            <v>Liberado</v>
          </cell>
          <cell r="K181" t="str">
            <v>Negativa</v>
          </cell>
          <cell r="L181" t="str">
            <v>Sim</v>
          </cell>
          <cell r="M181" t="str">
            <v>NACIONAL</v>
          </cell>
          <cell r="N181" t="str">
            <v>NACIONAL</v>
          </cell>
          <cell r="P181">
            <v>19.28</v>
          </cell>
          <cell r="Q181">
            <v>22.14</v>
          </cell>
          <cell r="R181">
            <v>22.46</v>
          </cell>
          <cell r="S181">
            <v>22.78</v>
          </cell>
          <cell r="T181">
            <v>20.71</v>
          </cell>
          <cell r="U181">
            <v>22.3</v>
          </cell>
          <cell r="V181">
            <v>19.39</v>
          </cell>
          <cell r="W181">
            <v>19.510000000000002</v>
          </cell>
          <cell r="X181">
            <v>23.11</v>
          </cell>
          <cell r="Y181">
            <v>19.75</v>
          </cell>
          <cell r="Z181">
            <v>20</v>
          </cell>
          <cell r="AA181">
            <v>23.45</v>
          </cell>
          <cell r="AB181">
            <v>23.79</v>
          </cell>
          <cell r="AC181">
            <v>22.94</v>
          </cell>
          <cell r="AD181">
            <v>19.88</v>
          </cell>
          <cell r="AE181">
            <v>23.27</v>
          </cell>
          <cell r="AF181">
            <v>0</v>
          </cell>
          <cell r="AG181">
            <v>26.65</v>
          </cell>
          <cell r="AH181">
            <v>29.51</v>
          </cell>
          <cell r="AI181">
            <v>29.92</v>
          </cell>
          <cell r="AJ181">
            <v>30.34</v>
          </cell>
          <cell r="AK181">
            <v>27.66</v>
          </cell>
          <cell r="AL181">
            <v>29.72</v>
          </cell>
          <cell r="AM181">
            <v>26.81</v>
          </cell>
          <cell r="AN181">
            <v>26.97</v>
          </cell>
          <cell r="AO181">
            <v>30.76</v>
          </cell>
          <cell r="AP181">
            <v>27.3</v>
          </cell>
          <cell r="AQ181">
            <v>27.65</v>
          </cell>
          <cell r="AR181">
            <v>31.2</v>
          </cell>
          <cell r="AS181">
            <v>31.63</v>
          </cell>
          <cell r="AT181">
            <v>30.54</v>
          </cell>
          <cell r="AU181">
            <v>27.48</v>
          </cell>
          <cell r="AV181">
            <v>30.97</v>
          </cell>
          <cell r="AX181">
            <v>22.14</v>
          </cell>
          <cell r="AY181">
            <v>29.51</v>
          </cell>
          <cell r="AZ181">
            <v>0.17</v>
          </cell>
          <cell r="BA181">
            <v>0.12</v>
          </cell>
          <cell r="BB181" t="str">
            <v>#_NA</v>
          </cell>
          <cell r="BC181" t="str">
            <v>#_NA</v>
          </cell>
          <cell r="BD181" t="str">
            <v>#_NA</v>
          </cell>
          <cell r="BE181" t="str">
            <v>-</v>
          </cell>
          <cell r="BF181" t="str">
            <v>-</v>
          </cell>
          <cell r="BG181">
            <v>5.6820000000000002E-2</v>
          </cell>
          <cell r="BH181">
            <v>0.4763</v>
          </cell>
          <cell r="BI181">
            <v>10.93</v>
          </cell>
          <cell r="BJ181" t="str">
            <v>-</v>
          </cell>
          <cell r="BK181">
            <v>0.56810000000000005</v>
          </cell>
          <cell r="BL181">
            <v>9.02</v>
          </cell>
          <cell r="BM181" t="str">
            <v>-</v>
          </cell>
          <cell r="BN181" t="str">
            <v>NÃO</v>
          </cell>
          <cell r="BO181" t="str">
            <v>NÃO</v>
          </cell>
          <cell r="BP181" t="str">
            <v>MS|S|NACIONAL|Sim|Negativa</v>
          </cell>
          <cell r="BR181" t="str">
            <v>TBD</v>
          </cell>
          <cell r="BS181">
            <v>0</v>
          </cell>
          <cell r="BT181" t="str">
            <v>#ERRO</v>
          </cell>
          <cell r="BU181">
            <v>9.02</v>
          </cell>
          <cell r="BV181" t="str">
            <v>-</v>
          </cell>
          <cell r="BX181" t="str">
            <v>TBD</v>
          </cell>
          <cell r="BY181" t="str">
            <v>TBD</v>
          </cell>
          <cell r="BZ181" t="str">
            <v>TBD</v>
          </cell>
          <cell r="CA181" t="str">
            <v>#ERRO</v>
          </cell>
          <cell r="CB181" t="str">
            <v>-</v>
          </cell>
        </row>
        <row r="182">
          <cell r="A182" t="str">
            <v>12384-0</v>
          </cell>
          <cell r="B182" t="str">
            <v>12384-0</v>
          </cell>
          <cell r="C182">
            <v>7896714230023</v>
          </cell>
          <cell r="D182" t="str">
            <v>NEOSORO INF SOL NASAL FR 1X30ML</v>
          </cell>
          <cell r="E182" t="str">
            <v>SIM</v>
          </cell>
          <cell r="F182" t="str">
            <v>S</v>
          </cell>
          <cell r="G182" t="str">
            <v>LINHA</v>
          </cell>
          <cell r="H182">
            <v>0</v>
          </cell>
          <cell r="I182">
            <v>60</v>
          </cell>
          <cell r="J182" t="str">
            <v>Liberado</v>
          </cell>
          <cell r="K182" t="str">
            <v>Negativa</v>
          </cell>
          <cell r="L182" t="str">
            <v>Sim</v>
          </cell>
          <cell r="M182" t="str">
            <v>NACIONAL</v>
          </cell>
          <cell r="N182" t="str">
            <v>NACIONAL</v>
          </cell>
          <cell r="P182">
            <v>8.1300000000000008</v>
          </cell>
          <cell r="Q182">
            <v>9.34</v>
          </cell>
          <cell r="R182">
            <v>9.4700000000000006</v>
          </cell>
          <cell r="S182">
            <v>9.61</v>
          </cell>
          <cell r="T182">
            <v>8.74</v>
          </cell>
          <cell r="U182">
            <v>9.41</v>
          </cell>
          <cell r="V182">
            <v>8.18</v>
          </cell>
          <cell r="W182">
            <v>8.23</v>
          </cell>
          <cell r="X182">
            <v>9.75</v>
          </cell>
          <cell r="Y182">
            <v>8.33</v>
          </cell>
          <cell r="Z182">
            <v>8.44</v>
          </cell>
          <cell r="AA182">
            <v>9.89</v>
          </cell>
          <cell r="AB182">
            <v>10.039999999999999</v>
          </cell>
          <cell r="AC182">
            <v>9.68</v>
          </cell>
          <cell r="AD182">
            <v>8.39</v>
          </cell>
          <cell r="AE182">
            <v>9.82</v>
          </cell>
          <cell r="AF182">
            <v>0</v>
          </cell>
          <cell r="AG182">
            <v>11.24</v>
          </cell>
          <cell r="AH182">
            <v>12.45</v>
          </cell>
          <cell r="AI182">
            <v>12.62</v>
          </cell>
          <cell r="AJ182">
            <v>12.8</v>
          </cell>
          <cell r="AK182">
            <v>11.67</v>
          </cell>
          <cell r="AL182">
            <v>12.54</v>
          </cell>
          <cell r="AM182">
            <v>11.31</v>
          </cell>
          <cell r="AN182">
            <v>11.38</v>
          </cell>
          <cell r="AO182">
            <v>12.98</v>
          </cell>
          <cell r="AP182">
            <v>11.52</v>
          </cell>
          <cell r="AQ182">
            <v>11.67</v>
          </cell>
          <cell r="AR182">
            <v>13.16</v>
          </cell>
          <cell r="AS182">
            <v>13.35</v>
          </cell>
          <cell r="AT182">
            <v>12.89</v>
          </cell>
          <cell r="AU182">
            <v>11.6</v>
          </cell>
          <cell r="AV182">
            <v>13.07</v>
          </cell>
          <cell r="AX182">
            <v>9.34</v>
          </cell>
          <cell r="AY182">
            <v>12.45</v>
          </cell>
          <cell r="AZ182">
            <v>0.17</v>
          </cell>
          <cell r="BA182">
            <v>0.12</v>
          </cell>
          <cell r="BB182" t="str">
            <v>#_NA</v>
          </cell>
          <cell r="BC182" t="str">
            <v>#_NA</v>
          </cell>
          <cell r="BD182" t="str">
            <v>#_NA</v>
          </cell>
          <cell r="BE182" t="str">
            <v>-</v>
          </cell>
          <cell r="BF182" t="str">
            <v>-</v>
          </cell>
          <cell r="BG182">
            <v>5.6820000000000002E-2</v>
          </cell>
          <cell r="BH182">
            <v>0.51900000000000002</v>
          </cell>
          <cell r="BI182">
            <v>4.24</v>
          </cell>
          <cell r="BJ182" t="str">
            <v>-</v>
          </cell>
          <cell r="BK182">
            <v>0.60319999999999996</v>
          </cell>
          <cell r="BL182">
            <v>3.5</v>
          </cell>
          <cell r="BM182" t="str">
            <v>-</v>
          </cell>
          <cell r="BN182" t="str">
            <v>NÃO</v>
          </cell>
          <cell r="BO182" t="str">
            <v>NÃO</v>
          </cell>
          <cell r="BP182" t="str">
            <v>MS|S|NACIONAL|Sim|Negativa</v>
          </cell>
          <cell r="BR182" t="str">
            <v>TBD</v>
          </cell>
          <cell r="BS182">
            <v>0</v>
          </cell>
          <cell r="BT182" t="str">
            <v>#ERRO</v>
          </cell>
          <cell r="BU182">
            <v>3.5</v>
          </cell>
          <cell r="BV182" t="str">
            <v>-</v>
          </cell>
          <cell r="BX182" t="str">
            <v>TBD</v>
          </cell>
          <cell r="BY182" t="str">
            <v>TBD</v>
          </cell>
          <cell r="BZ182" t="str">
            <v>TBD</v>
          </cell>
          <cell r="CA182" t="str">
            <v>#ERRO</v>
          </cell>
          <cell r="CB182" t="str">
            <v>-</v>
          </cell>
        </row>
        <row r="183">
          <cell r="A183" t="str">
            <v>20929-0</v>
          </cell>
          <cell r="B183" t="str">
            <v>20929-0</v>
          </cell>
          <cell r="C183">
            <v>7896714231143</v>
          </cell>
          <cell r="D183" t="str">
            <v>NEOSORO SOL NAS AD CT FR 1X30ML</v>
          </cell>
          <cell r="E183" t="str">
            <v>SIM</v>
          </cell>
          <cell r="F183" t="str">
            <v>S</v>
          </cell>
          <cell r="G183" t="str">
            <v>PRIORITARIO SMART</v>
          </cell>
          <cell r="H183">
            <v>0</v>
          </cell>
          <cell r="I183">
            <v>60</v>
          </cell>
          <cell r="J183" t="str">
            <v>Monitorado</v>
          </cell>
          <cell r="K183" t="str">
            <v>Negativa</v>
          </cell>
          <cell r="L183" t="str">
            <v>Sim</v>
          </cell>
          <cell r="M183" t="str">
            <v>NACIONAL</v>
          </cell>
          <cell r="N183" t="str">
            <v>NACIONAL</v>
          </cell>
          <cell r="P183">
            <v>7.78</v>
          </cell>
          <cell r="Q183">
            <v>8.93</v>
          </cell>
          <cell r="R183">
            <v>9.06</v>
          </cell>
          <cell r="S183">
            <v>9.19</v>
          </cell>
          <cell r="T183">
            <v>8.35</v>
          </cell>
          <cell r="U183">
            <v>9</v>
          </cell>
          <cell r="V183">
            <v>7.82</v>
          </cell>
          <cell r="W183">
            <v>7.87</v>
          </cell>
          <cell r="X183">
            <v>9.32</v>
          </cell>
          <cell r="Y183">
            <v>7.97</v>
          </cell>
          <cell r="Z183">
            <v>8.07</v>
          </cell>
          <cell r="AA183">
            <v>9.4600000000000009</v>
          </cell>
          <cell r="AB183">
            <v>9.6</v>
          </cell>
          <cell r="AC183">
            <v>9.26</v>
          </cell>
          <cell r="AD183">
            <v>8.02</v>
          </cell>
          <cell r="AE183">
            <v>9.39</v>
          </cell>
          <cell r="AF183">
            <v>0</v>
          </cell>
          <cell r="AG183">
            <v>10.76</v>
          </cell>
          <cell r="AH183">
            <v>11.9</v>
          </cell>
          <cell r="AI183">
            <v>12.07</v>
          </cell>
          <cell r="AJ183">
            <v>12.24</v>
          </cell>
          <cell r="AK183">
            <v>11.15</v>
          </cell>
          <cell r="AL183">
            <v>11.99</v>
          </cell>
          <cell r="AM183">
            <v>10.81</v>
          </cell>
          <cell r="AN183">
            <v>10.88</v>
          </cell>
          <cell r="AO183">
            <v>12.41</v>
          </cell>
          <cell r="AP183">
            <v>11.02</v>
          </cell>
          <cell r="AQ183">
            <v>11.16</v>
          </cell>
          <cell r="AR183">
            <v>12.59</v>
          </cell>
          <cell r="AS183">
            <v>12.77</v>
          </cell>
          <cell r="AT183">
            <v>12.33</v>
          </cell>
          <cell r="AU183">
            <v>11.09</v>
          </cell>
          <cell r="AV183">
            <v>12.5</v>
          </cell>
          <cell r="AX183">
            <v>8.93</v>
          </cell>
          <cell r="AY183">
            <v>11.9</v>
          </cell>
          <cell r="AZ183">
            <v>0.17</v>
          </cell>
          <cell r="BA183">
            <v>0.12</v>
          </cell>
          <cell r="BB183" t="str">
            <v>#_NA</v>
          </cell>
          <cell r="BC183" t="str">
            <v>#_NA</v>
          </cell>
          <cell r="BD183" t="str">
            <v>#_NA</v>
          </cell>
          <cell r="BE183" t="str">
            <v>-</v>
          </cell>
          <cell r="BF183" t="str">
            <v>-</v>
          </cell>
          <cell r="BG183">
            <v>5.6820000000000002E-2</v>
          </cell>
          <cell r="BH183">
            <v>0.57950000000000002</v>
          </cell>
          <cell r="BI183">
            <v>3.54</v>
          </cell>
          <cell r="BJ183" t="str">
            <v>-</v>
          </cell>
          <cell r="BK183">
            <v>0.69120000000000004</v>
          </cell>
          <cell r="BL183">
            <v>2.6</v>
          </cell>
          <cell r="BM183" t="str">
            <v>-</v>
          </cell>
          <cell r="BN183" t="str">
            <v>SIM</v>
          </cell>
          <cell r="BO183" t="str">
            <v>NÃO</v>
          </cell>
          <cell r="BP183" t="str">
            <v>MS|S|NACIONAL|Sim|Negativa</v>
          </cell>
          <cell r="BR183" t="str">
            <v>TBD</v>
          </cell>
          <cell r="BS183">
            <v>0</v>
          </cell>
          <cell r="BT183" t="str">
            <v>#ERRO</v>
          </cell>
          <cell r="BU183">
            <v>2.6</v>
          </cell>
          <cell r="BV183" t="str">
            <v>-</v>
          </cell>
          <cell r="BX183" t="str">
            <v>TBD</v>
          </cell>
          <cell r="BY183" t="str">
            <v>TBD</v>
          </cell>
          <cell r="BZ183" t="str">
            <v>TBD</v>
          </cell>
          <cell r="CA183" t="str">
            <v>#ERRO</v>
          </cell>
          <cell r="CB183" t="str">
            <v>-</v>
          </cell>
        </row>
        <row r="184">
          <cell r="A184" t="str">
            <v>12310-0</v>
          </cell>
          <cell r="B184" t="str">
            <v>12310-0</v>
          </cell>
          <cell r="C184">
            <v>7896714260051</v>
          </cell>
          <cell r="D184" t="str">
            <v>NEOSSOLVAN 3MG/ML XPE INF VD 1X120ML</v>
          </cell>
          <cell r="E184" t="str">
            <v>SIM</v>
          </cell>
          <cell r="F184" t="str">
            <v>S</v>
          </cell>
          <cell r="G184" t="str">
            <v>LINHA</v>
          </cell>
          <cell r="H184">
            <v>5</v>
          </cell>
          <cell r="I184">
            <v>60</v>
          </cell>
          <cell r="J184" t="str">
            <v>Liberado</v>
          </cell>
          <cell r="K184" t="str">
            <v>Negativa</v>
          </cell>
          <cell r="L184" t="str">
            <v>Sim</v>
          </cell>
          <cell r="M184" t="str">
            <v>NACIONAL</v>
          </cell>
          <cell r="N184" t="str">
            <v>NACIONAL</v>
          </cell>
          <cell r="P184">
            <v>18.03</v>
          </cell>
          <cell r="Q184">
            <v>20.71</v>
          </cell>
          <cell r="R184">
            <v>21</v>
          </cell>
          <cell r="S184">
            <v>21.3</v>
          </cell>
          <cell r="T184">
            <v>19.37</v>
          </cell>
          <cell r="U184">
            <v>20.86</v>
          </cell>
          <cell r="V184">
            <v>18.14</v>
          </cell>
          <cell r="W184">
            <v>18.25</v>
          </cell>
          <cell r="X184">
            <v>21.61</v>
          </cell>
          <cell r="Y184">
            <v>18.47</v>
          </cell>
          <cell r="Z184">
            <v>18.71</v>
          </cell>
          <cell r="AA184">
            <v>21.93</v>
          </cell>
          <cell r="AB184">
            <v>22.25</v>
          </cell>
          <cell r="AC184">
            <v>21.45</v>
          </cell>
          <cell r="AD184">
            <v>18.59</v>
          </cell>
          <cell r="AE184">
            <v>21.77</v>
          </cell>
          <cell r="AF184">
            <v>0</v>
          </cell>
          <cell r="AG184">
            <v>24.93</v>
          </cell>
          <cell r="AH184">
            <v>27.6</v>
          </cell>
          <cell r="AI184">
            <v>27.98</v>
          </cell>
          <cell r="AJ184">
            <v>28.36</v>
          </cell>
          <cell r="AK184">
            <v>25.87</v>
          </cell>
          <cell r="AL184">
            <v>27.8</v>
          </cell>
          <cell r="AM184">
            <v>25.08</v>
          </cell>
          <cell r="AN184">
            <v>25.23</v>
          </cell>
          <cell r="AO184">
            <v>28.76</v>
          </cell>
          <cell r="AP184">
            <v>25.53</v>
          </cell>
          <cell r="AQ184">
            <v>25.87</v>
          </cell>
          <cell r="AR184">
            <v>29.17</v>
          </cell>
          <cell r="AS184">
            <v>29.59</v>
          </cell>
          <cell r="AT184">
            <v>28.56</v>
          </cell>
          <cell r="AU184">
            <v>25.7</v>
          </cell>
          <cell r="AV184">
            <v>28.97</v>
          </cell>
          <cell r="AX184">
            <v>20.71</v>
          </cell>
          <cell r="AY184">
            <v>27.6</v>
          </cell>
          <cell r="AZ184">
            <v>0.17</v>
          </cell>
          <cell r="BA184">
            <v>0.12</v>
          </cell>
          <cell r="BB184" t="str">
            <v>#_NA</v>
          </cell>
          <cell r="BC184" t="str">
            <v>#_NA</v>
          </cell>
          <cell r="BD184" t="str">
            <v>#_NA</v>
          </cell>
          <cell r="BE184" t="str">
            <v>-</v>
          </cell>
          <cell r="BF184" t="str">
            <v>-</v>
          </cell>
          <cell r="BG184">
            <v>5.6820000000000002E-2</v>
          </cell>
          <cell r="BH184">
            <v>0.57179999999999997</v>
          </cell>
          <cell r="BI184">
            <v>8.36</v>
          </cell>
          <cell r="BJ184" t="str">
            <v>-</v>
          </cell>
          <cell r="BK184">
            <v>0.60099999999999998</v>
          </cell>
          <cell r="BL184">
            <v>7.79</v>
          </cell>
          <cell r="BM184" t="str">
            <v>-</v>
          </cell>
          <cell r="BN184" t="str">
            <v>SIM</v>
          </cell>
          <cell r="BO184" t="str">
            <v>NÃO</v>
          </cell>
          <cell r="BP184" t="str">
            <v>MS|S|NACIONAL|Sim|Negativa</v>
          </cell>
          <cell r="BR184" t="str">
            <v>TBD</v>
          </cell>
          <cell r="BS184">
            <v>0</v>
          </cell>
          <cell r="BT184" t="str">
            <v>#ERRO</v>
          </cell>
          <cell r="BU184">
            <v>7.79</v>
          </cell>
          <cell r="BV184" t="str">
            <v>-</v>
          </cell>
          <cell r="BX184" t="str">
            <v>TBD</v>
          </cell>
          <cell r="BY184" t="str">
            <v>TBD</v>
          </cell>
          <cell r="BZ184" t="str">
            <v>TBD</v>
          </cell>
          <cell r="CA184" t="str">
            <v>#ERRO</v>
          </cell>
          <cell r="CB184" t="str">
            <v>-</v>
          </cell>
        </row>
        <row r="185">
          <cell r="A185" t="str">
            <v>12309-0</v>
          </cell>
          <cell r="B185" t="str">
            <v>12309-0</v>
          </cell>
          <cell r="C185">
            <v>7896714260020</v>
          </cell>
          <cell r="D185" t="str">
            <v>NEOSSOLVAN 6MG/ML XPE AD FR VD 1X120ML</v>
          </cell>
          <cell r="E185" t="str">
            <v>SIM</v>
          </cell>
          <cell r="F185" t="str">
            <v>S</v>
          </cell>
          <cell r="G185" t="str">
            <v>LINHA</v>
          </cell>
          <cell r="H185">
            <v>5</v>
          </cell>
          <cell r="I185">
            <v>60</v>
          </cell>
          <cell r="J185" t="str">
            <v>Liberado</v>
          </cell>
          <cell r="K185" t="str">
            <v>Negativa</v>
          </cell>
          <cell r="L185" t="str">
            <v>Sim</v>
          </cell>
          <cell r="M185" t="str">
            <v>NACIONAL</v>
          </cell>
          <cell r="N185" t="str">
            <v>NACIONAL</v>
          </cell>
          <cell r="P185">
            <v>18.03</v>
          </cell>
          <cell r="Q185">
            <v>20.71</v>
          </cell>
          <cell r="R185">
            <v>21</v>
          </cell>
          <cell r="S185">
            <v>21.3</v>
          </cell>
          <cell r="T185">
            <v>19.37</v>
          </cell>
          <cell r="U185">
            <v>20.86</v>
          </cell>
          <cell r="V185">
            <v>18.14</v>
          </cell>
          <cell r="W185">
            <v>18.25</v>
          </cell>
          <cell r="X185">
            <v>21.61</v>
          </cell>
          <cell r="Y185">
            <v>18.47</v>
          </cell>
          <cell r="Z185">
            <v>18.71</v>
          </cell>
          <cell r="AA185">
            <v>21.93</v>
          </cell>
          <cell r="AB185">
            <v>22.25</v>
          </cell>
          <cell r="AC185">
            <v>21.45</v>
          </cell>
          <cell r="AD185">
            <v>18.59</v>
          </cell>
          <cell r="AE185">
            <v>21.77</v>
          </cell>
          <cell r="AF185">
            <v>0</v>
          </cell>
          <cell r="AG185">
            <v>24.93</v>
          </cell>
          <cell r="AH185">
            <v>27.6</v>
          </cell>
          <cell r="AI185">
            <v>27.98</v>
          </cell>
          <cell r="AJ185">
            <v>28.36</v>
          </cell>
          <cell r="AK185">
            <v>25.87</v>
          </cell>
          <cell r="AL185">
            <v>27.8</v>
          </cell>
          <cell r="AM185">
            <v>25.08</v>
          </cell>
          <cell r="AN185">
            <v>25.23</v>
          </cell>
          <cell r="AO185">
            <v>28.76</v>
          </cell>
          <cell r="AP185">
            <v>25.53</v>
          </cell>
          <cell r="AQ185">
            <v>25.87</v>
          </cell>
          <cell r="AR185">
            <v>29.17</v>
          </cell>
          <cell r="AS185">
            <v>29.59</v>
          </cell>
          <cell r="AT185">
            <v>28.56</v>
          </cell>
          <cell r="AU185">
            <v>25.7</v>
          </cell>
          <cell r="AV185">
            <v>28.97</v>
          </cell>
          <cell r="AX185">
            <v>20.71</v>
          </cell>
          <cell r="AY185">
            <v>27.6</v>
          </cell>
          <cell r="AZ185">
            <v>0.17</v>
          </cell>
          <cell r="BA185">
            <v>0.12</v>
          </cell>
          <cell r="BB185" t="str">
            <v>#_NA</v>
          </cell>
          <cell r="BC185" t="str">
            <v>#_NA</v>
          </cell>
          <cell r="BD185" t="str">
            <v>#_NA</v>
          </cell>
          <cell r="BE185" t="str">
            <v>-</v>
          </cell>
          <cell r="BF185" t="str">
            <v>-</v>
          </cell>
          <cell r="BG185">
            <v>5.6820000000000002E-2</v>
          </cell>
          <cell r="BH185">
            <v>0.54820000000000002</v>
          </cell>
          <cell r="BI185">
            <v>8.82</v>
          </cell>
          <cell r="BJ185" t="str">
            <v>-</v>
          </cell>
          <cell r="BK185">
            <v>0.56989999999999996</v>
          </cell>
          <cell r="BL185">
            <v>8.4</v>
          </cell>
          <cell r="BM185" t="str">
            <v>-</v>
          </cell>
          <cell r="BN185" t="str">
            <v>SIM</v>
          </cell>
          <cell r="BO185" t="str">
            <v>NÃO</v>
          </cell>
          <cell r="BP185" t="str">
            <v>MS|S|NACIONAL|Sim|Negativa</v>
          </cell>
          <cell r="BR185" t="str">
            <v>TBD</v>
          </cell>
          <cell r="BS185">
            <v>0</v>
          </cell>
          <cell r="BT185" t="str">
            <v>#ERRO</v>
          </cell>
          <cell r="BU185">
            <v>8.4</v>
          </cell>
          <cell r="BV185" t="str">
            <v>-</v>
          </cell>
          <cell r="BX185" t="str">
            <v>TBD</v>
          </cell>
          <cell r="BY185" t="str">
            <v>TBD</v>
          </cell>
          <cell r="BZ185" t="str">
            <v>TBD</v>
          </cell>
          <cell r="CA185" t="str">
            <v>#ERRO</v>
          </cell>
          <cell r="CB185" t="str">
            <v>-</v>
          </cell>
        </row>
        <row r="186">
          <cell r="A186" t="str">
            <v>12571-0</v>
          </cell>
          <cell r="B186" t="str">
            <v>12571-0</v>
          </cell>
          <cell r="C186">
            <v>7896714200217</v>
          </cell>
          <cell r="D186" t="str">
            <v>NEOTAREN 50MG COMP REV CT BL 1X20</v>
          </cell>
          <cell r="E186" t="str">
            <v>SIM</v>
          </cell>
          <cell r="F186" t="str">
            <v>S</v>
          </cell>
          <cell r="G186" t="str">
            <v>LINHA</v>
          </cell>
          <cell r="H186">
            <v>5</v>
          </cell>
          <cell r="I186">
            <v>60</v>
          </cell>
          <cell r="J186" t="str">
            <v>Monitorado</v>
          </cell>
          <cell r="K186" t="str">
            <v>Positiva</v>
          </cell>
          <cell r="L186" t="str">
            <v>Sim</v>
          </cell>
          <cell r="M186" t="str">
            <v>NACIONAL</v>
          </cell>
          <cell r="N186" t="str">
            <v>NACIONAL</v>
          </cell>
          <cell r="P186">
            <v>13.96</v>
          </cell>
          <cell r="Q186">
            <v>13.96</v>
          </cell>
          <cell r="R186">
            <v>14.13</v>
          </cell>
          <cell r="S186">
            <v>14.31</v>
          </cell>
          <cell r="T186">
            <v>13.17</v>
          </cell>
          <cell r="U186">
            <v>14.05</v>
          </cell>
          <cell r="V186">
            <v>14.05</v>
          </cell>
          <cell r="W186">
            <v>14.13</v>
          </cell>
          <cell r="X186">
            <v>14.49</v>
          </cell>
          <cell r="Y186">
            <v>14.31</v>
          </cell>
          <cell r="Z186">
            <v>14.49</v>
          </cell>
          <cell r="AA186">
            <v>14.67</v>
          </cell>
          <cell r="AB186">
            <v>14.86</v>
          </cell>
          <cell r="AC186">
            <v>14.4</v>
          </cell>
          <cell r="AD186">
            <v>14.4</v>
          </cell>
          <cell r="AE186">
            <v>14.58</v>
          </cell>
          <cell r="AF186">
            <v>0</v>
          </cell>
          <cell r="AG186">
            <v>19.3</v>
          </cell>
          <cell r="AH186">
            <v>19.3</v>
          </cell>
          <cell r="AI186">
            <v>19.53</v>
          </cell>
          <cell r="AJ186">
            <v>19.78</v>
          </cell>
          <cell r="AK186">
            <v>18.21</v>
          </cell>
          <cell r="AL186">
            <v>19.420000000000002</v>
          </cell>
          <cell r="AM186">
            <v>19.420000000000002</v>
          </cell>
          <cell r="AN186">
            <v>19.53</v>
          </cell>
          <cell r="AO186">
            <v>20.03</v>
          </cell>
          <cell r="AP186">
            <v>19.78</v>
          </cell>
          <cell r="AQ186">
            <v>20.03</v>
          </cell>
          <cell r="AR186">
            <v>20.28</v>
          </cell>
          <cell r="AS186">
            <v>20.54</v>
          </cell>
          <cell r="AT186">
            <v>19.91</v>
          </cell>
          <cell r="AU186">
            <v>19.91</v>
          </cell>
          <cell r="AV186">
            <v>20.16</v>
          </cell>
          <cell r="AX186">
            <v>13.96</v>
          </cell>
          <cell r="AY186">
            <v>19.3</v>
          </cell>
          <cell r="AZ186">
            <v>0.17</v>
          </cell>
          <cell r="BA186">
            <v>0.12</v>
          </cell>
          <cell r="BB186" t="str">
            <v>#_NA</v>
          </cell>
          <cell r="BC186" t="str">
            <v>#_NA</v>
          </cell>
          <cell r="BD186" t="str">
            <v>#_NA</v>
          </cell>
          <cell r="BE186" t="str">
            <v>-</v>
          </cell>
          <cell r="BF186" t="str">
            <v>-</v>
          </cell>
          <cell r="BG186">
            <v>5.6820000000000002E-2</v>
          </cell>
          <cell r="BH186">
            <v>0.874</v>
          </cell>
          <cell r="BI186">
            <v>1.66</v>
          </cell>
          <cell r="BJ186" t="str">
            <v>-</v>
          </cell>
          <cell r="BK186">
            <v>0.88</v>
          </cell>
          <cell r="BL186">
            <v>1.58</v>
          </cell>
          <cell r="BM186" t="str">
            <v>-</v>
          </cell>
          <cell r="BN186" t="str">
            <v>NÃO</v>
          </cell>
          <cell r="BO186" t="str">
            <v>NÃO</v>
          </cell>
          <cell r="BP186" t="str">
            <v>MS|S|NACIONAL|Sim|Positiva</v>
          </cell>
          <cell r="BR186" t="str">
            <v>TBD</v>
          </cell>
          <cell r="BS186">
            <v>0</v>
          </cell>
          <cell r="BT186" t="str">
            <v>#ERRO</v>
          </cell>
          <cell r="BU186">
            <v>1.58</v>
          </cell>
          <cell r="BV186" t="str">
            <v>-</v>
          </cell>
          <cell r="BX186" t="str">
            <v>TBD</v>
          </cell>
          <cell r="BY186" t="str">
            <v>TBD</v>
          </cell>
          <cell r="BZ186" t="str">
            <v>TBD</v>
          </cell>
          <cell r="CA186" t="str">
            <v>#ERRO</v>
          </cell>
          <cell r="CB186" t="str">
            <v>-</v>
          </cell>
        </row>
        <row r="187">
          <cell r="A187" t="str">
            <v>12362-0</v>
          </cell>
          <cell r="B187" t="str">
            <v>12362-0</v>
          </cell>
          <cell r="C187">
            <v>7896714236223</v>
          </cell>
          <cell r="D187" t="str">
            <v>NEOTOSS 15MG/5ML XPE AD FR 1X100ML</v>
          </cell>
          <cell r="E187" t="str">
            <v>SIM</v>
          </cell>
          <cell r="F187" t="str">
            <v>S</v>
          </cell>
          <cell r="G187" t="str">
            <v>LANCAMENTOS SMART</v>
          </cell>
          <cell r="H187">
            <v>5</v>
          </cell>
          <cell r="I187">
            <v>60</v>
          </cell>
          <cell r="J187" t="str">
            <v>Liberado</v>
          </cell>
          <cell r="K187" t="str">
            <v>Negativa</v>
          </cell>
          <cell r="L187" t="str">
            <v>Sim</v>
          </cell>
          <cell r="M187" t="str">
            <v>NACIONAL</v>
          </cell>
          <cell r="N187" t="str">
            <v>NACIONAL</v>
          </cell>
          <cell r="P187">
            <v>15.32</v>
          </cell>
          <cell r="Q187">
            <v>17.600000000000001</v>
          </cell>
          <cell r="R187">
            <v>17.84</v>
          </cell>
          <cell r="S187">
            <v>18.100000000000001</v>
          </cell>
          <cell r="T187">
            <v>16.46</v>
          </cell>
          <cell r="U187">
            <v>17.72</v>
          </cell>
          <cell r="V187">
            <v>15.41</v>
          </cell>
          <cell r="W187">
            <v>15.51</v>
          </cell>
          <cell r="X187">
            <v>18.36</v>
          </cell>
          <cell r="Y187">
            <v>15.7</v>
          </cell>
          <cell r="Z187">
            <v>15.89</v>
          </cell>
          <cell r="AA187">
            <v>18.63</v>
          </cell>
          <cell r="AB187">
            <v>18.91</v>
          </cell>
          <cell r="AC187">
            <v>18.23</v>
          </cell>
          <cell r="AD187">
            <v>15.79</v>
          </cell>
          <cell r="AE187">
            <v>18.489999999999998</v>
          </cell>
          <cell r="AF187">
            <v>0</v>
          </cell>
          <cell r="AG187">
            <v>21.18</v>
          </cell>
          <cell r="AH187">
            <v>23.46</v>
          </cell>
          <cell r="AI187">
            <v>23.77</v>
          </cell>
          <cell r="AJ187">
            <v>24.1</v>
          </cell>
          <cell r="AK187">
            <v>21.99</v>
          </cell>
          <cell r="AL187">
            <v>23.61</v>
          </cell>
          <cell r="AM187">
            <v>21.3</v>
          </cell>
          <cell r="AN187">
            <v>21.44</v>
          </cell>
          <cell r="AO187">
            <v>24.44</v>
          </cell>
          <cell r="AP187">
            <v>21.7</v>
          </cell>
          <cell r="AQ187">
            <v>21.97</v>
          </cell>
          <cell r="AR187">
            <v>24.78</v>
          </cell>
          <cell r="AS187">
            <v>25.14</v>
          </cell>
          <cell r="AT187">
            <v>24.27</v>
          </cell>
          <cell r="AU187">
            <v>21.83</v>
          </cell>
          <cell r="AV187">
            <v>24.6</v>
          </cell>
          <cell r="AX187">
            <v>17.600000000000001</v>
          </cell>
          <cell r="AY187">
            <v>23.46</v>
          </cell>
          <cell r="AZ187">
            <v>0.17</v>
          </cell>
          <cell r="BA187">
            <v>0.12</v>
          </cell>
          <cell r="BB187" t="str">
            <v>#_NA</v>
          </cell>
          <cell r="BC187" t="str">
            <v>#_NA</v>
          </cell>
          <cell r="BD187" t="str">
            <v>#_NA</v>
          </cell>
          <cell r="BE187" t="str">
            <v>-</v>
          </cell>
          <cell r="BF187" t="str">
            <v>-</v>
          </cell>
          <cell r="BG187">
            <v>5.6820000000000002E-2</v>
          </cell>
          <cell r="BH187">
            <v>0.53939999999999999</v>
          </cell>
          <cell r="BI187">
            <v>7.65</v>
          </cell>
          <cell r="BJ187" t="str">
            <v>-</v>
          </cell>
          <cell r="BK187">
            <v>0.61970000000000003</v>
          </cell>
          <cell r="BL187">
            <v>6.31</v>
          </cell>
          <cell r="BM187" t="str">
            <v>-</v>
          </cell>
          <cell r="BN187" t="str">
            <v>NÃO</v>
          </cell>
          <cell r="BO187" t="str">
            <v>NÃO</v>
          </cell>
          <cell r="BP187" t="str">
            <v>MS|S|NACIONAL|Sim|Negativa</v>
          </cell>
          <cell r="BR187" t="str">
            <v>TBD</v>
          </cell>
          <cell r="BS187">
            <v>0</v>
          </cell>
          <cell r="BT187" t="str">
            <v>#ERRO</v>
          </cell>
          <cell r="BU187">
            <v>6.31</v>
          </cell>
          <cell r="BV187" t="str">
            <v>-</v>
          </cell>
          <cell r="BX187" t="str">
            <v>TBD</v>
          </cell>
          <cell r="BY187" t="str">
            <v>TBD</v>
          </cell>
          <cell r="BZ187" t="str">
            <v>TBD</v>
          </cell>
          <cell r="CA187" t="str">
            <v>#ERRO</v>
          </cell>
          <cell r="CB187" t="str">
            <v>-</v>
          </cell>
        </row>
        <row r="188">
          <cell r="A188" t="str">
            <v>12361-0</v>
          </cell>
          <cell r="B188" t="str">
            <v>12361-0</v>
          </cell>
          <cell r="C188">
            <v>7896714236247</v>
          </cell>
          <cell r="D188" t="str">
            <v>NEOTOSS 7,5MG/5ML XPE INF FR 1X60ML</v>
          </cell>
          <cell r="E188" t="str">
            <v>SIM</v>
          </cell>
          <cell r="F188" t="str">
            <v>S</v>
          </cell>
          <cell r="G188" t="str">
            <v>LANCAMENTOS SMART</v>
          </cell>
          <cell r="H188">
            <v>5</v>
          </cell>
          <cell r="I188">
            <v>60</v>
          </cell>
          <cell r="J188" t="str">
            <v>Liberado</v>
          </cell>
          <cell r="K188" t="str">
            <v>Negativa</v>
          </cell>
          <cell r="L188" t="str">
            <v>Sim</v>
          </cell>
          <cell r="M188" t="str">
            <v>NACIONAL</v>
          </cell>
          <cell r="N188" t="str">
            <v>NACIONAL</v>
          </cell>
          <cell r="P188">
            <v>11.3</v>
          </cell>
          <cell r="Q188">
            <v>12.98</v>
          </cell>
          <cell r="R188">
            <v>13.16</v>
          </cell>
          <cell r="S188">
            <v>13.35</v>
          </cell>
          <cell r="T188">
            <v>12.13</v>
          </cell>
          <cell r="U188">
            <v>13.07</v>
          </cell>
          <cell r="V188">
            <v>11.36</v>
          </cell>
          <cell r="W188">
            <v>11.43</v>
          </cell>
          <cell r="X188">
            <v>13.54</v>
          </cell>
          <cell r="Y188">
            <v>11.57</v>
          </cell>
          <cell r="Z188">
            <v>11.72</v>
          </cell>
          <cell r="AA188">
            <v>13.74</v>
          </cell>
          <cell r="AB188">
            <v>13.94</v>
          </cell>
          <cell r="AC188">
            <v>13.44</v>
          </cell>
          <cell r="AD188">
            <v>11.65</v>
          </cell>
          <cell r="AE188">
            <v>13.64</v>
          </cell>
          <cell r="AF188">
            <v>0</v>
          </cell>
          <cell r="AG188">
            <v>15.62</v>
          </cell>
          <cell r="AH188">
            <v>17.3</v>
          </cell>
          <cell r="AI188">
            <v>17.53</v>
          </cell>
          <cell r="AJ188">
            <v>17.78</v>
          </cell>
          <cell r="AK188">
            <v>16.2</v>
          </cell>
          <cell r="AL188">
            <v>17.420000000000002</v>
          </cell>
          <cell r="AM188">
            <v>15.7</v>
          </cell>
          <cell r="AN188">
            <v>15.8</v>
          </cell>
          <cell r="AO188">
            <v>18.02</v>
          </cell>
          <cell r="AP188">
            <v>15.99</v>
          </cell>
          <cell r="AQ188">
            <v>16.2</v>
          </cell>
          <cell r="AR188">
            <v>18.28</v>
          </cell>
          <cell r="AS188">
            <v>18.54</v>
          </cell>
          <cell r="AT188">
            <v>17.89</v>
          </cell>
          <cell r="AU188">
            <v>16.11</v>
          </cell>
          <cell r="AV188">
            <v>18.149999999999999</v>
          </cell>
          <cell r="AX188">
            <v>12.98</v>
          </cell>
          <cell r="AY188">
            <v>17.3</v>
          </cell>
          <cell r="AZ188">
            <v>0.17</v>
          </cell>
          <cell r="BA188">
            <v>0.12</v>
          </cell>
          <cell r="BB188" t="str">
            <v>#_NA</v>
          </cell>
          <cell r="BC188" t="str">
            <v>#_NA</v>
          </cell>
          <cell r="BD188" t="str">
            <v>#_NA</v>
          </cell>
          <cell r="BE188" t="str">
            <v>-</v>
          </cell>
          <cell r="BF188" t="str">
            <v>-</v>
          </cell>
          <cell r="BG188">
            <v>5.6820000000000002E-2</v>
          </cell>
          <cell r="BH188">
            <v>0.44500000000000001</v>
          </cell>
          <cell r="BI188">
            <v>6.79</v>
          </cell>
          <cell r="BJ188" t="str">
            <v>-</v>
          </cell>
          <cell r="BK188">
            <v>0.54239999999999999</v>
          </cell>
          <cell r="BL188">
            <v>5.6</v>
          </cell>
          <cell r="BM188" t="str">
            <v>-</v>
          </cell>
          <cell r="BN188" t="str">
            <v>NÃO</v>
          </cell>
          <cell r="BO188" t="str">
            <v>NÃO</v>
          </cell>
          <cell r="BP188" t="str">
            <v>MS|S|NACIONAL|Sim|Negativa</v>
          </cell>
          <cell r="BR188" t="str">
            <v>TBD</v>
          </cell>
          <cell r="BS188">
            <v>0</v>
          </cell>
          <cell r="BT188" t="str">
            <v>#ERRO</v>
          </cell>
          <cell r="BU188">
            <v>5.6</v>
          </cell>
          <cell r="BV188" t="str">
            <v>-</v>
          </cell>
          <cell r="BX188" t="str">
            <v>TBD</v>
          </cell>
          <cell r="BY188" t="str">
            <v>TBD</v>
          </cell>
          <cell r="BZ188" t="str">
            <v>TBD</v>
          </cell>
          <cell r="CA188" t="str">
            <v>#ERRO</v>
          </cell>
          <cell r="CB188" t="str">
            <v>-</v>
          </cell>
        </row>
        <row r="189">
          <cell r="A189" t="str">
            <v>18002-0</v>
          </cell>
          <cell r="B189" t="str">
            <v>18002-0</v>
          </cell>
          <cell r="C189">
            <v>7896714223841</v>
          </cell>
          <cell r="D189" t="str">
            <v>NIMESULIDA 100MG COMP 12UN</v>
          </cell>
          <cell r="E189" t="str">
            <v>SIM</v>
          </cell>
          <cell r="F189" t="str">
            <v>G</v>
          </cell>
          <cell r="G189" t="str">
            <v>FOCO GENERICOS</v>
          </cell>
          <cell r="H189">
            <v>5</v>
          </cell>
          <cell r="I189">
            <v>60</v>
          </cell>
          <cell r="J189" t="str">
            <v>Monitorado</v>
          </cell>
          <cell r="K189" t="str">
            <v>Positiva</v>
          </cell>
          <cell r="L189" t="str">
            <v>Sim</v>
          </cell>
          <cell r="M189" t="str">
            <v>NACIONAL</v>
          </cell>
          <cell r="N189" t="str">
            <v>NACIONAL</v>
          </cell>
          <cell r="P189">
            <v>18.010000000000002</v>
          </cell>
          <cell r="Q189">
            <v>18.010000000000002</v>
          </cell>
          <cell r="R189">
            <v>18.23</v>
          </cell>
          <cell r="S189">
            <v>18.46</v>
          </cell>
          <cell r="T189">
            <v>16.989999999999998</v>
          </cell>
          <cell r="U189">
            <v>18.12</v>
          </cell>
          <cell r="V189">
            <v>18.12</v>
          </cell>
          <cell r="W189">
            <v>18.23</v>
          </cell>
          <cell r="X189">
            <v>18.690000000000001</v>
          </cell>
          <cell r="Y189">
            <v>18.46</v>
          </cell>
          <cell r="Z189">
            <v>18.690000000000001</v>
          </cell>
          <cell r="AA189">
            <v>18.920000000000002</v>
          </cell>
          <cell r="AB189">
            <v>19.170000000000002</v>
          </cell>
          <cell r="AC189">
            <v>18.57</v>
          </cell>
          <cell r="AD189">
            <v>18.57</v>
          </cell>
          <cell r="AE189">
            <v>18.809999999999999</v>
          </cell>
          <cell r="AF189">
            <v>0</v>
          </cell>
          <cell r="AG189">
            <v>24.9</v>
          </cell>
          <cell r="AH189">
            <v>24.9</v>
          </cell>
          <cell r="AI189">
            <v>25.2</v>
          </cell>
          <cell r="AJ189">
            <v>25.52</v>
          </cell>
          <cell r="AK189">
            <v>23.49</v>
          </cell>
          <cell r="AL189">
            <v>25.05</v>
          </cell>
          <cell r="AM189">
            <v>25.05</v>
          </cell>
          <cell r="AN189">
            <v>25.2</v>
          </cell>
          <cell r="AO189">
            <v>25.84</v>
          </cell>
          <cell r="AP189">
            <v>25.52</v>
          </cell>
          <cell r="AQ189">
            <v>25.84</v>
          </cell>
          <cell r="AR189">
            <v>26.16</v>
          </cell>
          <cell r="AS189">
            <v>26.5</v>
          </cell>
          <cell r="AT189">
            <v>25.67</v>
          </cell>
          <cell r="AU189">
            <v>25.67</v>
          </cell>
          <cell r="AV189">
            <v>26</v>
          </cell>
          <cell r="AX189">
            <v>18.010000000000002</v>
          </cell>
          <cell r="AY189">
            <v>24.9</v>
          </cell>
          <cell r="AZ189">
            <v>0.17</v>
          </cell>
          <cell r="BA189">
            <v>0.12</v>
          </cell>
          <cell r="BB189" t="str">
            <v>#_NA</v>
          </cell>
          <cell r="BC189" t="str">
            <v>#_NA</v>
          </cell>
          <cell r="BD189" t="str">
            <v>#_NA</v>
          </cell>
          <cell r="BE189" t="str">
            <v>-</v>
          </cell>
          <cell r="BF189" t="str">
            <v>-</v>
          </cell>
          <cell r="BG189">
            <v>5.6820000000000002E-2</v>
          </cell>
          <cell r="BH189">
            <v>0.90239999999999998</v>
          </cell>
          <cell r="BI189">
            <v>1.66</v>
          </cell>
          <cell r="BJ189" t="str">
            <v>-</v>
          </cell>
          <cell r="BK189">
            <v>0.90700000000000003</v>
          </cell>
          <cell r="BL189">
            <v>1.58</v>
          </cell>
          <cell r="BM189" t="str">
            <v>-</v>
          </cell>
          <cell r="BN189" t="str">
            <v>NÃO</v>
          </cell>
          <cell r="BO189" t="str">
            <v>NÃO</v>
          </cell>
          <cell r="BP189" t="str">
            <v>MS|G|NACIONAL|Sim|Positiva</v>
          </cell>
          <cell r="BR189" t="str">
            <v>TBD</v>
          </cell>
          <cell r="BS189">
            <v>0</v>
          </cell>
          <cell r="BT189" t="str">
            <v>#ERRO</v>
          </cell>
          <cell r="BU189">
            <v>1.58</v>
          </cell>
          <cell r="BV189" t="str">
            <v>-</v>
          </cell>
          <cell r="BX189" t="str">
            <v>TBD</v>
          </cell>
          <cell r="BY189" t="str">
            <v>TBD</v>
          </cell>
          <cell r="BZ189" t="str">
            <v>TBD</v>
          </cell>
          <cell r="CA189" t="str">
            <v>#ERRO</v>
          </cell>
          <cell r="CB189" t="str">
            <v>-</v>
          </cell>
        </row>
        <row r="190">
          <cell r="A190" t="str">
            <v>12508-0</v>
          </cell>
          <cell r="B190" t="str">
            <v>12508-0</v>
          </cell>
          <cell r="C190">
            <v>7896714229829</v>
          </cell>
          <cell r="D190" t="str">
            <v>NIMESULIDA 20MG/G GEL BG 1X40G</v>
          </cell>
          <cell r="E190" t="str">
            <v>SIM</v>
          </cell>
          <cell r="F190" t="str">
            <v>G</v>
          </cell>
          <cell r="G190" t="str">
            <v>LINHA</v>
          </cell>
          <cell r="H190">
            <v>5</v>
          </cell>
          <cell r="I190">
            <v>60</v>
          </cell>
          <cell r="J190" t="str">
            <v>Liberado</v>
          </cell>
          <cell r="K190" t="str">
            <v>Negativa</v>
          </cell>
          <cell r="L190" t="str">
            <v>Sim</v>
          </cell>
          <cell r="M190" t="str">
            <v>NACIONAL</v>
          </cell>
          <cell r="N190" t="str">
            <v>NACIONAL</v>
          </cell>
          <cell r="P190">
            <v>14.89</v>
          </cell>
          <cell r="Q190">
            <v>17.100000000000001</v>
          </cell>
          <cell r="R190">
            <v>17.34</v>
          </cell>
          <cell r="S190">
            <v>17.59</v>
          </cell>
          <cell r="T190">
            <v>15.99</v>
          </cell>
          <cell r="U190">
            <v>17.22</v>
          </cell>
          <cell r="V190">
            <v>14.98</v>
          </cell>
          <cell r="W190">
            <v>15.07</v>
          </cell>
          <cell r="X190">
            <v>17.850000000000001</v>
          </cell>
          <cell r="Y190">
            <v>15.26</v>
          </cell>
          <cell r="Z190">
            <v>15.45</v>
          </cell>
          <cell r="AA190">
            <v>18.11</v>
          </cell>
          <cell r="AB190">
            <v>18.38</v>
          </cell>
          <cell r="AC190">
            <v>17.72</v>
          </cell>
          <cell r="AD190">
            <v>15.35</v>
          </cell>
          <cell r="AE190">
            <v>17.98</v>
          </cell>
          <cell r="AF190">
            <v>0</v>
          </cell>
          <cell r="AG190">
            <v>20.58</v>
          </cell>
          <cell r="AH190">
            <v>22.79</v>
          </cell>
          <cell r="AI190">
            <v>23.1</v>
          </cell>
          <cell r="AJ190">
            <v>23.42</v>
          </cell>
          <cell r="AK190">
            <v>21.36</v>
          </cell>
          <cell r="AL190">
            <v>22.95</v>
          </cell>
          <cell r="AM190">
            <v>20.71</v>
          </cell>
          <cell r="AN190">
            <v>20.83</v>
          </cell>
          <cell r="AO190">
            <v>23.76</v>
          </cell>
          <cell r="AP190">
            <v>21.1</v>
          </cell>
          <cell r="AQ190">
            <v>21.36</v>
          </cell>
          <cell r="AR190">
            <v>24.09</v>
          </cell>
          <cell r="AS190">
            <v>24.44</v>
          </cell>
          <cell r="AT190">
            <v>23.59</v>
          </cell>
          <cell r="AU190">
            <v>21.22</v>
          </cell>
          <cell r="AV190">
            <v>23.93</v>
          </cell>
          <cell r="AX190">
            <v>17.100000000000001</v>
          </cell>
          <cell r="AY190">
            <v>22.79</v>
          </cell>
          <cell r="AZ190">
            <v>0.17</v>
          </cell>
          <cell r="BA190">
            <v>0.12</v>
          </cell>
          <cell r="BB190" t="str">
            <v>#_NA</v>
          </cell>
          <cell r="BC190" t="str">
            <v>#_NA</v>
          </cell>
          <cell r="BD190" t="str">
            <v>#_NA</v>
          </cell>
          <cell r="BE190" t="str">
            <v>-</v>
          </cell>
          <cell r="BF190" t="str">
            <v>-</v>
          </cell>
          <cell r="BG190">
            <v>5.6820000000000002E-2</v>
          </cell>
          <cell r="BH190">
            <v>0.4536</v>
          </cell>
          <cell r="BI190">
            <v>8.81</v>
          </cell>
          <cell r="BJ190" t="str">
            <v>-</v>
          </cell>
          <cell r="BK190">
            <v>0.54949999999999999</v>
          </cell>
          <cell r="BL190">
            <v>7.27</v>
          </cell>
          <cell r="BM190" t="str">
            <v>-</v>
          </cell>
          <cell r="BN190" t="str">
            <v>NÃO</v>
          </cell>
          <cell r="BO190" t="str">
            <v>NÃO</v>
          </cell>
          <cell r="BP190" t="str">
            <v>MS|G|NACIONAL|Sim|Negativa</v>
          </cell>
          <cell r="BR190" t="str">
            <v>TBD</v>
          </cell>
          <cell r="BS190">
            <v>0</v>
          </cell>
          <cell r="BT190" t="str">
            <v>#ERRO</v>
          </cell>
          <cell r="BU190">
            <v>7.27</v>
          </cell>
          <cell r="BV190" t="str">
            <v>-</v>
          </cell>
          <cell r="BX190" t="str">
            <v>TBD</v>
          </cell>
          <cell r="BY190" t="str">
            <v>TBD</v>
          </cell>
          <cell r="BZ190" t="str">
            <v>TBD</v>
          </cell>
          <cell r="CA190" t="str">
            <v>#ERRO</v>
          </cell>
          <cell r="CB190" t="str">
            <v>-</v>
          </cell>
        </row>
        <row r="191">
          <cell r="A191" t="str">
            <v>12433-1</v>
          </cell>
          <cell r="B191" t="str">
            <v>12433-1</v>
          </cell>
          <cell r="C191">
            <v>7896714206080</v>
          </cell>
          <cell r="D191" t="str">
            <v>NIMESULIDA 50MG/ML SUSP GTS FR PL 1X15ML</v>
          </cell>
          <cell r="E191" t="str">
            <v>SIM</v>
          </cell>
          <cell r="F191" t="str">
            <v>G</v>
          </cell>
          <cell r="G191" t="str">
            <v>LINHA</v>
          </cell>
          <cell r="H191">
            <v>5</v>
          </cell>
          <cell r="I191">
            <v>112</v>
          </cell>
          <cell r="J191" t="str">
            <v>Monitorado</v>
          </cell>
          <cell r="K191" t="str">
            <v>Positiva</v>
          </cell>
          <cell r="L191" t="str">
            <v>Sim</v>
          </cell>
          <cell r="M191" t="str">
            <v>NACIONAL</v>
          </cell>
          <cell r="N191" t="str">
            <v>NACIONAL</v>
          </cell>
          <cell r="P191">
            <v>21.24</v>
          </cell>
          <cell r="Q191">
            <v>21.24</v>
          </cell>
          <cell r="R191">
            <v>21.5</v>
          </cell>
          <cell r="S191">
            <v>21.77</v>
          </cell>
          <cell r="T191">
            <v>20.03</v>
          </cell>
          <cell r="U191">
            <v>21.37</v>
          </cell>
          <cell r="V191">
            <v>21.37</v>
          </cell>
          <cell r="W191">
            <v>21.5</v>
          </cell>
          <cell r="X191">
            <v>22.04</v>
          </cell>
          <cell r="Y191">
            <v>21.77</v>
          </cell>
          <cell r="Z191">
            <v>22.04</v>
          </cell>
          <cell r="AA191">
            <v>22.32</v>
          </cell>
          <cell r="AB191">
            <v>22.6</v>
          </cell>
          <cell r="AC191">
            <v>21.9</v>
          </cell>
          <cell r="AD191">
            <v>21.9</v>
          </cell>
          <cell r="AE191">
            <v>22.18</v>
          </cell>
          <cell r="AF191">
            <v>0</v>
          </cell>
          <cell r="AG191">
            <v>29.36</v>
          </cell>
          <cell r="AH191">
            <v>29.36</v>
          </cell>
          <cell r="AI191">
            <v>29.72</v>
          </cell>
          <cell r="AJ191">
            <v>30.1</v>
          </cell>
          <cell r="AK191">
            <v>27.69</v>
          </cell>
          <cell r="AL191">
            <v>29.54</v>
          </cell>
          <cell r="AM191">
            <v>29.54</v>
          </cell>
          <cell r="AN191">
            <v>29.72</v>
          </cell>
          <cell r="AO191">
            <v>30.47</v>
          </cell>
          <cell r="AP191">
            <v>30.1</v>
          </cell>
          <cell r="AQ191">
            <v>30.47</v>
          </cell>
          <cell r="AR191">
            <v>30.86</v>
          </cell>
          <cell r="AS191">
            <v>31.24</v>
          </cell>
          <cell r="AT191">
            <v>30.28</v>
          </cell>
          <cell r="AU191">
            <v>30.28</v>
          </cell>
          <cell r="AV191">
            <v>30.66</v>
          </cell>
          <cell r="AX191">
            <v>21.24</v>
          </cell>
          <cell r="AY191">
            <v>29.36</v>
          </cell>
          <cell r="AZ191">
            <v>0.17</v>
          </cell>
          <cell r="BA191">
            <v>0.12</v>
          </cell>
          <cell r="BB191" t="str">
            <v>#_NA</v>
          </cell>
          <cell r="BC191" t="str">
            <v>#_NA</v>
          </cell>
          <cell r="BD191" t="str">
            <v>#_NA</v>
          </cell>
          <cell r="BE191" t="str">
            <v>-</v>
          </cell>
          <cell r="BF191" t="str">
            <v>-</v>
          </cell>
          <cell r="BG191">
            <v>5.6820000000000002E-2</v>
          </cell>
          <cell r="BH191">
            <v>0.68230000000000002</v>
          </cell>
          <cell r="BI191">
            <v>6.36</v>
          </cell>
          <cell r="BJ191" t="str">
            <v>-</v>
          </cell>
          <cell r="BK191">
            <v>0.69750000000000001</v>
          </cell>
          <cell r="BL191">
            <v>6.06</v>
          </cell>
          <cell r="BM191" t="str">
            <v>-</v>
          </cell>
          <cell r="BN191" t="str">
            <v>NÃO</v>
          </cell>
          <cell r="BO191" t="str">
            <v>NÃO</v>
          </cell>
          <cell r="BP191" t="str">
            <v>MS|G|NACIONAL|Sim|Positiva</v>
          </cell>
          <cell r="BR191" t="str">
            <v>TBD</v>
          </cell>
          <cell r="BS191">
            <v>0</v>
          </cell>
          <cell r="BT191" t="str">
            <v>#ERRO</v>
          </cell>
          <cell r="BU191">
            <v>6.06</v>
          </cell>
          <cell r="BV191" t="str">
            <v>-</v>
          </cell>
          <cell r="BX191" t="str">
            <v>TBD</v>
          </cell>
          <cell r="BY191" t="str">
            <v>TBD</v>
          </cell>
          <cell r="BZ191" t="str">
            <v>TBD</v>
          </cell>
          <cell r="CA191" t="str">
            <v>#ERRO</v>
          </cell>
          <cell r="CB191" t="str">
            <v>-</v>
          </cell>
        </row>
        <row r="192">
          <cell r="A192" t="str">
            <v>12494-0</v>
          </cell>
          <cell r="B192" t="str">
            <v>12494-0</v>
          </cell>
          <cell r="C192">
            <v>7896714224688</v>
          </cell>
          <cell r="D192" t="str">
            <v>NISTATINA + OXIDO DE ZINCO POM BG 1X60G</v>
          </cell>
          <cell r="E192" t="str">
            <v>SIM</v>
          </cell>
          <cell r="F192" t="str">
            <v>G</v>
          </cell>
          <cell r="G192" t="str">
            <v>PRIORITARIO GENERICOS</v>
          </cell>
          <cell r="H192">
            <v>5</v>
          </cell>
          <cell r="I192">
            <v>60</v>
          </cell>
          <cell r="J192" t="str">
            <v>Liberado</v>
          </cell>
          <cell r="K192" t="str">
            <v>Negativa</v>
          </cell>
          <cell r="L192" t="str">
            <v>Sim</v>
          </cell>
          <cell r="M192" t="str">
            <v>NACIONAL</v>
          </cell>
          <cell r="N192" t="str">
            <v>NACIONAL</v>
          </cell>
          <cell r="P192">
            <v>19.41</v>
          </cell>
          <cell r="Q192">
            <v>22.29</v>
          </cell>
          <cell r="R192">
            <v>22.61</v>
          </cell>
          <cell r="S192">
            <v>22.93</v>
          </cell>
          <cell r="T192">
            <v>20.85</v>
          </cell>
          <cell r="U192">
            <v>22.45</v>
          </cell>
          <cell r="V192">
            <v>19.52</v>
          </cell>
          <cell r="W192">
            <v>19.64</v>
          </cell>
          <cell r="X192">
            <v>23.26</v>
          </cell>
          <cell r="Y192">
            <v>19.89</v>
          </cell>
          <cell r="Z192">
            <v>20.13</v>
          </cell>
          <cell r="AA192">
            <v>23.6</v>
          </cell>
          <cell r="AB192">
            <v>23.95</v>
          </cell>
          <cell r="AC192">
            <v>23.09</v>
          </cell>
          <cell r="AD192">
            <v>20.010000000000002</v>
          </cell>
          <cell r="AE192">
            <v>23.43</v>
          </cell>
          <cell r="AF192">
            <v>0</v>
          </cell>
          <cell r="AG192">
            <v>26.83</v>
          </cell>
          <cell r="AH192">
            <v>29.71</v>
          </cell>
          <cell r="AI192">
            <v>30.12</v>
          </cell>
          <cell r="AJ192">
            <v>30.54</v>
          </cell>
          <cell r="AK192">
            <v>27.85</v>
          </cell>
          <cell r="AL192">
            <v>29.92</v>
          </cell>
          <cell r="AM192">
            <v>26.99</v>
          </cell>
          <cell r="AN192">
            <v>27.15</v>
          </cell>
          <cell r="AO192">
            <v>30.96</v>
          </cell>
          <cell r="AP192">
            <v>27.5</v>
          </cell>
          <cell r="AQ192">
            <v>27.83</v>
          </cell>
          <cell r="AR192">
            <v>31.4</v>
          </cell>
          <cell r="AS192">
            <v>31.85</v>
          </cell>
          <cell r="AT192">
            <v>30.74</v>
          </cell>
          <cell r="AU192">
            <v>27.66</v>
          </cell>
          <cell r="AV192">
            <v>31.18</v>
          </cell>
          <cell r="AX192">
            <v>22.29</v>
          </cell>
          <cell r="AY192">
            <v>29.71</v>
          </cell>
          <cell r="AZ192">
            <v>0.17</v>
          </cell>
          <cell r="BA192">
            <v>0.12</v>
          </cell>
          <cell r="BB192" t="str">
            <v>#_NA</v>
          </cell>
          <cell r="BC192" t="str">
            <v>#_NA</v>
          </cell>
          <cell r="BD192" t="str">
            <v>#_NA</v>
          </cell>
          <cell r="BE192" t="str">
            <v>-</v>
          </cell>
          <cell r="BF192" t="str">
            <v>-</v>
          </cell>
          <cell r="BG192">
            <v>5.6820000000000002E-2</v>
          </cell>
          <cell r="BH192">
            <v>0.54949999999999999</v>
          </cell>
          <cell r="BI192">
            <v>9.4700000000000006</v>
          </cell>
          <cell r="BJ192" t="str">
            <v>-</v>
          </cell>
          <cell r="BK192">
            <v>0.65700000000000003</v>
          </cell>
          <cell r="BL192">
            <v>7.21</v>
          </cell>
          <cell r="BM192" t="str">
            <v>-</v>
          </cell>
          <cell r="BN192" t="str">
            <v>SIM</v>
          </cell>
          <cell r="BO192" t="str">
            <v>NÃO</v>
          </cell>
          <cell r="BP192" t="str">
            <v>MS|G|NACIONAL|Sim|Negativa</v>
          </cell>
          <cell r="BR192" t="str">
            <v>TBD</v>
          </cell>
          <cell r="BS192">
            <v>0</v>
          </cell>
          <cell r="BT192" t="str">
            <v>#ERRO</v>
          </cell>
          <cell r="BU192">
            <v>7.21</v>
          </cell>
          <cell r="BV192" t="str">
            <v>-</v>
          </cell>
          <cell r="BX192" t="str">
            <v>TBD</v>
          </cell>
          <cell r="BY192" t="str">
            <v>TBD</v>
          </cell>
          <cell r="BZ192" t="str">
            <v>TBD</v>
          </cell>
          <cell r="CA192" t="str">
            <v>#ERRO</v>
          </cell>
          <cell r="CB192" t="str">
            <v>-</v>
          </cell>
        </row>
        <row r="193">
          <cell r="A193" t="str">
            <v>19803-0</v>
          </cell>
          <cell r="B193" t="str">
            <v>19803-0</v>
          </cell>
          <cell r="C193">
            <v>7896714265766</v>
          </cell>
          <cell r="D193" t="str">
            <v>NISTATINA 25000UI/G CR VAG BG 60G 14 APL</v>
          </cell>
          <cell r="E193" t="str">
            <v>SIM</v>
          </cell>
          <cell r="F193" t="str">
            <v>G</v>
          </cell>
          <cell r="G193" t="str">
            <v>LINHA</v>
          </cell>
          <cell r="H193">
            <v>5</v>
          </cell>
          <cell r="I193">
            <v>60</v>
          </cell>
          <cell r="J193" t="str">
            <v>Monitorado</v>
          </cell>
          <cell r="K193" t="str">
            <v>Positiva</v>
          </cell>
          <cell r="L193" t="str">
            <v>Sim</v>
          </cell>
          <cell r="M193" t="str">
            <v>NACIONAL</v>
          </cell>
          <cell r="N193" t="str">
            <v>NACIONAL</v>
          </cell>
          <cell r="P193">
            <v>16.010000000000002</v>
          </cell>
          <cell r="Q193">
            <v>16.010000000000002</v>
          </cell>
          <cell r="R193">
            <v>16.21</v>
          </cell>
          <cell r="S193">
            <v>16.41</v>
          </cell>
          <cell r="T193">
            <v>15.1</v>
          </cell>
          <cell r="U193">
            <v>16.11</v>
          </cell>
          <cell r="V193">
            <v>16.11</v>
          </cell>
          <cell r="W193">
            <v>16.21</v>
          </cell>
          <cell r="X193">
            <v>16.61</v>
          </cell>
          <cell r="Y193">
            <v>16.41</v>
          </cell>
          <cell r="Z193">
            <v>16.61</v>
          </cell>
          <cell r="AA193">
            <v>16.82</v>
          </cell>
          <cell r="AB193">
            <v>17.04</v>
          </cell>
          <cell r="AC193">
            <v>16.510000000000002</v>
          </cell>
          <cell r="AD193">
            <v>16.510000000000002</v>
          </cell>
          <cell r="AE193">
            <v>16.72</v>
          </cell>
          <cell r="AF193">
            <v>0</v>
          </cell>
          <cell r="AG193">
            <v>22.13</v>
          </cell>
          <cell r="AH193">
            <v>22.13</v>
          </cell>
          <cell r="AI193">
            <v>22.41</v>
          </cell>
          <cell r="AJ193">
            <v>22.69</v>
          </cell>
          <cell r="AK193">
            <v>20.87</v>
          </cell>
          <cell r="AL193">
            <v>22.27</v>
          </cell>
          <cell r="AM193">
            <v>22.27</v>
          </cell>
          <cell r="AN193">
            <v>22.41</v>
          </cell>
          <cell r="AO193">
            <v>22.96</v>
          </cell>
          <cell r="AP193">
            <v>22.69</v>
          </cell>
          <cell r="AQ193">
            <v>22.96</v>
          </cell>
          <cell r="AR193">
            <v>23.25</v>
          </cell>
          <cell r="AS193">
            <v>23.56</v>
          </cell>
          <cell r="AT193">
            <v>22.82</v>
          </cell>
          <cell r="AU193">
            <v>22.82</v>
          </cell>
          <cell r="AV193">
            <v>23.11</v>
          </cell>
          <cell r="AX193">
            <v>16.010000000000002</v>
          </cell>
          <cell r="AY193">
            <v>22.13</v>
          </cell>
          <cell r="AZ193">
            <v>0.17</v>
          </cell>
          <cell r="BA193">
            <v>0.12</v>
          </cell>
          <cell r="BB193" t="str">
            <v>#_NA</v>
          </cell>
          <cell r="BC193" t="str">
            <v>#_NA</v>
          </cell>
          <cell r="BD193" t="str">
            <v>#_NA</v>
          </cell>
          <cell r="BE193" t="str">
            <v>-</v>
          </cell>
          <cell r="BF193" t="str">
            <v>-</v>
          </cell>
          <cell r="BG193">
            <v>5.6820000000000002E-2</v>
          </cell>
          <cell r="BH193">
            <v>0.42080000000000001</v>
          </cell>
          <cell r="BI193">
            <v>8.75</v>
          </cell>
          <cell r="BJ193" t="str">
            <v>-</v>
          </cell>
          <cell r="BK193">
            <v>0.44829999999999998</v>
          </cell>
          <cell r="BL193">
            <v>8.33</v>
          </cell>
          <cell r="BM193" t="str">
            <v>-</v>
          </cell>
          <cell r="BN193" t="str">
            <v>NÃO</v>
          </cell>
          <cell r="BO193" t="str">
            <v>NÃO</v>
          </cell>
          <cell r="BP193" t="str">
            <v>MS|G|NACIONAL|Sim|Positiva</v>
          </cell>
          <cell r="BR193" t="str">
            <v>TBD</v>
          </cell>
          <cell r="BS193">
            <v>0</v>
          </cell>
          <cell r="BT193" t="str">
            <v>#ERRO</v>
          </cell>
          <cell r="BU193">
            <v>8.33</v>
          </cell>
          <cell r="BV193" t="str">
            <v>-</v>
          </cell>
          <cell r="BX193" t="str">
            <v>TBD</v>
          </cell>
          <cell r="BY193" t="str">
            <v>TBD</v>
          </cell>
          <cell r="BZ193" t="str">
            <v>TBD</v>
          </cell>
          <cell r="CA193" t="str">
            <v>#ERRO</v>
          </cell>
          <cell r="CB193" t="str">
            <v>-</v>
          </cell>
        </row>
        <row r="194">
          <cell r="A194" t="str">
            <v>12449-0</v>
          </cell>
          <cell r="B194" t="str">
            <v>23223-0</v>
          </cell>
          <cell r="C194">
            <v>7896714209647</v>
          </cell>
          <cell r="D194" t="str">
            <v>NIT DE MICONAZOL 20MG/ML LOCAO FR 1X30ML</v>
          </cell>
          <cell r="E194" t="str">
            <v>SIM</v>
          </cell>
          <cell r="F194" t="str">
            <v>G</v>
          </cell>
          <cell r="G194" t="str">
            <v>LINHA</v>
          </cell>
          <cell r="H194">
            <v>5</v>
          </cell>
          <cell r="I194">
            <v>60</v>
          </cell>
          <cell r="J194" t="str">
            <v>Liberado</v>
          </cell>
          <cell r="K194" t="str">
            <v>Negativa</v>
          </cell>
          <cell r="L194" t="str">
            <v>Sim</v>
          </cell>
          <cell r="M194" t="str">
            <v>NACIONAL</v>
          </cell>
          <cell r="N194" t="str">
            <v>NACIONAL</v>
          </cell>
          <cell r="P194">
            <v>13.06</v>
          </cell>
          <cell r="Q194">
            <v>15</v>
          </cell>
          <cell r="R194">
            <v>15.21</v>
          </cell>
          <cell r="S194">
            <v>15.43</v>
          </cell>
          <cell r="T194">
            <v>14.03</v>
          </cell>
          <cell r="U194">
            <v>15.11</v>
          </cell>
          <cell r="V194">
            <v>13.14</v>
          </cell>
          <cell r="W194">
            <v>13.22</v>
          </cell>
          <cell r="X194">
            <v>15.65</v>
          </cell>
          <cell r="Y194">
            <v>13.38</v>
          </cell>
          <cell r="Z194">
            <v>13.55</v>
          </cell>
          <cell r="AA194">
            <v>15.88</v>
          </cell>
          <cell r="AB194">
            <v>16.12</v>
          </cell>
          <cell r="AC194">
            <v>15.54</v>
          </cell>
          <cell r="AD194">
            <v>13.46</v>
          </cell>
          <cell r="AE194">
            <v>15.77</v>
          </cell>
          <cell r="AF194">
            <v>0</v>
          </cell>
          <cell r="AG194">
            <v>18.05</v>
          </cell>
          <cell r="AH194">
            <v>19.989999999999998</v>
          </cell>
          <cell r="AI194">
            <v>20.260000000000002</v>
          </cell>
          <cell r="AJ194">
            <v>20.55</v>
          </cell>
          <cell r="AK194">
            <v>18.739999999999998</v>
          </cell>
          <cell r="AL194">
            <v>20.14</v>
          </cell>
          <cell r="AM194">
            <v>18.170000000000002</v>
          </cell>
          <cell r="AN194">
            <v>18.28</v>
          </cell>
          <cell r="AO194">
            <v>20.83</v>
          </cell>
          <cell r="AP194">
            <v>18.5</v>
          </cell>
          <cell r="AQ194">
            <v>18.73</v>
          </cell>
          <cell r="AR194">
            <v>21.13</v>
          </cell>
          <cell r="AS194">
            <v>21.43</v>
          </cell>
          <cell r="AT194">
            <v>20.69</v>
          </cell>
          <cell r="AU194">
            <v>18.61</v>
          </cell>
          <cell r="AV194">
            <v>20.99</v>
          </cell>
          <cell r="AX194">
            <v>15</v>
          </cell>
          <cell r="AY194">
            <v>19.989999999999998</v>
          </cell>
          <cell r="AZ194">
            <v>0.17</v>
          </cell>
          <cell r="BA194">
            <v>0.12</v>
          </cell>
          <cell r="BB194" t="str">
            <v>#_NA</v>
          </cell>
          <cell r="BC194" t="str">
            <v>#_NA</v>
          </cell>
          <cell r="BD194" t="str">
            <v>#_NA</v>
          </cell>
          <cell r="BE194" t="str">
            <v>-</v>
          </cell>
          <cell r="BF194" t="str">
            <v>-</v>
          </cell>
          <cell r="BG194">
            <v>5.6820000000000002E-2</v>
          </cell>
          <cell r="BH194">
            <v>0.27229999999999999</v>
          </cell>
          <cell r="BI194">
            <v>10.3</v>
          </cell>
          <cell r="BJ194" t="str">
            <v>-</v>
          </cell>
          <cell r="BK194">
            <v>0.39939999999999998</v>
          </cell>
          <cell r="BL194">
            <v>8.5</v>
          </cell>
          <cell r="BM194" t="str">
            <v>-</v>
          </cell>
          <cell r="BN194" t="str">
            <v>NÃO</v>
          </cell>
          <cell r="BO194" t="str">
            <v>NÃO</v>
          </cell>
          <cell r="BP194" t="str">
            <v>MS|G|NACIONAL|Sim|Negativa</v>
          </cell>
          <cell r="BR194" t="str">
            <v>TBD</v>
          </cell>
          <cell r="BS194">
            <v>0</v>
          </cell>
          <cell r="BT194" t="str">
            <v>#ERRO</v>
          </cell>
          <cell r="BU194">
            <v>8.5</v>
          </cell>
          <cell r="BV194" t="str">
            <v>-</v>
          </cell>
          <cell r="BX194" t="str">
            <v>TBD</v>
          </cell>
          <cell r="BY194" t="str">
            <v>TBD</v>
          </cell>
          <cell r="BZ194" t="str">
            <v>TBD</v>
          </cell>
          <cell r="CA194" t="str">
            <v>#ERRO</v>
          </cell>
          <cell r="CB194" t="str">
            <v>-</v>
          </cell>
        </row>
        <row r="195">
          <cell r="A195" t="str">
            <v>19802-0</v>
          </cell>
          <cell r="B195" t="str">
            <v>19802-0</v>
          </cell>
          <cell r="C195">
            <v>7896714273426</v>
          </cell>
          <cell r="D195" t="str">
            <v>NITAZOXANIDA 500MG CT BL 6 CPRV</v>
          </cell>
          <cell r="E195" t="str">
            <v>SIM</v>
          </cell>
          <cell r="F195" t="str">
            <v>G</v>
          </cell>
          <cell r="G195" t="str">
            <v>LINHA</v>
          </cell>
          <cell r="H195">
            <v>0</v>
          </cell>
          <cell r="I195">
            <v>70</v>
          </cell>
          <cell r="J195" t="str">
            <v>Monitorado</v>
          </cell>
          <cell r="K195" t="str">
            <v>Negativa</v>
          </cell>
          <cell r="L195" t="str">
            <v>Não</v>
          </cell>
          <cell r="M195" t="str">
            <v>NACIONAL</v>
          </cell>
          <cell r="N195" t="str">
            <v>NACIONAL</v>
          </cell>
          <cell r="P195">
            <v>45.88</v>
          </cell>
          <cell r="Q195">
            <v>52.7</v>
          </cell>
          <cell r="R195">
            <v>53.45</v>
          </cell>
          <cell r="S195">
            <v>54.21</v>
          </cell>
          <cell r="T195">
            <v>49.29</v>
          </cell>
          <cell r="U195">
            <v>53.07</v>
          </cell>
          <cell r="V195">
            <v>46.16</v>
          </cell>
          <cell r="W195">
            <v>46.44</v>
          </cell>
          <cell r="X195">
            <v>54.99</v>
          </cell>
          <cell r="Y195">
            <v>47.01</v>
          </cell>
          <cell r="Z195">
            <v>47.6</v>
          </cell>
          <cell r="AA195">
            <v>55.8</v>
          </cell>
          <cell r="AB195">
            <v>56.63</v>
          </cell>
          <cell r="AC195">
            <v>54.6</v>
          </cell>
          <cell r="AD195">
            <v>47.3</v>
          </cell>
          <cell r="AE195">
            <v>55.39</v>
          </cell>
          <cell r="AF195">
            <v>0</v>
          </cell>
          <cell r="AG195">
            <v>63.43</v>
          </cell>
          <cell r="AH195">
            <v>70.25</v>
          </cell>
          <cell r="AI195">
            <v>71.209999999999994</v>
          </cell>
          <cell r="AJ195">
            <v>72.19</v>
          </cell>
          <cell r="AK195">
            <v>65.84</v>
          </cell>
          <cell r="AL195">
            <v>70.72</v>
          </cell>
          <cell r="AM195">
            <v>63.81</v>
          </cell>
          <cell r="AN195">
            <v>64.2</v>
          </cell>
          <cell r="AO195">
            <v>73.19</v>
          </cell>
          <cell r="AP195">
            <v>64.989999999999995</v>
          </cell>
          <cell r="AQ195">
            <v>65.8</v>
          </cell>
          <cell r="AR195">
            <v>74.23</v>
          </cell>
          <cell r="AS195">
            <v>75.3</v>
          </cell>
          <cell r="AT195">
            <v>72.69</v>
          </cell>
          <cell r="AU195">
            <v>65.39</v>
          </cell>
          <cell r="AV195">
            <v>73.709999999999994</v>
          </cell>
          <cell r="AX195">
            <v>52.7</v>
          </cell>
          <cell r="AY195">
            <v>70.25</v>
          </cell>
          <cell r="AZ195">
            <v>0.17</v>
          </cell>
          <cell r="BA195">
            <v>0.12</v>
          </cell>
          <cell r="BB195" t="str">
            <v>#_NA</v>
          </cell>
          <cell r="BC195" t="str">
            <v>#_NA</v>
          </cell>
          <cell r="BD195" t="str">
            <v>#_NA</v>
          </cell>
          <cell r="BE195" t="str">
            <v>-</v>
          </cell>
          <cell r="BF195" t="str">
            <v>-</v>
          </cell>
          <cell r="BG195">
            <v>5.6820000000000002E-2</v>
          </cell>
          <cell r="BH195">
            <v>0.56720000000000004</v>
          </cell>
          <cell r="BI195">
            <v>21.51</v>
          </cell>
          <cell r="BJ195" t="str">
            <v>-</v>
          </cell>
          <cell r="BK195">
            <v>0.64329999999999998</v>
          </cell>
          <cell r="BL195">
            <v>17.73</v>
          </cell>
          <cell r="BM195" t="str">
            <v>-</v>
          </cell>
          <cell r="BN195" t="str">
            <v>SIM</v>
          </cell>
          <cell r="BO195" t="str">
            <v>NÃO</v>
          </cell>
          <cell r="BP195" t="str">
            <v>MS|G|NACIONAL|Não|Negativa</v>
          </cell>
          <cell r="BR195" t="str">
            <v>TBD</v>
          </cell>
          <cell r="BS195">
            <v>0</v>
          </cell>
          <cell r="BT195" t="str">
            <v>#ERRO</v>
          </cell>
          <cell r="BU195">
            <v>17.73</v>
          </cell>
          <cell r="BV195" t="str">
            <v>-</v>
          </cell>
          <cell r="BX195" t="str">
            <v>TBD</v>
          </cell>
          <cell r="BY195" t="str">
            <v>TBD</v>
          </cell>
          <cell r="BZ195" t="str">
            <v>TBD</v>
          </cell>
          <cell r="CA195" t="str">
            <v>#ERRO</v>
          </cell>
          <cell r="CB195" t="str">
            <v>-</v>
          </cell>
        </row>
        <row r="196">
          <cell r="A196" t="str">
            <v>12489-0</v>
          </cell>
          <cell r="B196" t="str">
            <v>23224-0</v>
          </cell>
          <cell r="C196">
            <v>7896714223834</v>
          </cell>
          <cell r="D196" t="str">
            <v>NITRATO DE MICONAZOL 20MG/G CR BG 1X28G</v>
          </cell>
          <cell r="E196" t="str">
            <v>SIM</v>
          </cell>
          <cell r="F196" t="str">
            <v>G</v>
          </cell>
          <cell r="G196" t="str">
            <v>LINHA</v>
          </cell>
          <cell r="H196">
            <v>5</v>
          </cell>
          <cell r="I196">
            <v>100</v>
          </cell>
          <cell r="J196" t="str">
            <v>Liberado</v>
          </cell>
          <cell r="K196" t="str">
            <v>Negativa</v>
          </cell>
          <cell r="L196" t="str">
            <v>Sim</v>
          </cell>
          <cell r="M196" t="str">
            <v>NACIONAL</v>
          </cell>
          <cell r="N196" t="str">
            <v>NACIONAL</v>
          </cell>
          <cell r="P196">
            <v>14.07</v>
          </cell>
          <cell r="Q196">
            <v>16.16</v>
          </cell>
          <cell r="R196">
            <v>16.39</v>
          </cell>
          <cell r="S196">
            <v>16.62</v>
          </cell>
          <cell r="T196">
            <v>15.12</v>
          </cell>
          <cell r="U196">
            <v>16.28</v>
          </cell>
          <cell r="V196">
            <v>14.16</v>
          </cell>
          <cell r="W196">
            <v>14.24</v>
          </cell>
          <cell r="X196">
            <v>16.87</v>
          </cell>
          <cell r="Y196">
            <v>14.42</v>
          </cell>
          <cell r="Z196">
            <v>14.6</v>
          </cell>
          <cell r="AA196">
            <v>17.11</v>
          </cell>
          <cell r="AB196">
            <v>17.37</v>
          </cell>
          <cell r="AC196">
            <v>16.739999999999998</v>
          </cell>
          <cell r="AD196">
            <v>14.51</v>
          </cell>
          <cell r="AE196">
            <v>16.989999999999998</v>
          </cell>
          <cell r="AF196">
            <v>0</v>
          </cell>
          <cell r="AG196">
            <v>19.45</v>
          </cell>
          <cell r="AH196">
            <v>21.54</v>
          </cell>
          <cell r="AI196">
            <v>21.84</v>
          </cell>
          <cell r="AJ196">
            <v>22.13</v>
          </cell>
          <cell r="AK196">
            <v>20.2</v>
          </cell>
          <cell r="AL196">
            <v>21.7</v>
          </cell>
          <cell r="AM196">
            <v>19.579999999999998</v>
          </cell>
          <cell r="AN196">
            <v>19.690000000000001</v>
          </cell>
          <cell r="AO196">
            <v>22.45</v>
          </cell>
          <cell r="AP196">
            <v>19.93</v>
          </cell>
          <cell r="AQ196">
            <v>20.18</v>
          </cell>
          <cell r="AR196">
            <v>22.76</v>
          </cell>
          <cell r="AS196">
            <v>23.1</v>
          </cell>
          <cell r="AT196">
            <v>22.29</v>
          </cell>
          <cell r="AU196">
            <v>20.059999999999999</v>
          </cell>
          <cell r="AV196">
            <v>22.61</v>
          </cell>
          <cell r="AX196">
            <v>16.16</v>
          </cell>
          <cell r="AY196">
            <v>21.54</v>
          </cell>
          <cell r="AZ196">
            <v>0.17</v>
          </cell>
          <cell r="BA196">
            <v>0.12</v>
          </cell>
          <cell r="BB196" t="str">
            <v>#_NA</v>
          </cell>
          <cell r="BC196" t="str">
            <v>#_NA</v>
          </cell>
          <cell r="BD196" t="str">
            <v>#_NA</v>
          </cell>
          <cell r="BE196" t="str">
            <v>-</v>
          </cell>
          <cell r="BF196" t="str">
            <v>-</v>
          </cell>
          <cell r="BG196">
            <v>5.6820000000000002E-2</v>
          </cell>
          <cell r="BH196">
            <v>0.60460000000000003</v>
          </cell>
          <cell r="BI196">
            <v>6.03</v>
          </cell>
          <cell r="BJ196" t="str">
            <v>-</v>
          </cell>
          <cell r="BK196">
            <v>0.67390000000000005</v>
          </cell>
          <cell r="BL196">
            <v>4.97</v>
          </cell>
          <cell r="BM196" t="str">
            <v>-</v>
          </cell>
          <cell r="BN196" t="str">
            <v>NÃO</v>
          </cell>
          <cell r="BO196" t="str">
            <v>NÃO</v>
          </cell>
          <cell r="BP196" t="str">
            <v>MS|G|NACIONAL|Sim|Negativa</v>
          </cell>
          <cell r="BR196" t="str">
            <v>TBD</v>
          </cell>
          <cell r="BS196">
            <v>0</v>
          </cell>
          <cell r="BT196" t="str">
            <v>#ERRO</v>
          </cell>
          <cell r="BU196">
            <v>4.97</v>
          </cell>
          <cell r="BV196" t="str">
            <v>-</v>
          </cell>
          <cell r="BX196" t="str">
            <v>TBD</v>
          </cell>
          <cell r="BY196" t="str">
            <v>TBD</v>
          </cell>
          <cell r="BZ196" t="str">
            <v>TBD</v>
          </cell>
          <cell r="CA196" t="str">
            <v>#ERRO</v>
          </cell>
          <cell r="CB196" t="str">
            <v>-</v>
          </cell>
        </row>
        <row r="197">
          <cell r="A197" t="str">
            <v>18972-0</v>
          </cell>
          <cell r="B197" t="str">
            <v>18972-0</v>
          </cell>
          <cell r="C197">
            <v>7896714249124</v>
          </cell>
          <cell r="D197" t="str">
            <v>OLMESA+HCTZ 20/12,5MG CPRV CT BL AL 2X15</v>
          </cell>
          <cell r="E197" t="str">
            <v>SIM</v>
          </cell>
          <cell r="F197" t="str">
            <v>G</v>
          </cell>
          <cell r="G197" t="str">
            <v>LINHA</v>
          </cell>
          <cell r="H197">
            <v>5</v>
          </cell>
          <cell r="I197">
            <v>60</v>
          </cell>
          <cell r="J197" t="str">
            <v>Monitorado</v>
          </cell>
          <cell r="K197" t="str">
            <v>Positiva</v>
          </cell>
          <cell r="L197" t="str">
            <v>Sim</v>
          </cell>
          <cell r="M197" t="str">
            <v>NACIONAL</v>
          </cell>
          <cell r="N197" t="str">
            <v>NACIONAL</v>
          </cell>
          <cell r="P197">
            <v>43.67</v>
          </cell>
          <cell r="Q197">
            <v>43.67</v>
          </cell>
          <cell r="R197">
            <v>44.21</v>
          </cell>
          <cell r="S197">
            <v>44.75</v>
          </cell>
          <cell r="T197">
            <v>41.19</v>
          </cell>
          <cell r="U197">
            <v>43.94</v>
          </cell>
          <cell r="V197">
            <v>43.94</v>
          </cell>
          <cell r="W197">
            <v>44.21</v>
          </cell>
          <cell r="X197">
            <v>45.31</v>
          </cell>
          <cell r="Y197">
            <v>44.75</v>
          </cell>
          <cell r="Z197">
            <v>45.31</v>
          </cell>
          <cell r="AA197">
            <v>45.89</v>
          </cell>
          <cell r="AB197">
            <v>46.47</v>
          </cell>
          <cell r="AC197">
            <v>45.03</v>
          </cell>
          <cell r="AD197">
            <v>45.03</v>
          </cell>
          <cell r="AE197">
            <v>45.6</v>
          </cell>
          <cell r="AF197">
            <v>0</v>
          </cell>
          <cell r="AG197">
            <v>60.37</v>
          </cell>
          <cell r="AH197">
            <v>60.37</v>
          </cell>
          <cell r="AI197">
            <v>61.12</v>
          </cell>
          <cell r="AJ197">
            <v>61.86</v>
          </cell>
          <cell r="AK197">
            <v>56.94</v>
          </cell>
          <cell r="AL197">
            <v>60.74</v>
          </cell>
          <cell r="AM197">
            <v>60.74</v>
          </cell>
          <cell r="AN197">
            <v>61.12</v>
          </cell>
          <cell r="AO197">
            <v>62.64</v>
          </cell>
          <cell r="AP197">
            <v>61.86</v>
          </cell>
          <cell r="AQ197">
            <v>62.64</v>
          </cell>
          <cell r="AR197">
            <v>63.44</v>
          </cell>
          <cell r="AS197">
            <v>64.239999999999995</v>
          </cell>
          <cell r="AT197">
            <v>62.25</v>
          </cell>
          <cell r="AU197">
            <v>62.25</v>
          </cell>
          <cell r="AV197">
            <v>63.04</v>
          </cell>
          <cell r="AX197">
            <v>43.67</v>
          </cell>
          <cell r="AY197">
            <v>60.37</v>
          </cell>
          <cell r="AZ197">
            <v>0.17</v>
          </cell>
          <cell r="BA197">
            <v>0.12</v>
          </cell>
          <cell r="BB197" t="str">
            <v>#_NA</v>
          </cell>
          <cell r="BC197" t="str">
            <v>#_NA</v>
          </cell>
          <cell r="BD197" t="str">
            <v>#_NA</v>
          </cell>
          <cell r="BE197" t="str">
            <v>-</v>
          </cell>
          <cell r="BF197" t="str">
            <v>-</v>
          </cell>
          <cell r="BG197">
            <v>5.6820000000000002E-2</v>
          </cell>
          <cell r="BH197">
            <v>0.56289999999999996</v>
          </cell>
          <cell r="BI197">
            <v>18</v>
          </cell>
          <cell r="BJ197" t="str">
            <v>-</v>
          </cell>
          <cell r="BK197">
            <v>0.58399999999999996</v>
          </cell>
          <cell r="BL197">
            <v>17.14</v>
          </cell>
          <cell r="BM197" t="str">
            <v>-</v>
          </cell>
          <cell r="BN197" t="str">
            <v>NÃO</v>
          </cell>
          <cell r="BO197" t="str">
            <v>NÃO</v>
          </cell>
          <cell r="BP197" t="str">
            <v>MS|G|NACIONAL|Sim|Positiva</v>
          </cell>
          <cell r="BR197" t="str">
            <v>TBD</v>
          </cell>
          <cell r="BS197">
            <v>0</v>
          </cell>
          <cell r="BT197" t="str">
            <v>#ERRO</v>
          </cell>
          <cell r="BU197">
            <v>17.14</v>
          </cell>
          <cell r="BV197" t="str">
            <v>-</v>
          </cell>
          <cell r="BX197" t="str">
            <v>TBD</v>
          </cell>
          <cell r="BY197" t="str">
            <v>TBD</v>
          </cell>
          <cell r="BZ197" t="str">
            <v>TBD</v>
          </cell>
          <cell r="CA197" t="str">
            <v>#ERRO</v>
          </cell>
          <cell r="CB197" t="str">
            <v>-</v>
          </cell>
        </row>
        <row r="198">
          <cell r="A198" t="str">
            <v>18973-0</v>
          </cell>
          <cell r="B198" t="str">
            <v>18973-0</v>
          </cell>
          <cell r="C198">
            <v>7896714249001</v>
          </cell>
          <cell r="D198" t="str">
            <v>OLMESAR+HCTZ 40/25MG CPRV CT BL AL 3X10</v>
          </cell>
          <cell r="E198" t="str">
            <v>SIM</v>
          </cell>
          <cell r="F198" t="str">
            <v>G</v>
          </cell>
          <cell r="G198" t="str">
            <v>LINHA</v>
          </cell>
          <cell r="H198">
            <v>3</v>
          </cell>
          <cell r="I198">
            <v>60</v>
          </cell>
          <cell r="J198" t="str">
            <v>Monitorado</v>
          </cell>
          <cell r="K198" t="str">
            <v>Positiva</v>
          </cell>
          <cell r="L198" t="str">
            <v>Sim</v>
          </cell>
          <cell r="M198" t="str">
            <v>NACIONAL</v>
          </cell>
          <cell r="N198" t="str">
            <v>IMPORTADO</v>
          </cell>
          <cell r="P198">
            <v>49.78</v>
          </cell>
          <cell r="Q198">
            <v>49.78</v>
          </cell>
          <cell r="R198">
            <v>50.39</v>
          </cell>
          <cell r="S198">
            <v>51.01</v>
          </cell>
          <cell r="T198">
            <v>46.95</v>
          </cell>
          <cell r="U198">
            <v>50.08</v>
          </cell>
          <cell r="V198">
            <v>50.08</v>
          </cell>
          <cell r="W198">
            <v>50.39</v>
          </cell>
          <cell r="X198">
            <v>51.65</v>
          </cell>
          <cell r="Y198">
            <v>51.01</v>
          </cell>
          <cell r="Z198">
            <v>51.65</v>
          </cell>
          <cell r="AA198">
            <v>52.3</v>
          </cell>
          <cell r="AB198">
            <v>52.97</v>
          </cell>
          <cell r="AC198">
            <v>51.33</v>
          </cell>
          <cell r="AD198">
            <v>51.33</v>
          </cell>
          <cell r="AE198">
            <v>51.97</v>
          </cell>
          <cell r="AF198">
            <v>0</v>
          </cell>
          <cell r="AG198">
            <v>68.819999999999993</v>
          </cell>
          <cell r="AH198">
            <v>68.819999999999993</v>
          </cell>
          <cell r="AI198">
            <v>69.66</v>
          </cell>
          <cell r="AJ198">
            <v>70.52</v>
          </cell>
          <cell r="AK198">
            <v>64.91</v>
          </cell>
          <cell r="AL198">
            <v>69.23</v>
          </cell>
          <cell r="AM198">
            <v>69.23</v>
          </cell>
          <cell r="AN198">
            <v>69.66</v>
          </cell>
          <cell r="AO198">
            <v>71.400000000000006</v>
          </cell>
          <cell r="AP198">
            <v>70.52</v>
          </cell>
          <cell r="AQ198">
            <v>71.400000000000006</v>
          </cell>
          <cell r="AR198">
            <v>72.3</v>
          </cell>
          <cell r="AS198">
            <v>73.23</v>
          </cell>
          <cell r="AT198">
            <v>70.959999999999994</v>
          </cell>
          <cell r="AU198">
            <v>70.959999999999994</v>
          </cell>
          <cell r="AV198">
            <v>71.849999999999994</v>
          </cell>
          <cell r="AX198">
            <v>49.78</v>
          </cell>
          <cell r="AY198">
            <v>68.819999999999993</v>
          </cell>
          <cell r="AZ198">
            <v>0.17</v>
          </cell>
          <cell r="BA198">
            <v>0.04</v>
          </cell>
          <cell r="BB198" t="str">
            <v>#_NA</v>
          </cell>
          <cell r="BC198" t="str">
            <v>#_NA</v>
          </cell>
          <cell r="BD198" t="str">
            <v>#_NA</v>
          </cell>
          <cell r="BE198" t="str">
            <v>-</v>
          </cell>
          <cell r="BF198" t="str">
            <v>-</v>
          </cell>
          <cell r="BG198">
            <v>0.13542000000000001</v>
          </cell>
          <cell r="BH198">
            <v>0.44419999999999998</v>
          </cell>
          <cell r="BI198">
            <v>23.92</v>
          </cell>
          <cell r="BJ198" t="str">
            <v>-</v>
          </cell>
          <cell r="BK198">
            <v>0.47070000000000001</v>
          </cell>
          <cell r="BL198">
            <v>22.78</v>
          </cell>
          <cell r="BM198" t="str">
            <v>-</v>
          </cell>
          <cell r="BN198" t="str">
            <v>NÃO</v>
          </cell>
          <cell r="BO198" t="str">
            <v>NÃO</v>
          </cell>
          <cell r="BP198" t="str">
            <v>MS|G|IMPORTADO|Sim|Positiva</v>
          </cell>
          <cell r="BR198" t="str">
            <v>TBD</v>
          </cell>
          <cell r="BS198">
            <v>0</v>
          </cell>
          <cell r="BT198" t="str">
            <v>#ERRO</v>
          </cell>
          <cell r="BU198">
            <v>22.78</v>
          </cell>
          <cell r="BV198" t="str">
            <v>-</v>
          </cell>
          <cell r="BX198" t="str">
            <v>TBD</v>
          </cell>
          <cell r="BY198" t="str">
            <v>TBD</v>
          </cell>
          <cell r="BZ198" t="str">
            <v>TBD</v>
          </cell>
          <cell r="CA198" t="str">
            <v>#ERRO</v>
          </cell>
          <cell r="CB198" t="str">
            <v>-</v>
          </cell>
        </row>
        <row r="199">
          <cell r="A199" t="str">
            <v>18302-0</v>
          </cell>
          <cell r="B199" t="str">
            <v>18302-0</v>
          </cell>
          <cell r="C199">
            <v>7896714230290</v>
          </cell>
          <cell r="D199" t="str">
            <v>OMEPRAZOL 20MG CAP CT BL 2X14</v>
          </cell>
          <cell r="E199" t="str">
            <v>SIM</v>
          </cell>
          <cell r="F199" t="str">
            <v>G</v>
          </cell>
          <cell r="G199" t="str">
            <v>LINHA</v>
          </cell>
          <cell r="H199">
            <v>5</v>
          </cell>
          <cell r="I199">
            <v>60</v>
          </cell>
          <cell r="J199" t="str">
            <v>Monitorado</v>
          </cell>
          <cell r="K199" t="str">
            <v>Positiva</v>
          </cell>
          <cell r="L199" t="str">
            <v>Sim</v>
          </cell>
          <cell r="M199" t="str">
            <v>NACIONAL</v>
          </cell>
          <cell r="N199" t="str">
            <v>NACIONAL</v>
          </cell>
          <cell r="P199">
            <v>35.99</v>
          </cell>
          <cell r="Q199">
            <v>35.99</v>
          </cell>
          <cell r="R199">
            <v>36.43</v>
          </cell>
          <cell r="S199">
            <v>36.880000000000003</v>
          </cell>
          <cell r="T199">
            <v>33.94</v>
          </cell>
          <cell r="U199">
            <v>36.21</v>
          </cell>
          <cell r="V199">
            <v>36.21</v>
          </cell>
          <cell r="W199">
            <v>36.43</v>
          </cell>
          <cell r="X199">
            <v>37.340000000000003</v>
          </cell>
          <cell r="Y199">
            <v>36.880000000000003</v>
          </cell>
          <cell r="Z199">
            <v>37.340000000000003</v>
          </cell>
          <cell r="AA199">
            <v>37.81</v>
          </cell>
          <cell r="AB199">
            <v>38.29</v>
          </cell>
          <cell r="AC199">
            <v>37.11</v>
          </cell>
          <cell r="AD199">
            <v>37.11</v>
          </cell>
          <cell r="AE199">
            <v>37.57</v>
          </cell>
          <cell r="AF199">
            <v>0</v>
          </cell>
          <cell r="AG199">
            <v>49.75</v>
          </cell>
          <cell r="AH199">
            <v>49.75</v>
          </cell>
          <cell r="AI199">
            <v>50.36</v>
          </cell>
          <cell r="AJ199">
            <v>50.98</v>
          </cell>
          <cell r="AK199">
            <v>46.92</v>
          </cell>
          <cell r="AL199">
            <v>50.06</v>
          </cell>
          <cell r="AM199">
            <v>50.06</v>
          </cell>
          <cell r="AN199">
            <v>50.36</v>
          </cell>
          <cell r="AO199">
            <v>51.62</v>
          </cell>
          <cell r="AP199">
            <v>50.98</v>
          </cell>
          <cell r="AQ199">
            <v>51.62</v>
          </cell>
          <cell r="AR199">
            <v>52.27</v>
          </cell>
          <cell r="AS199">
            <v>52.93</v>
          </cell>
          <cell r="AT199">
            <v>51.3</v>
          </cell>
          <cell r="AU199">
            <v>51.3</v>
          </cell>
          <cell r="AV199">
            <v>51.94</v>
          </cell>
          <cell r="AX199">
            <v>35.99</v>
          </cell>
          <cell r="AY199">
            <v>49.75</v>
          </cell>
          <cell r="AZ199">
            <v>0.17</v>
          </cell>
          <cell r="BA199">
            <v>0.12</v>
          </cell>
          <cell r="BB199" t="str">
            <v>#_NA</v>
          </cell>
          <cell r="BC199" t="str">
            <v>#_NA</v>
          </cell>
          <cell r="BD199" t="str">
            <v>#_NA</v>
          </cell>
          <cell r="BE199" t="str">
            <v>-</v>
          </cell>
          <cell r="BF199" t="str">
            <v>-</v>
          </cell>
          <cell r="BG199">
            <v>5.6820000000000002E-2</v>
          </cell>
          <cell r="BH199">
            <v>0.82189999999999996</v>
          </cell>
          <cell r="BI199">
            <v>6.05</v>
          </cell>
          <cell r="BJ199" t="str">
            <v>-</v>
          </cell>
          <cell r="BK199">
            <v>0.8306</v>
          </cell>
          <cell r="BL199">
            <v>5.75</v>
          </cell>
          <cell r="BM199" t="str">
            <v>-</v>
          </cell>
          <cell r="BN199" t="str">
            <v>NÃO</v>
          </cell>
          <cell r="BO199" t="str">
            <v>NÃO</v>
          </cell>
          <cell r="BP199" t="str">
            <v>MS|G|NACIONAL|Sim|Positiva</v>
          </cell>
          <cell r="BR199" t="str">
            <v>TBD</v>
          </cell>
          <cell r="BS199">
            <v>0</v>
          </cell>
          <cell r="BT199" t="str">
            <v>#ERRO</v>
          </cell>
          <cell r="BU199">
            <v>5.75</v>
          </cell>
          <cell r="BV199" t="str">
            <v>-</v>
          </cell>
          <cell r="BX199" t="str">
            <v>TBD</v>
          </cell>
          <cell r="BY199" t="str">
            <v>TBD</v>
          </cell>
          <cell r="BZ199" t="str">
            <v>TBD</v>
          </cell>
          <cell r="CA199" t="str">
            <v>#ERRO</v>
          </cell>
          <cell r="CB199" t="str">
            <v>-</v>
          </cell>
        </row>
        <row r="200">
          <cell r="A200" t="str">
            <v>19098-0</v>
          </cell>
          <cell r="B200" t="str">
            <v>19098-0</v>
          </cell>
          <cell r="C200">
            <v>7896714262307</v>
          </cell>
          <cell r="D200" t="str">
            <v>OMEPRAZOL 20MG CAP DURA BL 4X14</v>
          </cell>
          <cell r="E200" t="str">
            <v>SIM</v>
          </cell>
          <cell r="F200" t="str">
            <v>G</v>
          </cell>
          <cell r="G200" t="str">
            <v>LINHA</v>
          </cell>
          <cell r="H200">
            <v>5</v>
          </cell>
          <cell r="I200">
            <v>60</v>
          </cell>
          <cell r="J200" t="str">
            <v>Monitorado</v>
          </cell>
          <cell r="K200" t="str">
            <v>Positiva</v>
          </cell>
          <cell r="L200" t="str">
            <v>Sim</v>
          </cell>
          <cell r="M200" t="str">
            <v>NACIONAL</v>
          </cell>
          <cell r="N200" t="str">
            <v>NACIONAL</v>
          </cell>
          <cell r="P200">
            <v>27.47</v>
          </cell>
          <cell r="Q200">
            <v>27.47</v>
          </cell>
          <cell r="R200">
            <v>27.8</v>
          </cell>
          <cell r="S200">
            <v>28.15</v>
          </cell>
          <cell r="T200">
            <v>25.91</v>
          </cell>
          <cell r="U200">
            <v>27.64</v>
          </cell>
          <cell r="V200">
            <v>27.64</v>
          </cell>
          <cell r="W200">
            <v>27.8</v>
          </cell>
          <cell r="X200">
            <v>28.5</v>
          </cell>
          <cell r="Y200">
            <v>28.15</v>
          </cell>
          <cell r="Z200">
            <v>28.5</v>
          </cell>
          <cell r="AA200">
            <v>28.86</v>
          </cell>
          <cell r="AB200">
            <v>29.23</v>
          </cell>
          <cell r="AC200">
            <v>28.32</v>
          </cell>
          <cell r="AD200">
            <v>28.32</v>
          </cell>
          <cell r="AE200">
            <v>28.68</v>
          </cell>
          <cell r="AF200">
            <v>0</v>
          </cell>
          <cell r="AG200">
            <v>37.979999999999997</v>
          </cell>
          <cell r="AH200">
            <v>37.979999999999997</v>
          </cell>
          <cell r="AI200">
            <v>38.43</v>
          </cell>
          <cell r="AJ200">
            <v>38.92</v>
          </cell>
          <cell r="AK200">
            <v>35.82</v>
          </cell>
          <cell r="AL200">
            <v>38.21</v>
          </cell>
          <cell r="AM200">
            <v>38.21</v>
          </cell>
          <cell r="AN200">
            <v>38.43</v>
          </cell>
          <cell r="AO200">
            <v>39.4</v>
          </cell>
          <cell r="AP200">
            <v>38.92</v>
          </cell>
          <cell r="AQ200">
            <v>39.4</v>
          </cell>
          <cell r="AR200">
            <v>39.9</v>
          </cell>
          <cell r="AS200">
            <v>40.409999999999997</v>
          </cell>
          <cell r="AT200">
            <v>39.15</v>
          </cell>
          <cell r="AU200">
            <v>39.15</v>
          </cell>
          <cell r="AV200">
            <v>39.65</v>
          </cell>
          <cell r="AX200">
            <v>27.47</v>
          </cell>
          <cell r="AY200">
            <v>37.979999999999997</v>
          </cell>
          <cell r="AZ200">
            <v>0.17</v>
          </cell>
          <cell r="BA200">
            <v>0.12</v>
          </cell>
          <cell r="BB200" t="str">
            <v>#_NA</v>
          </cell>
          <cell r="BC200" t="str">
            <v>#_NA</v>
          </cell>
          <cell r="BD200" t="str">
            <v>#_NA</v>
          </cell>
          <cell r="BE200" t="str">
            <v>-</v>
          </cell>
          <cell r="BF200" t="str">
            <v>-</v>
          </cell>
          <cell r="BG200">
            <v>5.6820000000000002E-2</v>
          </cell>
          <cell r="BH200">
            <v>0.55520000000000003</v>
          </cell>
          <cell r="BI200">
            <v>11.52</v>
          </cell>
          <cell r="BJ200" t="str">
            <v>-</v>
          </cell>
          <cell r="BK200">
            <v>0.57640000000000002</v>
          </cell>
          <cell r="BL200">
            <v>10.98</v>
          </cell>
          <cell r="BM200" t="str">
            <v>-</v>
          </cell>
          <cell r="BN200" t="str">
            <v>NÃO</v>
          </cell>
          <cell r="BO200" t="str">
            <v>NÃO</v>
          </cell>
          <cell r="BP200" t="str">
            <v>MS|G|NACIONAL|Sim|Positiva</v>
          </cell>
          <cell r="BR200" t="str">
            <v>TBD</v>
          </cell>
          <cell r="BS200">
            <v>0</v>
          </cell>
          <cell r="BT200" t="str">
            <v>#ERRO</v>
          </cell>
          <cell r="BU200">
            <v>10.98</v>
          </cell>
          <cell r="BV200" t="str">
            <v>-</v>
          </cell>
          <cell r="BX200" t="str">
            <v>TBD</v>
          </cell>
          <cell r="BY200" t="str">
            <v>TBD</v>
          </cell>
          <cell r="BZ200" t="str">
            <v>TBD</v>
          </cell>
          <cell r="CA200" t="str">
            <v>#ERRO</v>
          </cell>
          <cell r="CB200" t="str">
            <v>-</v>
          </cell>
        </row>
        <row r="201">
          <cell r="A201" t="str">
            <v>20497-0</v>
          </cell>
          <cell r="B201" t="str">
            <v>20497-0</v>
          </cell>
          <cell r="C201">
            <v>7896714270913</v>
          </cell>
          <cell r="D201" t="str">
            <v>ORLISTATE 120MG CAP CT BL AL PLAS X 30</v>
          </cell>
          <cell r="E201" t="str">
            <v>SIM</v>
          </cell>
          <cell r="F201" t="str">
            <v>G</v>
          </cell>
          <cell r="G201" t="str">
            <v>PRIORITARIO GENERICOS</v>
          </cell>
          <cell r="H201">
            <v>3</v>
          </cell>
          <cell r="I201">
            <v>30</v>
          </cell>
          <cell r="J201" t="str">
            <v>Monitorado</v>
          </cell>
          <cell r="K201" t="str">
            <v>Negativa</v>
          </cell>
          <cell r="L201" t="str">
            <v>Sim</v>
          </cell>
          <cell r="M201" t="str">
            <v>NACIONAL</v>
          </cell>
          <cell r="N201" t="str">
            <v>IMPORTADO</v>
          </cell>
          <cell r="P201">
            <v>95.4</v>
          </cell>
          <cell r="Q201">
            <v>109.58</v>
          </cell>
          <cell r="R201">
            <v>111.13</v>
          </cell>
          <cell r="S201">
            <v>112.71</v>
          </cell>
          <cell r="T201">
            <v>102.48</v>
          </cell>
          <cell r="U201">
            <v>110.35</v>
          </cell>
          <cell r="V201">
            <v>95.97</v>
          </cell>
          <cell r="W201">
            <v>96.56</v>
          </cell>
          <cell r="X201">
            <v>114.34</v>
          </cell>
          <cell r="Y201">
            <v>97.75</v>
          </cell>
          <cell r="Z201">
            <v>98.97</v>
          </cell>
          <cell r="AA201">
            <v>116.02</v>
          </cell>
          <cell r="AB201">
            <v>117.75</v>
          </cell>
          <cell r="AC201">
            <v>113.52</v>
          </cell>
          <cell r="AD201">
            <v>98.36</v>
          </cell>
          <cell r="AE201">
            <v>115.18</v>
          </cell>
          <cell r="AF201">
            <v>0</v>
          </cell>
          <cell r="AG201">
            <v>131.88</v>
          </cell>
          <cell r="AH201">
            <v>146.06</v>
          </cell>
          <cell r="AI201">
            <v>148.06</v>
          </cell>
          <cell r="AJ201">
            <v>150.09</v>
          </cell>
          <cell r="AK201">
            <v>136.88999999999999</v>
          </cell>
          <cell r="AL201">
            <v>147.05000000000001</v>
          </cell>
          <cell r="AM201">
            <v>132.66999999999999</v>
          </cell>
          <cell r="AN201">
            <v>133.49</v>
          </cell>
          <cell r="AO201">
            <v>152.19</v>
          </cell>
          <cell r="AP201">
            <v>135.13</v>
          </cell>
          <cell r="AQ201">
            <v>136.82</v>
          </cell>
          <cell r="AR201">
            <v>154.35</v>
          </cell>
          <cell r="AS201">
            <v>156.57</v>
          </cell>
          <cell r="AT201">
            <v>151.13999999999999</v>
          </cell>
          <cell r="AU201">
            <v>135.97999999999999</v>
          </cell>
          <cell r="AV201">
            <v>153.27000000000001</v>
          </cell>
          <cell r="AX201">
            <v>109.58</v>
          </cell>
          <cell r="AY201">
            <v>146.06</v>
          </cell>
          <cell r="AZ201">
            <v>0.17</v>
          </cell>
          <cell r="BA201">
            <v>0.04</v>
          </cell>
          <cell r="BB201" t="str">
            <v>#_NA</v>
          </cell>
          <cell r="BC201" t="str">
            <v>#_NA</v>
          </cell>
          <cell r="BD201" t="str">
            <v>#_NA</v>
          </cell>
          <cell r="BE201" t="str">
            <v>-</v>
          </cell>
          <cell r="BF201" t="str">
            <v>-</v>
          </cell>
          <cell r="BG201">
            <v>0.13542000000000001</v>
          </cell>
          <cell r="BH201">
            <v>0.49109999999999998</v>
          </cell>
          <cell r="BI201">
            <v>48.21</v>
          </cell>
          <cell r="BJ201" t="str">
            <v>-</v>
          </cell>
          <cell r="BK201">
            <v>0.58050000000000002</v>
          </cell>
          <cell r="BL201">
            <v>39.74</v>
          </cell>
          <cell r="BM201" t="str">
            <v>-</v>
          </cell>
          <cell r="BN201" t="str">
            <v>NÃO</v>
          </cell>
          <cell r="BO201" t="str">
            <v>NÃO</v>
          </cell>
          <cell r="BP201" t="str">
            <v>MS|G|IMPORTADO|Sim|Negativa</v>
          </cell>
          <cell r="BR201" t="str">
            <v>TBD</v>
          </cell>
          <cell r="BS201">
            <v>0</v>
          </cell>
          <cell r="BT201" t="str">
            <v>#ERRO</v>
          </cell>
          <cell r="BU201">
            <v>39.74</v>
          </cell>
          <cell r="BV201" t="str">
            <v>-</v>
          </cell>
          <cell r="BX201" t="str">
            <v>TBD</v>
          </cell>
          <cell r="BY201" t="str">
            <v>TBD</v>
          </cell>
          <cell r="BZ201" t="str">
            <v>TBD</v>
          </cell>
          <cell r="CA201" t="str">
            <v>#ERRO</v>
          </cell>
          <cell r="CB201" t="str">
            <v>-</v>
          </cell>
        </row>
        <row r="202">
          <cell r="A202" t="str">
            <v>19644-0</v>
          </cell>
          <cell r="B202" t="str">
            <v>19644-0</v>
          </cell>
          <cell r="C202">
            <v>7896714237497</v>
          </cell>
          <cell r="D202" t="str">
            <v>ORLISTATE 120MG CT 42 CAP</v>
          </cell>
          <cell r="E202" t="str">
            <v>SIM</v>
          </cell>
          <cell r="F202" t="str">
            <v>G</v>
          </cell>
          <cell r="G202" t="str">
            <v>PRIORITARIO GENERICOS</v>
          </cell>
          <cell r="H202">
            <v>3</v>
          </cell>
          <cell r="I202">
            <v>30</v>
          </cell>
          <cell r="J202" t="str">
            <v>Monitorado</v>
          </cell>
          <cell r="K202" t="str">
            <v>Negativa</v>
          </cell>
          <cell r="L202" t="str">
            <v>Sim</v>
          </cell>
          <cell r="M202" t="str">
            <v>NACIONAL</v>
          </cell>
          <cell r="N202" t="str">
            <v>IMPORTADO</v>
          </cell>
          <cell r="P202">
            <v>142.13</v>
          </cell>
          <cell r="Q202">
            <v>163.26</v>
          </cell>
          <cell r="R202">
            <v>165.56</v>
          </cell>
          <cell r="S202">
            <v>167.92</v>
          </cell>
          <cell r="T202">
            <v>152.68</v>
          </cell>
          <cell r="U202">
            <v>164.4</v>
          </cell>
          <cell r="V202">
            <v>142.99</v>
          </cell>
          <cell r="W202">
            <v>143.86000000000001</v>
          </cell>
          <cell r="X202">
            <v>170.35</v>
          </cell>
          <cell r="Y202">
            <v>145.63</v>
          </cell>
          <cell r="Z202">
            <v>147.46</v>
          </cell>
          <cell r="AA202">
            <v>172.86</v>
          </cell>
          <cell r="AB202">
            <v>175.43</v>
          </cell>
          <cell r="AC202">
            <v>169.13</v>
          </cell>
          <cell r="AD202">
            <v>146.54</v>
          </cell>
          <cell r="AE202">
            <v>171.6</v>
          </cell>
          <cell r="AF202">
            <v>0</v>
          </cell>
          <cell r="AG202">
            <v>196.49</v>
          </cell>
          <cell r="AH202">
            <v>217.61</v>
          </cell>
          <cell r="AI202">
            <v>220.58</v>
          </cell>
          <cell r="AJ202">
            <v>223.62</v>
          </cell>
          <cell r="AK202">
            <v>203.95</v>
          </cell>
          <cell r="AL202">
            <v>219.08</v>
          </cell>
          <cell r="AM202">
            <v>197.68</v>
          </cell>
          <cell r="AN202">
            <v>198.88</v>
          </cell>
          <cell r="AO202">
            <v>226.74</v>
          </cell>
          <cell r="AP202">
            <v>201.32</v>
          </cell>
          <cell r="AQ202">
            <v>203.85</v>
          </cell>
          <cell r="AR202">
            <v>229.97</v>
          </cell>
          <cell r="AS202">
            <v>233.27</v>
          </cell>
          <cell r="AT202">
            <v>225.17</v>
          </cell>
          <cell r="AU202">
            <v>202.58</v>
          </cell>
          <cell r="AV202">
            <v>228.35</v>
          </cell>
          <cell r="AX202">
            <v>163.26</v>
          </cell>
          <cell r="AY202">
            <v>217.61</v>
          </cell>
          <cell r="AZ202">
            <v>0.17</v>
          </cell>
          <cell r="BA202">
            <v>0.04</v>
          </cell>
          <cell r="BB202" t="str">
            <v>#_NA</v>
          </cell>
          <cell r="BC202" t="str">
            <v>#_NA</v>
          </cell>
          <cell r="BD202" t="str">
            <v>#_NA</v>
          </cell>
          <cell r="BE202" t="str">
            <v>-</v>
          </cell>
          <cell r="BF202" t="str">
            <v>-</v>
          </cell>
          <cell r="BG202">
            <v>0.13542000000000001</v>
          </cell>
          <cell r="BH202">
            <v>0.60919999999999996</v>
          </cell>
          <cell r="BI202">
            <v>55.16</v>
          </cell>
          <cell r="BJ202" t="str">
            <v>-</v>
          </cell>
          <cell r="BK202">
            <v>0.62780000000000002</v>
          </cell>
          <cell r="BL202">
            <v>52.54</v>
          </cell>
          <cell r="BM202" t="str">
            <v>-</v>
          </cell>
          <cell r="BN202" t="str">
            <v>SIM</v>
          </cell>
          <cell r="BO202" t="str">
            <v>NÃO</v>
          </cell>
          <cell r="BP202" t="str">
            <v>MS|G|IMPORTADO|Sim|Negativa</v>
          </cell>
          <cell r="BR202" t="str">
            <v>TBD</v>
          </cell>
          <cell r="BS202">
            <v>0</v>
          </cell>
          <cell r="BT202" t="str">
            <v>#ERRO</v>
          </cell>
          <cell r="BU202">
            <v>52.54</v>
          </cell>
          <cell r="BV202" t="str">
            <v>-</v>
          </cell>
          <cell r="BX202" t="str">
            <v>TBD</v>
          </cell>
          <cell r="BY202" t="str">
            <v>TBD</v>
          </cell>
          <cell r="BZ202" t="str">
            <v>TBD</v>
          </cell>
          <cell r="CA202" t="str">
            <v>#ERRO</v>
          </cell>
          <cell r="CB202" t="str">
            <v>-</v>
          </cell>
        </row>
        <row r="203">
          <cell r="A203" t="str">
            <v>19645-0</v>
          </cell>
          <cell r="B203" t="str">
            <v>19645-0</v>
          </cell>
          <cell r="C203">
            <v>7896714237510</v>
          </cell>
          <cell r="D203" t="str">
            <v>ORLISTATE 120MG CT 84 CAP</v>
          </cell>
          <cell r="E203" t="str">
            <v>SIM</v>
          </cell>
          <cell r="F203" t="str">
            <v>G</v>
          </cell>
          <cell r="G203" t="str">
            <v>PRIORITARIO GENERICOS</v>
          </cell>
          <cell r="H203">
            <v>3</v>
          </cell>
          <cell r="I203">
            <v>12</v>
          </cell>
          <cell r="J203" t="str">
            <v>Monitorado</v>
          </cell>
          <cell r="K203" t="str">
            <v>Negativa</v>
          </cell>
          <cell r="L203" t="str">
            <v>Sim</v>
          </cell>
          <cell r="M203" t="str">
            <v>NACIONAL</v>
          </cell>
          <cell r="N203" t="str">
            <v>IMPORTADO</v>
          </cell>
          <cell r="P203">
            <v>307.57</v>
          </cell>
          <cell r="Q203">
            <v>353.32</v>
          </cell>
          <cell r="R203">
            <v>358.29</v>
          </cell>
          <cell r="S203">
            <v>363.4</v>
          </cell>
          <cell r="T203">
            <v>330.41</v>
          </cell>
          <cell r="U203">
            <v>355.79</v>
          </cell>
          <cell r="V203">
            <v>309.44</v>
          </cell>
          <cell r="W203">
            <v>311.32</v>
          </cell>
          <cell r="X203">
            <v>368.66</v>
          </cell>
          <cell r="Y203">
            <v>315.17</v>
          </cell>
          <cell r="Z203">
            <v>319.11</v>
          </cell>
          <cell r="AA203">
            <v>374.08</v>
          </cell>
          <cell r="AB203">
            <v>379.66</v>
          </cell>
          <cell r="AC203">
            <v>366.01</v>
          </cell>
          <cell r="AD203">
            <v>317.13</v>
          </cell>
          <cell r="AE203">
            <v>371.35</v>
          </cell>
          <cell r="AF203">
            <v>0</v>
          </cell>
          <cell r="AG203">
            <v>425.2</v>
          </cell>
          <cell r="AH203">
            <v>470.95</v>
          </cell>
          <cell r="AI203">
            <v>477.35</v>
          </cell>
          <cell r="AJ203">
            <v>483.93</v>
          </cell>
          <cell r="AK203">
            <v>441.36</v>
          </cell>
          <cell r="AL203">
            <v>474.13</v>
          </cell>
          <cell r="AM203">
            <v>427.78</v>
          </cell>
          <cell r="AN203">
            <v>430.38</v>
          </cell>
          <cell r="AO203">
            <v>490.7</v>
          </cell>
          <cell r="AP203">
            <v>435.7</v>
          </cell>
          <cell r="AQ203">
            <v>441.15</v>
          </cell>
          <cell r="AR203">
            <v>497.66</v>
          </cell>
          <cell r="AS203">
            <v>504.83</v>
          </cell>
          <cell r="AT203">
            <v>487.29</v>
          </cell>
          <cell r="AU203">
            <v>438.41</v>
          </cell>
          <cell r="AV203">
            <v>494.16</v>
          </cell>
          <cell r="AX203">
            <v>353.32</v>
          </cell>
          <cell r="AY203">
            <v>470.95</v>
          </cell>
          <cell r="AZ203">
            <v>0.17</v>
          </cell>
          <cell r="BA203">
            <v>0.04</v>
          </cell>
          <cell r="BB203" t="str">
            <v>#_NA</v>
          </cell>
          <cell r="BC203" t="str">
            <v>#_NA</v>
          </cell>
          <cell r="BD203" t="str">
            <v>#_NA</v>
          </cell>
          <cell r="BE203" t="str">
            <v>-</v>
          </cell>
          <cell r="BF203" t="str">
            <v>-</v>
          </cell>
          <cell r="BG203">
            <v>0.13542000000000001</v>
          </cell>
          <cell r="BH203">
            <v>0.62970000000000004</v>
          </cell>
          <cell r="BI203">
            <v>113.12</v>
          </cell>
          <cell r="BJ203" t="str">
            <v>-</v>
          </cell>
          <cell r="BK203">
            <v>0.64729999999999999</v>
          </cell>
          <cell r="BL203">
            <v>107.74</v>
          </cell>
          <cell r="BM203" t="str">
            <v>-</v>
          </cell>
          <cell r="BN203" t="str">
            <v>SIM</v>
          </cell>
          <cell r="BO203" t="str">
            <v>NÃO</v>
          </cell>
          <cell r="BP203" t="str">
            <v>MS|G|IMPORTADO|Sim|Negativa</v>
          </cell>
          <cell r="BR203" t="str">
            <v>TBD</v>
          </cell>
          <cell r="BS203">
            <v>0</v>
          </cell>
          <cell r="BT203" t="str">
            <v>#ERRO</v>
          </cell>
          <cell r="BU203">
            <v>107.74</v>
          </cell>
          <cell r="BV203" t="str">
            <v>-</v>
          </cell>
          <cell r="BX203" t="str">
            <v>TBD</v>
          </cell>
          <cell r="BY203" t="str">
            <v>TBD</v>
          </cell>
          <cell r="BZ203" t="str">
            <v>TBD</v>
          </cell>
          <cell r="CA203" t="str">
            <v>#ERRO</v>
          </cell>
          <cell r="CB203" t="str">
            <v>-</v>
          </cell>
        </row>
        <row r="204">
          <cell r="A204" t="str">
            <v>19395-0</v>
          </cell>
          <cell r="B204" t="str">
            <v>19395-0</v>
          </cell>
          <cell r="C204">
            <v>7896714248714</v>
          </cell>
          <cell r="D204" t="str">
            <v>OXAL ESCITALOPRAM C-1 10MG CPRV BL 2X15</v>
          </cell>
          <cell r="E204" t="str">
            <v>SIM</v>
          </cell>
          <cell r="F204" t="str">
            <v>G</v>
          </cell>
          <cell r="G204" t="str">
            <v>FOCO GENERICOS</v>
          </cell>
          <cell r="H204">
            <v>5</v>
          </cell>
          <cell r="I204">
            <v>60</v>
          </cell>
          <cell r="J204" t="str">
            <v>Monitorado</v>
          </cell>
          <cell r="K204" t="str">
            <v>Positiva</v>
          </cell>
          <cell r="L204" t="str">
            <v>Sim</v>
          </cell>
          <cell r="M204" t="str">
            <v>NACIONAL</v>
          </cell>
          <cell r="N204" t="str">
            <v>NACIONAL</v>
          </cell>
          <cell r="P204">
            <v>61.58</v>
          </cell>
          <cell r="Q204">
            <v>61.58</v>
          </cell>
          <cell r="R204">
            <v>62.33</v>
          </cell>
          <cell r="S204">
            <v>63.1</v>
          </cell>
          <cell r="T204">
            <v>58.08</v>
          </cell>
          <cell r="U204">
            <v>61.95</v>
          </cell>
          <cell r="V204">
            <v>61.95</v>
          </cell>
          <cell r="W204">
            <v>62.33</v>
          </cell>
          <cell r="X204">
            <v>63.89</v>
          </cell>
          <cell r="Y204">
            <v>63.1</v>
          </cell>
          <cell r="Z204">
            <v>63.89</v>
          </cell>
          <cell r="AA204">
            <v>64.7</v>
          </cell>
          <cell r="AB204">
            <v>65.53</v>
          </cell>
          <cell r="AC204">
            <v>63.49</v>
          </cell>
          <cell r="AD204">
            <v>63.49</v>
          </cell>
          <cell r="AE204">
            <v>64.290000000000006</v>
          </cell>
          <cell r="AF204">
            <v>0</v>
          </cell>
          <cell r="AG204">
            <v>85.13</v>
          </cell>
          <cell r="AH204">
            <v>85.13</v>
          </cell>
          <cell r="AI204">
            <v>86.17</v>
          </cell>
          <cell r="AJ204">
            <v>87.23</v>
          </cell>
          <cell r="AK204">
            <v>80.290000000000006</v>
          </cell>
          <cell r="AL204">
            <v>85.64</v>
          </cell>
          <cell r="AM204">
            <v>85.64</v>
          </cell>
          <cell r="AN204">
            <v>86.17</v>
          </cell>
          <cell r="AO204">
            <v>88.32</v>
          </cell>
          <cell r="AP204">
            <v>87.23</v>
          </cell>
          <cell r="AQ204">
            <v>88.32</v>
          </cell>
          <cell r="AR204">
            <v>89.44</v>
          </cell>
          <cell r="AS204">
            <v>90.59</v>
          </cell>
          <cell r="AT204">
            <v>87.77</v>
          </cell>
          <cell r="AU204">
            <v>87.77</v>
          </cell>
          <cell r="AV204">
            <v>88.88</v>
          </cell>
          <cell r="AX204">
            <v>61.58</v>
          </cell>
          <cell r="AY204">
            <v>85.13</v>
          </cell>
          <cell r="AZ204">
            <v>0.17</v>
          </cell>
          <cell r="BA204">
            <v>0.12</v>
          </cell>
          <cell r="BB204" t="str">
            <v>#_NA</v>
          </cell>
          <cell r="BC204" t="str">
            <v>#_NA</v>
          </cell>
          <cell r="BD204" t="str">
            <v>#_NA</v>
          </cell>
          <cell r="BE204" t="str">
            <v>-</v>
          </cell>
          <cell r="BF204" t="str">
            <v>-</v>
          </cell>
          <cell r="BG204">
            <v>5.6820000000000002E-2</v>
          </cell>
          <cell r="BH204">
            <v>0.86570000000000003</v>
          </cell>
          <cell r="BI204">
            <v>7.8</v>
          </cell>
          <cell r="BJ204" t="str">
            <v>-</v>
          </cell>
          <cell r="BK204">
            <v>0.87209999999999999</v>
          </cell>
          <cell r="BL204">
            <v>7.43</v>
          </cell>
          <cell r="BM204" t="str">
            <v>-</v>
          </cell>
          <cell r="BN204" t="str">
            <v>NÃO</v>
          </cell>
          <cell r="BO204" t="str">
            <v>NÃO</v>
          </cell>
          <cell r="BP204" t="str">
            <v>MS|G|NACIONAL|Sim|Positiva</v>
          </cell>
          <cell r="BR204" t="str">
            <v>TBD</v>
          </cell>
          <cell r="BS204">
            <v>0</v>
          </cell>
          <cell r="BT204" t="str">
            <v>#ERRO</v>
          </cell>
          <cell r="BU204">
            <v>7.43</v>
          </cell>
          <cell r="BV204" t="str">
            <v>-</v>
          </cell>
          <cell r="BX204" t="str">
            <v>TBD</v>
          </cell>
          <cell r="BY204" t="str">
            <v>TBD</v>
          </cell>
          <cell r="BZ204" t="str">
            <v>TBD</v>
          </cell>
          <cell r="CA204" t="str">
            <v>#ERRO</v>
          </cell>
          <cell r="CB204" t="str">
            <v>-</v>
          </cell>
        </row>
        <row r="205">
          <cell r="A205" t="str">
            <v>19396-0</v>
          </cell>
          <cell r="B205" t="str">
            <v>19396-0</v>
          </cell>
          <cell r="C205">
            <v>7896714248837</v>
          </cell>
          <cell r="D205" t="str">
            <v>OXAL ESCITALOPRAM C-1 20MG CPRV BL 2X15</v>
          </cell>
          <cell r="E205" t="str">
            <v>SIM</v>
          </cell>
          <cell r="F205" t="str">
            <v>G</v>
          </cell>
          <cell r="G205" t="str">
            <v>FOCO GENERICOS</v>
          </cell>
          <cell r="H205">
            <v>5</v>
          </cell>
          <cell r="I205">
            <v>60</v>
          </cell>
          <cell r="J205" t="str">
            <v>Monitorado</v>
          </cell>
          <cell r="K205" t="str">
            <v>Positiva</v>
          </cell>
          <cell r="L205" t="str">
            <v>Sim</v>
          </cell>
          <cell r="M205" t="str">
            <v>NACIONAL</v>
          </cell>
          <cell r="N205" t="str">
            <v>NACIONAL</v>
          </cell>
          <cell r="P205">
            <v>119.75</v>
          </cell>
          <cell r="Q205">
            <v>119.75</v>
          </cell>
          <cell r="R205">
            <v>121.21</v>
          </cell>
          <cell r="S205">
            <v>122.7</v>
          </cell>
          <cell r="T205">
            <v>112.94</v>
          </cell>
          <cell r="U205">
            <v>120.47</v>
          </cell>
          <cell r="V205">
            <v>120.47</v>
          </cell>
          <cell r="W205">
            <v>121.21</v>
          </cell>
          <cell r="X205">
            <v>124.24</v>
          </cell>
          <cell r="Y205">
            <v>122.7</v>
          </cell>
          <cell r="Z205">
            <v>124.24</v>
          </cell>
          <cell r="AA205">
            <v>125.81</v>
          </cell>
          <cell r="AB205">
            <v>127.42</v>
          </cell>
          <cell r="AC205">
            <v>123.47</v>
          </cell>
          <cell r="AD205">
            <v>123.47</v>
          </cell>
          <cell r="AE205">
            <v>125.02</v>
          </cell>
          <cell r="AF205">
            <v>0</v>
          </cell>
          <cell r="AG205">
            <v>165.55</v>
          </cell>
          <cell r="AH205">
            <v>165.55</v>
          </cell>
          <cell r="AI205">
            <v>167.57</v>
          </cell>
          <cell r="AJ205">
            <v>169.63</v>
          </cell>
          <cell r="AK205">
            <v>156.13</v>
          </cell>
          <cell r="AL205">
            <v>166.54</v>
          </cell>
          <cell r="AM205">
            <v>166.54</v>
          </cell>
          <cell r="AN205">
            <v>167.57</v>
          </cell>
          <cell r="AO205">
            <v>171.75</v>
          </cell>
          <cell r="AP205">
            <v>169.63</v>
          </cell>
          <cell r="AQ205">
            <v>171.75</v>
          </cell>
          <cell r="AR205">
            <v>173.92</v>
          </cell>
          <cell r="AS205">
            <v>176.15</v>
          </cell>
          <cell r="AT205">
            <v>170.69</v>
          </cell>
          <cell r="AU205">
            <v>170.69</v>
          </cell>
          <cell r="AV205">
            <v>172.83</v>
          </cell>
          <cell r="AX205">
            <v>119.75</v>
          </cell>
          <cell r="AY205">
            <v>165.55</v>
          </cell>
          <cell r="AZ205">
            <v>0.17</v>
          </cell>
          <cell r="BA205">
            <v>0.12</v>
          </cell>
          <cell r="BB205" t="str">
            <v>#_NA</v>
          </cell>
          <cell r="BC205" t="str">
            <v>#_NA</v>
          </cell>
          <cell r="BD205" t="str">
            <v>#_NA</v>
          </cell>
          <cell r="BE205" t="str">
            <v>-</v>
          </cell>
          <cell r="BF205" t="str">
            <v>-</v>
          </cell>
          <cell r="BG205">
            <v>5.6820000000000002E-2</v>
          </cell>
          <cell r="BH205">
            <v>0.86670000000000003</v>
          </cell>
          <cell r="BI205">
            <v>15.06</v>
          </cell>
          <cell r="BJ205" t="str">
            <v>-</v>
          </cell>
          <cell r="BK205">
            <v>0.873</v>
          </cell>
          <cell r="BL205">
            <v>14.34</v>
          </cell>
          <cell r="BM205" t="str">
            <v>-</v>
          </cell>
          <cell r="BN205" t="str">
            <v>NÃO</v>
          </cell>
          <cell r="BO205" t="str">
            <v>NÃO</v>
          </cell>
          <cell r="BP205" t="str">
            <v>MS|G|NACIONAL|Sim|Positiva</v>
          </cell>
          <cell r="BR205" t="str">
            <v>TBD</v>
          </cell>
          <cell r="BS205">
            <v>0</v>
          </cell>
          <cell r="BT205" t="str">
            <v>#ERRO</v>
          </cell>
          <cell r="BU205">
            <v>14.34</v>
          </cell>
          <cell r="BV205" t="str">
            <v>-</v>
          </cell>
          <cell r="BX205" t="str">
            <v>TBD</v>
          </cell>
          <cell r="BY205" t="str">
            <v>TBD</v>
          </cell>
          <cell r="BZ205" t="str">
            <v>TBD</v>
          </cell>
          <cell r="CA205" t="str">
            <v>#ERRO</v>
          </cell>
          <cell r="CB205" t="str">
            <v>-</v>
          </cell>
        </row>
        <row r="206">
          <cell r="A206" t="str">
            <v>12472-0</v>
          </cell>
          <cell r="B206" t="str">
            <v>12472-0</v>
          </cell>
          <cell r="C206">
            <v>7896714215013</v>
          </cell>
          <cell r="D206" t="str">
            <v>PIROXICAM 20MG CAP CT BL 1X10</v>
          </cell>
          <cell r="E206" t="str">
            <v>SIM</v>
          </cell>
          <cell r="F206" t="str">
            <v>G</v>
          </cell>
          <cell r="G206" t="str">
            <v>LINHA</v>
          </cell>
          <cell r="H206">
            <v>5</v>
          </cell>
          <cell r="I206">
            <v>60</v>
          </cell>
          <cell r="J206" t="str">
            <v>Monitorado</v>
          </cell>
          <cell r="K206" t="str">
            <v>Positiva</v>
          </cell>
          <cell r="L206" t="str">
            <v>Sim</v>
          </cell>
          <cell r="M206" t="str">
            <v>NACIONAL</v>
          </cell>
          <cell r="N206" t="str">
            <v>NACIONAL</v>
          </cell>
          <cell r="P206">
            <v>15.95</v>
          </cell>
          <cell r="Q206">
            <v>15.95</v>
          </cell>
          <cell r="R206">
            <v>16.149999999999999</v>
          </cell>
          <cell r="S206">
            <v>16.350000000000001</v>
          </cell>
          <cell r="T206">
            <v>15.05</v>
          </cell>
          <cell r="U206">
            <v>16.05</v>
          </cell>
          <cell r="V206">
            <v>16.05</v>
          </cell>
          <cell r="W206">
            <v>16.149999999999999</v>
          </cell>
          <cell r="X206">
            <v>16.55</v>
          </cell>
          <cell r="Y206">
            <v>16.350000000000001</v>
          </cell>
          <cell r="Z206">
            <v>16.55</v>
          </cell>
          <cell r="AA206">
            <v>16.760000000000002</v>
          </cell>
          <cell r="AB206">
            <v>16.97</v>
          </cell>
          <cell r="AC206">
            <v>16.45</v>
          </cell>
          <cell r="AD206">
            <v>16.45</v>
          </cell>
          <cell r="AE206">
            <v>16.649999999999999</v>
          </cell>
          <cell r="AF206">
            <v>0</v>
          </cell>
          <cell r="AG206">
            <v>22.05</v>
          </cell>
          <cell r="AH206">
            <v>22.05</v>
          </cell>
          <cell r="AI206">
            <v>22.33</v>
          </cell>
          <cell r="AJ206">
            <v>22.6</v>
          </cell>
          <cell r="AK206">
            <v>20.81</v>
          </cell>
          <cell r="AL206">
            <v>22.19</v>
          </cell>
          <cell r="AM206">
            <v>22.19</v>
          </cell>
          <cell r="AN206">
            <v>22.33</v>
          </cell>
          <cell r="AO206">
            <v>22.88</v>
          </cell>
          <cell r="AP206">
            <v>22.6</v>
          </cell>
          <cell r="AQ206">
            <v>22.88</v>
          </cell>
          <cell r="AR206">
            <v>23.17</v>
          </cell>
          <cell r="AS206">
            <v>23.46</v>
          </cell>
          <cell r="AT206">
            <v>22.74</v>
          </cell>
          <cell r="AU206">
            <v>22.74</v>
          </cell>
          <cell r="AV206">
            <v>23.02</v>
          </cell>
          <cell r="AX206">
            <v>15.95</v>
          </cell>
          <cell r="AY206">
            <v>22.05</v>
          </cell>
          <cell r="AZ206">
            <v>0.17</v>
          </cell>
          <cell r="BA206">
            <v>0.12</v>
          </cell>
          <cell r="BB206" t="str">
            <v>#_NA</v>
          </cell>
          <cell r="BC206" t="str">
            <v>#_NA</v>
          </cell>
          <cell r="BD206" t="str">
            <v>#_NA</v>
          </cell>
          <cell r="BE206" t="str">
            <v>-</v>
          </cell>
          <cell r="BF206" t="str">
            <v>-</v>
          </cell>
          <cell r="BG206">
            <v>5.6820000000000002E-2</v>
          </cell>
          <cell r="BH206">
            <v>0.82</v>
          </cell>
          <cell r="BI206">
            <v>2.71</v>
          </cell>
          <cell r="BJ206" t="str">
            <v>-</v>
          </cell>
          <cell r="BK206">
            <v>0.8286</v>
          </cell>
          <cell r="BL206">
            <v>2.58</v>
          </cell>
          <cell r="BM206" t="str">
            <v>-</v>
          </cell>
          <cell r="BN206" t="str">
            <v>NÃO</v>
          </cell>
          <cell r="BO206" t="str">
            <v>NÃO</v>
          </cell>
          <cell r="BP206" t="str">
            <v>MS|G|NACIONAL|Sim|Positiva</v>
          </cell>
          <cell r="BR206" t="str">
            <v>TBD</v>
          </cell>
          <cell r="BS206">
            <v>0</v>
          </cell>
          <cell r="BT206" t="str">
            <v>#ERRO</v>
          </cell>
          <cell r="BU206">
            <v>2.58</v>
          </cell>
          <cell r="BV206" t="str">
            <v>-</v>
          </cell>
          <cell r="BX206" t="str">
            <v>TBD</v>
          </cell>
          <cell r="BY206" t="str">
            <v>TBD</v>
          </cell>
          <cell r="BZ206" t="str">
            <v>TBD</v>
          </cell>
          <cell r="CA206" t="str">
            <v>#ERRO</v>
          </cell>
          <cell r="CB206" t="str">
            <v>-</v>
          </cell>
        </row>
        <row r="207">
          <cell r="A207" t="str">
            <v>12454-0</v>
          </cell>
          <cell r="B207" t="str">
            <v>12454-0</v>
          </cell>
          <cell r="C207">
            <v>7896714209456</v>
          </cell>
          <cell r="D207" t="str">
            <v>PIROXICAM 20MG CAP CT BL 1X15</v>
          </cell>
          <cell r="E207" t="str">
            <v>SIM</v>
          </cell>
          <cell r="F207" t="str">
            <v>G</v>
          </cell>
          <cell r="G207" t="str">
            <v>LINHA</v>
          </cell>
          <cell r="H207">
            <v>5</v>
          </cell>
          <cell r="I207">
            <v>60</v>
          </cell>
          <cell r="J207" t="str">
            <v>Monitorado</v>
          </cell>
          <cell r="K207" t="str">
            <v>Positiva</v>
          </cell>
          <cell r="L207" t="str">
            <v>Sim</v>
          </cell>
          <cell r="M207" t="str">
            <v>NACIONAL</v>
          </cell>
          <cell r="N207" t="str">
            <v>NACIONAL</v>
          </cell>
          <cell r="P207">
            <v>12.57</v>
          </cell>
          <cell r="Q207">
            <v>12.57</v>
          </cell>
          <cell r="R207">
            <v>12.72</v>
          </cell>
          <cell r="S207">
            <v>12.88</v>
          </cell>
          <cell r="T207">
            <v>11.85</v>
          </cell>
          <cell r="U207">
            <v>12.64</v>
          </cell>
          <cell r="V207">
            <v>12.64</v>
          </cell>
          <cell r="W207">
            <v>12.72</v>
          </cell>
          <cell r="X207">
            <v>13.04</v>
          </cell>
          <cell r="Y207">
            <v>12.88</v>
          </cell>
          <cell r="Z207">
            <v>13.04</v>
          </cell>
          <cell r="AA207">
            <v>13.2</v>
          </cell>
          <cell r="AB207">
            <v>13.37</v>
          </cell>
          <cell r="AC207">
            <v>12.96</v>
          </cell>
          <cell r="AD207">
            <v>12.96</v>
          </cell>
          <cell r="AE207">
            <v>13.12</v>
          </cell>
          <cell r="AF207">
            <v>0</v>
          </cell>
          <cell r="AG207">
            <v>17.38</v>
          </cell>
          <cell r="AH207">
            <v>17.38</v>
          </cell>
          <cell r="AI207">
            <v>17.579999999999998</v>
          </cell>
          <cell r="AJ207">
            <v>17.809999999999999</v>
          </cell>
          <cell r="AK207">
            <v>16.38</v>
          </cell>
          <cell r="AL207">
            <v>17.47</v>
          </cell>
          <cell r="AM207">
            <v>17.47</v>
          </cell>
          <cell r="AN207">
            <v>17.579999999999998</v>
          </cell>
          <cell r="AO207">
            <v>18.03</v>
          </cell>
          <cell r="AP207">
            <v>17.809999999999999</v>
          </cell>
          <cell r="AQ207">
            <v>18.03</v>
          </cell>
          <cell r="AR207">
            <v>18.25</v>
          </cell>
          <cell r="AS207">
            <v>18.48</v>
          </cell>
          <cell r="AT207">
            <v>17.920000000000002</v>
          </cell>
          <cell r="AU207">
            <v>17.920000000000002</v>
          </cell>
          <cell r="AV207">
            <v>18.14</v>
          </cell>
          <cell r="AX207">
            <v>12.57</v>
          </cell>
          <cell r="AY207">
            <v>17.38</v>
          </cell>
          <cell r="AZ207">
            <v>0.17</v>
          </cell>
          <cell r="BA207">
            <v>0.12</v>
          </cell>
          <cell r="BB207" t="str">
            <v>#_NA</v>
          </cell>
          <cell r="BC207" t="str">
            <v>#_NA</v>
          </cell>
          <cell r="BD207" t="str">
            <v>#_NA</v>
          </cell>
          <cell r="BE207" t="str">
            <v>-</v>
          </cell>
          <cell r="BF207" t="str">
            <v>-</v>
          </cell>
          <cell r="BG207">
            <v>5.6820000000000002E-2</v>
          </cell>
          <cell r="BH207">
            <v>0.64200000000000002</v>
          </cell>
          <cell r="BI207">
            <v>4.25</v>
          </cell>
          <cell r="BJ207" t="str">
            <v>-</v>
          </cell>
          <cell r="BK207">
            <v>0.65910000000000002</v>
          </cell>
          <cell r="BL207">
            <v>4.04</v>
          </cell>
          <cell r="BM207" t="str">
            <v>-</v>
          </cell>
          <cell r="BN207" t="str">
            <v>NÃO</v>
          </cell>
          <cell r="BO207" t="str">
            <v>NÃO</v>
          </cell>
          <cell r="BP207" t="str">
            <v>MS|G|NACIONAL|Sim|Positiva</v>
          </cell>
          <cell r="BR207" t="str">
            <v>TBD</v>
          </cell>
          <cell r="BS207">
            <v>0</v>
          </cell>
          <cell r="BT207" t="str">
            <v>#ERRO</v>
          </cell>
          <cell r="BU207">
            <v>4.04</v>
          </cell>
          <cell r="BV207" t="str">
            <v>-</v>
          </cell>
          <cell r="BX207" t="str">
            <v>TBD</v>
          </cell>
          <cell r="BY207" t="str">
            <v>TBD</v>
          </cell>
          <cell r="BZ207" t="str">
            <v>TBD</v>
          </cell>
          <cell r="CA207" t="str">
            <v>#ERRO</v>
          </cell>
          <cell r="CB207" t="str">
            <v>-</v>
          </cell>
        </row>
        <row r="208">
          <cell r="A208" t="str">
            <v>12349-0</v>
          </cell>
          <cell r="B208" t="str">
            <v>12349-0</v>
          </cell>
          <cell r="C208">
            <v>7896714215037</v>
          </cell>
          <cell r="D208" t="str">
            <v>PLESONAX 5MG COMP REV CT BL 1X20</v>
          </cell>
          <cell r="E208" t="str">
            <v>SIM</v>
          </cell>
          <cell r="F208" t="str">
            <v>S</v>
          </cell>
          <cell r="G208" t="str">
            <v>LINHA</v>
          </cell>
          <cell r="H208">
            <v>5</v>
          </cell>
          <cell r="I208">
            <v>60</v>
          </cell>
          <cell r="J208" t="str">
            <v>Liberado</v>
          </cell>
          <cell r="K208" t="str">
            <v>Negativa</v>
          </cell>
          <cell r="L208" t="str">
            <v>Sim</v>
          </cell>
          <cell r="M208" t="str">
            <v>NACIONAL</v>
          </cell>
          <cell r="N208" t="str">
            <v>NACIONAL</v>
          </cell>
          <cell r="P208">
            <v>6.34</v>
          </cell>
          <cell r="Q208">
            <v>7.28</v>
          </cell>
          <cell r="R208">
            <v>7.38</v>
          </cell>
          <cell r="S208">
            <v>7.49</v>
          </cell>
          <cell r="T208">
            <v>6.81</v>
          </cell>
          <cell r="U208">
            <v>7.33</v>
          </cell>
          <cell r="V208">
            <v>6.37</v>
          </cell>
          <cell r="W208">
            <v>6.41</v>
          </cell>
          <cell r="X208">
            <v>7.59</v>
          </cell>
          <cell r="Y208">
            <v>6.49</v>
          </cell>
          <cell r="Z208">
            <v>6.57</v>
          </cell>
          <cell r="AA208">
            <v>7.71</v>
          </cell>
          <cell r="AB208">
            <v>7.82</v>
          </cell>
          <cell r="AC208">
            <v>7.54</v>
          </cell>
          <cell r="AD208">
            <v>6.53</v>
          </cell>
          <cell r="AE208">
            <v>7.65</v>
          </cell>
          <cell r="AF208">
            <v>0</v>
          </cell>
          <cell r="AG208">
            <v>8.76</v>
          </cell>
          <cell r="AH208">
            <v>9.6999999999999993</v>
          </cell>
          <cell r="AI208">
            <v>9.83</v>
          </cell>
          <cell r="AJ208">
            <v>9.9700000000000006</v>
          </cell>
          <cell r="AK208">
            <v>9.1</v>
          </cell>
          <cell r="AL208">
            <v>9.77</v>
          </cell>
          <cell r="AM208">
            <v>8.81</v>
          </cell>
          <cell r="AN208">
            <v>8.86</v>
          </cell>
          <cell r="AO208">
            <v>10.1</v>
          </cell>
          <cell r="AP208">
            <v>8.9700000000000006</v>
          </cell>
          <cell r="AQ208">
            <v>9.08</v>
          </cell>
          <cell r="AR208">
            <v>10.26</v>
          </cell>
          <cell r="AS208">
            <v>10.4</v>
          </cell>
          <cell r="AT208">
            <v>10.039999999999999</v>
          </cell>
          <cell r="AU208">
            <v>9.0299999999999994</v>
          </cell>
          <cell r="AV208">
            <v>10.18</v>
          </cell>
          <cell r="AX208">
            <v>7.28</v>
          </cell>
          <cell r="AY208">
            <v>9.6999999999999993</v>
          </cell>
          <cell r="AZ208">
            <v>0.17</v>
          </cell>
          <cell r="BA208">
            <v>0.12</v>
          </cell>
          <cell r="BB208" t="str">
            <v>#_NA</v>
          </cell>
          <cell r="BC208" t="str">
            <v>#_NA</v>
          </cell>
          <cell r="BD208" t="str">
            <v>#_NA</v>
          </cell>
          <cell r="BE208" t="str">
            <v>-</v>
          </cell>
          <cell r="BF208" t="str">
            <v>-</v>
          </cell>
          <cell r="BG208">
            <v>5.6820000000000002E-2</v>
          </cell>
          <cell r="BH208">
            <v>0.68100000000000005</v>
          </cell>
          <cell r="BI208">
            <v>2.19</v>
          </cell>
          <cell r="BJ208" t="str">
            <v>-</v>
          </cell>
          <cell r="BK208">
            <v>0.73799999999999999</v>
          </cell>
          <cell r="BL208">
            <v>1.8</v>
          </cell>
          <cell r="BM208" t="str">
            <v>-</v>
          </cell>
          <cell r="BN208" t="str">
            <v>SIM</v>
          </cell>
          <cell r="BO208" t="str">
            <v>NÃO</v>
          </cell>
          <cell r="BP208" t="str">
            <v>MS|S|NACIONAL|Sim|Negativa</v>
          </cell>
          <cell r="BR208" t="str">
            <v>TBD</v>
          </cell>
          <cell r="BS208">
            <v>0</v>
          </cell>
          <cell r="BT208" t="str">
            <v>#ERRO</v>
          </cell>
          <cell r="BU208">
            <v>1.8</v>
          </cell>
          <cell r="BV208" t="str">
            <v>-</v>
          </cell>
          <cell r="BX208" t="str">
            <v>TBD</v>
          </cell>
          <cell r="BY208" t="str">
            <v>TBD</v>
          </cell>
          <cell r="BZ208" t="str">
            <v>TBD</v>
          </cell>
          <cell r="CA208" t="str">
            <v>#ERRO</v>
          </cell>
          <cell r="CB208" t="str">
            <v>-</v>
          </cell>
        </row>
        <row r="209">
          <cell r="A209" t="str">
            <v>12378-0</v>
          </cell>
          <cell r="B209" t="str">
            <v>12378-0</v>
          </cell>
          <cell r="C209">
            <v>7896714224138</v>
          </cell>
          <cell r="D209" t="str">
            <v>PLESONAX 5MG COMP REV CT BL 25X4</v>
          </cell>
          <cell r="E209" t="str">
            <v>SIM</v>
          </cell>
          <cell r="F209" t="str">
            <v>S</v>
          </cell>
          <cell r="G209" t="str">
            <v>LINHA</v>
          </cell>
          <cell r="H209">
            <v>5</v>
          </cell>
          <cell r="I209">
            <v>50</v>
          </cell>
          <cell r="J209" t="str">
            <v>Liberado</v>
          </cell>
          <cell r="K209" t="str">
            <v>Negativa</v>
          </cell>
          <cell r="L209" t="str">
            <v>Sim</v>
          </cell>
          <cell r="M209" t="str">
            <v>NACIONAL</v>
          </cell>
          <cell r="N209" t="str">
            <v>NACIONAL</v>
          </cell>
          <cell r="P209">
            <v>31.71</v>
          </cell>
          <cell r="Q209">
            <v>36.43</v>
          </cell>
          <cell r="R209">
            <v>36.94</v>
          </cell>
          <cell r="S209">
            <v>37.47</v>
          </cell>
          <cell r="T209">
            <v>34.07</v>
          </cell>
          <cell r="U209">
            <v>36.68</v>
          </cell>
          <cell r="V209">
            <v>31.9</v>
          </cell>
          <cell r="W209">
            <v>32.1</v>
          </cell>
          <cell r="X209">
            <v>38.01</v>
          </cell>
          <cell r="Y209">
            <v>32.5</v>
          </cell>
          <cell r="Z209">
            <v>32.9</v>
          </cell>
          <cell r="AA209">
            <v>38.57</v>
          </cell>
          <cell r="AB209">
            <v>39.14</v>
          </cell>
          <cell r="AC209">
            <v>37.74</v>
          </cell>
          <cell r="AD209">
            <v>32.700000000000003</v>
          </cell>
          <cell r="AE209">
            <v>38.29</v>
          </cell>
          <cell r="AF209">
            <v>0</v>
          </cell>
          <cell r="AG209">
            <v>43.84</v>
          </cell>
          <cell r="AH209">
            <v>48.56</v>
          </cell>
          <cell r="AI209">
            <v>49.22</v>
          </cell>
          <cell r="AJ209">
            <v>49.9</v>
          </cell>
          <cell r="AK209">
            <v>45.51</v>
          </cell>
          <cell r="AL209">
            <v>48.88</v>
          </cell>
          <cell r="AM209">
            <v>44.1</v>
          </cell>
          <cell r="AN209">
            <v>44.38</v>
          </cell>
          <cell r="AO209">
            <v>50.59</v>
          </cell>
          <cell r="AP209">
            <v>44.93</v>
          </cell>
          <cell r="AQ209">
            <v>45.48</v>
          </cell>
          <cell r="AR209">
            <v>51.31</v>
          </cell>
          <cell r="AS209">
            <v>52.04</v>
          </cell>
          <cell r="AT209">
            <v>50.25</v>
          </cell>
          <cell r="AU209">
            <v>45.21</v>
          </cell>
          <cell r="AV209">
            <v>50.95</v>
          </cell>
          <cell r="AX209">
            <v>36.43</v>
          </cell>
          <cell r="AY209">
            <v>48.56</v>
          </cell>
          <cell r="AZ209">
            <v>0.17</v>
          </cell>
          <cell r="BA209">
            <v>0.12</v>
          </cell>
          <cell r="BB209" t="str">
            <v>#_NA</v>
          </cell>
          <cell r="BC209" t="str">
            <v>#_NA</v>
          </cell>
          <cell r="BD209" t="str">
            <v>#_NA</v>
          </cell>
          <cell r="BE209" t="str">
            <v>-</v>
          </cell>
          <cell r="BF209" t="str">
            <v>-</v>
          </cell>
          <cell r="BG209">
            <v>5.6820000000000002E-2</v>
          </cell>
          <cell r="BH209">
            <v>0.39290000000000003</v>
          </cell>
          <cell r="BI209">
            <v>20.86</v>
          </cell>
          <cell r="BJ209" t="str">
            <v>-</v>
          </cell>
          <cell r="BK209">
            <v>0.49969999999999998</v>
          </cell>
          <cell r="BL209">
            <v>17.190000000000001</v>
          </cell>
          <cell r="BM209" t="str">
            <v>-</v>
          </cell>
          <cell r="BN209" t="str">
            <v>SIM</v>
          </cell>
          <cell r="BO209" t="str">
            <v>NÃO</v>
          </cell>
          <cell r="BP209" t="str">
            <v>MS|S|NACIONAL|Sim|Negativa</v>
          </cell>
          <cell r="BR209" t="str">
            <v>TBD</v>
          </cell>
          <cell r="BS209">
            <v>0</v>
          </cell>
          <cell r="BT209" t="str">
            <v>#ERRO</v>
          </cell>
          <cell r="BU209">
            <v>17.190000000000001</v>
          </cell>
          <cell r="BV209" t="str">
            <v>-</v>
          </cell>
          <cell r="BX209" t="str">
            <v>TBD</v>
          </cell>
          <cell r="BY209" t="str">
            <v>TBD</v>
          </cell>
          <cell r="BZ209" t="str">
            <v>TBD</v>
          </cell>
          <cell r="CA209" t="str">
            <v>#ERRO</v>
          </cell>
          <cell r="CB209" t="str">
            <v>-</v>
          </cell>
        </row>
        <row r="210">
          <cell r="A210" t="str">
            <v>20727-0</v>
          </cell>
          <cell r="B210" t="str">
            <v>20727-0</v>
          </cell>
          <cell r="C210">
            <v>7896714212104</v>
          </cell>
          <cell r="D210" t="str">
            <v>PREDNISONA 20MG COMP CT BL X10</v>
          </cell>
          <cell r="E210" t="str">
            <v>SIM</v>
          </cell>
          <cell r="F210" t="str">
            <v>G</v>
          </cell>
          <cell r="G210" t="str">
            <v>FOCO GENERICOS</v>
          </cell>
          <cell r="H210">
            <v>5</v>
          </cell>
          <cell r="I210">
            <v>60</v>
          </cell>
          <cell r="J210" t="str">
            <v>Monitorado</v>
          </cell>
          <cell r="K210" t="str">
            <v>Positiva</v>
          </cell>
          <cell r="L210" t="str">
            <v>Sim</v>
          </cell>
          <cell r="M210" t="str">
            <v>NACIONAL</v>
          </cell>
          <cell r="N210" t="str">
            <v>NACIONAL</v>
          </cell>
          <cell r="P210">
            <v>19.34</v>
          </cell>
          <cell r="Q210">
            <v>19.34</v>
          </cell>
          <cell r="R210">
            <v>19.57</v>
          </cell>
          <cell r="S210">
            <v>19.809999999999999</v>
          </cell>
          <cell r="T210">
            <v>18.239999999999998</v>
          </cell>
          <cell r="U210">
            <v>19.45</v>
          </cell>
          <cell r="V210">
            <v>19.45</v>
          </cell>
          <cell r="W210">
            <v>19.57</v>
          </cell>
          <cell r="X210">
            <v>20.059999999999999</v>
          </cell>
          <cell r="Y210">
            <v>19.809999999999999</v>
          </cell>
          <cell r="Z210">
            <v>20.059999999999999</v>
          </cell>
          <cell r="AA210">
            <v>20.32</v>
          </cell>
          <cell r="AB210">
            <v>20.58</v>
          </cell>
          <cell r="AC210">
            <v>19.940000000000001</v>
          </cell>
          <cell r="AD210">
            <v>19.940000000000001</v>
          </cell>
          <cell r="AE210">
            <v>20.190000000000001</v>
          </cell>
          <cell r="AF210">
            <v>0</v>
          </cell>
          <cell r="AG210">
            <v>26.74</v>
          </cell>
          <cell r="AH210">
            <v>26.74</v>
          </cell>
          <cell r="AI210">
            <v>27.05</v>
          </cell>
          <cell r="AJ210">
            <v>27.39</v>
          </cell>
          <cell r="AK210">
            <v>25.22</v>
          </cell>
          <cell r="AL210">
            <v>26.89</v>
          </cell>
          <cell r="AM210">
            <v>26.89</v>
          </cell>
          <cell r="AN210">
            <v>27.05</v>
          </cell>
          <cell r="AO210">
            <v>27.73</v>
          </cell>
          <cell r="AP210">
            <v>27.39</v>
          </cell>
          <cell r="AQ210">
            <v>27.73</v>
          </cell>
          <cell r="AR210">
            <v>28.09</v>
          </cell>
          <cell r="AS210">
            <v>28.45</v>
          </cell>
          <cell r="AT210">
            <v>27.57</v>
          </cell>
          <cell r="AU210">
            <v>27.57</v>
          </cell>
          <cell r="AV210">
            <v>27.91</v>
          </cell>
          <cell r="AX210">
            <v>19.34</v>
          </cell>
          <cell r="AY210">
            <v>26.74</v>
          </cell>
          <cell r="AZ210">
            <v>0.17</v>
          </cell>
          <cell r="BA210">
            <v>0.12</v>
          </cell>
          <cell r="BB210" t="str">
            <v>#_NA</v>
          </cell>
          <cell r="BC210" t="str">
            <v>#_NA</v>
          </cell>
          <cell r="BD210" t="str">
            <v>#_NA</v>
          </cell>
          <cell r="BE210" t="str">
            <v>-</v>
          </cell>
          <cell r="BF210" t="str">
            <v>-</v>
          </cell>
          <cell r="BG210">
            <v>5.6820000000000002E-2</v>
          </cell>
          <cell r="BH210">
            <v>0.78300000000000003</v>
          </cell>
          <cell r="BI210">
            <v>3.96</v>
          </cell>
          <cell r="BJ210" t="str">
            <v>-</v>
          </cell>
          <cell r="BK210">
            <v>0.79330000000000001</v>
          </cell>
          <cell r="BL210">
            <v>3.77</v>
          </cell>
          <cell r="BM210" t="str">
            <v>-</v>
          </cell>
          <cell r="BN210" t="str">
            <v>NÃO</v>
          </cell>
          <cell r="BO210" t="str">
            <v>NÃO</v>
          </cell>
          <cell r="BP210" t="str">
            <v>MS|G|NACIONAL|Sim|Positiva</v>
          </cell>
          <cell r="BR210" t="str">
            <v>TBD</v>
          </cell>
          <cell r="BS210">
            <v>0</v>
          </cell>
          <cell r="BT210" t="str">
            <v>#ERRO</v>
          </cell>
          <cell r="BU210">
            <v>3.77</v>
          </cell>
          <cell r="BV210" t="str">
            <v>-</v>
          </cell>
          <cell r="BX210" t="str">
            <v>TBD</v>
          </cell>
          <cell r="BY210" t="str">
            <v>TBD</v>
          </cell>
          <cell r="BZ210" t="str">
            <v>TBD</v>
          </cell>
          <cell r="CA210" t="str">
            <v>#ERRO</v>
          </cell>
          <cell r="CB210" t="str">
            <v>-</v>
          </cell>
        </row>
        <row r="211">
          <cell r="A211" t="str">
            <v>20728-0</v>
          </cell>
          <cell r="B211" t="str">
            <v>20728-0</v>
          </cell>
          <cell r="C211">
            <v>7896714212098</v>
          </cell>
          <cell r="D211" t="str">
            <v>PREDNISONA 20MG COMP CT BL X20</v>
          </cell>
          <cell r="E211" t="str">
            <v>SIM</v>
          </cell>
          <cell r="F211" t="str">
            <v>G</v>
          </cell>
          <cell r="G211" t="str">
            <v>FOCO GENERICOS</v>
          </cell>
          <cell r="H211">
            <v>5</v>
          </cell>
          <cell r="I211">
            <v>60</v>
          </cell>
          <cell r="J211" t="str">
            <v>Monitorado</v>
          </cell>
          <cell r="K211" t="str">
            <v>Positiva</v>
          </cell>
          <cell r="L211" t="str">
            <v>Sim</v>
          </cell>
          <cell r="M211" t="str">
            <v>NACIONAL</v>
          </cell>
          <cell r="N211" t="str">
            <v>NACIONAL</v>
          </cell>
          <cell r="P211">
            <v>36.71</v>
          </cell>
          <cell r="Q211">
            <v>36.71</v>
          </cell>
          <cell r="R211">
            <v>37.159999999999997</v>
          </cell>
          <cell r="S211">
            <v>37.619999999999997</v>
          </cell>
          <cell r="T211">
            <v>34.630000000000003</v>
          </cell>
          <cell r="U211">
            <v>36.93</v>
          </cell>
          <cell r="V211">
            <v>36.93</v>
          </cell>
          <cell r="W211">
            <v>37.159999999999997</v>
          </cell>
          <cell r="X211">
            <v>38.090000000000003</v>
          </cell>
          <cell r="Y211">
            <v>37.619999999999997</v>
          </cell>
          <cell r="Z211">
            <v>38.090000000000003</v>
          </cell>
          <cell r="AA211">
            <v>38.57</v>
          </cell>
          <cell r="AB211">
            <v>39.06</v>
          </cell>
          <cell r="AC211">
            <v>37.85</v>
          </cell>
          <cell r="AD211">
            <v>37.85</v>
          </cell>
          <cell r="AE211">
            <v>38.33</v>
          </cell>
          <cell r="AF211">
            <v>0</v>
          </cell>
          <cell r="AG211">
            <v>50.75</v>
          </cell>
          <cell r="AH211">
            <v>50.75</v>
          </cell>
          <cell r="AI211">
            <v>51.37</v>
          </cell>
          <cell r="AJ211">
            <v>52.01</v>
          </cell>
          <cell r="AK211">
            <v>47.87</v>
          </cell>
          <cell r="AL211">
            <v>51.05</v>
          </cell>
          <cell r="AM211">
            <v>51.05</v>
          </cell>
          <cell r="AN211">
            <v>51.37</v>
          </cell>
          <cell r="AO211">
            <v>52.66</v>
          </cell>
          <cell r="AP211">
            <v>52.01</v>
          </cell>
          <cell r="AQ211">
            <v>52.66</v>
          </cell>
          <cell r="AR211">
            <v>53.32</v>
          </cell>
          <cell r="AS211">
            <v>54</v>
          </cell>
          <cell r="AT211">
            <v>52.33</v>
          </cell>
          <cell r="AU211">
            <v>52.33</v>
          </cell>
          <cell r="AV211">
            <v>52.99</v>
          </cell>
          <cell r="AX211">
            <v>36.71</v>
          </cell>
          <cell r="AY211">
            <v>50.75</v>
          </cell>
          <cell r="AZ211">
            <v>0.17</v>
          </cell>
          <cell r="BA211">
            <v>0.12</v>
          </cell>
          <cell r="BB211" t="str">
            <v>#_NA</v>
          </cell>
          <cell r="BC211" t="str">
            <v>#_NA</v>
          </cell>
          <cell r="BD211" t="str">
            <v>#_NA</v>
          </cell>
          <cell r="BE211" t="str">
            <v>-</v>
          </cell>
          <cell r="BF211" t="str">
            <v>-</v>
          </cell>
          <cell r="BG211">
            <v>5.6820000000000002E-2</v>
          </cell>
          <cell r="BH211">
            <v>0.73470000000000002</v>
          </cell>
          <cell r="BI211">
            <v>9.18</v>
          </cell>
          <cell r="BJ211" t="str">
            <v>-</v>
          </cell>
          <cell r="BK211">
            <v>0.74760000000000004</v>
          </cell>
          <cell r="BL211">
            <v>8.74</v>
          </cell>
          <cell r="BM211" t="str">
            <v>-</v>
          </cell>
          <cell r="BN211" t="str">
            <v>NÃO</v>
          </cell>
          <cell r="BO211" t="str">
            <v>NÃO</v>
          </cell>
          <cell r="BP211" t="str">
            <v>MS|G|NACIONAL|Sim|Positiva</v>
          </cell>
          <cell r="BR211" t="str">
            <v>TBD</v>
          </cell>
          <cell r="BS211">
            <v>0</v>
          </cell>
          <cell r="BT211" t="str">
            <v>#ERRO</v>
          </cell>
          <cell r="BU211">
            <v>8.74</v>
          </cell>
          <cell r="BV211" t="str">
            <v>-</v>
          </cell>
          <cell r="BX211" t="str">
            <v>TBD</v>
          </cell>
          <cell r="BY211" t="str">
            <v>TBD</v>
          </cell>
          <cell r="BZ211" t="str">
            <v>TBD</v>
          </cell>
          <cell r="CA211" t="str">
            <v>#ERRO</v>
          </cell>
          <cell r="CB211" t="str">
            <v>-</v>
          </cell>
        </row>
        <row r="212">
          <cell r="A212" t="str">
            <v>20729-0</v>
          </cell>
          <cell r="B212" t="str">
            <v>20729-0</v>
          </cell>
          <cell r="C212">
            <v>7896714212081</v>
          </cell>
          <cell r="D212" t="str">
            <v>PREDNISONA 5MG COMP CT BL X20</v>
          </cell>
          <cell r="E212" t="str">
            <v>SIM</v>
          </cell>
          <cell r="F212" t="str">
            <v>G</v>
          </cell>
          <cell r="G212" t="str">
            <v>LINHA</v>
          </cell>
          <cell r="H212">
            <v>5</v>
          </cell>
          <cell r="I212">
            <v>60</v>
          </cell>
          <cell r="J212" t="str">
            <v>Monitorado</v>
          </cell>
          <cell r="K212" t="str">
            <v>Positiva</v>
          </cell>
          <cell r="L212" t="str">
            <v>Sim</v>
          </cell>
          <cell r="M212" t="str">
            <v>NACIONAL</v>
          </cell>
          <cell r="N212" t="str">
            <v>NACIONAL</v>
          </cell>
          <cell r="P212">
            <v>13.24</v>
          </cell>
          <cell r="Q212">
            <v>13.24</v>
          </cell>
          <cell r="R212">
            <v>13.4</v>
          </cell>
          <cell r="S212">
            <v>13.57</v>
          </cell>
          <cell r="T212">
            <v>12.49</v>
          </cell>
          <cell r="U212">
            <v>13.32</v>
          </cell>
          <cell r="V212">
            <v>13.32</v>
          </cell>
          <cell r="W212">
            <v>13.4</v>
          </cell>
          <cell r="X212">
            <v>13.74</v>
          </cell>
          <cell r="Y212">
            <v>13.57</v>
          </cell>
          <cell r="Z212">
            <v>13.74</v>
          </cell>
          <cell r="AA212">
            <v>13.91</v>
          </cell>
          <cell r="AB212">
            <v>14.09</v>
          </cell>
          <cell r="AC212">
            <v>13.65</v>
          </cell>
          <cell r="AD212">
            <v>13.65</v>
          </cell>
          <cell r="AE212">
            <v>13.82</v>
          </cell>
          <cell r="AF212">
            <v>0</v>
          </cell>
          <cell r="AG212">
            <v>18.3</v>
          </cell>
          <cell r="AH212">
            <v>18.3</v>
          </cell>
          <cell r="AI212">
            <v>18.52</v>
          </cell>
          <cell r="AJ212">
            <v>18.760000000000002</v>
          </cell>
          <cell r="AK212">
            <v>17.27</v>
          </cell>
          <cell r="AL212">
            <v>18.41</v>
          </cell>
          <cell r="AM212">
            <v>18.41</v>
          </cell>
          <cell r="AN212">
            <v>18.52</v>
          </cell>
          <cell r="AO212">
            <v>18.989999999999998</v>
          </cell>
          <cell r="AP212">
            <v>18.760000000000002</v>
          </cell>
          <cell r="AQ212">
            <v>18.989999999999998</v>
          </cell>
          <cell r="AR212">
            <v>19.23</v>
          </cell>
          <cell r="AS212">
            <v>19.48</v>
          </cell>
          <cell r="AT212">
            <v>18.87</v>
          </cell>
          <cell r="AU212">
            <v>18.87</v>
          </cell>
          <cell r="AV212">
            <v>19.11</v>
          </cell>
          <cell r="AX212">
            <v>13.24</v>
          </cell>
          <cell r="AY212">
            <v>18.3</v>
          </cell>
          <cell r="AZ212">
            <v>0.17</v>
          </cell>
          <cell r="BA212">
            <v>0.12</v>
          </cell>
          <cell r="BB212" t="str">
            <v>#_NA</v>
          </cell>
          <cell r="BC212" t="str">
            <v>#_NA</v>
          </cell>
          <cell r="BD212" t="str">
            <v>#_NA</v>
          </cell>
          <cell r="BE212" t="str">
            <v>-</v>
          </cell>
          <cell r="BF212" t="str">
            <v>-</v>
          </cell>
          <cell r="BG212">
            <v>5.6820000000000002E-2</v>
          </cell>
          <cell r="BH212">
            <v>0.73519999999999996</v>
          </cell>
          <cell r="BI212">
            <v>3.31</v>
          </cell>
          <cell r="BJ212" t="str">
            <v>-</v>
          </cell>
          <cell r="BK212">
            <v>0.74780000000000002</v>
          </cell>
          <cell r="BL212">
            <v>3.15</v>
          </cell>
          <cell r="BM212" t="str">
            <v>-</v>
          </cell>
          <cell r="BN212" t="str">
            <v>NÃO</v>
          </cell>
          <cell r="BO212" t="str">
            <v>NÃO</v>
          </cell>
          <cell r="BP212" t="str">
            <v>MS|G|NACIONAL|Sim|Positiva</v>
          </cell>
          <cell r="BR212" t="str">
            <v>TBD</v>
          </cell>
          <cell r="BS212">
            <v>0</v>
          </cell>
          <cell r="BT212" t="str">
            <v>#ERRO</v>
          </cell>
          <cell r="BU212">
            <v>3.15</v>
          </cell>
          <cell r="BV212" t="str">
            <v>-</v>
          </cell>
          <cell r="BX212" t="str">
            <v>TBD</v>
          </cell>
          <cell r="BY212" t="str">
            <v>TBD</v>
          </cell>
          <cell r="BZ212" t="str">
            <v>TBD</v>
          </cell>
          <cell r="CA212" t="str">
            <v>#ERRO</v>
          </cell>
          <cell r="CB212" t="str">
            <v>-</v>
          </cell>
        </row>
        <row r="213">
          <cell r="A213" t="str">
            <v>20950-0</v>
          </cell>
          <cell r="B213" t="str">
            <v>20950-0</v>
          </cell>
          <cell r="C213">
            <v>7896714274775</v>
          </cell>
          <cell r="D213" t="str">
            <v>PREGABALINA 150MG C1 CT BL X 30 CAPS</v>
          </cell>
          <cell r="E213" t="str">
            <v>SIM</v>
          </cell>
          <cell r="F213" t="str">
            <v>G</v>
          </cell>
          <cell r="G213" t="str">
            <v>LINHA</v>
          </cell>
          <cell r="H213">
            <v>0</v>
          </cell>
          <cell r="I213">
            <v>60</v>
          </cell>
          <cell r="J213" t="str">
            <v>Monitorado</v>
          </cell>
          <cell r="K213" t="str">
            <v>Positiva</v>
          </cell>
          <cell r="L213" t="str">
            <v>Sim</v>
          </cell>
          <cell r="M213" t="str">
            <v>NACIONAL</v>
          </cell>
          <cell r="N213" t="str">
            <v>NACIONAL</v>
          </cell>
          <cell r="P213">
            <v>100.34</v>
          </cell>
          <cell r="Q213">
            <v>100.34</v>
          </cell>
          <cell r="R213">
            <v>101.56</v>
          </cell>
          <cell r="S213">
            <v>102.81</v>
          </cell>
          <cell r="T213">
            <v>94.64</v>
          </cell>
          <cell r="U213">
            <v>100.95</v>
          </cell>
          <cell r="V213">
            <v>100.95</v>
          </cell>
          <cell r="W213">
            <v>101.56</v>
          </cell>
          <cell r="X213">
            <v>104.1</v>
          </cell>
          <cell r="Y213">
            <v>102.81</v>
          </cell>
          <cell r="Z213">
            <v>104.1</v>
          </cell>
          <cell r="AA213">
            <v>105.42</v>
          </cell>
          <cell r="AB213">
            <v>106.77</v>
          </cell>
          <cell r="AC213">
            <v>103.45</v>
          </cell>
          <cell r="AD213">
            <v>103.45</v>
          </cell>
          <cell r="AE213">
            <v>104.75</v>
          </cell>
          <cell r="AF213">
            <v>0</v>
          </cell>
          <cell r="AG213">
            <v>138.71</v>
          </cell>
          <cell r="AH213">
            <v>138.71</v>
          </cell>
          <cell r="AI213">
            <v>140.4</v>
          </cell>
          <cell r="AJ213">
            <v>142.13</v>
          </cell>
          <cell r="AK213">
            <v>130.83000000000001</v>
          </cell>
          <cell r="AL213">
            <v>139.56</v>
          </cell>
          <cell r="AM213">
            <v>139.56</v>
          </cell>
          <cell r="AN213">
            <v>140.4</v>
          </cell>
          <cell r="AO213">
            <v>143.91</v>
          </cell>
          <cell r="AP213">
            <v>142.13</v>
          </cell>
          <cell r="AQ213">
            <v>143.91</v>
          </cell>
          <cell r="AR213">
            <v>145.74</v>
          </cell>
          <cell r="AS213">
            <v>147.6</v>
          </cell>
          <cell r="AT213">
            <v>143.01</v>
          </cell>
          <cell r="AU213">
            <v>143.01</v>
          </cell>
          <cell r="AV213">
            <v>144.81</v>
          </cell>
          <cell r="AX213">
            <v>100.34</v>
          </cell>
          <cell r="AY213">
            <v>138.71</v>
          </cell>
          <cell r="AZ213">
            <v>0.17</v>
          </cell>
          <cell r="BA213">
            <v>0.12</v>
          </cell>
          <cell r="BB213" t="str">
            <v>#_NA</v>
          </cell>
          <cell r="BC213" t="str">
            <v>#_NA</v>
          </cell>
          <cell r="BD213" t="str">
            <v>#_NA</v>
          </cell>
          <cell r="BE213" t="str">
            <v>-</v>
          </cell>
          <cell r="BF213" t="str">
            <v>-</v>
          </cell>
          <cell r="BG213">
            <v>5.6820000000000002E-2</v>
          </cell>
          <cell r="BH213">
            <v>0.66759999999999997</v>
          </cell>
          <cell r="BI213">
            <v>31.46</v>
          </cell>
          <cell r="BJ213" t="str">
            <v>-</v>
          </cell>
          <cell r="BK213">
            <v>0.68340000000000001</v>
          </cell>
          <cell r="BL213">
            <v>29.96</v>
          </cell>
          <cell r="BM213" t="str">
            <v>-</v>
          </cell>
          <cell r="BN213" t="str">
            <v>NÃO</v>
          </cell>
          <cell r="BO213" t="str">
            <v>NÃO</v>
          </cell>
          <cell r="BP213" t="str">
            <v>MS|G|NACIONAL|Sim|Positiva</v>
          </cell>
          <cell r="BR213" t="str">
            <v>TBD</v>
          </cell>
          <cell r="BS213">
            <v>0</v>
          </cell>
          <cell r="BT213" t="str">
            <v>#ERRO</v>
          </cell>
          <cell r="BU213">
            <v>29.96</v>
          </cell>
          <cell r="BV213" t="str">
            <v>-</v>
          </cell>
          <cell r="BX213" t="str">
            <v>TBD</v>
          </cell>
          <cell r="BY213" t="str">
            <v>TBD</v>
          </cell>
          <cell r="BZ213" t="str">
            <v>TBD</v>
          </cell>
          <cell r="CA213" t="str">
            <v>#ERRO</v>
          </cell>
          <cell r="CB213" t="str">
            <v>-</v>
          </cell>
        </row>
        <row r="214">
          <cell r="A214" t="str">
            <v>20949-0</v>
          </cell>
          <cell r="B214" t="str">
            <v>20949-0</v>
          </cell>
          <cell r="C214">
            <v>7896714274768</v>
          </cell>
          <cell r="D214" t="str">
            <v>PREGABALINA 75MG C1 CT BL X 30 CAPS</v>
          </cell>
          <cell r="E214" t="str">
            <v>SIM</v>
          </cell>
          <cell r="F214" t="str">
            <v>G</v>
          </cell>
          <cell r="G214" t="str">
            <v>LINHA</v>
          </cell>
          <cell r="H214">
            <v>0</v>
          </cell>
          <cell r="I214">
            <v>60</v>
          </cell>
          <cell r="J214" t="str">
            <v>Monitorado</v>
          </cell>
          <cell r="K214" t="str">
            <v>Positiva</v>
          </cell>
          <cell r="L214" t="str">
            <v>Sim</v>
          </cell>
          <cell r="M214" t="str">
            <v>NACIONAL</v>
          </cell>
          <cell r="N214" t="str">
            <v>NACIONAL</v>
          </cell>
          <cell r="P214">
            <v>76.23</v>
          </cell>
          <cell r="Q214">
            <v>76.23</v>
          </cell>
          <cell r="R214">
            <v>77.16</v>
          </cell>
          <cell r="S214">
            <v>78.11</v>
          </cell>
          <cell r="T214">
            <v>71.900000000000006</v>
          </cell>
          <cell r="U214">
            <v>76.69</v>
          </cell>
          <cell r="V214">
            <v>76.69</v>
          </cell>
          <cell r="W214">
            <v>77.16</v>
          </cell>
          <cell r="X214">
            <v>79.09</v>
          </cell>
          <cell r="Y214">
            <v>78.11</v>
          </cell>
          <cell r="Z214">
            <v>79.09</v>
          </cell>
          <cell r="AA214">
            <v>80.09</v>
          </cell>
          <cell r="AB214">
            <v>81.12</v>
          </cell>
          <cell r="AC214">
            <v>78.599999999999994</v>
          </cell>
          <cell r="AD214">
            <v>78.599999999999994</v>
          </cell>
          <cell r="AE214">
            <v>79.58</v>
          </cell>
          <cell r="AF214">
            <v>0</v>
          </cell>
          <cell r="AG214">
            <v>105.38</v>
          </cell>
          <cell r="AH214">
            <v>105.38</v>
          </cell>
          <cell r="AI214">
            <v>106.67</v>
          </cell>
          <cell r="AJ214">
            <v>107.98</v>
          </cell>
          <cell r="AK214">
            <v>99.4</v>
          </cell>
          <cell r="AL214">
            <v>106.02</v>
          </cell>
          <cell r="AM214">
            <v>106.02</v>
          </cell>
          <cell r="AN214">
            <v>106.67</v>
          </cell>
          <cell r="AO214">
            <v>109.34</v>
          </cell>
          <cell r="AP214">
            <v>107.98</v>
          </cell>
          <cell r="AQ214">
            <v>109.34</v>
          </cell>
          <cell r="AR214">
            <v>110.72</v>
          </cell>
          <cell r="AS214">
            <v>112.14</v>
          </cell>
          <cell r="AT214">
            <v>108.66</v>
          </cell>
          <cell r="AU214">
            <v>108.66</v>
          </cell>
          <cell r="AV214">
            <v>110.01</v>
          </cell>
          <cell r="AX214">
            <v>76.23</v>
          </cell>
          <cell r="AY214">
            <v>105.38</v>
          </cell>
          <cell r="AZ214">
            <v>0.17</v>
          </cell>
          <cell r="BA214">
            <v>0.12</v>
          </cell>
          <cell r="BB214" t="str">
            <v>#_NA</v>
          </cell>
          <cell r="BC214" t="str">
            <v>#_NA</v>
          </cell>
          <cell r="BD214" t="str">
            <v>#_NA</v>
          </cell>
          <cell r="BE214" t="str">
            <v>-</v>
          </cell>
          <cell r="BF214" t="str">
            <v>-</v>
          </cell>
          <cell r="BG214">
            <v>5.6820000000000002E-2</v>
          </cell>
          <cell r="BH214">
            <v>0.73199999999999998</v>
          </cell>
          <cell r="BI214">
            <v>19.27</v>
          </cell>
          <cell r="BJ214" t="str">
            <v>-</v>
          </cell>
          <cell r="BK214">
            <v>0.74490000000000001</v>
          </cell>
          <cell r="BL214">
            <v>18.34</v>
          </cell>
          <cell r="BM214" t="str">
            <v>-</v>
          </cell>
          <cell r="BN214" t="str">
            <v>NÃO</v>
          </cell>
          <cell r="BO214" t="str">
            <v>NÃO</v>
          </cell>
          <cell r="BP214" t="str">
            <v>MS|G|NACIONAL|Sim|Positiva</v>
          </cell>
          <cell r="BR214" t="str">
            <v>TBD</v>
          </cell>
          <cell r="BS214">
            <v>0</v>
          </cell>
          <cell r="BT214" t="str">
            <v>#ERRO</v>
          </cell>
          <cell r="BU214">
            <v>18.34</v>
          </cell>
          <cell r="BV214" t="str">
            <v>-</v>
          </cell>
          <cell r="BX214" t="str">
            <v>TBD</v>
          </cell>
          <cell r="BY214" t="str">
            <v>TBD</v>
          </cell>
          <cell r="BZ214" t="str">
            <v>TBD</v>
          </cell>
          <cell r="CA214" t="str">
            <v>#ERRO</v>
          </cell>
          <cell r="CB214" t="str">
            <v>-</v>
          </cell>
        </row>
        <row r="215">
          <cell r="A215" t="str">
            <v>12440-0</v>
          </cell>
          <cell r="B215" t="str">
            <v>12440-0</v>
          </cell>
          <cell r="C215">
            <v>7896714209852</v>
          </cell>
          <cell r="D215" t="str">
            <v>PROP DE CLOBETASOL 0,5MG/G CR BG 1X30G</v>
          </cell>
          <cell r="E215" t="str">
            <v>SIM</v>
          </cell>
          <cell r="F215" t="str">
            <v>G</v>
          </cell>
          <cell r="G215" t="str">
            <v>LINHA</v>
          </cell>
          <cell r="H215">
            <v>5</v>
          </cell>
          <cell r="I215">
            <v>100</v>
          </cell>
          <cell r="J215" t="str">
            <v>Monitorado</v>
          </cell>
          <cell r="K215" t="str">
            <v>Positiva</v>
          </cell>
          <cell r="L215" t="str">
            <v>Sim</v>
          </cell>
          <cell r="M215" t="str">
            <v>NACIONAL</v>
          </cell>
          <cell r="N215" t="str">
            <v>NACIONAL</v>
          </cell>
          <cell r="P215">
            <v>18.59</v>
          </cell>
          <cell r="Q215">
            <v>18.59</v>
          </cell>
          <cell r="R215">
            <v>18.82</v>
          </cell>
          <cell r="S215">
            <v>19.05</v>
          </cell>
          <cell r="T215">
            <v>17.53</v>
          </cell>
          <cell r="U215">
            <v>18.7</v>
          </cell>
          <cell r="V215">
            <v>18.7</v>
          </cell>
          <cell r="W215">
            <v>18.82</v>
          </cell>
          <cell r="X215">
            <v>19.29</v>
          </cell>
          <cell r="Y215">
            <v>19.05</v>
          </cell>
          <cell r="Z215">
            <v>19.29</v>
          </cell>
          <cell r="AA215">
            <v>19.53</v>
          </cell>
          <cell r="AB215">
            <v>19.78</v>
          </cell>
          <cell r="AC215">
            <v>19.170000000000002</v>
          </cell>
          <cell r="AD215">
            <v>19.170000000000002</v>
          </cell>
          <cell r="AE215">
            <v>19.41</v>
          </cell>
          <cell r="AF215">
            <v>0</v>
          </cell>
          <cell r="AG215">
            <v>25.7</v>
          </cell>
          <cell r="AH215">
            <v>25.7</v>
          </cell>
          <cell r="AI215">
            <v>26.02</v>
          </cell>
          <cell r="AJ215">
            <v>26.34</v>
          </cell>
          <cell r="AK215">
            <v>24.23</v>
          </cell>
          <cell r="AL215">
            <v>25.85</v>
          </cell>
          <cell r="AM215">
            <v>25.85</v>
          </cell>
          <cell r="AN215">
            <v>26.02</v>
          </cell>
          <cell r="AO215">
            <v>26.67</v>
          </cell>
          <cell r="AP215">
            <v>26.34</v>
          </cell>
          <cell r="AQ215">
            <v>26.67</v>
          </cell>
          <cell r="AR215">
            <v>27</v>
          </cell>
          <cell r="AS215">
            <v>27.34</v>
          </cell>
          <cell r="AT215">
            <v>26.5</v>
          </cell>
          <cell r="AU215">
            <v>26.5</v>
          </cell>
          <cell r="AV215">
            <v>26.83</v>
          </cell>
          <cell r="AX215">
            <v>18.59</v>
          </cell>
          <cell r="AY215">
            <v>25.7</v>
          </cell>
          <cell r="AZ215">
            <v>0.17</v>
          </cell>
          <cell r="BA215">
            <v>0.12</v>
          </cell>
          <cell r="BB215" t="str">
            <v>#_NA</v>
          </cell>
          <cell r="BC215" t="str">
            <v>#_NA</v>
          </cell>
          <cell r="BD215" t="str">
            <v>#_NA</v>
          </cell>
          <cell r="BE215" t="str">
            <v>-</v>
          </cell>
          <cell r="BF215" t="str">
            <v>-</v>
          </cell>
          <cell r="BG215">
            <v>5.6820000000000002E-2</v>
          </cell>
          <cell r="BH215">
            <v>0.73419999999999996</v>
          </cell>
          <cell r="BI215">
            <v>4.66</v>
          </cell>
          <cell r="BJ215" t="str">
            <v>-</v>
          </cell>
          <cell r="BK215">
            <v>0.74739999999999995</v>
          </cell>
          <cell r="BL215">
            <v>4.43</v>
          </cell>
          <cell r="BM215" t="str">
            <v>-</v>
          </cell>
          <cell r="BN215" t="str">
            <v>NÃO</v>
          </cell>
          <cell r="BO215" t="str">
            <v>NÃO</v>
          </cell>
          <cell r="BP215" t="str">
            <v>MS|G|NACIONAL|Sim|Positiva</v>
          </cell>
          <cell r="BR215" t="str">
            <v>TBD</v>
          </cell>
          <cell r="BS215">
            <v>0</v>
          </cell>
          <cell r="BT215" t="str">
            <v>#ERRO</v>
          </cell>
          <cell r="BU215">
            <v>4.43</v>
          </cell>
          <cell r="BV215" t="str">
            <v>-</v>
          </cell>
          <cell r="BX215" t="str">
            <v>TBD</v>
          </cell>
          <cell r="BY215" t="str">
            <v>TBD</v>
          </cell>
          <cell r="BZ215" t="str">
            <v>TBD</v>
          </cell>
          <cell r="CA215" t="str">
            <v>#ERRO</v>
          </cell>
          <cell r="CB215" t="str">
            <v>-</v>
          </cell>
        </row>
        <row r="216">
          <cell r="A216" t="str">
            <v>12441-0</v>
          </cell>
          <cell r="B216" t="str">
            <v>12441-0</v>
          </cell>
          <cell r="C216">
            <v>7896714207018</v>
          </cell>
          <cell r="D216" t="str">
            <v>PROP DE CLOBETASOL 0,5MG/G POM BG 1X30G</v>
          </cell>
          <cell r="E216" t="str">
            <v>SIM</v>
          </cell>
          <cell r="F216" t="str">
            <v>G</v>
          </cell>
          <cell r="G216" t="str">
            <v>LINHA</v>
          </cell>
          <cell r="H216">
            <v>5</v>
          </cell>
          <cell r="I216">
            <v>100</v>
          </cell>
          <cell r="J216" t="str">
            <v>Monitorado</v>
          </cell>
          <cell r="K216" t="str">
            <v>Positiva</v>
          </cell>
          <cell r="L216" t="str">
            <v>Sim</v>
          </cell>
          <cell r="M216" t="str">
            <v>NACIONAL</v>
          </cell>
          <cell r="N216" t="str">
            <v>NACIONAL</v>
          </cell>
          <cell r="P216">
            <v>18.86</v>
          </cell>
          <cell r="Q216">
            <v>18.86</v>
          </cell>
          <cell r="R216">
            <v>19.09</v>
          </cell>
          <cell r="S216">
            <v>19.32</v>
          </cell>
          <cell r="T216">
            <v>17.78</v>
          </cell>
          <cell r="U216">
            <v>18.97</v>
          </cell>
          <cell r="V216">
            <v>18.97</v>
          </cell>
          <cell r="W216">
            <v>19.09</v>
          </cell>
          <cell r="X216">
            <v>19.559999999999999</v>
          </cell>
          <cell r="Y216">
            <v>19.32</v>
          </cell>
          <cell r="Z216">
            <v>19.559999999999999</v>
          </cell>
          <cell r="AA216">
            <v>19.809999999999999</v>
          </cell>
          <cell r="AB216">
            <v>20.059999999999999</v>
          </cell>
          <cell r="AC216">
            <v>19.440000000000001</v>
          </cell>
          <cell r="AD216">
            <v>19.440000000000001</v>
          </cell>
          <cell r="AE216">
            <v>19.690000000000001</v>
          </cell>
          <cell r="AF216">
            <v>0</v>
          </cell>
          <cell r="AG216">
            <v>26.07</v>
          </cell>
          <cell r="AH216">
            <v>26.07</v>
          </cell>
          <cell r="AI216">
            <v>26.39</v>
          </cell>
          <cell r="AJ216">
            <v>26.71</v>
          </cell>
          <cell r="AK216">
            <v>24.58</v>
          </cell>
          <cell r="AL216">
            <v>26.22</v>
          </cell>
          <cell r="AM216">
            <v>26.22</v>
          </cell>
          <cell r="AN216">
            <v>26.39</v>
          </cell>
          <cell r="AO216">
            <v>27.04</v>
          </cell>
          <cell r="AP216">
            <v>26.71</v>
          </cell>
          <cell r="AQ216">
            <v>27.04</v>
          </cell>
          <cell r="AR216">
            <v>27.39</v>
          </cell>
          <cell r="AS216">
            <v>27.73</v>
          </cell>
          <cell r="AT216">
            <v>26.87</v>
          </cell>
          <cell r="AU216">
            <v>26.87</v>
          </cell>
          <cell r="AV216">
            <v>27.22</v>
          </cell>
          <cell r="AX216">
            <v>18.86</v>
          </cell>
          <cell r="AY216">
            <v>26.07</v>
          </cell>
          <cell r="AZ216">
            <v>0.17</v>
          </cell>
          <cell r="BA216">
            <v>0.12</v>
          </cell>
          <cell r="BB216" t="str">
            <v>#_NA</v>
          </cell>
          <cell r="BC216" t="str">
            <v>#_NA</v>
          </cell>
          <cell r="BD216" t="str">
            <v>#_NA</v>
          </cell>
          <cell r="BE216" t="str">
            <v>-</v>
          </cell>
          <cell r="BF216" t="str">
            <v>-</v>
          </cell>
          <cell r="BG216">
            <v>5.6820000000000002E-2</v>
          </cell>
          <cell r="BH216">
            <v>0.71319999999999995</v>
          </cell>
          <cell r="BI216">
            <v>5.0999999999999996</v>
          </cell>
          <cell r="BJ216" t="str">
            <v>-</v>
          </cell>
          <cell r="BK216">
            <v>0.72740000000000005</v>
          </cell>
          <cell r="BL216">
            <v>4.8499999999999996</v>
          </cell>
          <cell r="BM216" t="str">
            <v>-</v>
          </cell>
          <cell r="BN216" t="str">
            <v>NÃO</v>
          </cell>
          <cell r="BO216" t="str">
            <v>NÃO</v>
          </cell>
          <cell r="BP216" t="str">
            <v>MS|G|NACIONAL|Sim|Positiva</v>
          </cell>
          <cell r="BR216" t="str">
            <v>TBD</v>
          </cell>
          <cell r="BS216">
            <v>0</v>
          </cell>
          <cell r="BT216" t="str">
            <v>#ERRO</v>
          </cell>
          <cell r="BU216">
            <v>4.8499999999999996</v>
          </cell>
          <cell r="BV216" t="str">
            <v>-</v>
          </cell>
          <cell r="BX216" t="str">
            <v>TBD</v>
          </cell>
          <cell r="BY216" t="str">
            <v>TBD</v>
          </cell>
          <cell r="BZ216" t="str">
            <v>TBD</v>
          </cell>
          <cell r="CA216" t="str">
            <v>#ERRO</v>
          </cell>
          <cell r="CB216" t="str">
            <v>-</v>
          </cell>
        </row>
        <row r="217">
          <cell r="A217" t="str">
            <v>12661-0</v>
          </cell>
          <cell r="B217" t="str">
            <v>23181-0</v>
          </cell>
          <cell r="C217">
            <v>7896714230238</v>
          </cell>
          <cell r="D217" t="str">
            <v>PROPIOSOL 0,5MG/G CR CT BG ALUM 1X30G</v>
          </cell>
          <cell r="E217" t="str">
            <v>SIM</v>
          </cell>
          <cell r="F217" t="str">
            <v>S</v>
          </cell>
          <cell r="G217" t="str">
            <v>LINHA</v>
          </cell>
          <cell r="H217">
            <v>5</v>
          </cell>
          <cell r="I217">
            <v>100</v>
          </cell>
          <cell r="J217" t="str">
            <v>Monitorado</v>
          </cell>
          <cell r="K217" t="str">
            <v>Positiva</v>
          </cell>
          <cell r="L217" t="str">
            <v>Sim</v>
          </cell>
          <cell r="M217" t="str">
            <v>NACIONAL</v>
          </cell>
          <cell r="N217" t="str">
            <v>NACIONAL</v>
          </cell>
          <cell r="P217">
            <v>26.9</v>
          </cell>
          <cell r="Q217">
            <v>26.9</v>
          </cell>
          <cell r="R217">
            <v>27.23</v>
          </cell>
          <cell r="S217">
            <v>27.57</v>
          </cell>
          <cell r="T217">
            <v>25.38</v>
          </cell>
          <cell r="U217">
            <v>27.07</v>
          </cell>
          <cell r="V217">
            <v>27.07</v>
          </cell>
          <cell r="W217">
            <v>27.23</v>
          </cell>
          <cell r="X217">
            <v>27.91</v>
          </cell>
          <cell r="Y217">
            <v>27.57</v>
          </cell>
          <cell r="Z217">
            <v>27.91</v>
          </cell>
          <cell r="AA217">
            <v>28.27</v>
          </cell>
          <cell r="AB217">
            <v>28.63</v>
          </cell>
          <cell r="AC217">
            <v>27.74</v>
          </cell>
          <cell r="AD217">
            <v>27.74</v>
          </cell>
          <cell r="AE217">
            <v>28.09</v>
          </cell>
          <cell r="AF217">
            <v>0</v>
          </cell>
          <cell r="AG217">
            <v>37.19</v>
          </cell>
          <cell r="AH217">
            <v>37.19</v>
          </cell>
          <cell r="AI217">
            <v>37.64</v>
          </cell>
          <cell r="AJ217">
            <v>38.11</v>
          </cell>
          <cell r="AK217">
            <v>35.090000000000003</v>
          </cell>
          <cell r="AL217">
            <v>37.42</v>
          </cell>
          <cell r="AM217">
            <v>37.42</v>
          </cell>
          <cell r="AN217">
            <v>37.64</v>
          </cell>
          <cell r="AO217">
            <v>38.58</v>
          </cell>
          <cell r="AP217">
            <v>38.11</v>
          </cell>
          <cell r="AQ217">
            <v>38.58</v>
          </cell>
          <cell r="AR217">
            <v>39.08</v>
          </cell>
          <cell r="AS217">
            <v>39.58</v>
          </cell>
          <cell r="AT217">
            <v>38.35</v>
          </cell>
          <cell r="AU217">
            <v>38.35</v>
          </cell>
          <cell r="AV217">
            <v>38.83</v>
          </cell>
          <cell r="AX217">
            <v>26.9</v>
          </cell>
          <cell r="AY217">
            <v>37.19</v>
          </cell>
          <cell r="AZ217">
            <v>0.17</v>
          </cell>
          <cell r="BA217">
            <v>0.12</v>
          </cell>
          <cell r="BB217" t="str">
            <v>#_NA</v>
          </cell>
          <cell r="BC217" t="str">
            <v>#_NA</v>
          </cell>
          <cell r="BD217" t="str">
            <v>#_NA</v>
          </cell>
          <cell r="BE217" t="str">
            <v>-</v>
          </cell>
          <cell r="BF217" t="str">
            <v>-</v>
          </cell>
          <cell r="BG217">
            <v>5.6820000000000002E-2</v>
          </cell>
          <cell r="BH217">
            <v>0.73550000000000004</v>
          </cell>
          <cell r="BI217">
            <v>6.71</v>
          </cell>
          <cell r="BJ217" t="str">
            <v>-</v>
          </cell>
          <cell r="BK217">
            <v>0.74809999999999999</v>
          </cell>
          <cell r="BL217">
            <v>6.39</v>
          </cell>
          <cell r="BM217" t="str">
            <v>-</v>
          </cell>
          <cell r="BN217" t="str">
            <v>NÃO</v>
          </cell>
          <cell r="BO217" t="str">
            <v>NÃO</v>
          </cell>
          <cell r="BP217" t="str">
            <v>MS|S|NACIONAL|Sim|Positiva</v>
          </cell>
          <cell r="BR217" t="str">
            <v>TBD</v>
          </cell>
          <cell r="BS217">
            <v>0</v>
          </cell>
          <cell r="BT217" t="str">
            <v>#ERRO</v>
          </cell>
          <cell r="BU217">
            <v>6.39</v>
          </cell>
          <cell r="BV217" t="str">
            <v>-</v>
          </cell>
          <cell r="BX217" t="str">
            <v>TBD</v>
          </cell>
          <cell r="BY217" t="str">
            <v>TBD</v>
          </cell>
          <cell r="BZ217" t="str">
            <v>TBD</v>
          </cell>
          <cell r="CA217" t="str">
            <v>#ERRO</v>
          </cell>
          <cell r="CB217" t="str">
            <v>-</v>
          </cell>
        </row>
        <row r="218">
          <cell r="A218" t="str">
            <v>12662-0</v>
          </cell>
          <cell r="B218" t="str">
            <v>23180-0</v>
          </cell>
          <cell r="C218">
            <v>7896714230245</v>
          </cell>
          <cell r="D218" t="str">
            <v>PROPIOSOL 0,5MG/G POM CT BG ALUM 1X30G</v>
          </cell>
          <cell r="E218" t="str">
            <v>SIM</v>
          </cell>
          <cell r="F218" t="str">
            <v>S</v>
          </cell>
          <cell r="G218" t="str">
            <v>LINHA</v>
          </cell>
          <cell r="H218">
            <v>5</v>
          </cell>
          <cell r="I218">
            <v>100</v>
          </cell>
          <cell r="J218" t="str">
            <v>Monitorado</v>
          </cell>
          <cell r="K218" t="str">
            <v>Positiva</v>
          </cell>
          <cell r="L218" t="str">
            <v>Sim</v>
          </cell>
          <cell r="M218" t="str">
            <v>NACIONAL</v>
          </cell>
          <cell r="N218" t="str">
            <v>NACIONAL</v>
          </cell>
          <cell r="P218">
            <v>28.04</v>
          </cell>
          <cell r="Q218">
            <v>28.04</v>
          </cell>
          <cell r="R218">
            <v>28.38</v>
          </cell>
          <cell r="S218">
            <v>28.73</v>
          </cell>
          <cell r="T218">
            <v>26.44</v>
          </cell>
          <cell r="U218">
            <v>28.21</v>
          </cell>
          <cell r="V218">
            <v>28.21</v>
          </cell>
          <cell r="W218">
            <v>28.38</v>
          </cell>
          <cell r="X218">
            <v>29.09</v>
          </cell>
          <cell r="Y218">
            <v>28.73</v>
          </cell>
          <cell r="Z218">
            <v>29.09</v>
          </cell>
          <cell r="AA218">
            <v>29.46</v>
          </cell>
          <cell r="AB218">
            <v>29.83</v>
          </cell>
          <cell r="AC218">
            <v>28.91</v>
          </cell>
          <cell r="AD218">
            <v>28.91</v>
          </cell>
          <cell r="AE218">
            <v>29.27</v>
          </cell>
          <cell r="AF218">
            <v>0</v>
          </cell>
          <cell r="AG218">
            <v>38.76</v>
          </cell>
          <cell r="AH218">
            <v>38.76</v>
          </cell>
          <cell r="AI218">
            <v>39.229999999999997</v>
          </cell>
          <cell r="AJ218">
            <v>39.72</v>
          </cell>
          <cell r="AK218">
            <v>36.549999999999997</v>
          </cell>
          <cell r="AL218">
            <v>39</v>
          </cell>
          <cell r="AM218">
            <v>39</v>
          </cell>
          <cell r="AN218">
            <v>39.229999999999997</v>
          </cell>
          <cell r="AO218">
            <v>40.22</v>
          </cell>
          <cell r="AP218">
            <v>39.72</v>
          </cell>
          <cell r="AQ218">
            <v>40.22</v>
          </cell>
          <cell r="AR218">
            <v>40.729999999999997</v>
          </cell>
          <cell r="AS218">
            <v>41.24</v>
          </cell>
          <cell r="AT218">
            <v>39.97</v>
          </cell>
          <cell r="AU218">
            <v>39.97</v>
          </cell>
          <cell r="AV218">
            <v>40.46</v>
          </cell>
          <cell r="AX218">
            <v>28.04</v>
          </cell>
          <cell r="AY218">
            <v>38.76</v>
          </cell>
          <cell r="AZ218">
            <v>0.17</v>
          </cell>
          <cell r="BA218">
            <v>0.12</v>
          </cell>
          <cell r="BB218" t="str">
            <v>#_NA</v>
          </cell>
          <cell r="BC218" t="str">
            <v>#_NA</v>
          </cell>
          <cell r="BD218" t="str">
            <v>#_NA</v>
          </cell>
          <cell r="BE218" t="str">
            <v>-</v>
          </cell>
          <cell r="BF218" t="str">
            <v>-</v>
          </cell>
          <cell r="BG218">
            <v>5.6820000000000002E-2</v>
          </cell>
          <cell r="BH218">
            <v>0.73519999999999996</v>
          </cell>
          <cell r="BI218">
            <v>7</v>
          </cell>
          <cell r="BJ218" t="str">
            <v>-</v>
          </cell>
          <cell r="BK218">
            <v>0.74780000000000002</v>
          </cell>
          <cell r="BL218">
            <v>6.67</v>
          </cell>
          <cell r="BM218" t="str">
            <v>-</v>
          </cell>
          <cell r="BN218" t="str">
            <v>NÃO</v>
          </cell>
          <cell r="BO218" t="str">
            <v>NÃO</v>
          </cell>
          <cell r="BP218" t="str">
            <v>MS|S|NACIONAL|Sim|Positiva</v>
          </cell>
          <cell r="BR218" t="str">
            <v>TBD</v>
          </cell>
          <cell r="BS218">
            <v>0</v>
          </cell>
          <cell r="BT218" t="str">
            <v>#ERRO</v>
          </cell>
          <cell r="BU218">
            <v>6.67</v>
          </cell>
          <cell r="BV218" t="str">
            <v>-</v>
          </cell>
          <cell r="BX218" t="str">
            <v>TBD</v>
          </cell>
          <cell r="BY218" t="str">
            <v>TBD</v>
          </cell>
          <cell r="BZ218" t="str">
            <v>TBD</v>
          </cell>
          <cell r="CA218" t="str">
            <v>#ERRO</v>
          </cell>
          <cell r="CB218" t="str">
            <v>-</v>
          </cell>
        </row>
        <row r="219">
          <cell r="A219" t="str">
            <v>19744-0</v>
          </cell>
          <cell r="B219" t="str">
            <v>19744-0</v>
          </cell>
          <cell r="C219">
            <v>7896714266916</v>
          </cell>
          <cell r="D219" t="str">
            <v>QUADRILON CR CT BG ALUM 1X20G</v>
          </cell>
          <cell r="E219" t="str">
            <v>SIM</v>
          </cell>
          <cell r="F219" t="str">
            <v>S</v>
          </cell>
          <cell r="G219" t="str">
            <v>LINHA</v>
          </cell>
          <cell r="H219">
            <v>5</v>
          </cell>
          <cell r="I219">
            <v>100</v>
          </cell>
          <cell r="J219" t="str">
            <v>Monitorado</v>
          </cell>
          <cell r="K219" t="str">
            <v>Negativa</v>
          </cell>
          <cell r="L219" t="str">
            <v>Sim</v>
          </cell>
          <cell r="M219" t="str">
            <v>NACIONAL</v>
          </cell>
          <cell r="N219" t="str">
            <v>NACIONAL</v>
          </cell>
          <cell r="P219">
            <v>24.48</v>
          </cell>
          <cell r="Q219">
            <v>28.13</v>
          </cell>
          <cell r="R219">
            <v>28.52</v>
          </cell>
          <cell r="S219">
            <v>28.93</v>
          </cell>
          <cell r="T219">
            <v>26.3</v>
          </cell>
          <cell r="U219">
            <v>28.32</v>
          </cell>
          <cell r="V219">
            <v>24.63</v>
          </cell>
          <cell r="W219">
            <v>24.78</v>
          </cell>
          <cell r="X219">
            <v>29.35</v>
          </cell>
          <cell r="Y219">
            <v>25.09</v>
          </cell>
          <cell r="Z219">
            <v>25.4</v>
          </cell>
          <cell r="AA219">
            <v>29.78</v>
          </cell>
          <cell r="AB219">
            <v>30.22</v>
          </cell>
          <cell r="AC219">
            <v>29.14</v>
          </cell>
          <cell r="AD219">
            <v>25.24</v>
          </cell>
          <cell r="AE219">
            <v>29.56</v>
          </cell>
          <cell r="AF219">
            <v>0</v>
          </cell>
          <cell r="AG219">
            <v>33.840000000000003</v>
          </cell>
          <cell r="AH219">
            <v>37.5</v>
          </cell>
          <cell r="AI219">
            <v>38</v>
          </cell>
          <cell r="AJ219">
            <v>38.53</v>
          </cell>
          <cell r="AK219">
            <v>35.130000000000003</v>
          </cell>
          <cell r="AL219">
            <v>37.74</v>
          </cell>
          <cell r="AM219">
            <v>34.049999999999997</v>
          </cell>
          <cell r="AN219">
            <v>34.26</v>
          </cell>
          <cell r="AO219">
            <v>39.07</v>
          </cell>
          <cell r="AP219">
            <v>34.69</v>
          </cell>
          <cell r="AQ219">
            <v>35.11</v>
          </cell>
          <cell r="AR219">
            <v>39.619999999999997</v>
          </cell>
          <cell r="AS219">
            <v>40.18</v>
          </cell>
          <cell r="AT219">
            <v>38.799999999999997</v>
          </cell>
          <cell r="AU219">
            <v>34.89</v>
          </cell>
          <cell r="AV219">
            <v>39.340000000000003</v>
          </cell>
          <cell r="AX219">
            <v>28.13</v>
          </cell>
          <cell r="AY219">
            <v>37.5</v>
          </cell>
          <cell r="AZ219">
            <v>0.17</v>
          </cell>
          <cell r="BA219">
            <v>0.12</v>
          </cell>
          <cell r="BB219" t="str">
            <v>#_NA</v>
          </cell>
          <cell r="BC219" t="str">
            <v>#_NA</v>
          </cell>
          <cell r="BD219" t="str">
            <v>#_NA</v>
          </cell>
          <cell r="BE219" t="str">
            <v>-</v>
          </cell>
          <cell r="BF219" t="str">
            <v>-</v>
          </cell>
          <cell r="BG219">
            <v>5.6820000000000002E-2</v>
          </cell>
          <cell r="BH219">
            <v>0.4501</v>
          </cell>
          <cell r="BI219">
            <v>14.59</v>
          </cell>
          <cell r="BJ219" t="str">
            <v>-</v>
          </cell>
          <cell r="BK219">
            <v>0.54700000000000004</v>
          </cell>
          <cell r="BL219">
            <v>12.02</v>
          </cell>
          <cell r="BM219" t="str">
            <v>-</v>
          </cell>
          <cell r="BN219" t="str">
            <v>NÃO</v>
          </cell>
          <cell r="BO219" t="str">
            <v>NÃO</v>
          </cell>
          <cell r="BP219" t="str">
            <v>MS|S|NACIONAL|Sim|Negativa</v>
          </cell>
          <cell r="BR219" t="str">
            <v>TBD</v>
          </cell>
          <cell r="BS219">
            <v>0</v>
          </cell>
          <cell r="BT219" t="str">
            <v>#ERRO</v>
          </cell>
          <cell r="BU219">
            <v>12.02</v>
          </cell>
          <cell r="BV219" t="str">
            <v>-</v>
          </cell>
          <cell r="BX219" t="str">
            <v>TBD</v>
          </cell>
          <cell r="BY219" t="str">
            <v>TBD</v>
          </cell>
          <cell r="BZ219" t="str">
            <v>TBD</v>
          </cell>
          <cell r="CA219" t="str">
            <v>#ERRO</v>
          </cell>
          <cell r="CB219" t="str">
            <v>-</v>
          </cell>
        </row>
        <row r="220">
          <cell r="A220" t="str">
            <v>19743-0</v>
          </cell>
          <cell r="B220" t="str">
            <v>19743-0</v>
          </cell>
          <cell r="C220">
            <v>7896714266947</v>
          </cell>
          <cell r="D220" t="str">
            <v>QUADRILON POM CT BG ALUM 1X20G</v>
          </cell>
          <cell r="E220" t="str">
            <v>SIM</v>
          </cell>
          <cell r="F220" t="str">
            <v>S</v>
          </cell>
          <cell r="G220" t="str">
            <v>LINHA</v>
          </cell>
          <cell r="H220">
            <v>5</v>
          </cell>
          <cell r="I220">
            <v>100</v>
          </cell>
          <cell r="J220" t="str">
            <v>Monitorado</v>
          </cell>
          <cell r="K220" t="str">
            <v>Negativa</v>
          </cell>
          <cell r="L220" t="str">
            <v>Sim</v>
          </cell>
          <cell r="M220" t="str">
            <v>NACIONAL</v>
          </cell>
          <cell r="N220" t="str">
            <v>NACIONAL</v>
          </cell>
          <cell r="P220">
            <v>24.58</v>
          </cell>
          <cell r="Q220">
            <v>28.24</v>
          </cell>
          <cell r="R220">
            <v>28.63</v>
          </cell>
          <cell r="S220">
            <v>29.04</v>
          </cell>
          <cell r="T220">
            <v>26.41</v>
          </cell>
          <cell r="U220">
            <v>28.43</v>
          </cell>
          <cell r="V220">
            <v>24.73</v>
          </cell>
          <cell r="W220">
            <v>24.88</v>
          </cell>
          <cell r="X220">
            <v>29.46</v>
          </cell>
          <cell r="Y220">
            <v>25.19</v>
          </cell>
          <cell r="Z220">
            <v>25.5</v>
          </cell>
          <cell r="AA220">
            <v>29.9</v>
          </cell>
          <cell r="AB220">
            <v>30.34</v>
          </cell>
          <cell r="AC220">
            <v>29.25</v>
          </cell>
          <cell r="AD220">
            <v>25.34</v>
          </cell>
          <cell r="AE220">
            <v>29.68</v>
          </cell>
          <cell r="AF220">
            <v>0</v>
          </cell>
          <cell r="AG220">
            <v>33.979999999999997</v>
          </cell>
          <cell r="AH220">
            <v>37.64</v>
          </cell>
          <cell r="AI220">
            <v>38.14</v>
          </cell>
          <cell r="AJ220">
            <v>38.67</v>
          </cell>
          <cell r="AK220">
            <v>35.28</v>
          </cell>
          <cell r="AL220">
            <v>37.89</v>
          </cell>
          <cell r="AM220">
            <v>34.19</v>
          </cell>
          <cell r="AN220">
            <v>34.4</v>
          </cell>
          <cell r="AO220">
            <v>39.21</v>
          </cell>
          <cell r="AP220">
            <v>34.82</v>
          </cell>
          <cell r="AQ220">
            <v>35.25</v>
          </cell>
          <cell r="AR220">
            <v>39.78</v>
          </cell>
          <cell r="AS220">
            <v>40.340000000000003</v>
          </cell>
          <cell r="AT220">
            <v>38.94</v>
          </cell>
          <cell r="AU220">
            <v>35.03</v>
          </cell>
          <cell r="AV220">
            <v>39.5</v>
          </cell>
          <cell r="AX220">
            <v>28.24</v>
          </cell>
          <cell r="AY220">
            <v>37.64</v>
          </cell>
          <cell r="AZ220">
            <v>0.17</v>
          </cell>
          <cell r="BA220">
            <v>0.12</v>
          </cell>
          <cell r="BB220" t="str">
            <v>#_NA</v>
          </cell>
          <cell r="BC220" t="str">
            <v>#_NA</v>
          </cell>
          <cell r="BD220" t="str">
            <v>#_NA</v>
          </cell>
          <cell r="BE220" t="str">
            <v>-</v>
          </cell>
          <cell r="BF220" t="str">
            <v>-</v>
          </cell>
          <cell r="BG220">
            <v>5.6820000000000002E-2</v>
          </cell>
          <cell r="BH220">
            <v>0.48799999999999999</v>
          </cell>
          <cell r="BI220">
            <v>13.64</v>
          </cell>
          <cell r="BJ220" t="str">
            <v>-</v>
          </cell>
          <cell r="BK220">
            <v>0.57799999999999996</v>
          </cell>
          <cell r="BL220">
            <v>11.24</v>
          </cell>
          <cell r="BM220" t="str">
            <v>-</v>
          </cell>
          <cell r="BN220" t="str">
            <v>NÃO</v>
          </cell>
          <cell r="BO220" t="str">
            <v>NÃO</v>
          </cell>
          <cell r="BP220" t="str">
            <v>MS|S|NACIONAL|Sim|Negativa</v>
          </cell>
          <cell r="BR220" t="str">
            <v>TBD</v>
          </cell>
          <cell r="BS220">
            <v>0</v>
          </cell>
          <cell r="BT220" t="str">
            <v>#ERRO</v>
          </cell>
          <cell r="BU220">
            <v>11.24</v>
          </cell>
          <cell r="BV220" t="str">
            <v>-</v>
          </cell>
          <cell r="BX220" t="str">
            <v>TBD</v>
          </cell>
          <cell r="BY220" t="str">
            <v>TBD</v>
          </cell>
          <cell r="BZ220" t="str">
            <v>TBD</v>
          </cell>
          <cell r="CA220" t="str">
            <v>#ERRO</v>
          </cell>
          <cell r="CB220" t="str">
            <v>-</v>
          </cell>
        </row>
        <row r="221">
          <cell r="A221" t="str">
            <v>12601-0</v>
          </cell>
          <cell r="B221" t="str">
            <v>12601-1</v>
          </cell>
          <cell r="C221">
            <v>7896714200743</v>
          </cell>
          <cell r="D221" t="str">
            <v>RENALAPRIL 10MG COMP CT ENV ALUM 3X10</v>
          </cell>
          <cell r="E221" t="str">
            <v>SIM</v>
          </cell>
          <cell r="F221" t="str">
            <v>S</v>
          </cell>
          <cell r="G221" t="str">
            <v>LINHA</v>
          </cell>
          <cell r="H221">
            <v>5</v>
          </cell>
          <cell r="I221">
            <v>60</v>
          </cell>
          <cell r="J221" t="str">
            <v>Monitorado</v>
          </cell>
          <cell r="K221" t="str">
            <v>Positiva</v>
          </cell>
          <cell r="L221" t="str">
            <v>Sim</v>
          </cell>
          <cell r="M221" t="str">
            <v>NACIONAL</v>
          </cell>
          <cell r="N221" t="str">
            <v>NACIONAL</v>
          </cell>
          <cell r="P221">
            <v>17.43</v>
          </cell>
          <cell r="Q221">
            <v>17.43</v>
          </cell>
          <cell r="R221">
            <v>17.649999999999999</v>
          </cell>
          <cell r="S221">
            <v>17.86</v>
          </cell>
          <cell r="T221">
            <v>16.440000000000001</v>
          </cell>
          <cell r="U221">
            <v>17.54</v>
          </cell>
          <cell r="V221">
            <v>17.54</v>
          </cell>
          <cell r="W221">
            <v>17.649999999999999</v>
          </cell>
          <cell r="X221">
            <v>18.09</v>
          </cell>
          <cell r="Y221">
            <v>17.86</v>
          </cell>
          <cell r="Z221">
            <v>18.09</v>
          </cell>
          <cell r="AA221">
            <v>18.32</v>
          </cell>
          <cell r="AB221">
            <v>18.55</v>
          </cell>
          <cell r="AC221">
            <v>17.98</v>
          </cell>
          <cell r="AD221">
            <v>17.98</v>
          </cell>
          <cell r="AE221">
            <v>18.2</v>
          </cell>
          <cell r="AF221">
            <v>0</v>
          </cell>
          <cell r="AG221">
            <v>24.1</v>
          </cell>
          <cell r="AH221">
            <v>24.1</v>
          </cell>
          <cell r="AI221">
            <v>24.4</v>
          </cell>
          <cell r="AJ221">
            <v>24.69</v>
          </cell>
          <cell r="AK221">
            <v>22.73</v>
          </cell>
          <cell r="AL221">
            <v>24.25</v>
          </cell>
          <cell r="AM221">
            <v>24.25</v>
          </cell>
          <cell r="AN221">
            <v>24.4</v>
          </cell>
          <cell r="AO221">
            <v>25.01</v>
          </cell>
          <cell r="AP221">
            <v>24.69</v>
          </cell>
          <cell r="AQ221">
            <v>25.01</v>
          </cell>
          <cell r="AR221">
            <v>25.33</v>
          </cell>
          <cell r="AS221">
            <v>25.64</v>
          </cell>
          <cell r="AT221">
            <v>24.86</v>
          </cell>
          <cell r="AU221">
            <v>24.86</v>
          </cell>
          <cell r="AV221">
            <v>25.16</v>
          </cell>
          <cell r="AX221">
            <v>17.43</v>
          </cell>
          <cell r="AY221">
            <v>24.1</v>
          </cell>
          <cell r="AZ221">
            <v>0.17</v>
          </cell>
          <cell r="BA221">
            <v>0.12</v>
          </cell>
          <cell r="BB221" t="str">
            <v>#_NA</v>
          </cell>
          <cell r="BC221" t="str">
            <v>#_NA</v>
          </cell>
          <cell r="BD221" t="str">
            <v>#_NA</v>
          </cell>
          <cell r="BE221" t="str">
            <v>-</v>
          </cell>
          <cell r="BF221" t="str">
            <v>-</v>
          </cell>
          <cell r="BG221">
            <v>5.6820000000000002E-2</v>
          </cell>
          <cell r="BH221">
            <v>0.72299999999999998</v>
          </cell>
          <cell r="BI221">
            <v>4.55</v>
          </cell>
          <cell r="BJ221" t="str">
            <v>-</v>
          </cell>
          <cell r="BK221">
            <v>0.74209999999999998</v>
          </cell>
          <cell r="BL221">
            <v>4.24</v>
          </cell>
          <cell r="BM221" t="str">
            <v>-</v>
          </cell>
          <cell r="BN221" t="str">
            <v>SIM</v>
          </cell>
          <cell r="BO221" t="str">
            <v>NÃO</v>
          </cell>
          <cell r="BP221" t="str">
            <v>MS|S|NACIONAL|Sim|Positiva</v>
          </cell>
          <cell r="BR221" t="str">
            <v>TBD</v>
          </cell>
          <cell r="BS221">
            <v>0</v>
          </cell>
          <cell r="BT221" t="str">
            <v>#ERRO</v>
          </cell>
          <cell r="BU221">
            <v>4.24</v>
          </cell>
          <cell r="BV221" t="str">
            <v>-</v>
          </cell>
          <cell r="BX221" t="str">
            <v>TBD</v>
          </cell>
          <cell r="BY221" t="str">
            <v>TBD</v>
          </cell>
          <cell r="BZ221" t="str">
            <v>TBD</v>
          </cell>
          <cell r="CA221" t="str">
            <v>#ERRO</v>
          </cell>
          <cell r="CB221" t="str">
            <v>-</v>
          </cell>
        </row>
        <row r="222">
          <cell r="A222" t="str">
            <v>12602-0</v>
          </cell>
          <cell r="B222" t="str">
            <v>12602-1</v>
          </cell>
          <cell r="C222">
            <v>7896714200750</v>
          </cell>
          <cell r="D222" t="str">
            <v>RENALAPRIL 20MG COMP CT ENV ALUM 3X10</v>
          </cell>
          <cell r="E222" t="str">
            <v>SIM</v>
          </cell>
          <cell r="F222" t="str">
            <v>S</v>
          </cell>
          <cell r="G222" t="str">
            <v>LINHA</v>
          </cell>
          <cell r="H222">
            <v>5</v>
          </cell>
          <cell r="I222">
            <v>60</v>
          </cell>
          <cell r="J222" t="str">
            <v>Monitorado</v>
          </cell>
          <cell r="K222" t="str">
            <v>Positiva</v>
          </cell>
          <cell r="L222" t="str">
            <v>Sim</v>
          </cell>
          <cell r="M222" t="str">
            <v>NACIONAL</v>
          </cell>
          <cell r="N222" t="str">
            <v>NACIONAL</v>
          </cell>
          <cell r="P222">
            <v>53.98</v>
          </cell>
          <cell r="Q222">
            <v>53.98</v>
          </cell>
          <cell r="R222">
            <v>54.63</v>
          </cell>
          <cell r="S222">
            <v>55.31</v>
          </cell>
          <cell r="T222">
            <v>50.91</v>
          </cell>
          <cell r="U222">
            <v>54.3</v>
          </cell>
          <cell r="V222">
            <v>54.3</v>
          </cell>
          <cell r="W222">
            <v>54.63</v>
          </cell>
          <cell r="X222">
            <v>56</v>
          </cell>
          <cell r="Y222">
            <v>55.31</v>
          </cell>
          <cell r="Z222">
            <v>56</v>
          </cell>
          <cell r="AA222">
            <v>56.71</v>
          </cell>
          <cell r="AB222">
            <v>57.44</v>
          </cell>
          <cell r="AC222">
            <v>55.65</v>
          </cell>
          <cell r="AD222">
            <v>55.65</v>
          </cell>
          <cell r="AE222">
            <v>56.35</v>
          </cell>
          <cell r="AF222">
            <v>0</v>
          </cell>
          <cell r="AG222">
            <v>74.62</v>
          </cell>
          <cell r="AH222">
            <v>74.62</v>
          </cell>
          <cell r="AI222">
            <v>75.52</v>
          </cell>
          <cell r="AJ222">
            <v>76.459999999999994</v>
          </cell>
          <cell r="AK222">
            <v>70.38</v>
          </cell>
          <cell r="AL222">
            <v>75.069999999999993</v>
          </cell>
          <cell r="AM222">
            <v>75.069999999999993</v>
          </cell>
          <cell r="AN222">
            <v>75.52</v>
          </cell>
          <cell r="AO222">
            <v>77.42</v>
          </cell>
          <cell r="AP222">
            <v>76.459999999999994</v>
          </cell>
          <cell r="AQ222">
            <v>77.42</v>
          </cell>
          <cell r="AR222">
            <v>78.400000000000006</v>
          </cell>
          <cell r="AS222">
            <v>79.41</v>
          </cell>
          <cell r="AT222">
            <v>76.930000000000007</v>
          </cell>
          <cell r="AU222">
            <v>76.930000000000007</v>
          </cell>
          <cell r="AV222">
            <v>77.900000000000006</v>
          </cell>
          <cell r="AX222">
            <v>53.98</v>
          </cell>
          <cell r="AY222">
            <v>74.62</v>
          </cell>
          <cell r="AZ222">
            <v>0.17</v>
          </cell>
          <cell r="BA222">
            <v>0.12</v>
          </cell>
          <cell r="BB222" t="str">
            <v>#_NA</v>
          </cell>
          <cell r="BC222" t="str">
            <v>#_NA</v>
          </cell>
          <cell r="BD222" t="str">
            <v>#_NA</v>
          </cell>
          <cell r="BE222" t="str">
            <v>-</v>
          </cell>
          <cell r="BF222" t="str">
            <v>-</v>
          </cell>
          <cell r="BG222">
            <v>5.6820000000000002E-2</v>
          </cell>
          <cell r="BH222">
            <v>0.89810000000000001</v>
          </cell>
          <cell r="BI222">
            <v>5.19</v>
          </cell>
          <cell r="BJ222" t="str">
            <v>-</v>
          </cell>
          <cell r="BK222">
            <v>0.90300000000000002</v>
          </cell>
          <cell r="BL222">
            <v>4.9400000000000004</v>
          </cell>
          <cell r="BM222" t="str">
            <v>-</v>
          </cell>
          <cell r="BN222" t="str">
            <v>NÃO</v>
          </cell>
          <cell r="BO222" t="str">
            <v>NÃO</v>
          </cell>
          <cell r="BP222" t="str">
            <v>MS|S|NACIONAL|Sim|Positiva</v>
          </cell>
          <cell r="BR222" t="str">
            <v>TBD</v>
          </cell>
          <cell r="BS222">
            <v>0</v>
          </cell>
          <cell r="BT222" t="str">
            <v>#ERRO</v>
          </cell>
          <cell r="BU222">
            <v>4.9400000000000004</v>
          </cell>
          <cell r="BV222" t="str">
            <v>-</v>
          </cell>
          <cell r="BX222" t="str">
            <v>TBD</v>
          </cell>
          <cell r="BY222" t="str">
            <v>TBD</v>
          </cell>
          <cell r="BZ222" t="str">
            <v>TBD</v>
          </cell>
          <cell r="CA222" t="str">
            <v>#ERRO</v>
          </cell>
          <cell r="CB222" t="str">
            <v>-</v>
          </cell>
        </row>
        <row r="223">
          <cell r="A223" t="str">
            <v>12600-0</v>
          </cell>
          <cell r="B223" t="str">
            <v>12600-1</v>
          </cell>
          <cell r="C223">
            <v>7896714200736</v>
          </cell>
          <cell r="D223" t="str">
            <v>RENALAPRIL 5MG COMP CT ENV ALUM 3X10</v>
          </cell>
          <cell r="E223" t="str">
            <v>SIM</v>
          </cell>
          <cell r="F223" t="str">
            <v>S</v>
          </cell>
          <cell r="G223" t="str">
            <v>LINHA</v>
          </cell>
          <cell r="H223">
            <v>5</v>
          </cell>
          <cell r="I223">
            <v>60</v>
          </cell>
          <cell r="J223" t="str">
            <v>Monitorado</v>
          </cell>
          <cell r="K223" t="str">
            <v>Positiva</v>
          </cell>
          <cell r="L223" t="str">
            <v>Sim</v>
          </cell>
          <cell r="M223" t="str">
            <v>NACIONAL</v>
          </cell>
          <cell r="N223" t="str">
            <v>NACIONAL</v>
          </cell>
          <cell r="P223">
            <v>21.23</v>
          </cell>
          <cell r="Q223">
            <v>21.23</v>
          </cell>
          <cell r="R223">
            <v>21.49</v>
          </cell>
          <cell r="S223">
            <v>21.75</v>
          </cell>
          <cell r="T223">
            <v>20.02</v>
          </cell>
          <cell r="U223">
            <v>21.36</v>
          </cell>
          <cell r="V223">
            <v>21.36</v>
          </cell>
          <cell r="W223">
            <v>21.49</v>
          </cell>
          <cell r="X223">
            <v>22.03</v>
          </cell>
          <cell r="Y223">
            <v>21.75</v>
          </cell>
          <cell r="Z223">
            <v>22.03</v>
          </cell>
          <cell r="AA223">
            <v>22.3</v>
          </cell>
          <cell r="AB223">
            <v>22.59</v>
          </cell>
          <cell r="AC223">
            <v>21.89</v>
          </cell>
          <cell r="AD223">
            <v>21.89</v>
          </cell>
          <cell r="AE223">
            <v>22.16</v>
          </cell>
          <cell r="AF223">
            <v>0</v>
          </cell>
          <cell r="AG223">
            <v>29.35</v>
          </cell>
          <cell r="AH223">
            <v>29.35</v>
          </cell>
          <cell r="AI223">
            <v>29.71</v>
          </cell>
          <cell r="AJ223">
            <v>30.07</v>
          </cell>
          <cell r="AK223">
            <v>27.68</v>
          </cell>
          <cell r="AL223">
            <v>29.53</v>
          </cell>
          <cell r="AM223">
            <v>29.53</v>
          </cell>
          <cell r="AN223">
            <v>29.71</v>
          </cell>
          <cell r="AO223">
            <v>30.46</v>
          </cell>
          <cell r="AP223">
            <v>30.07</v>
          </cell>
          <cell r="AQ223">
            <v>30.46</v>
          </cell>
          <cell r="AR223">
            <v>30.83</v>
          </cell>
          <cell r="AS223">
            <v>31.23</v>
          </cell>
          <cell r="AT223">
            <v>30.26</v>
          </cell>
          <cell r="AU223">
            <v>30.26</v>
          </cell>
          <cell r="AV223">
            <v>30.63</v>
          </cell>
          <cell r="AX223">
            <v>21.23</v>
          </cell>
          <cell r="AY223">
            <v>29.35</v>
          </cell>
          <cell r="AZ223">
            <v>0.17</v>
          </cell>
          <cell r="BA223">
            <v>0.12</v>
          </cell>
          <cell r="BB223" t="str">
            <v>#_NA</v>
          </cell>
          <cell r="BC223" t="str">
            <v>#_NA</v>
          </cell>
          <cell r="BD223" t="str">
            <v>#_NA</v>
          </cell>
          <cell r="BE223" t="str">
            <v>-</v>
          </cell>
          <cell r="BF223" t="str">
            <v>-</v>
          </cell>
          <cell r="BG223">
            <v>5.6820000000000002E-2</v>
          </cell>
          <cell r="BH223">
            <v>0.754</v>
          </cell>
          <cell r="BI223">
            <v>4.92</v>
          </cell>
          <cell r="BJ223" t="str">
            <v>-</v>
          </cell>
          <cell r="BK223">
            <v>0.76570000000000005</v>
          </cell>
          <cell r="BL223">
            <v>4.6900000000000004</v>
          </cell>
          <cell r="BM223" t="str">
            <v>-</v>
          </cell>
          <cell r="BN223" t="str">
            <v>NÃO</v>
          </cell>
          <cell r="BO223" t="str">
            <v>NÃO</v>
          </cell>
          <cell r="BP223" t="str">
            <v>MS|S|NACIONAL|Sim|Positiva</v>
          </cell>
          <cell r="BR223" t="str">
            <v>TBD</v>
          </cell>
          <cell r="BS223">
            <v>0</v>
          </cell>
          <cell r="BT223" t="str">
            <v>#ERRO</v>
          </cell>
          <cell r="BU223">
            <v>4.6900000000000004</v>
          </cell>
          <cell r="BV223" t="str">
            <v>-</v>
          </cell>
          <cell r="BX223" t="str">
            <v>TBD</v>
          </cell>
          <cell r="BY223" t="str">
            <v>TBD</v>
          </cell>
          <cell r="BZ223" t="str">
            <v>TBD</v>
          </cell>
          <cell r="CA223" t="str">
            <v>#ERRO</v>
          </cell>
          <cell r="CB223" t="str">
            <v>-</v>
          </cell>
        </row>
        <row r="224">
          <cell r="A224" t="str">
            <v>21888-0</v>
          </cell>
          <cell r="B224" t="str">
            <v>21888-0</v>
          </cell>
          <cell r="C224">
            <v>7896714290805</v>
          </cell>
          <cell r="D224" t="str">
            <v>RIVAROXABANA 10MG CPRV BL X 30</v>
          </cell>
          <cell r="E224" t="str">
            <v>SIM</v>
          </cell>
          <cell r="F224" t="str">
            <v>G</v>
          </cell>
          <cell r="G224" t="str">
            <v>FOCO GENERICOS</v>
          </cell>
          <cell r="H224">
            <v>5</v>
          </cell>
          <cell r="I224">
            <v>60</v>
          </cell>
          <cell r="J224" t="str">
            <v>Monitorado</v>
          </cell>
          <cell r="K224" t="str">
            <v>Positiva</v>
          </cell>
          <cell r="L224" t="str">
            <v>Sim</v>
          </cell>
          <cell r="M224" t="str">
            <v>NACIONAL</v>
          </cell>
          <cell r="N224" t="str">
            <v>NACIONAL</v>
          </cell>
          <cell r="P224">
            <v>149.88</v>
          </cell>
          <cell r="Q224">
            <v>149.88</v>
          </cell>
          <cell r="R224">
            <v>151.71</v>
          </cell>
          <cell r="S224">
            <v>153.58000000000001</v>
          </cell>
          <cell r="T224">
            <v>141.36000000000001</v>
          </cell>
          <cell r="U224">
            <v>150.79</v>
          </cell>
          <cell r="V224">
            <v>150.79</v>
          </cell>
          <cell r="W224">
            <v>151.71</v>
          </cell>
          <cell r="X224">
            <v>155.5</v>
          </cell>
          <cell r="Y224">
            <v>153.58000000000001</v>
          </cell>
          <cell r="Z224">
            <v>155.5</v>
          </cell>
          <cell r="AA224">
            <v>157.47</v>
          </cell>
          <cell r="AB224">
            <v>159.49</v>
          </cell>
          <cell r="AC224">
            <v>154.53</v>
          </cell>
          <cell r="AD224">
            <v>154.53</v>
          </cell>
          <cell r="AE224">
            <v>156.47999999999999</v>
          </cell>
          <cell r="AF224">
            <v>0</v>
          </cell>
          <cell r="AG224">
            <v>207.2</v>
          </cell>
          <cell r="AH224">
            <v>207.2</v>
          </cell>
          <cell r="AI224">
            <v>209.73</v>
          </cell>
          <cell r="AJ224">
            <v>212.32</v>
          </cell>
          <cell r="AK224">
            <v>195.42</v>
          </cell>
          <cell r="AL224">
            <v>208.46</v>
          </cell>
          <cell r="AM224">
            <v>208.46</v>
          </cell>
          <cell r="AN224">
            <v>209.73</v>
          </cell>
          <cell r="AO224">
            <v>214.97</v>
          </cell>
          <cell r="AP224">
            <v>212.32</v>
          </cell>
          <cell r="AQ224">
            <v>214.97</v>
          </cell>
          <cell r="AR224">
            <v>217.69</v>
          </cell>
          <cell r="AS224">
            <v>220.49</v>
          </cell>
          <cell r="AT224">
            <v>213.63</v>
          </cell>
          <cell r="AU224">
            <v>213.63</v>
          </cell>
          <cell r="AV224">
            <v>216.32</v>
          </cell>
          <cell r="AX224">
            <v>149.88</v>
          </cell>
          <cell r="AY224">
            <v>207.2</v>
          </cell>
          <cell r="AZ224">
            <v>0.17</v>
          </cell>
          <cell r="BA224">
            <v>0.12</v>
          </cell>
          <cell r="BB224" t="str">
            <v>#_NA</v>
          </cell>
          <cell r="BC224" t="str">
            <v>#_NA</v>
          </cell>
          <cell r="BD224" t="str">
            <v>#_NA</v>
          </cell>
          <cell r="BE224" t="str">
            <v>-</v>
          </cell>
          <cell r="BF224" t="str">
            <v>-</v>
          </cell>
          <cell r="BG224">
            <v>5.6820000000000002E-2</v>
          </cell>
          <cell r="BH224">
            <v>0.92649999999999999</v>
          </cell>
          <cell r="BI224">
            <v>10.39</v>
          </cell>
          <cell r="BJ224" t="str">
            <v>-</v>
          </cell>
          <cell r="BK224">
            <v>0.93149999999999999</v>
          </cell>
          <cell r="BL224">
            <v>9.68</v>
          </cell>
          <cell r="BM224" t="str">
            <v>-</v>
          </cell>
          <cell r="BN224" t="str">
            <v>SIM</v>
          </cell>
          <cell r="BO224" t="str">
            <v>NÃO</v>
          </cell>
          <cell r="BP224" t="str">
            <v>MS|G|NACIONAL|Sim|Positiva</v>
          </cell>
          <cell r="BR224" t="str">
            <v>TBD</v>
          </cell>
          <cell r="BS224">
            <v>0</v>
          </cell>
          <cell r="BT224" t="str">
            <v>#ERRO</v>
          </cell>
          <cell r="BU224">
            <v>9.68</v>
          </cell>
          <cell r="BV224" t="str">
            <v>-</v>
          </cell>
          <cell r="BX224" t="str">
            <v>TBD</v>
          </cell>
          <cell r="BY224" t="str">
            <v>TBD</v>
          </cell>
          <cell r="BZ224" t="str">
            <v>TBD</v>
          </cell>
          <cell r="CA224" t="str">
            <v>#ERRO</v>
          </cell>
          <cell r="CB224" t="str">
            <v>-</v>
          </cell>
        </row>
        <row r="225">
          <cell r="A225" t="str">
            <v>21889-0</v>
          </cell>
          <cell r="B225" t="str">
            <v>21889-0</v>
          </cell>
          <cell r="C225">
            <v>7896714290812</v>
          </cell>
          <cell r="D225" t="str">
            <v>RIVAROXABANA 15MG CPRV BL X 15</v>
          </cell>
          <cell r="E225" t="str">
            <v>SIM</v>
          </cell>
          <cell r="F225" t="str">
            <v>G</v>
          </cell>
          <cell r="G225" t="str">
            <v>FOCO GENERICOS</v>
          </cell>
          <cell r="H225">
            <v>5</v>
          </cell>
          <cell r="I225">
            <v>60</v>
          </cell>
          <cell r="J225" t="str">
            <v>Monitorado</v>
          </cell>
          <cell r="K225" t="str">
            <v>Positiva</v>
          </cell>
          <cell r="L225" t="str">
            <v>Sim</v>
          </cell>
          <cell r="M225" t="str">
            <v>NACIONAL</v>
          </cell>
          <cell r="N225" t="str">
            <v>NACIONAL</v>
          </cell>
          <cell r="P225">
            <v>74.94</v>
          </cell>
          <cell r="Q225">
            <v>74.94</v>
          </cell>
          <cell r="R225">
            <v>75.849999999999994</v>
          </cell>
          <cell r="S225">
            <v>76.790000000000006</v>
          </cell>
          <cell r="T225">
            <v>70.680000000000007</v>
          </cell>
          <cell r="U225">
            <v>75.39</v>
          </cell>
          <cell r="V225">
            <v>75.39</v>
          </cell>
          <cell r="W225">
            <v>75.849999999999994</v>
          </cell>
          <cell r="X225">
            <v>77.75</v>
          </cell>
          <cell r="Y225">
            <v>76.790000000000006</v>
          </cell>
          <cell r="Z225">
            <v>77.75</v>
          </cell>
          <cell r="AA225">
            <v>78.73</v>
          </cell>
          <cell r="AB225">
            <v>79.739999999999995</v>
          </cell>
          <cell r="AC225">
            <v>77.27</v>
          </cell>
          <cell r="AD225">
            <v>77.27</v>
          </cell>
          <cell r="AE225">
            <v>78.239999999999995</v>
          </cell>
          <cell r="AF225">
            <v>0</v>
          </cell>
          <cell r="AG225">
            <v>103.6</v>
          </cell>
          <cell r="AH225">
            <v>103.6</v>
          </cell>
          <cell r="AI225">
            <v>104.86</v>
          </cell>
          <cell r="AJ225">
            <v>106.16</v>
          </cell>
          <cell r="AK225">
            <v>97.71</v>
          </cell>
          <cell r="AL225">
            <v>104.22</v>
          </cell>
          <cell r="AM225">
            <v>104.22</v>
          </cell>
          <cell r="AN225">
            <v>104.86</v>
          </cell>
          <cell r="AO225">
            <v>107.48</v>
          </cell>
          <cell r="AP225">
            <v>106.16</v>
          </cell>
          <cell r="AQ225">
            <v>107.48</v>
          </cell>
          <cell r="AR225">
            <v>108.84</v>
          </cell>
          <cell r="AS225">
            <v>110.24</v>
          </cell>
          <cell r="AT225">
            <v>106.82</v>
          </cell>
          <cell r="AU225">
            <v>106.82</v>
          </cell>
          <cell r="AV225">
            <v>108.16</v>
          </cell>
          <cell r="AX225">
            <v>74.94</v>
          </cell>
          <cell r="AY225">
            <v>103.6</v>
          </cell>
          <cell r="AZ225">
            <v>0.17</v>
          </cell>
          <cell r="BA225">
            <v>0.12</v>
          </cell>
          <cell r="BB225" t="str">
            <v>#_NA</v>
          </cell>
          <cell r="BC225" t="str">
            <v>#_NA</v>
          </cell>
          <cell r="BD225" t="str">
            <v>#_NA</v>
          </cell>
          <cell r="BE225" t="str">
            <v>-</v>
          </cell>
          <cell r="BF225" t="str">
            <v>-</v>
          </cell>
          <cell r="BG225">
            <v>5.6820000000000002E-2</v>
          </cell>
          <cell r="BH225">
            <v>0.91379999999999995</v>
          </cell>
          <cell r="BI225">
            <v>6.09</v>
          </cell>
          <cell r="BJ225" t="str">
            <v>-</v>
          </cell>
          <cell r="BK225">
            <v>0.91979999999999995</v>
          </cell>
          <cell r="BL225">
            <v>5.67</v>
          </cell>
          <cell r="BM225" t="str">
            <v>-</v>
          </cell>
          <cell r="BN225" t="str">
            <v>SIM</v>
          </cell>
          <cell r="BO225" t="str">
            <v>NÃO</v>
          </cell>
          <cell r="BP225" t="str">
            <v>MS|G|NACIONAL|Sim|Positiva</v>
          </cell>
          <cell r="BR225" t="str">
            <v>TBD</v>
          </cell>
          <cell r="BS225">
            <v>0</v>
          </cell>
          <cell r="BT225" t="str">
            <v>#ERRO</v>
          </cell>
          <cell r="BU225">
            <v>5.67</v>
          </cell>
          <cell r="BV225" t="str">
            <v>-</v>
          </cell>
          <cell r="BX225" t="str">
            <v>TBD</v>
          </cell>
          <cell r="BY225" t="str">
            <v>TBD</v>
          </cell>
          <cell r="BZ225" t="str">
            <v>TBD</v>
          </cell>
          <cell r="CA225" t="str">
            <v>#ERRO</v>
          </cell>
          <cell r="CB225" t="str">
            <v>-</v>
          </cell>
        </row>
        <row r="226">
          <cell r="A226" t="str">
            <v>21890-0</v>
          </cell>
          <cell r="B226" t="str">
            <v>21890-0</v>
          </cell>
          <cell r="C226">
            <v>7896714290829</v>
          </cell>
          <cell r="D226" t="str">
            <v>RIVAROXABANA 15MG CPRV BL X 30</v>
          </cell>
          <cell r="E226" t="str">
            <v>SIM</v>
          </cell>
          <cell r="F226" t="str">
            <v>G</v>
          </cell>
          <cell r="G226" t="str">
            <v>FOCO GENERICOS</v>
          </cell>
          <cell r="H226">
            <v>5</v>
          </cell>
          <cell r="I226">
            <v>60</v>
          </cell>
          <cell r="J226" t="str">
            <v>Monitorado</v>
          </cell>
          <cell r="K226" t="str">
            <v>Positiva</v>
          </cell>
          <cell r="L226" t="str">
            <v>Sim</v>
          </cell>
          <cell r="M226" t="str">
            <v>NACIONAL</v>
          </cell>
          <cell r="N226" t="str">
            <v>NACIONAL</v>
          </cell>
          <cell r="P226">
            <v>149.88</v>
          </cell>
          <cell r="Q226">
            <v>149.88</v>
          </cell>
          <cell r="R226">
            <v>151.71</v>
          </cell>
          <cell r="S226">
            <v>153.58000000000001</v>
          </cell>
          <cell r="T226">
            <v>141.36000000000001</v>
          </cell>
          <cell r="U226">
            <v>150.79</v>
          </cell>
          <cell r="V226">
            <v>150.79</v>
          </cell>
          <cell r="W226">
            <v>151.71</v>
          </cell>
          <cell r="X226">
            <v>155.5</v>
          </cell>
          <cell r="Y226">
            <v>153.58000000000001</v>
          </cell>
          <cell r="Z226">
            <v>155.5</v>
          </cell>
          <cell r="AA226">
            <v>157.47</v>
          </cell>
          <cell r="AB226">
            <v>159.49</v>
          </cell>
          <cell r="AC226">
            <v>154.53</v>
          </cell>
          <cell r="AD226">
            <v>154.53</v>
          </cell>
          <cell r="AE226">
            <v>156.47999999999999</v>
          </cell>
          <cell r="AF226">
            <v>0</v>
          </cell>
          <cell r="AG226">
            <v>207.2</v>
          </cell>
          <cell r="AH226">
            <v>207.2</v>
          </cell>
          <cell r="AI226">
            <v>209.73</v>
          </cell>
          <cell r="AJ226">
            <v>212.32</v>
          </cell>
          <cell r="AK226">
            <v>195.42</v>
          </cell>
          <cell r="AL226">
            <v>208.46</v>
          </cell>
          <cell r="AM226">
            <v>208.46</v>
          </cell>
          <cell r="AN226">
            <v>209.73</v>
          </cell>
          <cell r="AO226">
            <v>214.97</v>
          </cell>
          <cell r="AP226">
            <v>212.32</v>
          </cell>
          <cell r="AQ226">
            <v>214.97</v>
          </cell>
          <cell r="AR226">
            <v>217.69</v>
          </cell>
          <cell r="AS226">
            <v>220.49</v>
          </cell>
          <cell r="AT226">
            <v>213.63</v>
          </cell>
          <cell r="AU226">
            <v>213.63</v>
          </cell>
          <cell r="AV226">
            <v>216.32</v>
          </cell>
          <cell r="AX226">
            <v>149.88</v>
          </cell>
          <cell r="AY226">
            <v>207.2</v>
          </cell>
          <cell r="AZ226">
            <v>0.17</v>
          </cell>
          <cell r="BA226">
            <v>0.12</v>
          </cell>
          <cell r="BB226" t="str">
            <v>#_NA</v>
          </cell>
          <cell r="BC226" t="str">
            <v>#_NA</v>
          </cell>
          <cell r="BD226" t="str">
            <v>#_NA</v>
          </cell>
          <cell r="BE226" t="str">
            <v>-</v>
          </cell>
          <cell r="BF226" t="str">
            <v>-</v>
          </cell>
          <cell r="BG226">
            <v>5.6820000000000002E-2</v>
          </cell>
          <cell r="BH226">
            <v>0.9274</v>
          </cell>
          <cell r="BI226">
            <v>10.26</v>
          </cell>
          <cell r="BJ226" t="str">
            <v>-</v>
          </cell>
          <cell r="BK226">
            <v>0.93230000000000002</v>
          </cell>
          <cell r="BL226">
            <v>9.57</v>
          </cell>
          <cell r="BM226" t="str">
            <v>-</v>
          </cell>
          <cell r="BN226" t="str">
            <v>SIM</v>
          </cell>
          <cell r="BO226" t="str">
            <v>NÃO</v>
          </cell>
          <cell r="BP226" t="str">
            <v>MS|G|NACIONAL|Sim|Positiva</v>
          </cell>
          <cell r="BR226" t="str">
            <v>TBD</v>
          </cell>
          <cell r="BS226">
            <v>0</v>
          </cell>
          <cell r="BT226" t="str">
            <v>#ERRO</v>
          </cell>
          <cell r="BU226">
            <v>9.57</v>
          </cell>
          <cell r="BV226" t="str">
            <v>-</v>
          </cell>
          <cell r="BX226" t="str">
            <v>TBD</v>
          </cell>
          <cell r="BY226" t="str">
            <v>TBD</v>
          </cell>
          <cell r="BZ226" t="str">
            <v>TBD</v>
          </cell>
          <cell r="CA226" t="str">
            <v>#ERRO</v>
          </cell>
          <cell r="CB226" t="str">
            <v>-</v>
          </cell>
        </row>
        <row r="227">
          <cell r="A227" t="str">
            <v>21891-0</v>
          </cell>
          <cell r="B227" t="str">
            <v>21891-0</v>
          </cell>
          <cell r="C227">
            <v>7896714290836</v>
          </cell>
          <cell r="D227" t="str">
            <v>RIVAROXABANA 20MG CPRV BL X 15</v>
          </cell>
          <cell r="E227" t="str">
            <v>SIM</v>
          </cell>
          <cell r="F227" t="str">
            <v>G</v>
          </cell>
          <cell r="G227" t="str">
            <v>FOCO GENERICOS</v>
          </cell>
          <cell r="H227">
            <v>5</v>
          </cell>
          <cell r="I227">
            <v>60</v>
          </cell>
          <cell r="J227" t="str">
            <v>Monitorado</v>
          </cell>
          <cell r="K227" t="str">
            <v>Positiva</v>
          </cell>
          <cell r="L227" t="str">
            <v>Sim</v>
          </cell>
          <cell r="M227" t="str">
            <v>NACIONAL</v>
          </cell>
          <cell r="N227" t="str">
            <v>NACIONAL</v>
          </cell>
          <cell r="P227">
            <v>74.94</v>
          </cell>
          <cell r="Q227">
            <v>74.94</v>
          </cell>
          <cell r="R227">
            <v>75.849999999999994</v>
          </cell>
          <cell r="S227">
            <v>76.790000000000006</v>
          </cell>
          <cell r="T227">
            <v>70.680000000000007</v>
          </cell>
          <cell r="U227">
            <v>75.39</v>
          </cell>
          <cell r="V227">
            <v>75.39</v>
          </cell>
          <cell r="W227">
            <v>75.849999999999994</v>
          </cell>
          <cell r="X227">
            <v>77.75</v>
          </cell>
          <cell r="Y227">
            <v>76.790000000000006</v>
          </cell>
          <cell r="Z227">
            <v>77.75</v>
          </cell>
          <cell r="AA227">
            <v>78.73</v>
          </cell>
          <cell r="AB227">
            <v>79.739999999999995</v>
          </cell>
          <cell r="AC227">
            <v>77.27</v>
          </cell>
          <cell r="AD227">
            <v>77.27</v>
          </cell>
          <cell r="AE227">
            <v>78.239999999999995</v>
          </cell>
          <cell r="AF227">
            <v>0</v>
          </cell>
          <cell r="AG227">
            <v>103.6</v>
          </cell>
          <cell r="AH227">
            <v>103.6</v>
          </cell>
          <cell r="AI227">
            <v>104.86</v>
          </cell>
          <cell r="AJ227">
            <v>106.16</v>
          </cell>
          <cell r="AK227">
            <v>97.71</v>
          </cell>
          <cell r="AL227">
            <v>104.22</v>
          </cell>
          <cell r="AM227">
            <v>104.22</v>
          </cell>
          <cell r="AN227">
            <v>104.86</v>
          </cell>
          <cell r="AO227">
            <v>107.48</v>
          </cell>
          <cell r="AP227">
            <v>106.16</v>
          </cell>
          <cell r="AQ227">
            <v>107.48</v>
          </cell>
          <cell r="AR227">
            <v>108.84</v>
          </cell>
          <cell r="AS227">
            <v>110.24</v>
          </cell>
          <cell r="AT227">
            <v>106.82</v>
          </cell>
          <cell r="AU227">
            <v>106.82</v>
          </cell>
          <cell r="AV227">
            <v>108.16</v>
          </cell>
          <cell r="AX227">
            <v>74.94</v>
          </cell>
          <cell r="AY227">
            <v>103.6</v>
          </cell>
          <cell r="AZ227">
            <v>0.17</v>
          </cell>
          <cell r="BA227">
            <v>0.12</v>
          </cell>
          <cell r="BB227" t="str">
            <v>#_NA</v>
          </cell>
          <cell r="BC227" t="str">
            <v>#_NA</v>
          </cell>
          <cell r="BD227" t="str">
            <v>#_NA</v>
          </cell>
          <cell r="BE227" t="str">
            <v>-</v>
          </cell>
          <cell r="BF227" t="str">
            <v>-</v>
          </cell>
          <cell r="BG227">
            <v>5.6820000000000002E-2</v>
          </cell>
          <cell r="BH227">
            <v>0.9133</v>
          </cell>
          <cell r="BI227">
            <v>6.13</v>
          </cell>
          <cell r="BJ227" t="str">
            <v>-</v>
          </cell>
          <cell r="BK227">
            <v>0.91930000000000001</v>
          </cell>
          <cell r="BL227">
            <v>5.7</v>
          </cell>
          <cell r="BM227" t="str">
            <v>-</v>
          </cell>
          <cell r="BN227" t="str">
            <v>SIM</v>
          </cell>
          <cell r="BO227" t="str">
            <v>NÃO</v>
          </cell>
          <cell r="BP227" t="str">
            <v>MS|G|NACIONAL|Sim|Positiva</v>
          </cell>
          <cell r="BR227" t="str">
            <v>TBD</v>
          </cell>
          <cell r="BS227">
            <v>0</v>
          </cell>
          <cell r="BT227" t="str">
            <v>#ERRO</v>
          </cell>
          <cell r="BU227">
            <v>5.7</v>
          </cell>
          <cell r="BV227" t="str">
            <v>-</v>
          </cell>
          <cell r="BX227" t="str">
            <v>TBD</v>
          </cell>
          <cell r="BY227" t="str">
            <v>TBD</v>
          </cell>
          <cell r="BZ227" t="str">
            <v>TBD</v>
          </cell>
          <cell r="CA227" t="str">
            <v>#ERRO</v>
          </cell>
          <cell r="CB227" t="str">
            <v>-</v>
          </cell>
        </row>
        <row r="228">
          <cell r="A228" t="str">
            <v>21892-0</v>
          </cell>
          <cell r="B228" t="str">
            <v>21892-0</v>
          </cell>
          <cell r="C228">
            <v>7896714290843</v>
          </cell>
          <cell r="D228" t="str">
            <v>RIVAROXABANA 20MG CPRV BL X 30</v>
          </cell>
          <cell r="E228" t="str">
            <v>SIM</v>
          </cell>
          <cell r="F228" t="str">
            <v>G</v>
          </cell>
          <cell r="G228" t="str">
            <v>FOCO GENERICOS</v>
          </cell>
          <cell r="H228">
            <v>5</v>
          </cell>
          <cell r="I228">
            <v>60</v>
          </cell>
          <cell r="J228" t="str">
            <v>Monitorado</v>
          </cell>
          <cell r="K228" t="str">
            <v>Positiva</v>
          </cell>
          <cell r="L228" t="str">
            <v>Sim</v>
          </cell>
          <cell r="M228" t="str">
            <v>NACIONAL</v>
          </cell>
          <cell r="N228" t="str">
            <v>NACIONAL</v>
          </cell>
          <cell r="P228">
            <v>149.88</v>
          </cell>
          <cell r="Q228">
            <v>149.88</v>
          </cell>
          <cell r="R228">
            <v>151.71</v>
          </cell>
          <cell r="S228">
            <v>153.58000000000001</v>
          </cell>
          <cell r="T228">
            <v>141.36000000000001</v>
          </cell>
          <cell r="U228">
            <v>150.79</v>
          </cell>
          <cell r="V228">
            <v>150.79</v>
          </cell>
          <cell r="W228">
            <v>151.71</v>
          </cell>
          <cell r="X228">
            <v>155.5</v>
          </cell>
          <cell r="Y228">
            <v>153.58000000000001</v>
          </cell>
          <cell r="Z228">
            <v>155.5</v>
          </cell>
          <cell r="AA228">
            <v>157.47</v>
          </cell>
          <cell r="AB228">
            <v>159.49</v>
          </cell>
          <cell r="AC228">
            <v>154.53</v>
          </cell>
          <cell r="AD228">
            <v>154.53</v>
          </cell>
          <cell r="AE228">
            <v>156.47999999999999</v>
          </cell>
          <cell r="AF228">
            <v>0</v>
          </cell>
          <cell r="AG228">
            <v>207.2</v>
          </cell>
          <cell r="AH228">
            <v>207.2</v>
          </cell>
          <cell r="AI228">
            <v>209.73</v>
          </cell>
          <cell r="AJ228">
            <v>212.32</v>
          </cell>
          <cell r="AK228">
            <v>195.42</v>
          </cell>
          <cell r="AL228">
            <v>208.46</v>
          </cell>
          <cell r="AM228">
            <v>208.46</v>
          </cell>
          <cell r="AN228">
            <v>209.73</v>
          </cell>
          <cell r="AO228">
            <v>214.97</v>
          </cell>
          <cell r="AP228">
            <v>212.32</v>
          </cell>
          <cell r="AQ228">
            <v>214.97</v>
          </cell>
          <cell r="AR228">
            <v>217.69</v>
          </cell>
          <cell r="AS228">
            <v>220.49</v>
          </cell>
          <cell r="AT228">
            <v>213.63</v>
          </cell>
          <cell r="AU228">
            <v>213.63</v>
          </cell>
          <cell r="AV228">
            <v>216.32</v>
          </cell>
          <cell r="AX228">
            <v>149.88</v>
          </cell>
          <cell r="AY228">
            <v>207.2</v>
          </cell>
          <cell r="AZ228">
            <v>0.17</v>
          </cell>
          <cell r="BA228">
            <v>0.12</v>
          </cell>
          <cell r="BB228" t="str">
            <v>#_NA</v>
          </cell>
          <cell r="BC228" t="str">
            <v>#_NA</v>
          </cell>
          <cell r="BD228" t="str">
            <v>#_NA</v>
          </cell>
          <cell r="BE228" t="str">
            <v>-</v>
          </cell>
          <cell r="BF228" t="str">
            <v>-</v>
          </cell>
          <cell r="BG228">
            <v>5.6820000000000002E-2</v>
          </cell>
          <cell r="BH228">
            <v>0.92769999999999997</v>
          </cell>
          <cell r="BI228">
            <v>10.220000000000001</v>
          </cell>
          <cell r="BJ228" t="str">
            <v>-</v>
          </cell>
          <cell r="BK228">
            <v>0.93259999999999998</v>
          </cell>
          <cell r="BL228">
            <v>9.5299999999999994</v>
          </cell>
          <cell r="BM228" t="str">
            <v>-</v>
          </cell>
          <cell r="BN228" t="str">
            <v>SIM</v>
          </cell>
          <cell r="BO228" t="str">
            <v>NÃO</v>
          </cell>
          <cell r="BP228" t="str">
            <v>MS|G|NACIONAL|Sim|Positiva</v>
          </cell>
          <cell r="BR228" t="str">
            <v>TBD</v>
          </cell>
          <cell r="BS228">
            <v>0</v>
          </cell>
          <cell r="BT228" t="str">
            <v>#ERRO</v>
          </cell>
          <cell r="BU228">
            <v>9.5299999999999994</v>
          </cell>
          <cell r="BV228" t="str">
            <v>-</v>
          </cell>
          <cell r="BX228" t="str">
            <v>TBD</v>
          </cell>
          <cell r="BY228" t="str">
            <v>TBD</v>
          </cell>
          <cell r="BZ228" t="str">
            <v>TBD</v>
          </cell>
          <cell r="CA228" t="str">
            <v>#ERRO</v>
          </cell>
          <cell r="CB228" t="str">
            <v>-</v>
          </cell>
        </row>
        <row r="229">
          <cell r="A229" t="str">
            <v>21887-0</v>
          </cell>
          <cell r="B229" t="str">
            <v>21887-0</v>
          </cell>
          <cell r="C229">
            <v>7896714290799</v>
          </cell>
          <cell r="D229" t="str">
            <v>RIVAROXABANA CPRV 10MG BL CTX10</v>
          </cell>
          <cell r="E229" t="str">
            <v>SIM</v>
          </cell>
          <cell r="F229" t="str">
            <v>G</v>
          </cell>
          <cell r="G229" t="str">
            <v>FOCO GENERICOS</v>
          </cell>
          <cell r="H229">
            <v>5</v>
          </cell>
          <cell r="I229">
            <v>60</v>
          </cell>
          <cell r="J229" t="str">
            <v>Monitorado</v>
          </cell>
          <cell r="K229" t="str">
            <v>Positiva</v>
          </cell>
          <cell r="L229" t="str">
            <v>Sim</v>
          </cell>
          <cell r="M229" t="str">
            <v>NACIONAL</v>
          </cell>
          <cell r="N229" t="str">
            <v>NACIONAL</v>
          </cell>
          <cell r="P229">
            <v>53.54</v>
          </cell>
          <cell r="Q229">
            <v>53.54</v>
          </cell>
          <cell r="R229">
            <v>54.2</v>
          </cell>
          <cell r="S229">
            <v>54.86</v>
          </cell>
          <cell r="T229">
            <v>50.5</v>
          </cell>
          <cell r="U229">
            <v>53.87</v>
          </cell>
          <cell r="V229">
            <v>53.87</v>
          </cell>
          <cell r="W229">
            <v>54.2</v>
          </cell>
          <cell r="X229">
            <v>55.55</v>
          </cell>
          <cell r="Y229">
            <v>54.86</v>
          </cell>
          <cell r="Z229">
            <v>55.55</v>
          </cell>
          <cell r="AA229">
            <v>56.25</v>
          </cell>
          <cell r="AB229">
            <v>56.97</v>
          </cell>
          <cell r="AC229">
            <v>55.2</v>
          </cell>
          <cell r="AD229">
            <v>55.2</v>
          </cell>
          <cell r="AE229">
            <v>55.9</v>
          </cell>
          <cell r="AF229">
            <v>0</v>
          </cell>
          <cell r="AG229">
            <v>74.02</v>
          </cell>
          <cell r="AH229">
            <v>74.02</v>
          </cell>
          <cell r="AI229">
            <v>74.930000000000007</v>
          </cell>
          <cell r="AJ229">
            <v>75.84</v>
          </cell>
          <cell r="AK229">
            <v>69.81</v>
          </cell>
          <cell r="AL229">
            <v>74.47</v>
          </cell>
          <cell r="AM229">
            <v>74.47</v>
          </cell>
          <cell r="AN229">
            <v>74.930000000000007</v>
          </cell>
          <cell r="AO229">
            <v>76.790000000000006</v>
          </cell>
          <cell r="AP229">
            <v>75.84</v>
          </cell>
          <cell r="AQ229">
            <v>76.790000000000006</v>
          </cell>
          <cell r="AR229">
            <v>77.760000000000005</v>
          </cell>
          <cell r="AS229">
            <v>78.760000000000005</v>
          </cell>
          <cell r="AT229">
            <v>76.31</v>
          </cell>
          <cell r="AU229">
            <v>76.31</v>
          </cell>
          <cell r="AV229">
            <v>77.28</v>
          </cell>
          <cell r="AX229">
            <v>53.54</v>
          </cell>
          <cell r="AY229">
            <v>74.02</v>
          </cell>
          <cell r="AZ229">
            <v>0.17</v>
          </cell>
          <cell r="BA229">
            <v>0.12</v>
          </cell>
          <cell r="BB229" t="str">
            <v>#_NA</v>
          </cell>
          <cell r="BC229" t="str">
            <v>#_NA</v>
          </cell>
          <cell r="BD229" t="str">
            <v>#_NA</v>
          </cell>
          <cell r="BE229" t="str">
            <v>-</v>
          </cell>
          <cell r="BF229" t="str">
            <v>-</v>
          </cell>
          <cell r="BG229">
            <v>5.6820000000000002E-2</v>
          </cell>
          <cell r="BH229">
            <v>0.87609999999999999</v>
          </cell>
          <cell r="BI229">
            <v>6.26</v>
          </cell>
          <cell r="BJ229" t="str">
            <v>-</v>
          </cell>
          <cell r="BK229">
            <v>0.88460000000000005</v>
          </cell>
          <cell r="BL229">
            <v>5.83</v>
          </cell>
          <cell r="BM229" t="str">
            <v>-</v>
          </cell>
          <cell r="BN229" t="str">
            <v>SIM</v>
          </cell>
          <cell r="BO229" t="str">
            <v>NÃO</v>
          </cell>
          <cell r="BP229" t="str">
            <v>MS|G|NACIONAL|Sim|Positiva</v>
          </cell>
          <cell r="BR229" t="str">
            <v>TBD</v>
          </cell>
          <cell r="BS229">
            <v>0</v>
          </cell>
          <cell r="BT229" t="str">
            <v>#ERRO</v>
          </cell>
          <cell r="BU229">
            <v>5.83</v>
          </cell>
          <cell r="BV229" t="str">
            <v>-</v>
          </cell>
          <cell r="BX229" t="str">
            <v>TBD</v>
          </cell>
          <cell r="BY229" t="str">
            <v>TBD</v>
          </cell>
          <cell r="BZ229" t="str">
            <v>TBD</v>
          </cell>
          <cell r="CA229" t="str">
            <v>#ERRO</v>
          </cell>
          <cell r="CB229" t="str">
            <v>-</v>
          </cell>
        </row>
        <row r="230">
          <cell r="A230" t="str">
            <v>13197-0</v>
          </cell>
          <cell r="B230" t="str">
            <v>13197-0</v>
          </cell>
          <cell r="C230">
            <v>7896622304427</v>
          </cell>
          <cell r="D230" t="str">
            <v>SENARETI 29MG COMP REV CT BL 2X10 LP</v>
          </cell>
          <cell r="E230" t="str">
            <v>SIM</v>
          </cell>
          <cell r="F230" t="str">
            <v>S</v>
          </cell>
          <cell r="G230" t="str">
            <v>LINHA</v>
          </cell>
          <cell r="H230">
            <v>5</v>
          </cell>
          <cell r="I230">
            <v>54</v>
          </cell>
          <cell r="J230" t="str">
            <v>Liberado</v>
          </cell>
          <cell r="K230" t="str">
            <v>Negativa</v>
          </cell>
          <cell r="L230" t="str">
            <v>Sim</v>
          </cell>
          <cell r="M230" t="str">
            <v>NACIONAL</v>
          </cell>
          <cell r="N230" t="str">
            <v>NACIONAL</v>
          </cell>
          <cell r="P230">
            <v>35.04</v>
          </cell>
          <cell r="Q230">
            <v>40.25</v>
          </cell>
          <cell r="R230">
            <v>40.81</v>
          </cell>
          <cell r="S230">
            <v>41.4</v>
          </cell>
          <cell r="T230">
            <v>37.64</v>
          </cell>
          <cell r="U230">
            <v>40.53</v>
          </cell>
          <cell r="V230">
            <v>35.25</v>
          </cell>
          <cell r="W230">
            <v>35.46</v>
          </cell>
          <cell r="X230">
            <v>42</v>
          </cell>
          <cell r="Y230">
            <v>35.9</v>
          </cell>
          <cell r="Z230">
            <v>36.35</v>
          </cell>
          <cell r="AA230">
            <v>42.61</v>
          </cell>
          <cell r="AB230">
            <v>43.25</v>
          </cell>
          <cell r="AC230">
            <v>41.69</v>
          </cell>
          <cell r="AD230">
            <v>36.119999999999997</v>
          </cell>
          <cell r="AE230">
            <v>42.3</v>
          </cell>
          <cell r="AF230">
            <v>0</v>
          </cell>
          <cell r="AG230">
            <v>48.44</v>
          </cell>
          <cell r="AH230">
            <v>53.65</v>
          </cell>
          <cell r="AI230">
            <v>54.37</v>
          </cell>
          <cell r="AJ230">
            <v>55.13</v>
          </cell>
          <cell r="AK230">
            <v>50.28</v>
          </cell>
          <cell r="AL230">
            <v>54.01</v>
          </cell>
          <cell r="AM230">
            <v>48.73</v>
          </cell>
          <cell r="AN230">
            <v>49.02</v>
          </cell>
          <cell r="AO230">
            <v>55.9</v>
          </cell>
          <cell r="AP230">
            <v>49.63</v>
          </cell>
          <cell r="AQ230">
            <v>50.25</v>
          </cell>
          <cell r="AR230">
            <v>56.69</v>
          </cell>
          <cell r="AS230">
            <v>57.51</v>
          </cell>
          <cell r="AT230">
            <v>55.5</v>
          </cell>
          <cell r="AU230">
            <v>49.93</v>
          </cell>
          <cell r="AV230">
            <v>56.29</v>
          </cell>
          <cell r="AX230">
            <v>40.25</v>
          </cell>
          <cell r="AY230">
            <v>53.65</v>
          </cell>
          <cell r="AZ230">
            <v>0.17</v>
          </cell>
          <cell r="BA230">
            <v>0.12</v>
          </cell>
          <cell r="BB230" t="str">
            <v>#_NA</v>
          </cell>
          <cell r="BC230" t="str">
            <v>#_NA</v>
          </cell>
          <cell r="BD230" t="str">
            <v>#_NA</v>
          </cell>
          <cell r="BE230" t="str">
            <v>-</v>
          </cell>
          <cell r="BF230" t="str">
            <v>-</v>
          </cell>
          <cell r="BG230">
            <v>5.6820000000000002E-2</v>
          </cell>
          <cell r="BH230">
            <v>0.51459999999999995</v>
          </cell>
          <cell r="BI230">
            <v>18.43</v>
          </cell>
          <cell r="BJ230" t="str">
            <v>-</v>
          </cell>
          <cell r="BK230">
            <v>0.60009999999999997</v>
          </cell>
          <cell r="BL230">
            <v>15.18</v>
          </cell>
          <cell r="BM230" t="str">
            <v>-</v>
          </cell>
          <cell r="BN230" t="str">
            <v>NÃO</v>
          </cell>
          <cell r="BO230" t="str">
            <v>NÃO</v>
          </cell>
          <cell r="BP230" t="str">
            <v>MS|S|NACIONAL|Sim|Negativa</v>
          </cell>
          <cell r="BR230" t="str">
            <v>TBD</v>
          </cell>
          <cell r="BS230">
            <v>0</v>
          </cell>
          <cell r="BT230" t="str">
            <v>#ERRO</v>
          </cell>
          <cell r="BU230">
            <v>15.18</v>
          </cell>
          <cell r="BV230" t="str">
            <v>-</v>
          </cell>
          <cell r="BX230" t="str">
            <v>TBD</v>
          </cell>
          <cell r="BY230" t="str">
            <v>TBD</v>
          </cell>
          <cell r="BZ230" t="str">
            <v>TBD</v>
          </cell>
          <cell r="CA230" t="str">
            <v>#ERRO</v>
          </cell>
          <cell r="CB230" t="str">
            <v>-</v>
          </cell>
        </row>
        <row r="231">
          <cell r="A231" t="str">
            <v>13198-0</v>
          </cell>
          <cell r="B231" t="str">
            <v>13198-0</v>
          </cell>
          <cell r="C231">
            <v>7896622304090</v>
          </cell>
          <cell r="D231" t="str">
            <v>SENARETI 9MG/G GELEIA OR CT FR 1X150G LP</v>
          </cell>
          <cell r="E231" t="str">
            <v>SIM</v>
          </cell>
          <cell r="F231" t="str">
            <v>S</v>
          </cell>
          <cell r="G231" t="str">
            <v>LINHA</v>
          </cell>
          <cell r="H231">
            <v>5</v>
          </cell>
          <cell r="I231">
            <v>30</v>
          </cell>
          <cell r="J231" t="str">
            <v>Liberado</v>
          </cell>
          <cell r="K231" t="str">
            <v>Negativa</v>
          </cell>
          <cell r="L231" t="str">
            <v>Sim</v>
          </cell>
          <cell r="M231" t="str">
            <v>NACIONAL</v>
          </cell>
          <cell r="N231" t="str">
            <v>NACIONAL</v>
          </cell>
          <cell r="P231">
            <v>45.77</v>
          </cell>
          <cell r="Q231">
            <v>52.58</v>
          </cell>
          <cell r="R231">
            <v>53.32</v>
          </cell>
          <cell r="S231">
            <v>54.08</v>
          </cell>
          <cell r="T231">
            <v>49.17</v>
          </cell>
          <cell r="U231">
            <v>52.95</v>
          </cell>
          <cell r="V231">
            <v>46.05</v>
          </cell>
          <cell r="W231">
            <v>46.33</v>
          </cell>
          <cell r="X231">
            <v>54.86</v>
          </cell>
          <cell r="Y231">
            <v>46.9</v>
          </cell>
          <cell r="Z231">
            <v>47.49</v>
          </cell>
          <cell r="AA231">
            <v>55.67</v>
          </cell>
          <cell r="AB231">
            <v>56.5</v>
          </cell>
          <cell r="AC231">
            <v>54.47</v>
          </cell>
          <cell r="AD231">
            <v>47.19</v>
          </cell>
          <cell r="AE231">
            <v>55.26</v>
          </cell>
          <cell r="AF231">
            <v>0</v>
          </cell>
          <cell r="AG231">
            <v>63.27</v>
          </cell>
          <cell r="AH231">
            <v>70.09</v>
          </cell>
          <cell r="AI231">
            <v>71.040000000000006</v>
          </cell>
          <cell r="AJ231">
            <v>72.02</v>
          </cell>
          <cell r="AK231">
            <v>65.680000000000007</v>
          </cell>
          <cell r="AL231">
            <v>70.56</v>
          </cell>
          <cell r="AM231">
            <v>63.66</v>
          </cell>
          <cell r="AN231">
            <v>64.05</v>
          </cell>
          <cell r="AO231">
            <v>73.02</v>
          </cell>
          <cell r="AP231">
            <v>64.84</v>
          </cell>
          <cell r="AQ231">
            <v>65.650000000000006</v>
          </cell>
          <cell r="AR231">
            <v>74.06</v>
          </cell>
          <cell r="AS231">
            <v>75.13</v>
          </cell>
          <cell r="AT231">
            <v>72.52</v>
          </cell>
          <cell r="AU231">
            <v>65.239999999999995</v>
          </cell>
          <cell r="AV231">
            <v>73.53</v>
          </cell>
          <cell r="AX231">
            <v>52.58</v>
          </cell>
          <cell r="AY231">
            <v>70.09</v>
          </cell>
          <cell r="AZ231">
            <v>0.17</v>
          </cell>
          <cell r="BA231">
            <v>0.12</v>
          </cell>
          <cell r="BB231" t="str">
            <v>#_NA</v>
          </cell>
          <cell r="BC231" t="str">
            <v>#_NA</v>
          </cell>
          <cell r="BD231" t="str">
            <v>#_NA</v>
          </cell>
          <cell r="BE231" t="str">
            <v>-</v>
          </cell>
          <cell r="BF231" t="str">
            <v>-</v>
          </cell>
          <cell r="BG231">
            <v>5.6820000000000002E-2</v>
          </cell>
          <cell r="BH231">
            <v>0.23549999999999999</v>
          </cell>
          <cell r="BI231">
            <v>37.909999999999997</v>
          </cell>
          <cell r="BJ231" t="str">
            <v>-</v>
          </cell>
          <cell r="BK231">
            <v>0.37</v>
          </cell>
          <cell r="BL231">
            <v>31.24</v>
          </cell>
          <cell r="BM231" t="str">
            <v>-</v>
          </cell>
          <cell r="BN231" t="str">
            <v>NÃO</v>
          </cell>
          <cell r="BO231" t="str">
            <v>NÃO</v>
          </cell>
          <cell r="BP231" t="str">
            <v>MS|S|NACIONAL|Sim|Negativa</v>
          </cell>
          <cell r="BR231" t="str">
            <v>TBD</v>
          </cell>
          <cell r="BS231">
            <v>0</v>
          </cell>
          <cell r="BT231" t="str">
            <v>#ERRO</v>
          </cell>
          <cell r="BU231">
            <v>31.24</v>
          </cell>
          <cell r="BV231" t="str">
            <v>-</v>
          </cell>
          <cell r="BX231" t="str">
            <v>TBD</v>
          </cell>
          <cell r="BY231" t="str">
            <v>TBD</v>
          </cell>
          <cell r="BZ231" t="str">
            <v>TBD</v>
          </cell>
          <cell r="CA231" t="str">
            <v>#ERRO</v>
          </cell>
          <cell r="CB231" t="str">
            <v>-</v>
          </cell>
        </row>
        <row r="232">
          <cell r="A232" t="str">
            <v>13199-0</v>
          </cell>
          <cell r="B232" t="str">
            <v>13199-0</v>
          </cell>
          <cell r="C232">
            <v>7896622304106</v>
          </cell>
          <cell r="D232" t="str">
            <v>SENARETI 9MG/G GELEIA OR CT FR 1X250G LP</v>
          </cell>
          <cell r="E232" t="str">
            <v>SIM</v>
          </cell>
          <cell r="F232" t="str">
            <v>S</v>
          </cell>
          <cell r="G232" t="str">
            <v>LINHA</v>
          </cell>
          <cell r="H232">
            <v>5</v>
          </cell>
          <cell r="I232">
            <v>30</v>
          </cell>
          <cell r="J232" t="str">
            <v>Liberado</v>
          </cell>
          <cell r="K232" t="str">
            <v>Negativa</v>
          </cell>
          <cell r="L232" t="str">
            <v>Sim</v>
          </cell>
          <cell r="M232" t="str">
            <v>NACIONAL</v>
          </cell>
          <cell r="N232" t="str">
            <v>NACIONAL</v>
          </cell>
          <cell r="P232">
            <v>65.66</v>
          </cell>
          <cell r="Q232">
            <v>75.430000000000007</v>
          </cell>
          <cell r="R232">
            <v>76.489999999999995</v>
          </cell>
          <cell r="S232">
            <v>77.58</v>
          </cell>
          <cell r="T232">
            <v>70.540000000000006</v>
          </cell>
          <cell r="U232">
            <v>75.959999999999994</v>
          </cell>
          <cell r="V232">
            <v>66.06</v>
          </cell>
          <cell r="W232">
            <v>66.459999999999994</v>
          </cell>
          <cell r="X232">
            <v>78.7</v>
          </cell>
          <cell r="Y232">
            <v>67.28</v>
          </cell>
          <cell r="Z232">
            <v>68.12</v>
          </cell>
          <cell r="AA232">
            <v>79.86</v>
          </cell>
          <cell r="AB232">
            <v>81.05</v>
          </cell>
          <cell r="AC232">
            <v>78.14</v>
          </cell>
          <cell r="AD232">
            <v>67.7</v>
          </cell>
          <cell r="AE232">
            <v>79.28</v>
          </cell>
          <cell r="AF232">
            <v>0</v>
          </cell>
          <cell r="AG232">
            <v>90.77</v>
          </cell>
          <cell r="AH232">
            <v>100.54</v>
          </cell>
          <cell r="AI232">
            <v>101.91</v>
          </cell>
          <cell r="AJ232">
            <v>103.31</v>
          </cell>
          <cell r="AK232">
            <v>94.23</v>
          </cell>
          <cell r="AL232">
            <v>101.23</v>
          </cell>
          <cell r="AM232">
            <v>91.32</v>
          </cell>
          <cell r="AN232">
            <v>91.88</v>
          </cell>
          <cell r="AO232">
            <v>104.75</v>
          </cell>
          <cell r="AP232">
            <v>93.01</v>
          </cell>
          <cell r="AQ232">
            <v>94.17</v>
          </cell>
          <cell r="AR232">
            <v>106.24</v>
          </cell>
          <cell r="AS232">
            <v>107.77</v>
          </cell>
          <cell r="AT232">
            <v>104.03</v>
          </cell>
          <cell r="AU232">
            <v>93.59</v>
          </cell>
          <cell r="AV232">
            <v>105.5</v>
          </cell>
          <cell r="AX232">
            <v>75.430000000000007</v>
          </cell>
          <cell r="AY232">
            <v>100.54</v>
          </cell>
          <cell r="AZ232">
            <v>0.17</v>
          </cell>
          <cell r="BA232">
            <v>0.12</v>
          </cell>
          <cell r="BB232" t="str">
            <v>#_NA</v>
          </cell>
          <cell r="BC232" t="str">
            <v>#_NA</v>
          </cell>
          <cell r="BD232" t="str">
            <v>#_NA</v>
          </cell>
          <cell r="BE232" t="str">
            <v>-</v>
          </cell>
          <cell r="BF232" t="str">
            <v>-</v>
          </cell>
          <cell r="BG232">
            <v>5.6820000000000002E-2</v>
          </cell>
          <cell r="BH232">
            <v>0.1181</v>
          </cell>
          <cell r="BI232">
            <v>62.74</v>
          </cell>
          <cell r="BJ232" t="str">
            <v>-</v>
          </cell>
          <cell r="BK232">
            <v>0.16009999999999999</v>
          </cell>
          <cell r="BL232">
            <v>59.75</v>
          </cell>
          <cell r="BM232" t="str">
            <v>-</v>
          </cell>
          <cell r="BN232" t="str">
            <v>NÃO</v>
          </cell>
          <cell r="BO232" t="str">
            <v>NÃO</v>
          </cell>
          <cell r="BP232" t="str">
            <v>MS|S|NACIONAL|Sim|Negativa</v>
          </cell>
          <cell r="BR232" t="str">
            <v>TBD</v>
          </cell>
          <cell r="BS232">
            <v>0</v>
          </cell>
          <cell r="BT232" t="str">
            <v>#ERRO</v>
          </cell>
          <cell r="BU232">
            <v>59.75</v>
          </cell>
          <cell r="BV232" t="str">
            <v>-</v>
          </cell>
          <cell r="BX232" t="str">
            <v>TBD</v>
          </cell>
          <cell r="BY232" t="str">
            <v>TBD</v>
          </cell>
          <cell r="BZ232" t="str">
            <v>TBD</v>
          </cell>
          <cell r="CA232" t="str">
            <v>#ERRO</v>
          </cell>
          <cell r="CB232" t="str">
            <v>-</v>
          </cell>
        </row>
        <row r="233">
          <cell r="A233" t="str">
            <v>20412-0</v>
          </cell>
          <cell r="B233" t="str">
            <v>20412-0</v>
          </cell>
          <cell r="C233">
            <v>7896714273785</v>
          </cell>
          <cell r="D233" t="str">
            <v>SIMETICONA 125MG CT BL 10 CAP GEL</v>
          </cell>
          <cell r="E233" t="str">
            <v>SIM</v>
          </cell>
          <cell r="F233" t="str">
            <v>G</v>
          </cell>
          <cell r="G233" t="str">
            <v>LINHA</v>
          </cell>
          <cell r="H233">
            <v>5</v>
          </cell>
          <cell r="I233">
            <v>60</v>
          </cell>
          <cell r="J233" t="str">
            <v>Liberado</v>
          </cell>
          <cell r="K233" t="str">
            <v>Negativa</v>
          </cell>
          <cell r="L233" t="str">
            <v>Sim</v>
          </cell>
          <cell r="M233" t="str">
            <v>NACIONAL</v>
          </cell>
          <cell r="N233" t="str">
            <v>NACIONAL</v>
          </cell>
          <cell r="P233">
            <v>15.3</v>
          </cell>
          <cell r="Q233">
            <v>17.57</v>
          </cell>
          <cell r="R233">
            <v>17.82</v>
          </cell>
          <cell r="S233">
            <v>18.07</v>
          </cell>
          <cell r="T233">
            <v>16.43</v>
          </cell>
          <cell r="U233">
            <v>17.690000000000001</v>
          </cell>
          <cell r="V233">
            <v>15.39</v>
          </cell>
          <cell r="W233">
            <v>15.48</v>
          </cell>
          <cell r="X233">
            <v>18.34</v>
          </cell>
          <cell r="Y233">
            <v>15.67</v>
          </cell>
          <cell r="Z233">
            <v>15.87</v>
          </cell>
          <cell r="AA233">
            <v>18.600000000000001</v>
          </cell>
          <cell r="AB233">
            <v>18.88</v>
          </cell>
          <cell r="AC233">
            <v>18.2</v>
          </cell>
          <cell r="AD233">
            <v>15.77</v>
          </cell>
          <cell r="AE233">
            <v>18.47</v>
          </cell>
          <cell r="AF233">
            <v>0</v>
          </cell>
          <cell r="AG233">
            <v>21.15</v>
          </cell>
          <cell r="AH233">
            <v>23.42</v>
          </cell>
          <cell r="AI233">
            <v>23.74</v>
          </cell>
          <cell r="AJ233">
            <v>24.06</v>
          </cell>
          <cell r="AK233">
            <v>21.95</v>
          </cell>
          <cell r="AL233">
            <v>23.57</v>
          </cell>
          <cell r="AM233">
            <v>21.28</v>
          </cell>
          <cell r="AN233">
            <v>21.4</v>
          </cell>
          <cell r="AO233">
            <v>24.41</v>
          </cell>
          <cell r="AP233">
            <v>21.66</v>
          </cell>
          <cell r="AQ233">
            <v>21.94</v>
          </cell>
          <cell r="AR233">
            <v>24.74</v>
          </cell>
          <cell r="AS233">
            <v>25.1</v>
          </cell>
          <cell r="AT233">
            <v>24.23</v>
          </cell>
          <cell r="AU233">
            <v>21.8</v>
          </cell>
          <cell r="AV233">
            <v>24.58</v>
          </cell>
          <cell r="AX233">
            <v>17.57</v>
          </cell>
          <cell r="AY233">
            <v>23.42</v>
          </cell>
          <cell r="AZ233">
            <v>0.17</v>
          </cell>
          <cell r="BA233">
            <v>0.12</v>
          </cell>
          <cell r="BB233" t="str">
            <v>#_NA</v>
          </cell>
          <cell r="BC233" t="str">
            <v>#_NA</v>
          </cell>
          <cell r="BD233" t="str">
            <v>#_NA</v>
          </cell>
          <cell r="BE233" t="str">
            <v>-</v>
          </cell>
          <cell r="BF233" t="str">
            <v>-</v>
          </cell>
          <cell r="BG233">
            <v>5.6820000000000002E-2</v>
          </cell>
          <cell r="BH233">
            <v>0.83689999999999998</v>
          </cell>
          <cell r="BI233">
            <v>2.7</v>
          </cell>
          <cell r="BJ233" t="str">
            <v>-</v>
          </cell>
          <cell r="BK233">
            <v>0.86570000000000003</v>
          </cell>
          <cell r="BL233">
            <v>2.23</v>
          </cell>
          <cell r="BM233" t="str">
            <v>-</v>
          </cell>
          <cell r="BN233" t="str">
            <v>NÃO</v>
          </cell>
          <cell r="BO233" t="str">
            <v>NÃO</v>
          </cell>
          <cell r="BP233" t="str">
            <v>MS|G|NACIONAL|Sim|Negativa</v>
          </cell>
          <cell r="BR233" t="str">
            <v>TBD</v>
          </cell>
          <cell r="BS233">
            <v>0</v>
          </cell>
          <cell r="BT233" t="str">
            <v>#ERRO</v>
          </cell>
          <cell r="BU233">
            <v>2.23</v>
          </cell>
          <cell r="BV233" t="str">
            <v>-</v>
          </cell>
          <cell r="BX233" t="str">
            <v>TBD</v>
          </cell>
          <cell r="BY233" t="str">
            <v>TBD</v>
          </cell>
          <cell r="BZ233" t="str">
            <v>TBD</v>
          </cell>
          <cell r="CA233" t="str">
            <v>#ERRO</v>
          </cell>
          <cell r="CB233" t="str">
            <v>-</v>
          </cell>
        </row>
        <row r="234">
          <cell r="A234" t="str">
            <v>12500-0</v>
          </cell>
          <cell r="B234" t="str">
            <v>12500-0</v>
          </cell>
          <cell r="C234">
            <v>7896714227269</v>
          </cell>
          <cell r="D234" t="str">
            <v>SIMETICONA 40MG COMP CT BL 2X10</v>
          </cell>
          <cell r="E234" t="str">
            <v>SIM</v>
          </cell>
          <cell r="F234" t="str">
            <v>G</v>
          </cell>
          <cell r="G234" t="str">
            <v>LINHA</v>
          </cell>
          <cell r="H234">
            <v>5</v>
          </cell>
          <cell r="I234">
            <v>60</v>
          </cell>
          <cell r="J234" t="str">
            <v>Liberado</v>
          </cell>
          <cell r="K234" t="str">
            <v>Negativa</v>
          </cell>
          <cell r="L234" t="str">
            <v>Sim</v>
          </cell>
          <cell r="M234" t="str">
            <v>NACIONAL</v>
          </cell>
          <cell r="N234" t="str">
            <v>NACIONAL</v>
          </cell>
          <cell r="P234">
            <v>15.43</v>
          </cell>
          <cell r="Q234">
            <v>17.72</v>
          </cell>
          <cell r="R234">
            <v>17.97</v>
          </cell>
          <cell r="S234">
            <v>18.23</v>
          </cell>
          <cell r="T234">
            <v>16.57</v>
          </cell>
          <cell r="U234">
            <v>17.84</v>
          </cell>
          <cell r="V234">
            <v>15.52</v>
          </cell>
          <cell r="W234">
            <v>15.61</v>
          </cell>
          <cell r="X234">
            <v>18.489999999999998</v>
          </cell>
          <cell r="Y234">
            <v>15.81</v>
          </cell>
          <cell r="Z234">
            <v>16</v>
          </cell>
          <cell r="AA234">
            <v>18.760000000000002</v>
          </cell>
          <cell r="AB234">
            <v>19.04</v>
          </cell>
          <cell r="AC234">
            <v>18.36</v>
          </cell>
          <cell r="AD234">
            <v>15.91</v>
          </cell>
          <cell r="AE234">
            <v>18.62</v>
          </cell>
          <cell r="AF234">
            <v>0</v>
          </cell>
          <cell r="AG234">
            <v>21.33</v>
          </cell>
          <cell r="AH234">
            <v>23.62</v>
          </cell>
          <cell r="AI234">
            <v>23.94</v>
          </cell>
          <cell r="AJ234">
            <v>24.28</v>
          </cell>
          <cell r="AK234">
            <v>22.13</v>
          </cell>
          <cell r="AL234">
            <v>23.77</v>
          </cell>
          <cell r="AM234">
            <v>21.46</v>
          </cell>
          <cell r="AN234">
            <v>21.58</v>
          </cell>
          <cell r="AO234">
            <v>24.61</v>
          </cell>
          <cell r="AP234">
            <v>21.86</v>
          </cell>
          <cell r="AQ234">
            <v>22.12</v>
          </cell>
          <cell r="AR234">
            <v>24.96</v>
          </cell>
          <cell r="AS234">
            <v>25.32</v>
          </cell>
          <cell r="AT234">
            <v>24.44</v>
          </cell>
          <cell r="AU234">
            <v>21.99</v>
          </cell>
          <cell r="AV234">
            <v>24.78</v>
          </cell>
          <cell r="AX234">
            <v>17.72</v>
          </cell>
          <cell r="AY234">
            <v>23.62</v>
          </cell>
          <cell r="AZ234">
            <v>0.17</v>
          </cell>
          <cell r="BA234">
            <v>0.12</v>
          </cell>
          <cell r="BB234" t="str">
            <v>#_NA</v>
          </cell>
          <cell r="BC234" t="str">
            <v>#_NA</v>
          </cell>
          <cell r="BD234" t="str">
            <v>#_NA</v>
          </cell>
          <cell r="BE234" t="str">
            <v>-</v>
          </cell>
          <cell r="BF234" t="str">
            <v>-</v>
          </cell>
          <cell r="BG234">
            <v>5.6820000000000002E-2</v>
          </cell>
          <cell r="BH234">
            <v>0.77539999999999998</v>
          </cell>
          <cell r="BI234">
            <v>3.75</v>
          </cell>
          <cell r="BJ234" t="str">
            <v>-</v>
          </cell>
          <cell r="BK234">
            <v>0.81479999999999997</v>
          </cell>
          <cell r="BL234">
            <v>3.09</v>
          </cell>
          <cell r="BM234" t="str">
            <v>-</v>
          </cell>
          <cell r="BN234" t="str">
            <v>NÃO</v>
          </cell>
          <cell r="BO234" t="str">
            <v>NÃO</v>
          </cell>
          <cell r="BP234" t="str">
            <v>MS|G|NACIONAL|Sim|Negativa</v>
          </cell>
          <cell r="BR234" t="str">
            <v>TBD</v>
          </cell>
          <cell r="BS234">
            <v>0</v>
          </cell>
          <cell r="BT234" t="str">
            <v>#ERRO</v>
          </cell>
          <cell r="BU234">
            <v>3.09</v>
          </cell>
          <cell r="BV234" t="str">
            <v>-</v>
          </cell>
          <cell r="BX234" t="str">
            <v>TBD</v>
          </cell>
          <cell r="BY234" t="str">
            <v>TBD</v>
          </cell>
          <cell r="BZ234" t="str">
            <v>TBD</v>
          </cell>
          <cell r="CA234" t="str">
            <v>#ERRO</v>
          </cell>
          <cell r="CB234" t="str">
            <v>-</v>
          </cell>
        </row>
        <row r="235">
          <cell r="A235" t="str">
            <v>13351-0</v>
          </cell>
          <cell r="B235" t="str">
            <v>13351-0</v>
          </cell>
          <cell r="C235">
            <v>7896714217116</v>
          </cell>
          <cell r="D235" t="str">
            <v>SULF NEOMICINA+BACITRACINA POM BG 1X15G</v>
          </cell>
          <cell r="E235" t="str">
            <v>SIM</v>
          </cell>
          <cell r="F235" t="str">
            <v>G</v>
          </cell>
          <cell r="G235" t="str">
            <v>LINHA</v>
          </cell>
          <cell r="H235">
            <v>5</v>
          </cell>
          <cell r="I235">
            <v>100</v>
          </cell>
          <cell r="J235" t="str">
            <v>Liberado</v>
          </cell>
          <cell r="K235" t="str">
            <v>Negativa</v>
          </cell>
          <cell r="L235" t="str">
            <v>Sim</v>
          </cell>
          <cell r="M235" t="str">
            <v>NACIONAL</v>
          </cell>
          <cell r="N235" t="str">
            <v>NACIONAL</v>
          </cell>
          <cell r="P235">
            <v>10.78</v>
          </cell>
          <cell r="Q235">
            <v>12.38</v>
          </cell>
          <cell r="R235">
            <v>12.56</v>
          </cell>
          <cell r="S235">
            <v>12.74</v>
          </cell>
          <cell r="T235">
            <v>11.58</v>
          </cell>
          <cell r="U235">
            <v>12.47</v>
          </cell>
          <cell r="V235">
            <v>10.84</v>
          </cell>
          <cell r="W235">
            <v>10.91</v>
          </cell>
          <cell r="X235">
            <v>12.92</v>
          </cell>
          <cell r="Y235">
            <v>11.04</v>
          </cell>
          <cell r="Z235">
            <v>11.18</v>
          </cell>
          <cell r="AA235">
            <v>13.11</v>
          </cell>
          <cell r="AB235">
            <v>13.3</v>
          </cell>
          <cell r="AC235">
            <v>12.83</v>
          </cell>
          <cell r="AD235">
            <v>11.11</v>
          </cell>
          <cell r="AE235">
            <v>13.01</v>
          </cell>
          <cell r="AF235">
            <v>0</v>
          </cell>
          <cell r="AG235">
            <v>14.9</v>
          </cell>
          <cell r="AH235">
            <v>16.5</v>
          </cell>
          <cell r="AI235">
            <v>16.73</v>
          </cell>
          <cell r="AJ235">
            <v>16.97</v>
          </cell>
          <cell r="AK235">
            <v>15.47</v>
          </cell>
          <cell r="AL235">
            <v>16.62</v>
          </cell>
          <cell r="AM235">
            <v>14.99</v>
          </cell>
          <cell r="AN235">
            <v>15.08</v>
          </cell>
          <cell r="AO235">
            <v>17.2</v>
          </cell>
          <cell r="AP235">
            <v>15.26</v>
          </cell>
          <cell r="AQ235">
            <v>15.46</v>
          </cell>
          <cell r="AR235">
            <v>17.440000000000001</v>
          </cell>
          <cell r="AS235">
            <v>17.68</v>
          </cell>
          <cell r="AT235">
            <v>17.079999999999998</v>
          </cell>
          <cell r="AU235">
            <v>15.36</v>
          </cell>
          <cell r="AV235">
            <v>17.309999999999999</v>
          </cell>
          <cell r="AX235">
            <v>12.38</v>
          </cell>
          <cell r="AY235">
            <v>16.5</v>
          </cell>
          <cell r="AZ235">
            <v>0.17</v>
          </cell>
          <cell r="BA235">
            <v>0.12</v>
          </cell>
          <cell r="BB235" t="str">
            <v>#_NA</v>
          </cell>
          <cell r="BC235" t="str">
            <v>#_NA</v>
          </cell>
          <cell r="BD235" t="str">
            <v>#_NA</v>
          </cell>
          <cell r="BE235" t="str">
            <v>-</v>
          </cell>
          <cell r="BF235" t="str">
            <v>-</v>
          </cell>
          <cell r="BG235">
            <v>5.6820000000000002E-2</v>
          </cell>
          <cell r="BH235">
            <v>0.51719999999999999</v>
          </cell>
          <cell r="BI235">
            <v>5.64</v>
          </cell>
          <cell r="BJ235" t="str">
            <v>-</v>
          </cell>
          <cell r="BK235">
            <v>0.60260000000000002</v>
          </cell>
          <cell r="BL235">
            <v>4.6399999999999997</v>
          </cell>
          <cell r="BM235" t="str">
            <v>-</v>
          </cell>
          <cell r="BN235" t="str">
            <v>NÃO</v>
          </cell>
          <cell r="BO235" t="str">
            <v>NÃO</v>
          </cell>
          <cell r="BP235" t="str">
            <v>MS|G|NACIONAL|Sim|Negativa</v>
          </cell>
          <cell r="BR235" t="str">
            <v>TBD</v>
          </cell>
          <cell r="BS235">
            <v>0</v>
          </cell>
          <cell r="BT235" t="str">
            <v>#ERRO</v>
          </cell>
          <cell r="BU235">
            <v>4.6399999999999997</v>
          </cell>
          <cell r="BV235" t="str">
            <v>-</v>
          </cell>
          <cell r="BX235" t="str">
            <v>TBD</v>
          </cell>
          <cell r="BY235" t="str">
            <v>TBD</v>
          </cell>
          <cell r="BZ235" t="str">
            <v>TBD</v>
          </cell>
          <cell r="CA235" t="str">
            <v>#ERRO</v>
          </cell>
          <cell r="CB235" t="str">
            <v>-</v>
          </cell>
        </row>
        <row r="236">
          <cell r="A236" t="str">
            <v>19507-0</v>
          </cell>
          <cell r="B236" t="str">
            <v>19507-0</v>
          </cell>
          <cell r="C236">
            <v>7896714255934</v>
          </cell>
          <cell r="D236" t="str">
            <v>TADALAFILA 20MG COMP REV CT BL 1X1</v>
          </cell>
          <cell r="E236" t="str">
            <v>SIM</v>
          </cell>
          <cell r="F236" t="str">
            <v>G</v>
          </cell>
          <cell r="G236" t="str">
            <v>PRIORITARIO GENERICOS</v>
          </cell>
          <cell r="H236">
            <v>5</v>
          </cell>
          <cell r="I236">
            <v>60</v>
          </cell>
          <cell r="J236" t="str">
            <v>Monitorado</v>
          </cell>
          <cell r="K236" t="str">
            <v>Positiva</v>
          </cell>
          <cell r="L236" t="str">
            <v>Sim</v>
          </cell>
          <cell r="M236" t="str">
            <v>NACIONAL</v>
          </cell>
          <cell r="N236" t="str">
            <v>NACIONAL</v>
          </cell>
          <cell r="P236">
            <v>15.84</v>
          </cell>
          <cell r="Q236">
            <v>15.84</v>
          </cell>
          <cell r="R236">
            <v>16.04</v>
          </cell>
          <cell r="S236">
            <v>16.23</v>
          </cell>
          <cell r="T236">
            <v>14.94</v>
          </cell>
          <cell r="U236">
            <v>15.94</v>
          </cell>
          <cell r="V236">
            <v>15.94</v>
          </cell>
          <cell r="W236">
            <v>16.04</v>
          </cell>
          <cell r="X236">
            <v>16.440000000000001</v>
          </cell>
          <cell r="Y236">
            <v>16.23</v>
          </cell>
          <cell r="Z236">
            <v>16.440000000000001</v>
          </cell>
          <cell r="AA236">
            <v>16.649999999999999</v>
          </cell>
          <cell r="AB236">
            <v>16.86</v>
          </cell>
          <cell r="AC236">
            <v>16.34</v>
          </cell>
          <cell r="AD236">
            <v>16.34</v>
          </cell>
          <cell r="AE236">
            <v>16.54</v>
          </cell>
          <cell r="AF236">
            <v>0</v>
          </cell>
          <cell r="AG236">
            <v>21.9</v>
          </cell>
          <cell r="AH236">
            <v>21.9</v>
          </cell>
          <cell r="AI236">
            <v>22.17</v>
          </cell>
          <cell r="AJ236">
            <v>22.44</v>
          </cell>
          <cell r="AK236">
            <v>20.65</v>
          </cell>
          <cell r="AL236">
            <v>22.04</v>
          </cell>
          <cell r="AM236">
            <v>22.04</v>
          </cell>
          <cell r="AN236">
            <v>22.17</v>
          </cell>
          <cell r="AO236">
            <v>22.73</v>
          </cell>
          <cell r="AP236">
            <v>22.44</v>
          </cell>
          <cell r="AQ236">
            <v>22.73</v>
          </cell>
          <cell r="AR236">
            <v>23.02</v>
          </cell>
          <cell r="AS236">
            <v>23.31</v>
          </cell>
          <cell r="AT236">
            <v>22.59</v>
          </cell>
          <cell r="AU236">
            <v>22.59</v>
          </cell>
          <cell r="AV236">
            <v>22.87</v>
          </cell>
          <cell r="AX236">
            <v>15.84</v>
          </cell>
          <cell r="AY236">
            <v>21.9</v>
          </cell>
          <cell r="AZ236">
            <v>0.17</v>
          </cell>
          <cell r="BA236">
            <v>0.12</v>
          </cell>
          <cell r="BB236" t="str">
            <v>#_NA</v>
          </cell>
          <cell r="BC236" t="str">
            <v>#_NA</v>
          </cell>
          <cell r="BD236" t="str">
            <v>#_NA</v>
          </cell>
          <cell r="BE236" t="str">
            <v>-</v>
          </cell>
          <cell r="BF236" t="str">
            <v>-</v>
          </cell>
          <cell r="BG236">
            <v>5.6820000000000002E-2</v>
          </cell>
          <cell r="BH236">
            <v>0.91149999999999998</v>
          </cell>
          <cell r="BI236">
            <v>1.32</v>
          </cell>
          <cell r="BJ236" t="str">
            <v>-</v>
          </cell>
          <cell r="BK236">
            <v>0.91569999999999996</v>
          </cell>
          <cell r="BL236">
            <v>1.26</v>
          </cell>
          <cell r="BM236" t="str">
            <v>-</v>
          </cell>
          <cell r="BN236" t="str">
            <v>NÃO</v>
          </cell>
          <cell r="BO236" t="str">
            <v>NÃO</v>
          </cell>
          <cell r="BP236" t="str">
            <v>MS|G|NACIONAL|Sim|Positiva</v>
          </cell>
          <cell r="BR236" t="str">
            <v>TBD</v>
          </cell>
          <cell r="BS236">
            <v>0</v>
          </cell>
          <cell r="BT236" t="str">
            <v>#ERRO</v>
          </cell>
          <cell r="BU236">
            <v>1.26</v>
          </cell>
          <cell r="BV236" t="str">
            <v>-</v>
          </cell>
          <cell r="BX236" t="str">
            <v>TBD</v>
          </cell>
          <cell r="BY236" t="str">
            <v>TBD</v>
          </cell>
          <cell r="BZ236" t="str">
            <v>TBD</v>
          </cell>
          <cell r="CA236" t="str">
            <v>#ERRO</v>
          </cell>
          <cell r="CB236" t="str">
            <v>-</v>
          </cell>
        </row>
        <row r="237">
          <cell r="A237" t="str">
            <v>19508-0</v>
          </cell>
          <cell r="B237" t="str">
            <v>19508-0</v>
          </cell>
          <cell r="C237">
            <v>7896714255897</v>
          </cell>
          <cell r="D237" t="str">
            <v>TADALAFILA 20MG COMP REV CT BL 1X2</v>
          </cell>
          <cell r="E237" t="str">
            <v>SIM</v>
          </cell>
          <cell r="F237" t="str">
            <v>G</v>
          </cell>
          <cell r="G237" t="str">
            <v>PRIORITARIO GENERICOS</v>
          </cell>
          <cell r="H237">
            <v>5</v>
          </cell>
          <cell r="I237">
            <v>60</v>
          </cell>
          <cell r="J237" t="str">
            <v>Monitorado</v>
          </cell>
          <cell r="K237" t="str">
            <v>Positiva</v>
          </cell>
          <cell r="L237" t="str">
            <v>Sim</v>
          </cell>
          <cell r="M237" t="str">
            <v>NACIONAL</v>
          </cell>
          <cell r="N237" t="str">
            <v>NACIONAL</v>
          </cell>
          <cell r="P237">
            <v>21.83</v>
          </cell>
          <cell r="Q237">
            <v>21.83</v>
          </cell>
          <cell r="R237">
            <v>22.1</v>
          </cell>
          <cell r="S237">
            <v>22.37</v>
          </cell>
          <cell r="T237">
            <v>20.59</v>
          </cell>
          <cell r="U237">
            <v>21.96</v>
          </cell>
          <cell r="V237">
            <v>21.96</v>
          </cell>
          <cell r="W237">
            <v>22.1</v>
          </cell>
          <cell r="X237">
            <v>22.65</v>
          </cell>
          <cell r="Y237">
            <v>22.37</v>
          </cell>
          <cell r="Z237">
            <v>22.65</v>
          </cell>
          <cell r="AA237">
            <v>22.94</v>
          </cell>
          <cell r="AB237">
            <v>23.23</v>
          </cell>
          <cell r="AC237">
            <v>22.51</v>
          </cell>
          <cell r="AD237">
            <v>22.51</v>
          </cell>
          <cell r="AE237">
            <v>22.79</v>
          </cell>
          <cell r="AF237">
            <v>0</v>
          </cell>
          <cell r="AG237">
            <v>30.18</v>
          </cell>
          <cell r="AH237">
            <v>30.18</v>
          </cell>
          <cell r="AI237">
            <v>30.55</v>
          </cell>
          <cell r="AJ237">
            <v>30.93</v>
          </cell>
          <cell r="AK237">
            <v>28.46</v>
          </cell>
          <cell r="AL237">
            <v>30.36</v>
          </cell>
          <cell r="AM237">
            <v>30.36</v>
          </cell>
          <cell r="AN237">
            <v>30.55</v>
          </cell>
          <cell r="AO237">
            <v>31.31</v>
          </cell>
          <cell r="AP237">
            <v>30.93</v>
          </cell>
          <cell r="AQ237">
            <v>31.31</v>
          </cell>
          <cell r="AR237">
            <v>31.71</v>
          </cell>
          <cell r="AS237">
            <v>32.11</v>
          </cell>
          <cell r="AT237">
            <v>31.12</v>
          </cell>
          <cell r="AU237">
            <v>31.12</v>
          </cell>
          <cell r="AV237">
            <v>31.51</v>
          </cell>
          <cell r="AX237">
            <v>21.83</v>
          </cell>
          <cell r="AY237">
            <v>30.18</v>
          </cell>
          <cell r="AZ237">
            <v>0.17</v>
          </cell>
          <cell r="BA237">
            <v>0.12</v>
          </cell>
          <cell r="BB237" t="str">
            <v>#_NA</v>
          </cell>
          <cell r="BC237" t="str">
            <v>#_NA</v>
          </cell>
          <cell r="BD237" t="str">
            <v>#_NA</v>
          </cell>
          <cell r="BE237" t="str">
            <v>-</v>
          </cell>
          <cell r="BF237" t="str">
            <v>-</v>
          </cell>
          <cell r="BG237">
            <v>5.6820000000000002E-2</v>
          </cell>
          <cell r="BH237">
            <v>0.9123</v>
          </cell>
          <cell r="BI237">
            <v>1.81</v>
          </cell>
          <cell r="BJ237" t="str">
            <v>-</v>
          </cell>
          <cell r="BK237">
            <v>0.91690000000000005</v>
          </cell>
          <cell r="BL237">
            <v>1.71</v>
          </cell>
          <cell r="BM237" t="str">
            <v>-</v>
          </cell>
          <cell r="BN237" t="str">
            <v>NÃO</v>
          </cell>
          <cell r="BO237" t="str">
            <v>NÃO</v>
          </cell>
          <cell r="BP237" t="str">
            <v>MS|G|NACIONAL|Sim|Positiva</v>
          </cell>
          <cell r="BR237" t="str">
            <v>TBD</v>
          </cell>
          <cell r="BS237">
            <v>0</v>
          </cell>
          <cell r="BT237" t="str">
            <v>#ERRO</v>
          </cell>
          <cell r="BU237">
            <v>1.71</v>
          </cell>
          <cell r="BV237" t="str">
            <v>-</v>
          </cell>
          <cell r="BX237" t="str">
            <v>TBD</v>
          </cell>
          <cell r="BY237" t="str">
            <v>TBD</v>
          </cell>
          <cell r="BZ237" t="str">
            <v>TBD</v>
          </cell>
          <cell r="CA237" t="str">
            <v>#ERRO</v>
          </cell>
          <cell r="CB237" t="str">
            <v>-</v>
          </cell>
        </row>
        <row r="238">
          <cell r="A238" t="str">
            <v>19496-0</v>
          </cell>
          <cell r="B238" t="str">
            <v>19496-0</v>
          </cell>
          <cell r="C238">
            <v>7896714255903</v>
          </cell>
          <cell r="D238" t="str">
            <v>TADALAFILA 20MG COMP REV CT BL 1X4</v>
          </cell>
          <cell r="E238" t="str">
            <v>SIM</v>
          </cell>
          <cell r="F238" t="str">
            <v>G</v>
          </cell>
          <cell r="G238" t="str">
            <v>PRIORITARIO GENERICOS</v>
          </cell>
          <cell r="H238">
            <v>5</v>
          </cell>
          <cell r="I238">
            <v>60</v>
          </cell>
          <cell r="J238" t="str">
            <v>Monitorado</v>
          </cell>
          <cell r="K238" t="str">
            <v>Positiva</v>
          </cell>
          <cell r="L238" t="str">
            <v>Sim</v>
          </cell>
          <cell r="M238" t="str">
            <v>NACIONAL</v>
          </cell>
          <cell r="N238" t="str">
            <v>NACIONAL</v>
          </cell>
          <cell r="P238">
            <v>27.34</v>
          </cell>
          <cell r="Q238">
            <v>27.34</v>
          </cell>
          <cell r="R238">
            <v>27.67</v>
          </cell>
          <cell r="S238">
            <v>28.01</v>
          </cell>
          <cell r="T238">
            <v>25.78</v>
          </cell>
          <cell r="U238">
            <v>27.5</v>
          </cell>
          <cell r="V238">
            <v>27.5</v>
          </cell>
          <cell r="W238">
            <v>27.67</v>
          </cell>
          <cell r="X238">
            <v>28.36</v>
          </cell>
          <cell r="Y238">
            <v>28.01</v>
          </cell>
          <cell r="Z238">
            <v>28.36</v>
          </cell>
          <cell r="AA238">
            <v>28.72</v>
          </cell>
          <cell r="AB238">
            <v>29.09</v>
          </cell>
          <cell r="AC238">
            <v>28.19</v>
          </cell>
          <cell r="AD238">
            <v>28.19</v>
          </cell>
          <cell r="AE238">
            <v>28.54</v>
          </cell>
          <cell r="AF238">
            <v>0</v>
          </cell>
          <cell r="AG238">
            <v>37.799999999999997</v>
          </cell>
          <cell r="AH238">
            <v>37.799999999999997</v>
          </cell>
          <cell r="AI238">
            <v>38.25</v>
          </cell>
          <cell r="AJ238">
            <v>38.72</v>
          </cell>
          <cell r="AK238">
            <v>35.64</v>
          </cell>
          <cell r="AL238">
            <v>38.020000000000003</v>
          </cell>
          <cell r="AM238">
            <v>38.020000000000003</v>
          </cell>
          <cell r="AN238">
            <v>38.25</v>
          </cell>
          <cell r="AO238">
            <v>39.21</v>
          </cell>
          <cell r="AP238">
            <v>38.72</v>
          </cell>
          <cell r="AQ238">
            <v>39.21</v>
          </cell>
          <cell r="AR238">
            <v>39.700000000000003</v>
          </cell>
          <cell r="AS238">
            <v>40.22</v>
          </cell>
          <cell r="AT238">
            <v>38.97</v>
          </cell>
          <cell r="AU238">
            <v>38.97</v>
          </cell>
          <cell r="AV238">
            <v>39.450000000000003</v>
          </cell>
          <cell r="AX238">
            <v>27.34</v>
          </cell>
          <cell r="AY238">
            <v>37.799999999999997</v>
          </cell>
          <cell r="AZ238">
            <v>0.17</v>
          </cell>
          <cell r="BA238">
            <v>0.12</v>
          </cell>
          <cell r="BB238" t="str">
            <v>#_NA</v>
          </cell>
          <cell r="BC238" t="str">
            <v>#_NA</v>
          </cell>
          <cell r="BD238" t="str">
            <v>#_NA</v>
          </cell>
          <cell r="BE238" t="str">
            <v>-</v>
          </cell>
          <cell r="BF238" t="str">
            <v>-</v>
          </cell>
          <cell r="BG238">
            <v>5.6820000000000002E-2</v>
          </cell>
          <cell r="BH238">
            <v>0.86929999999999996</v>
          </cell>
          <cell r="BI238">
            <v>3.37</v>
          </cell>
          <cell r="BJ238" t="str">
            <v>-</v>
          </cell>
          <cell r="BK238">
            <v>0.87549999999999994</v>
          </cell>
          <cell r="BL238">
            <v>3.21</v>
          </cell>
          <cell r="BM238" t="str">
            <v>-</v>
          </cell>
          <cell r="BN238" t="str">
            <v>NÃO</v>
          </cell>
          <cell r="BO238" t="str">
            <v>NÃO</v>
          </cell>
          <cell r="BP238" t="str">
            <v>MS|G|NACIONAL|Sim|Positiva</v>
          </cell>
          <cell r="BR238" t="str">
            <v>TBD</v>
          </cell>
          <cell r="BS238">
            <v>0</v>
          </cell>
          <cell r="BT238" t="str">
            <v>#ERRO</v>
          </cell>
          <cell r="BU238">
            <v>3.21</v>
          </cell>
          <cell r="BV238" t="str">
            <v>-</v>
          </cell>
          <cell r="BX238" t="str">
            <v>TBD</v>
          </cell>
          <cell r="BY238" t="str">
            <v>TBD</v>
          </cell>
          <cell r="BZ238" t="str">
            <v>TBD</v>
          </cell>
          <cell r="CA238" t="str">
            <v>#ERRO</v>
          </cell>
          <cell r="CB238" t="str">
            <v>-</v>
          </cell>
        </row>
        <row r="239">
          <cell r="A239" t="str">
            <v>19497-0</v>
          </cell>
          <cell r="B239" t="str">
            <v>19497-0</v>
          </cell>
          <cell r="C239">
            <v>7896714255941</v>
          </cell>
          <cell r="D239" t="str">
            <v>TADALAFILA 5MG COMP REV CT BL 2X14</v>
          </cell>
          <cell r="E239" t="str">
            <v>SIM</v>
          </cell>
          <cell r="F239" t="str">
            <v>G</v>
          </cell>
          <cell r="G239" t="str">
            <v>PRIORITARIO GENERICOS</v>
          </cell>
          <cell r="H239">
            <v>5</v>
          </cell>
          <cell r="I239">
            <v>60</v>
          </cell>
          <cell r="J239" t="str">
            <v>Monitorado</v>
          </cell>
          <cell r="K239" t="str">
            <v>Positiva</v>
          </cell>
          <cell r="L239" t="str">
            <v>Sim</v>
          </cell>
          <cell r="M239" t="str">
            <v>NACIONAL</v>
          </cell>
          <cell r="N239" t="str">
            <v>NACIONAL</v>
          </cell>
          <cell r="P239">
            <v>68.78</v>
          </cell>
          <cell r="Q239">
            <v>68.78</v>
          </cell>
          <cell r="R239">
            <v>69.62</v>
          </cell>
          <cell r="S239">
            <v>70.48</v>
          </cell>
          <cell r="T239">
            <v>64.88</v>
          </cell>
          <cell r="U239">
            <v>69.2</v>
          </cell>
          <cell r="V239">
            <v>69.2</v>
          </cell>
          <cell r="W239">
            <v>69.62</v>
          </cell>
          <cell r="X239">
            <v>71.36</v>
          </cell>
          <cell r="Y239">
            <v>70.48</v>
          </cell>
          <cell r="Z239">
            <v>71.36</v>
          </cell>
          <cell r="AA239">
            <v>72.27</v>
          </cell>
          <cell r="AB239">
            <v>73.19</v>
          </cell>
          <cell r="AC239">
            <v>70.92</v>
          </cell>
          <cell r="AD239">
            <v>70.92</v>
          </cell>
          <cell r="AE239">
            <v>71.81</v>
          </cell>
          <cell r="AF239">
            <v>0</v>
          </cell>
          <cell r="AG239">
            <v>95.08</v>
          </cell>
          <cell r="AH239">
            <v>95.08</v>
          </cell>
          <cell r="AI239">
            <v>96.25</v>
          </cell>
          <cell r="AJ239">
            <v>97.43</v>
          </cell>
          <cell r="AK239">
            <v>89.69</v>
          </cell>
          <cell r="AL239">
            <v>95.66</v>
          </cell>
          <cell r="AM239">
            <v>95.66</v>
          </cell>
          <cell r="AN239">
            <v>96.25</v>
          </cell>
          <cell r="AO239">
            <v>98.65</v>
          </cell>
          <cell r="AP239">
            <v>97.43</v>
          </cell>
          <cell r="AQ239">
            <v>98.65</v>
          </cell>
          <cell r="AR239">
            <v>99.91</v>
          </cell>
          <cell r="AS239">
            <v>101.18</v>
          </cell>
          <cell r="AT239">
            <v>98.04</v>
          </cell>
          <cell r="AU239">
            <v>98.04</v>
          </cell>
          <cell r="AV239">
            <v>99.27</v>
          </cell>
          <cell r="AX239">
            <v>68.78</v>
          </cell>
          <cell r="AY239">
            <v>95.08</v>
          </cell>
          <cell r="AZ239">
            <v>0.17</v>
          </cell>
          <cell r="BA239">
            <v>0.12</v>
          </cell>
          <cell r="BB239" t="str">
            <v>#_NA</v>
          </cell>
          <cell r="BC239" t="str">
            <v>#_NA</v>
          </cell>
          <cell r="BD239" t="str">
            <v>#_NA</v>
          </cell>
          <cell r="BE239" t="str">
            <v>-</v>
          </cell>
          <cell r="BF239" t="str">
            <v>-</v>
          </cell>
          <cell r="BG239">
            <v>5.6820000000000002E-2</v>
          </cell>
          <cell r="BH239">
            <v>0.91810000000000003</v>
          </cell>
          <cell r="BI239">
            <v>5.31</v>
          </cell>
          <cell r="BJ239" t="str">
            <v>-</v>
          </cell>
          <cell r="BK239">
            <v>0.92220000000000002</v>
          </cell>
          <cell r="BL239">
            <v>5.05</v>
          </cell>
          <cell r="BM239" t="str">
            <v>-</v>
          </cell>
          <cell r="BN239" t="str">
            <v>NÃO</v>
          </cell>
          <cell r="BO239" t="str">
            <v>NÃO</v>
          </cell>
          <cell r="BP239" t="str">
            <v>MS|G|NACIONAL|Sim|Positiva</v>
          </cell>
          <cell r="BR239" t="str">
            <v>TBD</v>
          </cell>
          <cell r="BS239">
            <v>0</v>
          </cell>
          <cell r="BT239" t="str">
            <v>#ERRO</v>
          </cell>
          <cell r="BU239">
            <v>5.05</v>
          </cell>
          <cell r="BV239" t="str">
            <v>-</v>
          </cell>
          <cell r="BX239" t="str">
            <v>TBD</v>
          </cell>
          <cell r="BY239" t="str">
            <v>TBD</v>
          </cell>
          <cell r="BZ239" t="str">
            <v>TBD</v>
          </cell>
          <cell r="CA239" t="str">
            <v>#ERRO</v>
          </cell>
          <cell r="CB239" t="str">
            <v>-</v>
          </cell>
        </row>
        <row r="240">
          <cell r="A240" t="str">
            <v>12509-0</v>
          </cell>
          <cell r="B240" t="str">
            <v>12509-0</v>
          </cell>
          <cell r="C240">
            <v>7896714229843</v>
          </cell>
          <cell r="D240" t="str">
            <v>TART BRIMONIDINA 2MG/ML SOL GTS FR 1X5ML</v>
          </cell>
          <cell r="E240" t="str">
            <v>SIM</v>
          </cell>
          <cell r="F240" t="str">
            <v>G</v>
          </cell>
          <cell r="G240" t="str">
            <v>LINHA</v>
          </cell>
          <cell r="H240">
            <v>5</v>
          </cell>
          <cell r="I240">
            <v>50</v>
          </cell>
          <cell r="J240" t="str">
            <v>Monitorado</v>
          </cell>
          <cell r="K240" t="str">
            <v>Positiva</v>
          </cell>
          <cell r="L240" t="str">
            <v>Sim</v>
          </cell>
          <cell r="M240" t="str">
            <v>NACIONAL</v>
          </cell>
          <cell r="N240" t="str">
            <v>NACIONAL</v>
          </cell>
          <cell r="P240">
            <v>55.52</v>
          </cell>
          <cell r="Q240">
            <v>55.52</v>
          </cell>
          <cell r="R240">
            <v>56.2</v>
          </cell>
          <cell r="S240">
            <v>56.89</v>
          </cell>
          <cell r="T240">
            <v>52.36</v>
          </cell>
          <cell r="U240">
            <v>55.85</v>
          </cell>
          <cell r="V240">
            <v>55.85</v>
          </cell>
          <cell r="W240">
            <v>56.2</v>
          </cell>
          <cell r="X240">
            <v>57.6</v>
          </cell>
          <cell r="Y240">
            <v>56.89</v>
          </cell>
          <cell r="Z240">
            <v>57.6</v>
          </cell>
          <cell r="AA240">
            <v>58.33</v>
          </cell>
          <cell r="AB240">
            <v>59.08</v>
          </cell>
          <cell r="AC240">
            <v>57.24</v>
          </cell>
          <cell r="AD240">
            <v>57.24</v>
          </cell>
          <cell r="AE240">
            <v>57.96</v>
          </cell>
          <cell r="AF240">
            <v>0</v>
          </cell>
          <cell r="AG240">
            <v>76.75</v>
          </cell>
          <cell r="AH240">
            <v>76.75</v>
          </cell>
          <cell r="AI240">
            <v>77.69</v>
          </cell>
          <cell r="AJ240">
            <v>78.650000000000006</v>
          </cell>
          <cell r="AK240">
            <v>72.38</v>
          </cell>
          <cell r="AL240">
            <v>77.209999999999994</v>
          </cell>
          <cell r="AM240">
            <v>77.209999999999994</v>
          </cell>
          <cell r="AN240">
            <v>77.69</v>
          </cell>
          <cell r="AO240">
            <v>79.63</v>
          </cell>
          <cell r="AP240">
            <v>78.650000000000006</v>
          </cell>
          <cell r="AQ240">
            <v>79.63</v>
          </cell>
          <cell r="AR240">
            <v>80.64</v>
          </cell>
          <cell r="AS240">
            <v>81.67</v>
          </cell>
          <cell r="AT240">
            <v>79.13</v>
          </cell>
          <cell r="AU240">
            <v>79.13</v>
          </cell>
          <cell r="AV240">
            <v>80.13</v>
          </cell>
          <cell r="AX240">
            <v>55.52</v>
          </cell>
          <cell r="AY240">
            <v>76.75</v>
          </cell>
          <cell r="AZ240">
            <v>0.17</v>
          </cell>
          <cell r="BA240">
            <v>0.12</v>
          </cell>
          <cell r="BB240" t="str">
            <v>#_NA</v>
          </cell>
          <cell r="BC240" t="str">
            <v>#_NA</v>
          </cell>
          <cell r="BD240" t="str">
            <v>#_NA</v>
          </cell>
          <cell r="BE240" t="str">
            <v>-</v>
          </cell>
          <cell r="BF240" t="str">
            <v>-</v>
          </cell>
          <cell r="BG240">
            <v>5.6820000000000002E-2</v>
          </cell>
          <cell r="BH240">
            <v>0.78969999999999996</v>
          </cell>
          <cell r="BI240">
            <v>11.01</v>
          </cell>
          <cell r="BJ240" t="str">
            <v>-</v>
          </cell>
          <cell r="BK240">
            <v>0.79969999999999997</v>
          </cell>
          <cell r="BL240">
            <v>10.49</v>
          </cell>
          <cell r="BM240" t="str">
            <v>-</v>
          </cell>
          <cell r="BN240" t="str">
            <v>NÃO</v>
          </cell>
          <cell r="BO240" t="str">
            <v>NÃO</v>
          </cell>
          <cell r="BP240" t="str">
            <v>MS|G|NACIONAL|Sim|Positiva</v>
          </cell>
          <cell r="BR240" t="str">
            <v>TBD</v>
          </cell>
          <cell r="BS240">
            <v>0</v>
          </cell>
          <cell r="BT240" t="str">
            <v>#ERRO</v>
          </cell>
          <cell r="BU240">
            <v>10.49</v>
          </cell>
          <cell r="BV240" t="str">
            <v>-</v>
          </cell>
          <cell r="BX240" t="str">
            <v>TBD</v>
          </cell>
          <cell r="BY240" t="str">
            <v>TBD</v>
          </cell>
          <cell r="BZ240" t="str">
            <v>TBD</v>
          </cell>
          <cell r="CA240" t="str">
            <v>#ERRO</v>
          </cell>
          <cell r="CB240" t="str">
            <v>-</v>
          </cell>
        </row>
        <row r="241">
          <cell r="A241" t="str">
            <v>12490-0</v>
          </cell>
          <cell r="B241" t="str">
            <v>12490-0</v>
          </cell>
          <cell r="C241">
            <v>7896714223971</v>
          </cell>
          <cell r="D241" t="str">
            <v>TENOXICAM 20MG COMP REV CT BL 1X10</v>
          </cell>
          <cell r="E241" t="str">
            <v>SIM</v>
          </cell>
          <cell r="F241" t="str">
            <v>G</v>
          </cell>
          <cell r="G241" t="str">
            <v>LINHA</v>
          </cell>
          <cell r="H241">
            <v>5</v>
          </cell>
          <cell r="I241">
            <v>60</v>
          </cell>
          <cell r="J241" t="str">
            <v>Monitorado</v>
          </cell>
          <cell r="K241" t="str">
            <v>Positiva</v>
          </cell>
          <cell r="L241" t="str">
            <v>Sim</v>
          </cell>
          <cell r="M241" t="str">
            <v>NACIONAL</v>
          </cell>
          <cell r="N241" t="str">
            <v>NACIONAL</v>
          </cell>
          <cell r="P241">
            <v>41.89</v>
          </cell>
          <cell r="Q241">
            <v>41.89</v>
          </cell>
          <cell r="R241">
            <v>42.4</v>
          </cell>
          <cell r="S241">
            <v>42.93</v>
          </cell>
          <cell r="T241">
            <v>39.51</v>
          </cell>
          <cell r="U241">
            <v>42.15</v>
          </cell>
          <cell r="V241">
            <v>42.15</v>
          </cell>
          <cell r="W241">
            <v>42.4</v>
          </cell>
          <cell r="X241">
            <v>43.46</v>
          </cell>
          <cell r="Y241">
            <v>42.93</v>
          </cell>
          <cell r="Z241">
            <v>43.46</v>
          </cell>
          <cell r="AA241">
            <v>44.01</v>
          </cell>
          <cell r="AB241">
            <v>44.58</v>
          </cell>
          <cell r="AC241">
            <v>43.19</v>
          </cell>
          <cell r="AD241">
            <v>43.19</v>
          </cell>
          <cell r="AE241">
            <v>43.74</v>
          </cell>
          <cell r="AF241">
            <v>0</v>
          </cell>
          <cell r="AG241">
            <v>57.91</v>
          </cell>
          <cell r="AH241">
            <v>57.91</v>
          </cell>
          <cell r="AI241">
            <v>58.62</v>
          </cell>
          <cell r="AJ241">
            <v>59.35</v>
          </cell>
          <cell r="AK241">
            <v>54.62</v>
          </cell>
          <cell r="AL241">
            <v>58.27</v>
          </cell>
          <cell r="AM241">
            <v>58.27</v>
          </cell>
          <cell r="AN241">
            <v>58.62</v>
          </cell>
          <cell r="AO241">
            <v>60.08</v>
          </cell>
          <cell r="AP241">
            <v>59.35</v>
          </cell>
          <cell r="AQ241">
            <v>60.08</v>
          </cell>
          <cell r="AR241">
            <v>60.84</v>
          </cell>
          <cell r="AS241">
            <v>61.63</v>
          </cell>
          <cell r="AT241">
            <v>59.71</v>
          </cell>
          <cell r="AU241">
            <v>59.71</v>
          </cell>
          <cell r="AV241">
            <v>60.47</v>
          </cell>
          <cell r="AX241">
            <v>41.89</v>
          </cell>
          <cell r="AY241">
            <v>57.91</v>
          </cell>
          <cell r="AZ241">
            <v>0.17</v>
          </cell>
          <cell r="BA241">
            <v>0.12</v>
          </cell>
          <cell r="BB241" t="str">
            <v>#_NA</v>
          </cell>
          <cell r="BC241" t="str">
            <v>#_NA</v>
          </cell>
          <cell r="BD241" t="str">
            <v>#_NA</v>
          </cell>
          <cell r="BE241" t="str">
            <v>-</v>
          </cell>
          <cell r="BF241" t="str">
            <v>-</v>
          </cell>
          <cell r="BG241">
            <v>5.6820000000000002E-2</v>
          </cell>
          <cell r="BH241">
            <v>0.73499999999999999</v>
          </cell>
          <cell r="BI241">
            <v>10.47</v>
          </cell>
          <cell r="BJ241" t="str">
            <v>-</v>
          </cell>
          <cell r="BK241">
            <v>0.74790000000000001</v>
          </cell>
          <cell r="BL241">
            <v>9.9600000000000009</v>
          </cell>
          <cell r="BM241" t="str">
            <v>-</v>
          </cell>
          <cell r="BN241" t="str">
            <v>NÃO</v>
          </cell>
          <cell r="BO241" t="str">
            <v>NÃO</v>
          </cell>
          <cell r="BP241" t="str">
            <v>MS|G|NACIONAL|Sim|Positiva</v>
          </cell>
          <cell r="BR241" t="str">
            <v>TBD</v>
          </cell>
          <cell r="BS241">
            <v>0</v>
          </cell>
          <cell r="BT241" t="str">
            <v>#ERRO</v>
          </cell>
          <cell r="BU241">
            <v>9.9600000000000009</v>
          </cell>
          <cell r="BV241" t="str">
            <v>-</v>
          </cell>
          <cell r="BX241" t="str">
            <v>TBD</v>
          </cell>
          <cell r="BY241" t="str">
            <v>TBD</v>
          </cell>
          <cell r="BZ241" t="str">
            <v>TBD</v>
          </cell>
          <cell r="CA241" t="str">
            <v>#ERRO</v>
          </cell>
          <cell r="CB241" t="str">
            <v>-</v>
          </cell>
        </row>
        <row r="242">
          <cell r="A242" t="str">
            <v>21115-0</v>
          </cell>
          <cell r="B242" t="str">
            <v>21115-0</v>
          </cell>
          <cell r="C242">
            <v>7896714234236</v>
          </cell>
          <cell r="D242" t="str">
            <v>TENSALIV 10MG COMP CT BL 2X15</v>
          </cell>
          <cell r="E242" t="str">
            <v>SIM</v>
          </cell>
          <cell r="F242" t="str">
            <v>S</v>
          </cell>
          <cell r="G242" t="str">
            <v>LINHA</v>
          </cell>
          <cell r="H242">
            <v>5</v>
          </cell>
          <cell r="I242">
            <v>60</v>
          </cell>
          <cell r="J242" t="str">
            <v>Monitorado</v>
          </cell>
          <cell r="K242" t="str">
            <v>Positiva</v>
          </cell>
          <cell r="L242" t="str">
            <v>Sim</v>
          </cell>
          <cell r="M242" t="str">
            <v>NACIONAL</v>
          </cell>
          <cell r="N242" t="str">
            <v>NACIONAL</v>
          </cell>
          <cell r="P242">
            <v>44.1</v>
          </cell>
          <cell r="Q242">
            <v>44.1</v>
          </cell>
          <cell r="R242">
            <v>44.63</v>
          </cell>
          <cell r="S242">
            <v>45.19</v>
          </cell>
          <cell r="T242">
            <v>41.59</v>
          </cell>
          <cell r="U242">
            <v>44.36</v>
          </cell>
          <cell r="V242">
            <v>44.36</v>
          </cell>
          <cell r="W242">
            <v>44.63</v>
          </cell>
          <cell r="X242">
            <v>45.75</v>
          </cell>
          <cell r="Y242">
            <v>45.19</v>
          </cell>
          <cell r="Z242">
            <v>45.75</v>
          </cell>
          <cell r="AA242">
            <v>46.33</v>
          </cell>
          <cell r="AB242">
            <v>46.92</v>
          </cell>
          <cell r="AC242">
            <v>45.47</v>
          </cell>
          <cell r="AD242">
            <v>45.47</v>
          </cell>
          <cell r="AE242">
            <v>46.04</v>
          </cell>
          <cell r="AF242">
            <v>0</v>
          </cell>
          <cell r="AG242">
            <v>60.97</v>
          </cell>
          <cell r="AH242">
            <v>60.97</v>
          </cell>
          <cell r="AI242">
            <v>61.7</v>
          </cell>
          <cell r="AJ242">
            <v>62.47</v>
          </cell>
          <cell r="AK242">
            <v>57.5</v>
          </cell>
          <cell r="AL242">
            <v>61.33</v>
          </cell>
          <cell r="AM242">
            <v>61.33</v>
          </cell>
          <cell r="AN242">
            <v>61.7</v>
          </cell>
          <cell r="AO242">
            <v>63.25</v>
          </cell>
          <cell r="AP242">
            <v>62.47</v>
          </cell>
          <cell r="AQ242">
            <v>63.25</v>
          </cell>
          <cell r="AR242">
            <v>64.05</v>
          </cell>
          <cell r="AS242">
            <v>64.86</v>
          </cell>
          <cell r="AT242">
            <v>62.86</v>
          </cell>
          <cell r="AU242">
            <v>62.86</v>
          </cell>
          <cell r="AV242">
            <v>63.65</v>
          </cell>
          <cell r="AX242">
            <v>44.1</v>
          </cell>
          <cell r="AY242">
            <v>60.97</v>
          </cell>
          <cell r="AZ242">
            <v>0.17</v>
          </cell>
          <cell r="BA242">
            <v>0.12</v>
          </cell>
          <cell r="BB242" t="str">
            <v>#_NA</v>
          </cell>
          <cell r="BC242" t="str">
            <v>#_NA</v>
          </cell>
          <cell r="BD242" t="str">
            <v>#_NA</v>
          </cell>
          <cell r="BE242" t="str">
            <v>-</v>
          </cell>
          <cell r="BF242" t="str">
            <v>-</v>
          </cell>
          <cell r="BG242">
            <v>5.6820000000000002E-2</v>
          </cell>
          <cell r="BH242">
            <v>0.89880000000000004</v>
          </cell>
          <cell r="BI242">
            <v>4.21</v>
          </cell>
          <cell r="BJ242" t="str">
            <v>-</v>
          </cell>
          <cell r="BK242">
            <v>0.90380000000000005</v>
          </cell>
          <cell r="BL242">
            <v>4</v>
          </cell>
          <cell r="BM242" t="str">
            <v>-</v>
          </cell>
          <cell r="BN242" t="str">
            <v>NÃO</v>
          </cell>
          <cell r="BO242" t="str">
            <v>NÃO</v>
          </cell>
          <cell r="BP242" t="str">
            <v>MS|S|NACIONAL|Sim|Positiva</v>
          </cell>
          <cell r="BR242" t="str">
            <v>TBD</v>
          </cell>
          <cell r="BS242">
            <v>0</v>
          </cell>
          <cell r="BT242" t="str">
            <v>#ERRO</v>
          </cell>
          <cell r="BU242">
            <v>4</v>
          </cell>
          <cell r="BV242" t="str">
            <v>-</v>
          </cell>
          <cell r="BX242" t="str">
            <v>TBD</v>
          </cell>
          <cell r="BY242" t="str">
            <v>TBD</v>
          </cell>
          <cell r="BZ242" t="str">
            <v>TBD</v>
          </cell>
          <cell r="CA242" t="str">
            <v>#ERRO</v>
          </cell>
          <cell r="CB242" t="str">
            <v>-</v>
          </cell>
        </row>
        <row r="243">
          <cell r="A243" t="str">
            <v>21114-0</v>
          </cell>
          <cell r="B243" t="str">
            <v>21114-0</v>
          </cell>
          <cell r="C243">
            <v>7896714234212</v>
          </cell>
          <cell r="D243" t="str">
            <v>TENSALIV 5MG COMP CT BL 2X15</v>
          </cell>
          <cell r="E243" t="str">
            <v>SIM</v>
          </cell>
          <cell r="F243" t="str">
            <v>S</v>
          </cell>
          <cell r="G243" t="str">
            <v>LINHA</v>
          </cell>
          <cell r="H243">
            <v>5</v>
          </cell>
          <cell r="I243">
            <v>60</v>
          </cell>
          <cell r="J243" t="str">
            <v>Monitorado</v>
          </cell>
          <cell r="K243" t="str">
            <v>Positiva</v>
          </cell>
          <cell r="L243" t="str">
            <v>Sim</v>
          </cell>
          <cell r="M243" t="str">
            <v>NACIONAL</v>
          </cell>
          <cell r="N243" t="str">
            <v>NACIONAL</v>
          </cell>
          <cell r="P243">
            <v>25.29</v>
          </cell>
          <cell r="Q243">
            <v>25.29</v>
          </cell>
          <cell r="R243">
            <v>25.6</v>
          </cell>
          <cell r="S243">
            <v>25.91</v>
          </cell>
          <cell r="T243">
            <v>23.85</v>
          </cell>
          <cell r="U243">
            <v>25.44</v>
          </cell>
          <cell r="V243">
            <v>25.44</v>
          </cell>
          <cell r="W243">
            <v>25.6</v>
          </cell>
          <cell r="X243">
            <v>26.24</v>
          </cell>
          <cell r="Y243">
            <v>25.91</v>
          </cell>
          <cell r="Z243">
            <v>26.24</v>
          </cell>
          <cell r="AA243">
            <v>26.57</v>
          </cell>
          <cell r="AB243">
            <v>26.91</v>
          </cell>
          <cell r="AC243">
            <v>26.07</v>
          </cell>
          <cell r="AD243">
            <v>26.07</v>
          </cell>
          <cell r="AE243">
            <v>26.4</v>
          </cell>
          <cell r="AF243">
            <v>0</v>
          </cell>
          <cell r="AG243">
            <v>34.96</v>
          </cell>
          <cell r="AH243">
            <v>34.96</v>
          </cell>
          <cell r="AI243">
            <v>35.39</v>
          </cell>
          <cell r="AJ243">
            <v>35.82</v>
          </cell>
          <cell r="AK243">
            <v>32.97</v>
          </cell>
          <cell r="AL243">
            <v>35.17</v>
          </cell>
          <cell r="AM243">
            <v>35.17</v>
          </cell>
          <cell r="AN243">
            <v>35.39</v>
          </cell>
          <cell r="AO243">
            <v>36.28</v>
          </cell>
          <cell r="AP243">
            <v>35.82</v>
          </cell>
          <cell r="AQ243">
            <v>36.28</v>
          </cell>
          <cell r="AR243">
            <v>36.729999999999997</v>
          </cell>
          <cell r="AS243">
            <v>37.200000000000003</v>
          </cell>
          <cell r="AT243">
            <v>36.04</v>
          </cell>
          <cell r="AU243">
            <v>36.04</v>
          </cell>
          <cell r="AV243">
            <v>36.5</v>
          </cell>
          <cell r="AX243">
            <v>25.29</v>
          </cell>
          <cell r="AY243">
            <v>34.96</v>
          </cell>
          <cell r="AZ243">
            <v>0.17</v>
          </cell>
          <cell r="BA243">
            <v>0.12</v>
          </cell>
          <cell r="BB243" t="str">
            <v>#_NA</v>
          </cell>
          <cell r="BC243" t="str">
            <v>#_NA</v>
          </cell>
          <cell r="BD243" t="str">
            <v>#_NA</v>
          </cell>
          <cell r="BE243" t="str">
            <v>-</v>
          </cell>
          <cell r="BF243" t="str">
            <v>-</v>
          </cell>
          <cell r="BG243">
            <v>5.6820000000000002E-2</v>
          </cell>
          <cell r="BH243">
            <v>0.92430000000000001</v>
          </cell>
          <cell r="BI243">
            <v>1.81</v>
          </cell>
          <cell r="BJ243" t="str">
            <v>-</v>
          </cell>
          <cell r="BK243">
            <v>0.92779999999999996</v>
          </cell>
          <cell r="BL243">
            <v>1.72</v>
          </cell>
          <cell r="BM243" t="str">
            <v>-</v>
          </cell>
          <cell r="BN243" t="str">
            <v>SIM</v>
          </cell>
          <cell r="BO243" t="str">
            <v>NÃO</v>
          </cell>
          <cell r="BP243" t="str">
            <v>MS|S|NACIONAL|Sim|Positiva</v>
          </cell>
          <cell r="BR243" t="str">
            <v>TBD</v>
          </cell>
          <cell r="BS243">
            <v>0</v>
          </cell>
          <cell r="BT243" t="str">
            <v>#ERRO</v>
          </cell>
          <cell r="BU243">
            <v>1.72</v>
          </cell>
          <cell r="BV243" t="str">
            <v>-</v>
          </cell>
          <cell r="BX243" t="str">
            <v>TBD</v>
          </cell>
          <cell r="BY243" t="str">
            <v>TBD</v>
          </cell>
          <cell r="BZ243" t="str">
            <v>TBD</v>
          </cell>
          <cell r="CA243" t="str">
            <v>#ERRO</v>
          </cell>
          <cell r="CB243" t="str">
            <v>-</v>
          </cell>
        </row>
        <row r="244">
          <cell r="A244" t="str">
            <v>19564-0</v>
          </cell>
          <cell r="B244" t="str">
            <v>19564-0</v>
          </cell>
          <cell r="C244">
            <v>7896714266558</v>
          </cell>
          <cell r="D244" t="str">
            <v>TIBIAL 2,5MG CT BL 28 COMP</v>
          </cell>
          <cell r="E244" t="str">
            <v>SIM</v>
          </cell>
          <cell r="F244" t="str">
            <v>S</v>
          </cell>
          <cell r="G244" t="str">
            <v>LINHA</v>
          </cell>
          <cell r="H244">
            <v>5</v>
          </cell>
          <cell r="I244">
            <v>60</v>
          </cell>
          <cell r="J244" t="str">
            <v>Monitorado</v>
          </cell>
          <cell r="K244" t="str">
            <v>Positiva</v>
          </cell>
          <cell r="L244" t="str">
            <v>Sim</v>
          </cell>
          <cell r="M244" t="str">
            <v>NACIONAL</v>
          </cell>
          <cell r="N244" t="str">
            <v>NACIONAL</v>
          </cell>
          <cell r="P244">
            <v>82.9</v>
          </cell>
          <cell r="Q244">
            <v>82.9</v>
          </cell>
          <cell r="R244">
            <v>83.91</v>
          </cell>
          <cell r="S244">
            <v>84.95</v>
          </cell>
          <cell r="T244">
            <v>78.19</v>
          </cell>
          <cell r="U244">
            <v>83.41</v>
          </cell>
          <cell r="V244">
            <v>83.41</v>
          </cell>
          <cell r="W244">
            <v>83.91</v>
          </cell>
          <cell r="X244">
            <v>86.01</v>
          </cell>
          <cell r="Y244">
            <v>84.95</v>
          </cell>
          <cell r="Z244">
            <v>86.01</v>
          </cell>
          <cell r="AA244">
            <v>87.1</v>
          </cell>
          <cell r="AB244">
            <v>88.22</v>
          </cell>
          <cell r="AC244">
            <v>85.48</v>
          </cell>
          <cell r="AD244">
            <v>85.48</v>
          </cell>
          <cell r="AE244">
            <v>86.55</v>
          </cell>
          <cell r="AF244">
            <v>0</v>
          </cell>
          <cell r="AG244">
            <v>114.6</v>
          </cell>
          <cell r="AH244">
            <v>114.6</v>
          </cell>
          <cell r="AI244">
            <v>116</v>
          </cell>
          <cell r="AJ244">
            <v>117.44</v>
          </cell>
          <cell r="AK244">
            <v>108.09</v>
          </cell>
          <cell r="AL244">
            <v>115.31</v>
          </cell>
          <cell r="AM244">
            <v>115.31</v>
          </cell>
          <cell r="AN244">
            <v>116</v>
          </cell>
          <cell r="AO244">
            <v>118.9</v>
          </cell>
          <cell r="AP244">
            <v>117.44</v>
          </cell>
          <cell r="AQ244">
            <v>118.9</v>
          </cell>
          <cell r="AR244">
            <v>120.41</v>
          </cell>
          <cell r="AS244">
            <v>121.96</v>
          </cell>
          <cell r="AT244">
            <v>118.17</v>
          </cell>
          <cell r="AU244">
            <v>118.17</v>
          </cell>
          <cell r="AV244">
            <v>119.65</v>
          </cell>
          <cell r="AX244">
            <v>82.9</v>
          </cell>
          <cell r="AY244">
            <v>114.6</v>
          </cell>
          <cell r="AZ244">
            <v>0.17</v>
          </cell>
          <cell r="BA244">
            <v>0.12</v>
          </cell>
          <cell r="BB244" t="str">
            <v>#_NA</v>
          </cell>
          <cell r="BC244" t="str">
            <v>#_NA</v>
          </cell>
          <cell r="BD244" t="str">
            <v>#_NA</v>
          </cell>
          <cell r="BE244" t="str">
            <v>-</v>
          </cell>
          <cell r="BF244" t="str">
            <v>-</v>
          </cell>
          <cell r="BG244">
            <v>5.6820000000000002E-2</v>
          </cell>
          <cell r="BH244">
            <v>0.68479999999999996</v>
          </cell>
          <cell r="BI244">
            <v>24.65</v>
          </cell>
          <cell r="BJ244" t="str">
            <v>-</v>
          </cell>
          <cell r="BK244">
            <v>0.69979999999999998</v>
          </cell>
          <cell r="BL244">
            <v>23.47</v>
          </cell>
          <cell r="BM244" t="str">
            <v>-</v>
          </cell>
          <cell r="BN244" t="str">
            <v>NÃO</v>
          </cell>
          <cell r="BO244" t="str">
            <v>NÃO</v>
          </cell>
          <cell r="BP244" t="str">
            <v>MS|S|NACIONAL|Sim|Positiva</v>
          </cell>
          <cell r="BR244" t="str">
            <v>TBD</v>
          </cell>
          <cell r="BS244">
            <v>0</v>
          </cell>
          <cell r="BT244" t="str">
            <v>#ERRO</v>
          </cell>
          <cell r="BU244">
            <v>23.47</v>
          </cell>
          <cell r="BV244" t="str">
            <v>-</v>
          </cell>
          <cell r="BX244" t="str">
            <v>TBD</v>
          </cell>
          <cell r="BY244" t="str">
            <v>TBD</v>
          </cell>
          <cell r="BZ244" t="str">
            <v>TBD</v>
          </cell>
          <cell r="CA244" t="str">
            <v>#ERRO</v>
          </cell>
          <cell r="CB244" t="str">
            <v>-</v>
          </cell>
        </row>
        <row r="245">
          <cell r="A245" t="str">
            <v>17078-0</v>
          </cell>
          <cell r="B245" t="str">
            <v>17078-0</v>
          </cell>
          <cell r="C245">
            <v>7896714242194</v>
          </cell>
          <cell r="D245" t="str">
            <v>TIBOLONA 2,5 MG COMP CT BL 1X28</v>
          </cell>
          <cell r="E245" t="str">
            <v>SIM</v>
          </cell>
          <cell r="F245" t="str">
            <v>G</v>
          </cell>
          <cell r="G245" t="str">
            <v>LINHA</v>
          </cell>
          <cell r="H245">
            <v>3</v>
          </cell>
          <cell r="I245">
            <v>60</v>
          </cell>
          <cell r="J245" t="str">
            <v>Monitorado</v>
          </cell>
          <cell r="K245" t="str">
            <v>Positiva</v>
          </cell>
          <cell r="L245" t="str">
            <v>Sim</v>
          </cell>
          <cell r="M245" t="str">
            <v>NACIONAL</v>
          </cell>
          <cell r="N245" t="str">
            <v>IMPORTADO</v>
          </cell>
          <cell r="P245">
            <v>56.96</v>
          </cell>
          <cell r="Q245">
            <v>56.96</v>
          </cell>
          <cell r="R245">
            <v>57.66</v>
          </cell>
          <cell r="S245">
            <v>58.37</v>
          </cell>
          <cell r="T245">
            <v>53.73</v>
          </cell>
          <cell r="U245">
            <v>57.31</v>
          </cell>
          <cell r="V245">
            <v>57.31</v>
          </cell>
          <cell r="W245">
            <v>57.66</v>
          </cell>
          <cell r="X245">
            <v>59.1</v>
          </cell>
          <cell r="Y245">
            <v>58.37</v>
          </cell>
          <cell r="Z245">
            <v>59.1</v>
          </cell>
          <cell r="AA245">
            <v>59.85</v>
          </cell>
          <cell r="AB245">
            <v>60.62</v>
          </cell>
          <cell r="AC245">
            <v>58.73</v>
          </cell>
          <cell r="AD245">
            <v>58.73</v>
          </cell>
          <cell r="AE245">
            <v>59.47</v>
          </cell>
          <cell r="AF245">
            <v>0</v>
          </cell>
          <cell r="AG245">
            <v>78.739999999999995</v>
          </cell>
          <cell r="AH245">
            <v>78.739999999999995</v>
          </cell>
          <cell r="AI245">
            <v>79.709999999999994</v>
          </cell>
          <cell r="AJ245">
            <v>80.69</v>
          </cell>
          <cell r="AK245">
            <v>74.28</v>
          </cell>
          <cell r="AL245">
            <v>79.23</v>
          </cell>
          <cell r="AM245">
            <v>79.23</v>
          </cell>
          <cell r="AN245">
            <v>79.709999999999994</v>
          </cell>
          <cell r="AO245">
            <v>81.7</v>
          </cell>
          <cell r="AP245">
            <v>80.69</v>
          </cell>
          <cell r="AQ245">
            <v>81.7</v>
          </cell>
          <cell r="AR245">
            <v>82.74</v>
          </cell>
          <cell r="AS245">
            <v>83.8</v>
          </cell>
          <cell r="AT245">
            <v>81.19</v>
          </cell>
          <cell r="AU245">
            <v>81.19</v>
          </cell>
          <cell r="AV245">
            <v>82.21</v>
          </cell>
          <cell r="AX245">
            <v>56.96</v>
          </cell>
          <cell r="AY245">
            <v>78.739999999999995</v>
          </cell>
          <cell r="AZ245">
            <v>0.17</v>
          </cell>
          <cell r="BA245">
            <v>0.04</v>
          </cell>
          <cell r="BB245" t="str">
            <v>#_NA</v>
          </cell>
          <cell r="BC245" t="str">
            <v>#_NA</v>
          </cell>
          <cell r="BD245" t="str">
            <v>#_NA</v>
          </cell>
          <cell r="BE245" t="str">
            <v>-</v>
          </cell>
          <cell r="BF245" t="str">
            <v>-</v>
          </cell>
          <cell r="BG245">
            <v>0.13542000000000001</v>
          </cell>
          <cell r="BH245">
            <v>0.65329999999999999</v>
          </cell>
          <cell r="BI245">
            <v>17.07</v>
          </cell>
          <cell r="BJ245" t="str">
            <v>-</v>
          </cell>
          <cell r="BK245">
            <v>0.67</v>
          </cell>
          <cell r="BL245">
            <v>16.25</v>
          </cell>
          <cell r="BM245" t="str">
            <v>-</v>
          </cell>
          <cell r="BN245" t="str">
            <v>NÃO</v>
          </cell>
          <cell r="BO245" t="str">
            <v>NÃO</v>
          </cell>
          <cell r="BP245" t="str">
            <v>MS|G|IMPORTADO|Sim|Positiva</v>
          </cell>
          <cell r="BR245" t="str">
            <v>TBD</v>
          </cell>
          <cell r="BS245">
            <v>0</v>
          </cell>
          <cell r="BT245" t="str">
            <v>#ERRO</v>
          </cell>
          <cell r="BU245">
            <v>16.25</v>
          </cell>
          <cell r="BV245" t="str">
            <v>-</v>
          </cell>
          <cell r="BX245" t="str">
            <v>TBD</v>
          </cell>
          <cell r="BY245" t="str">
            <v>TBD</v>
          </cell>
          <cell r="BZ245" t="str">
            <v>TBD</v>
          </cell>
          <cell r="CA245" t="str">
            <v>#ERRO</v>
          </cell>
          <cell r="CB245" t="str">
            <v>-</v>
          </cell>
        </row>
        <row r="246">
          <cell r="A246" t="str">
            <v>12385-0</v>
          </cell>
          <cell r="B246" t="str">
            <v>12385-0</v>
          </cell>
          <cell r="C246">
            <v>7896714225562</v>
          </cell>
          <cell r="D246" t="str">
            <v>TILUGEN 3,54MG/ML XPE FR 1X120ML + CP</v>
          </cell>
          <cell r="E246" t="str">
            <v>SIM</v>
          </cell>
          <cell r="F246" t="str">
            <v>S</v>
          </cell>
          <cell r="G246" t="str">
            <v>Linha</v>
          </cell>
          <cell r="H246">
            <v>5</v>
          </cell>
          <cell r="I246">
            <v>60</v>
          </cell>
          <cell r="J246" t="str">
            <v>Liberado</v>
          </cell>
          <cell r="K246" t="str">
            <v>Negativa</v>
          </cell>
          <cell r="L246" t="str">
            <v>Sim</v>
          </cell>
          <cell r="M246" t="str">
            <v>NACIONAL</v>
          </cell>
          <cell r="N246" t="str">
            <v>NACIONAL</v>
          </cell>
          <cell r="P246">
            <v>27.72</v>
          </cell>
          <cell r="Q246">
            <v>31.84</v>
          </cell>
          <cell r="R246">
            <v>32.29</v>
          </cell>
          <cell r="S246">
            <v>32.75</v>
          </cell>
          <cell r="T246">
            <v>29.78</v>
          </cell>
          <cell r="U246">
            <v>32.07</v>
          </cell>
          <cell r="V246">
            <v>27.89</v>
          </cell>
          <cell r="W246">
            <v>28.06</v>
          </cell>
          <cell r="X246">
            <v>33.229999999999997</v>
          </cell>
          <cell r="Y246">
            <v>28.41</v>
          </cell>
          <cell r="Z246">
            <v>28.76</v>
          </cell>
          <cell r="AA246">
            <v>33.72</v>
          </cell>
          <cell r="AB246">
            <v>34.22</v>
          </cell>
          <cell r="AC246">
            <v>32.99</v>
          </cell>
          <cell r="AD246">
            <v>28.58</v>
          </cell>
          <cell r="AE246">
            <v>33.47</v>
          </cell>
          <cell r="AF246">
            <v>0</v>
          </cell>
          <cell r="AG246">
            <v>38.32</v>
          </cell>
          <cell r="AH246">
            <v>42.44</v>
          </cell>
          <cell r="AI246">
            <v>43.02</v>
          </cell>
          <cell r="AJ246">
            <v>43.61</v>
          </cell>
          <cell r="AK246">
            <v>39.78</v>
          </cell>
          <cell r="AL246">
            <v>42.74</v>
          </cell>
          <cell r="AM246">
            <v>38.56</v>
          </cell>
          <cell r="AN246">
            <v>38.79</v>
          </cell>
          <cell r="AO246">
            <v>44.23</v>
          </cell>
          <cell r="AP246">
            <v>39.28</v>
          </cell>
          <cell r="AQ246">
            <v>39.76</v>
          </cell>
          <cell r="AR246">
            <v>44.86</v>
          </cell>
          <cell r="AS246">
            <v>45.5</v>
          </cell>
          <cell r="AT246">
            <v>43.92</v>
          </cell>
          <cell r="AU246">
            <v>39.51</v>
          </cell>
          <cell r="AV246">
            <v>44.54</v>
          </cell>
          <cell r="AX246">
            <v>31.84</v>
          </cell>
          <cell r="AY246">
            <v>42.44</v>
          </cell>
          <cell r="AZ246">
            <v>0.17</v>
          </cell>
          <cell r="BA246">
            <v>0.12</v>
          </cell>
          <cell r="BB246" t="str">
            <v>#_NA</v>
          </cell>
          <cell r="BC246" t="str">
            <v>#_NA</v>
          </cell>
          <cell r="BD246" t="str">
            <v>#_NA</v>
          </cell>
          <cell r="BE246" t="str">
            <v>-</v>
          </cell>
          <cell r="BF246" t="str">
            <v>-</v>
          </cell>
          <cell r="BG246">
            <v>5.6820000000000002E-2</v>
          </cell>
          <cell r="BH246">
            <v>0.50509999999999999</v>
          </cell>
          <cell r="BI246">
            <v>14.86</v>
          </cell>
          <cell r="BJ246" t="str">
            <v>-</v>
          </cell>
          <cell r="BK246">
            <v>0.59240000000000004</v>
          </cell>
          <cell r="BL246">
            <v>12.24</v>
          </cell>
          <cell r="BM246" t="str">
            <v>-</v>
          </cell>
          <cell r="BN246" t="str">
            <v>SIM</v>
          </cell>
          <cell r="BO246" t="str">
            <v>NÃO</v>
          </cell>
          <cell r="BP246" t="str">
            <v>MS|S|NACIONAL|Sim|Negativa</v>
          </cell>
          <cell r="BR246" t="str">
            <v>TBD</v>
          </cell>
          <cell r="BS246">
            <v>0</v>
          </cell>
          <cell r="BT246" t="str">
            <v>#ERRO</v>
          </cell>
          <cell r="BU246">
            <v>12.24</v>
          </cell>
          <cell r="BV246" t="str">
            <v>-</v>
          </cell>
          <cell r="BX246" t="str">
            <v>TBD</v>
          </cell>
          <cell r="BY246" t="str">
            <v>TBD</v>
          </cell>
          <cell r="BZ246" t="str">
            <v>TBD</v>
          </cell>
          <cell r="CA246" t="str">
            <v>#ERRO</v>
          </cell>
          <cell r="CB246" t="str">
            <v>-</v>
          </cell>
        </row>
        <row r="247">
          <cell r="A247" t="str">
            <v>20758-0</v>
          </cell>
          <cell r="B247" t="str">
            <v>20758-0</v>
          </cell>
          <cell r="C247">
            <v>7897322703794</v>
          </cell>
          <cell r="D247" t="str">
            <v>TINIDAZOL+NIT MICONAZOL CR BG+7APL X40G</v>
          </cell>
          <cell r="E247" t="str">
            <v>SIM</v>
          </cell>
          <cell r="F247" t="str">
            <v>G</v>
          </cell>
          <cell r="G247" t="str">
            <v>LINHA</v>
          </cell>
          <cell r="H247">
            <v>5</v>
          </cell>
          <cell r="I247">
            <v>60</v>
          </cell>
          <cell r="J247" t="str">
            <v>Monitorado</v>
          </cell>
          <cell r="K247" t="str">
            <v>Negativa</v>
          </cell>
          <cell r="L247" t="str">
            <v>Sim</v>
          </cell>
          <cell r="M247" t="str">
            <v>NACIONAL</v>
          </cell>
          <cell r="N247" t="str">
            <v>NACIONAL</v>
          </cell>
          <cell r="P247">
            <v>30.12</v>
          </cell>
          <cell r="Q247">
            <v>34.6</v>
          </cell>
          <cell r="R247">
            <v>35.090000000000003</v>
          </cell>
          <cell r="S247">
            <v>35.590000000000003</v>
          </cell>
          <cell r="T247">
            <v>32.36</v>
          </cell>
          <cell r="U247">
            <v>34.840000000000003</v>
          </cell>
          <cell r="V247">
            <v>30.3</v>
          </cell>
          <cell r="W247">
            <v>30.49</v>
          </cell>
          <cell r="X247">
            <v>36.1</v>
          </cell>
          <cell r="Y247">
            <v>30.86</v>
          </cell>
          <cell r="Z247">
            <v>31.25</v>
          </cell>
          <cell r="AA247">
            <v>36.630000000000003</v>
          </cell>
          <cell r="AB247">
            <v>37.18</v>
          </cell>
          <cell r="AC247">
            <v>35.840000000000003</v>
          </cell>
          <cell r="AD247">
            <v>31.06</v>
          </cell>
          <cell r="AE247">
            <v>36.369999999999997</v>
          </cell>
          <cell r="AF247">
            <v>0</v>
          </cell>
          <cell r="AG247">
            <v>41.64</v>
          </cell>
          <cell r="AH247">
            <v>46.12</v>
          </cell>
          <cell r="AI247">
            <v>46.75</v>
          </cell>
          <cell r="AJ247">
            <v>47.39</v>
          </cell>
          <cell r="AK247">
            <v>43.23</v>
          </cell>
          <cell r="AL247">
            <v>46.43</v>
          </cell>
          <cell r="AM247">
            <v>41.89</v>
          </cell>
          <cell r="AN247">
            <v>42.15</v>
          </cell>
          <cell r="AO247">
            <v>48.05</v>
          </cell>
          <cell r="AP247">
            <v>42.66</v>
          </cell>
          <cell r="AQ247">
            <v>43.2</v>
          </cell>
          <cell r="AR247">
            <v>48.73</v>
          </cell>
          <cell r="AS247">
            <v>49.44</v>
          </cell>
          <cell r="AT247">
            <v>47.72</v>
          </cell>
          <cell r="AU247">
            <v>42.94</v>
          </cell>
          <cell r="AV247">
            <v>48.4</v>
          </cell>
          <cell r="AX247">
            <v>34.6</v>
          </cell>
          <cell r="AY247">
            <v>46.12</v>
          </cell>
          <cell r="AZ247">
            <v>0.17</v>
          </cell>
          <cell r="BA247">
            <v>0.12</v>
          </cell>
          <cell r="BB247" t="str">
            <v>#_NA</v>
          </cell>
          <cell r="BC247" t="str">
            <v>#_NA</v>
          </cell>
          <cell r="BD247" t="str">
            <v>#_NA</v>
          </cell>
          <cell r="BE247" t="str">
            <v>-</v>
          </cell>
          <cell r="BF247" t="str">
            <v>-</v>
          </cell>
          <cell r="BG247">
            <v>5.6820000000000002E-2</v>
          </cell>
          <cell r="BH247">
            <v>0.64780000000000004</v>
          </cell>
          <cell r="BI247">
            <v>11.49</v>
          </cell>
          <cell r="BJ247" t="str">
            <v>-</v>
          </cell>
          <cell r="BK247">
            <v>0.70950000000000002</v>
          </cell>
          <cell r="BL247">
            <v>9.48</v>
          </cell>
          <cell r="BM247" t="str">
            <v>-</v>
          </cell>
          <cell r="BN247" t="str">
            <v>NÃO</v>
          </cell>
          <cell r="BO247" t="str">
            <v>NÃO</v>
          </cell>
          <cell r="BP247" t="str">
            <v>MS|G|NACIONAL|Sim|Negativa</v>
          </cell>
          <cell r="BR247" t="str">
            <v>TBD</v>
          </cell>
          <cell r="BS247">
            <v>0</v>
          </cell>
          <cell r="BT247" t="str">
            <v>#ERRO</v>
          </cell>
          <cell r="BU247">
            <v>9.48</v>
          </cell>
          <cell r="BV247" t="str">
            <v>-</v>
          </cell>
          <cell r="BX247" t="str">
            <v>TBD</v>
          </cell>
          <cell r="BY247" t="str">
            <v>TBD</v>
          </cell>
          <cell r="BZ247" t="str">
            <v>TBD</v>
          </cell>
          <cell r="CA247" t="str">
            <v>#ERRO</v>
          </cell>
          <cell r="CB247" t="str">
            <v>-</v>
          </cell>
        </row>
        <row r="248">
          <cell r="A248" t="str">
            <v>20755-0</v>
          </cell>
          <cell r="B248" t="str">
            <v>20755-0</v>
          </cell>
          <cell r="C248">
            <v>7896714224107</v>
          </cell>
          <cell r="D248" t="str">
            <v>TIOCONAZOL+TINIDAZOL CR BG 35G + 7 APL</v>
          </cell>
          <cell r="E248" t="str">
            <v>SIM</v>
          </cell>
          <cell r="F248" t="str">
            <v>G</v>
          </cell>
          <cell r="G248" t="str">
            <v>LINHA</v>
          </cell>
          <cell r="H248">
            <v>5</v>
          </cell>
          <cell r="I248">
            <v>60</v>
          </cell>
          <cell r="J248" t="str">
            <v>Monitorado</v>
          </cell>
          <cell r="K248" t="str">
            <v>Negativa</v>
          </cell>
          <cell r="L248" t="str">
            <v>Sim</v>
          </cell>
          <cell r="M248" t="str">
            <v>NACIONAL</v>
          </cell>
          <cell r="N248" t="str">
            <v>NACIONAL</v>
          </cell>
          <cell r="P248">
            <v>47.49</v>
          </cell>
          <cell r="Q248">
            <v>54.56</v>
          </cell>
          <cell r="R248">
            <v>55.32</v>
          </cell>
          <cell r="S248">
            <v>56.11</v>
          </cell>
          <cell r="T248">
            <v>51.02</v>
          </cell>
          <cell r="U248">
            <v>54.94</v>
          </cell>
          <cell r="V248">
            <v>47.78</v>
          </cell>
          <cell r="W248">
            <v>48.07</v>
          </cell>
          <cell r="X248">
            <v>56.93</v>
          </cell>
          <cell r="Y248">
            <v>48.67</v>
          </cell>
          <cell r="Z248">
            <v>49.27</v>
          </cell>
          <cell r="AA248">
            <v>57.76</v>
          </cell>
          <cell r="AB248">
            <v>58.62</v>
          </cell>
          <cell r="AC248">
            <v>56.52</v>
          </cell>
          <cell r="AD248">
            <v>48.97</v>
          </cell>
          <cell r="AE248">
            <v>57.34</v>
          </cell>
          <cell r="AF248">
            <v>0</v>
          </cell>
          <cell r="AG248">
            <v>65.650000000000006</v>
          </cell>
          <cell r="AH248">
            <v>72.72</v>
          </cell>
          <cell r="AI248">
            <v>73.7</v>
          </cell>
          <cell r="AJ248">
            <v>74.72</v>
          </cell>
          <cell r="AK248">
            <v>68.150000000000006</v>
          </cell>
          <cell r="AL248">
            <v>73.209999999999994</v>
          </cell>
          <cell r="AM248">
            <v>66.05</v>
          </cell>
          <cell r="AN248">
            <v>66.45</v>
          </cell>
          <cell r="AO248">
            <v>75.78</v>
          </cell>
          <cell r="AP248">
            <v>67.28</v>
          </cell>
          <cell r="AQ248">
            <v>68.11</v>
          </cell>
          <cell r="AR248">
            <v>76.84</v>
          </cell>
          <cell r="AS248">
            <v>77.95</v>
          </cell>
          <cell r="AT248">
            <v>75.25</v>
          </cell>
          <cell r="AU248">
            <v>67.7</v>
          </cell>
          <cell r="AV248">
            <v>76.3</v>
          </cell>
          <cell r="AX248">
            <v>54.56</v>
          </cell>
          <cell r="AY248">
            <v>72.72</v>
          </cell>
          <cell r="AZ248">
            <v>0.17</v>
          </cell>
          <cell r="BA248">
            <v>0.12</v>
          </cell>
          <cell r="BB248" t="str">
            <v>#_NA</v>
          </cell>
          <cell r="BC248" t="str">
            <v>#_NA</v>
          </cell>
          <cell r="BD248" t="str">
            <v>#_NA</v>
          </cell>
          <cell r="BE248" t="str">
            <v>-</v>
          </cell>
          <cell r="BF248" t="str">
            <v>-</v>
          </cell>
          <cell r="BG248">
            <v>5.6820000000000002E-2</v>
          </cell>
          <cell r="BH248">
            <v>0.69410000000000005</v>
          </cell>
          <cell r="BI248">
            <v>15.74</v>
          </cell>
          <cell r="BJ248" t="str">
            <v>-</v>
          </cell>
          <cell r="BK248">
            <v>0.74780000000000002</v>
          </cell>
          <cell r="BL248">
            <v>12.98</v>
          </cell>
          <cell r="BM248" t="str">
            <v>-</v>
          </cell>
          <cell r="BN248" t="str">
            <v>NÃO</v>
          </cell>
          <cell r="BO248" t="str">
            <v>NÃO</v>
          </cell>
          <cell r="BP248" t="str">
            <v>MS|G|NACIONAL|Sim|Negativa</v>
          </cell>
          <cell r="BR248" t="str">
            <v>TBD</v>
          </cell>
          <cell r="BS248">
            <v>0</v>
          </cell>
          <cell r="BT248" t="str">
            <v>#ERRO</v>
          </cell>
          <cell r="BU248">
            <v>12.98</v>
          </cell>
          <cell r="BV248" t="str">
            <v>-</v>
          </cell>
          <cell r="BX248" t="str">
            <v>TBD</v>
          </cell>
          <cell r="BY248" t="str">
            <v>TBD</v>
          </cell>
          <cell r="BZ248" t="str">
            <v>TBD</v>
          </cell>
          <cell r="CA248" t="str">
            <v>#ERRO</v>
          </cell>
          <cell r="CB248" t="str">
            <v>-</v>
          </cell>
        </row>
        <row r="249">
          <cell r="A249" t="str">
            <v>17031-0</v>
          </cell>
          <cell r="B249" t="str">
            <v>17031-0</v>
          </cell>
          <cell r="C249">
            <v>7896714215204</v>
          </cell>
          <cell r="D249" t="str">
            <v>TOBRAMICINA 3MG/ML SOL OFT FR C/ 5ML</v>
          </cell>
          <cell r="E249" t="str">
            <v>SIM</v>
          </cell>
          <cell r="F249" t="str">
            <v>G</v>
          </cell>
          <cell r="G249" t="str">
            <v>LINHA</v>
          </cell>
          <cell r="H249">
            <v>5</v>
          </cell>
          <cell r="I249">
            <v>50</v>
          </cell>
          <cell r="J249" t="str">
            <v>Monitorado</v>
          </cell>
          <cell r="K249" t="str">
            <v>Positiva</v>
          </cell>
          <cell r="L249" t="str">
            <v>Sim</v>
          </cell>
          <cell r="M249" t="str">
            <v>NACIONAL</v>
          </cell>
          <cell r="N249" t="str">
            <v>NACIONAL</v>
          </cell>
          <cell r="P249">
            <v>18.16</v>
          </cell>
          <cell r="Q249">
            <v>18.16</v>
          </cell>
          <cell r="R249">
            <v>18.38</v>
          </cell>
          <cell r="S249">
            <v>18.600000000000001</v>
          </cell>
          <cell r="T249">
            <v>17.13</v>
          </cell>
          <cell r="U249">
            <v>18.27</v>
          </cell>
          <cell r="V249">
            <v>18.27</v>
          </cell>
          <cell r="W249">
            <v>18.38</v>
          </cell>
          <cell r="X249">
            <v>18.84</v>
          </cell>
          <cell r="Y249">
            <v>18.600000000000001</v>
          </cell>
          <cell r="Z249">
            <v>18.84</v>
          </cell>
          <cell r="AA249">
            <v>19.079999999999998</v>
          </cell>
          <cell r="AB249">
            <v>19.32</v>
          </cell>
          <cell r="AC249">
            <v>18.72</v>
          </cell>
          <cell r="AD249">
            <v>18.72</v>
          </cell>
          <cell r="AE249">
            <v>18.96</v>
          </cell>
          <cell r="AF249">
            <v>0</v>
          </cell>
          <cell r="AG249">
            <v>25.11</v>
          </cell>
          <cell r="AH249">
            <v>25.11</v>
          </cell>
          <cell r="AI249">
            <v>25.41</v>
          </cell>
          <cell r="AJ249">
            <v>25.71</v>
          </cell>
          <cell r="AK249">
            <v>23.68</v>
          </cell>
          <cell r="AL249">
            <v>25.26</v>
          </cell>
          <cell r="AM249">
            <v>25.26</v>
          </cell>
          <cell r="AN249">
            <v>25.41</v>
          </cell>
          <cell r="AO249">
            <v>26.05</v>
          </cell>
          <cell r="AP249">
            <v>25.71</v>
          </cell>
          <cell r="AQ249">
            <v>26.05</v>
          </cell>
          <cell r="AR249">
            <v>26.38</v>
          </cell>
          <cell r="AS249">
            <v>26.71</v>
          </cell>
          <cell r="AT249">
            <v>25.88</v>
          </cell>
          <cell r="AU249">
            <v>25.88</v>
          </cell>
          <cell r="AV249">
            <v>26.21</v>
          </cell>
          <cell r="AX249">
            <v>18.16</v>
          </cell>
          <cell r="AY249">
            <v>25.11</v>
          </cell>
          <cell r="AZ249">
            <v>0.17</v>
          </cell>
          <cell r="BA249">
            <v>0.12</v>
          </cell>
          <cell r="BB249" t="str">
            <v>#_NA</v>
          </cell>
          <cell r="BC249" t="str">
            <v>#_NA</v>
          </cell>
          <cell r="BD249" t="str">
            <v>#_NA</v>
          </cell>
          <cell r="BE249" t="str">
            <v>-</v>
          </cell>
          <cell r="BF249" t="str">
            <v>-</v>
          </cell>
          <cell r="BG249">
            <v>5.6820000000000002E-2</v>
          </cell>
          <cell r="BH249">
            <v>0.6764</v>
          </cell>
          <cell r="BI249">
            <v>5.54</v>
          </cell>
          <cell r="BJ249" t="str">
            <v>-</v>
          </cell>
          <cell r="BK249">
            <v>0.69240000000000002</v>
          </cell>
          <cell r="BL249">
            <v>5.27</v>
          </cell>
          <cell r="BM249" t="str">
            <v>-</v>
          </cell>
          <cell r="BN249" t="str">
            <v>NÃO</v>
          </cell>
          <cell r="BO249" t="str">
            <v>NÃO</v>
          </cell>
          <cell r="BP249" t="str">
            <v>MS|G|NACIONAL|Sim|Positiva</v>
          </cell>
          <cell r="BR249" t="str">
            <v>TBD</v>
          </cell>
          <cell r="BS249">
            <v>0</v>
          </cell>
          <cell r="BT249" t="str">
            <v>#ERRO</v>
          </cell>
          <cell r="BU249">
            <v>5.27</v>
          </cell>
          <cell r="BV249" t="str">
            <v>-</v>
          </cell>
          <cell r="BX249" t="str">
            <v>TBD</v>
          </cell>
          <cell r="BY249" t="str">
            <v>TBD</v>
          </cell>
          <cell r="BZ249" t="str">
            <v>TBD</v>
          </cell>
          <cell r="CA249" t="str">
            <v>#ERRO</v>
          </cell>
          <cell r="CB249" t="str">
            <v>-</v>
          </cell>
        </row>
        <row r="250">
          <cell r="A250" t="str">
            <v>19209-0</v>
          </cell>
          <cell r="B250" t="str">
            <v>19209-0</v>
          </cell>
          <cell r="C250">
            <v>7896714257600</v>
          </cell>
          <cell r="D250" t="str">
            <v>TORSILAX COMP CT BL 20X10 FC</v>
          </cell>
          <cell r="E250" t="str">
            <v>SIM</v>
          </cell>
          <cell r="F250" t="str">
            <v>S</v>
          </cell>
          <cell r="G250" t="str">
            <v>PRIORITARIO SMART</v>
          </cell>
          <cell r="H250">
            <v>5</v>
          </cell>
          <cell r="I250">
            <v>12</v>
          </cell>
          <cell r="J250" t="str">
            <v>Monitorado</v>
          </cell>
          <cell r="K250" t="str">
            <v>Negativa</v>
          </cell>
          <cell r="L250" t="str">
            <v>Sim</v>
          </cell>
          <cell r="M250" t="str">
            <v>NACIONAL</v>
          </cell>
          <cell r="N250" t="str">
            <v>NACIONAL</v>
          </cell>
          <cell r="P250">
            <v>196.37</v>
          </cell>
          <cell r="Q250">
            <v>225.58</v>
          </cell>
          <cell r="R250">
            <v>228.76</v>
          </cell>
          <cell r="S250">
            <v>232.02</v>
          </cell>
          <cell r="T250">
            <v>210.95</v>
          </cell>
          <cell r="U250">
            <v>227.16</v>
          </cell>
          <cell r="V250">
            <v>197.56</v>
          </cell>
          <cell r="W250">
            <v>198.77</v>
          </cell>
          <cell r="X250">
            <v>235.38</v>
          </cell>
          <cell r="Y250">
            <v>201.22</v>
          </cell>
          <cell r="Z250">
            <v>203.74</v>
          </cell>
          <cell r="AA250">
            <v>238.84</v>
          </cell>
          <cell r="AB250">
            <v>242.4</v>
          </cell>
          <cell r="AC250">
            <v>233.69</v>
          </cell>
          <cell r="AD250">
            <v>202.47</v>
          </cell>
          <cell r="AE250">
            <v>237.09</v>
          </cell>
          <cell r="AF250">
            <v>0</v>
          </cell>
          <cell r="AG250">
            <v>271.47000000000003</v>
          </cell>
          <cell r="AH250">
            <v>300.68</v>
          </cell>
          <cell r="AI250">
            <v>304.77999999999997</v>
          </cell>
          <cell r="AJ250">
            <v>308.98</v>
          </cell>
          <cell r="AK250">
            <v>281.77999999999997</v>
          </cell>
          <cell r="AL250">
            <v>302.72000000000003</v>
          </cell>
          <cell r="AM250">
            <v>273.12</v>
          </cell>
          <cell r="AN250">
            <v>274.79000000000002</v>
          </cell>
          <cell r="AO250">
            <v>313.3</v>
          </cell>
          <cell r="AP250">
            <v>278.17</v>
          </cell>
          <cell r="AQ250">
            <v>281.66000000000003</v>
          </cell>
          <cell r="AR250">
            <v>317.75</v>
          </cell>
          <cell r="AS250">
            <v>322.32</v>
          </cell>
          <cell r="AT250">
            <v>311.12</v>
          </cell>
          <cell r="AU250">
            <v>279.89999999999998</v>
          </cell>
          <cell r="AV250">
            <v>315.5</v>
          </cell>
          <cell r="AX250">
            <v>225.58</v>
          </cell>
          <cell r="AY250">
            <v>300.68</v>
          </cell>
          <cell r="AZ250">
            <v>0.17</v>
          </cell>
          <cell r="BA250">
            <v>0.12</v>
          </cell>
          <cell r="BB250" t="str">
            <v>#_NA</v>
          </cell>
          <cell r="BC250" t="str">
            <v>#_NA</v>
          </cell>
          <cell r="BD250" t="str">
            <v>#_NA</v>
          </cell>
          <cell r="BE250" t="str">
            <v>-</v>
          </cell>
          <cell r="BF250" t="str">
            <v>-</v>
          </cell>
          <cell r="BG250">
            <v>5.6820000000000002E-2</v>
          </cell>
          <cell r="BH250">
            <v>0.75749999999999995</v>
          </cell>
          <cell r="BI250">
            <v>51.59</v>
          </cell>
          <cell r="BJ250" t="str">
            <v>-</v>
          </cell>
          <cell r="BK250">
            <v>0.77990000000000004</v>
          </cell>
          <cell r="BL250">
            <v>46.83</v>
          </cell>
          <cell r="BM250" t="str">
            <v>-</v>
          </cell>
          <cell r="BN250" t="str">
            <v>SIM</v>
          </cell>
          <cell r="BO250" t="str">
            <v>NÃO</v>
          </cell>
          <cell r="BP250" t="str">
            <v>MS|S|NACIONAL|Sim|Negativa</v>
          </cell>
          <cell r="BR250" t="str">
            <v>TBD</v>
          </cell>
          <cell r="BS250">
            <v>0</v>
          </cell>
          <cell r="BT250" t="str">
            <v>#ERRO</v>
          </cell>
          <cell r="BU250">
            <v>46.83</v>
          </cell>
          <cell r="BV250" t="str">
            <v>-</v>
          </cell>
          <cell r="BX250" t="str">
            <v>TBD</v>
          </cell>
          <cell r="BY250" t="str">
            <v>TBD</v>
          </cell>
          <cell r="BZ250" t="str">
            <v>TBD</v>
          </cell>
          <cell r="CA250" t="str">
            <v>#ERRO</v>
          </cell>
          <cell r="CB250" t="str">
            <v>-</v>
          </cell>
        </row>
        <row r="251">
          <cell r="A251" t="str">
            <v>18766-0</v>
          </cell>
          <cell r="B251" t="str">
            <v>18766-0</v>
          </cell>
          <cell r="C251">
            <v>7896714257594</v>
          </cell>
          <cell r="D251" t="str">
            <v>TORSILAX COMP CT BL 25X4 FC</v>
          </cell>
          <cell r="E251" t="str">
            <v>SIM</v>
          </cell>
          <cell r="F251" t="str">
            <v>S</v>
          </cell>
          <cell r="G251" t="str">
            <v>PRIORITARIO SMART</v>
          </cell>
          <cell r="H251">
            <v>5</v>
          </cell>
          <cell r="I251">
            <v>12</v>
          </cell>
          <cell r="J251" t="str">
            <v>Monitorado</v>
          </cell>
          <cell r="K251" t="str">
            <v>Negativa</v>
          </cell>
          <cell r="L251" t="str">
            <v>Sim</v>
          </cell>
          <cell r="M251" t="str">
            <v>NACIONAL</v>
          </cell>
          <cell r="N251" t="str">
            <v>NACIONAL</v>
          </cell>
          <cell r="P251">
            <v>102.84</v>
          </cell>
          <cell r="Q251">
            <v>118.14</v>
          </cell>
          <cell r="R251">
            <v>119.8</v>
          </cell>
          <cell r="S251">
            <v>121.51</v>
          </cell>
          <cell r="T251">
            <v>110.47</v>
          </cell>
          <cell r="U251">
            <v>118.96</v>
          </cell>
          <cell r="V251">
            <v>103.46</v>
          </cell>
          <cell r="W251">
            <v>104.09</v>
          </cell>
          <cell r="X251">
            <v>123.27</v>
          </cell>
          <cell r="Y251">
            <v>105.38</v>
          </cell>
          <cell r="Z251">
            <v>106.7</v>
          </cell>
          <cell r="AA251">
            <v>125.08</v>
          </cell>
          <cell r="AB251">
            <v>126.94</v>
          </cell>
          <cell r="AC251">
            <v>122.38</v>
          </cell>
          <cell r="AD251">
            <v>106.03</v>
          </cell>
          <cell r="AE251">
            <v>124.16</v>
          </cell>
          <cell r="AF251">
            <v>0</v>
          </cell>
          <cell r="AG251">
            <v>142.16999999999999</v>
          </cell>
          <cell r="AH251">
            <v>157.47</v>
          </cell>
          <cell r="AI251">
            <v>159.61000000000001</v>
          </cell>
          <cell r="AJ251">
            <v>161.81</v>
          </cell>
          <cell r="AK251">
            <v>147.56</v>
          </cell>
          <cell r="AL251">
            <v>158.53</v>
          </cell>
          <cell r="AM251">
            <v>143.03</v>
          </cell>
          <cell r="AN251">
            <v>143.9</v>
          </cell>
          <cell r="AO251">
            <v>164.08</v>
          </cell>
          <cell r="AP251">
            <v>145.68</v>
          </cell>
          <cell r="AQ251">
            <v>147.51</v>
          </cell>
          <cell r="AR251">
            <v>166.4</v>
          </cell>
          <cell r="AS251">
            <v>168.79</v>
          </cell>
          <cell r="AT251">
            <v>162.93</v>
          </cell>
          <cell r="AU251">
            <v>146.58000000000001</v>
          </cell>
          <cell r="AV251">
            <v>165.22</v>
          </cell>
          <cell r="AX251">
            <v>118.14</v>
          </cell>
          <cell r="AY251">
            <v>157.47</v>
          </cell>
          <cell r="AZ251">
            <v>0.17</v>
          </cell>
          <cell r="BA251">
            <v>0.12</v>
          </cell>
          <cell r="BB251" t="str">
            <v>#_NA</v>
          </cell>
          <cell r="BC251" t="str">
            <v>#_NA</v>
          </cell>
          <cell r="BD251" t="str">
            <v>#_NA</v>
          </cell>
          <cell r="BE251" t="str">
            <v>-</v>
          </cell>
          <cell r="BF251" t="str">
            <v>-</v>
          </cell>
          <cell r="BG251">
            <v>5.6820000000000002E-2</v>
          </cell>
          <cell r="BH251">
            <v>0.74509999999999998</v>
          </cell>
          <cell r="BI251">
            <v>28.4</v>
          </cell>
          <cell r="BJ251" t="str">
            <v>-</v>
          </cell>
          <cell r="BK251">
            <v>0.75739999999999996</v>
          </cell>
          <cell r="BL251">
            <v>27.03</v>
          </cell>
          <cell r="BM251" t="str">
            <v>-</v>
          </cell>
          <cell r="BN251" t="str">
            <v>SIM</v>
          </cell>
          <cell r="BO251" t="str">
            <v>NÃO</v>
          </cell>
          <cell r="BP251" t="str">
            <v>MS|S|NACIONAL|Sim|Negativa</v>
          </cell>
          <cell r="BR251" t="str">
            <v>TBD</v>
          </cell>
          <cell r="BS251">
            <v>0</v>
          </cell>
          <cell r="BT251" t="str">
            <v>#ERRO</v>
          </cell>
          <cell r="BU251">
            <v>27.03</v>
          </cell>
          <cell r="BV251" t="str">
            <v>-</v>
          </cell>
          <cell r="BX251" t="str">
            <v>TBD</v>
          </cell>
          <cell r="BY251" t="str">
            <v>TBD</v>
          </cell>
          <cell r="BZ251" t="str">
            <v>TBD</v>
          </cell>
          <cell r="CA251" t="str">
            <v>#ERRO</v>
          </cell>
          <cell r="CB251" t="str">
            <v>-</v>
          </cell>
        </row>
        <row r="252">
          <cell r="A252" t="str">
            <v>13795-0</v>
          </cell>
          <cell r="B252" t="str">
            <v>13795-0</v>
          </cell>
          <cell r="C252">
            <v>7896714218267</v>
          </cell>
          <cell r="D252" t="str">
            <v>TORSILAX COMP CT BL 2X6</v>
          </cell>
          <cell r="E252" t="str">
            <v>SIM</v>
          </cell>
          <cell r="F252" t="str">
            <v>S</v>
          </cell>
          <cell r="G252" t="str">
            <v>PRIORITARIO SMART</v>
          </cell>
          <cell r="H252">
            <v>5</v>
          </cell>
          <cell r="I252">
            <v>60</v>
          </cell>
          <cell r="J252" t="str">
            <v>Monitorado</v>
          </cell>
          <cell r="K252" t="str">
            <v>Negativa</v>
          </cell>
          <cell r="L252" t="str">
            <v>Sim</v>
          </cell>
          <cell r="M252" t="str">
            <v>NACIONAL</v>
          </cell>
          <cell r="N252" t="str">
            <v>NACIONAL</v>
          </cell>
          <cell r="P252">
            <v>11.22</v>
          </cell>
          <cell r="Q252">
            <v>12.89</v>
          </cell>
          <cell r="R252">
            <v>13.07</v>
          </cell>
          <cell r="S252">
            <v>13.26</v>
          </cell>
          <cell r="T252">
            <v>12.05</v>
          </cell>
          <cell r="U252">
            <v>12.98</v>
          </cell>
          <cell r="V252">
            <v>11.29</v>
          </cell>
          <cell r="W252">
            <v>11.36</v>
          </cell>
          <cell r="X252">
            <v>13.45</v>
          </cell>
          <cell r="Y252">
            <v>11.5</v>
          </cell>
          <cell r="Z252">
            <v>11.64</v>
          </cell>
          <cell r="AA252">
            <v>13.65</v>
          </cell>
          <cell r="AB252">
            <v>13.85</v>
          </cell>
          <cell r="AC252">
            <v>13.35</v>
          </cell>
          <cell r="AD252">
            <v>11.57</v>
          </cell>
          <cell r="AE252">
            <v>13.55</v>
          </cell>
          <cell r="AF252">
            <v>0</v>
          </cell>
          <cell r="AG252">
            <v>15.51</v>
          </cell>
          <cell r="AH252">
            <v>17.18</v>
          </cell>
          <cell r="AI252">
            <v>17.41</v>
          </cell>
          <cell r="AJ252">
            <v>17.66</v>
          </cell>
          <cell r="AK252">
            <v>16.100000000000001</v>
          </cell>
          <cell r="AL252">
            <v>17.3</v>
          </cell>
          <cell r="AM252">
            <v>15.61</v>
          </cell>
          <cell r="AN252">
            <v>15.7</v>
          </cell>
          <cell r="AO252">
            <v>17.899999999999999</v>
          </cell>
          <cell r="AP252">
            <v>15.9</v>
          </cell>
          <cell r="AQ252">
            <v>16.09</v>
          </cell>
          <cell r="AR252">
            <v>18.16</v>
          </cell>
          <cell r="AS252">
            <v>18.420000000000002</v>
          </cell>
          <cell r="AT252">
            <v>17.77</v>
          </cell>
          <cell r="AU252">
            <v>15.99</v>
          </cell>
          <cell r="AV252">
            <v>18.03</v>
          </cell>
          <cell r="AX252">
            <v>12.89</v>
          </cell>
          <cell r="AY252">
            <v>17.18</v>
          </cell>
          <cell r="AZ252">
            <v>0.17</v>
          </cell>
          <cell r="BA252">
            <v>0.12</v>
          </cell>
          <cell r="BB252" t="str">
            <v>#_NA</v>
          </cell>
          <cell r="BC252" t="str">
            <v>#_NA</v>
          </cell>
          <cell r="BD252" t="str">
            <v>#_NA</v>
          </cell>
          <cell r="BE252" t="str">
            <v>-</v>
          </cell>
          <cell r="BF252" t="str">
            <v>-</v>
          </cell>
          <cell r="BG252">
            <v>5.6820000000000002E-2</v>
          </cell>
          <cell r="BH252">
            <v>0.69220000000000004</v>
          </cell>
          <cell r="BI252">
            <v>3.74</v>
          </cell>
          <cell r="BJ252" t="str">
            <v>-</v>
          </cell>
          <cell r="BK252">
            <v>0.74670000000000003</v>
          </cell>
          <cell r="BL252">
            <v>3.08</v>
          </cell>
          <cell r="BM252" t="str">
            <v>-</v>
          </cell>
          <cell r="BN252" t="str">
            <v>SIM</v>
          </cell>
          <cell r="BO252" t="str">
            <v>NÃO</v>
          </cell>
          <cell r="BP252" t="str">
            <v>MS|S|NACIONAL|Sim|Negativa</v>
          </cell>
          <cell r="BR252" t="str">
            <v>TBD</v>
          </cell>
          <cell r="BS252">
            <v>0</v>
          </cell>
          <cell r="BT252" t="str">
            <v>#ERRO</v>
          </cell>
          <cell r="BU252">
            <v>3.08</v>
          </cell>
          <cell r="BV252" t="str">
            <v>-</v>
          </cell>
          <cell r="BX252" t="str">
            <v>TBD</v>
          </cell>
          <cell r="BY252" t="str">
            <v>TBD</v>
          </cell>
          <cell r="BZ252" t="str">
            <v>TBD</v>
          </cell>
          <cell r="CA252" t="str">
            <v>#ERRO</v>
          </cell>
          <cell r="CB252" t="str">
            <v>-</v>
          </cell>
        </row>
        <row r="253">
          <cell r="A253" t="str">
            <v>12606-0</v>
          </cell>
          <cell r="B253" t="str">
            <v>12606-0</v>
          </cell>
          <cell r="C253">
            <v>7896714200804</v>
          </cell>
          <cell r="D253" t="str">
            <v>TORSILAX COMP CT BL 3X10</v>
          </cell>
          <cell r="E253" t="str">
            <v>SIM</v>
          </cell>
          <cell r="F253" t="str">
            <v>S</v>
          </cell>
          <cell r="G253" t="str">
            <v>PRIORITARIO SMART</v>
          </cell>
          <cell r="H253">
            <v>5</v>
          </cell>
          <cell r="I253">
            <v>60</v>
          </cell>
          <cell r="J253" t="str">
            <v>Monitorado</v>
          </cell>
          <cell r="K253" t="str">
            <v>Negativa</v>
          </cell>
          <cell r="L253" t="str">
            <v>Sim</v>
          </cell>
          <cell r="M253" t="str">
            <v>NACIONAL</v>
          </cell>
          <cell r="N253" t="str">
            <v>NACIONAL</v>
          </cell>
          <cell r="P253">
            <v>22.53</v>
          </cell>
          <cell r="Q253">
            <v>25.88</v>
          </cell>
          <cell r="R253">
            <v>26.24</v>
          </cell>
          <cell r="S253">
            <v>26.61</v>
          </cell>
          <cell r="T253">
            <v>24.2</v>
          </cell>
          <cell r="U253">
            <v>26.06</v>
          </cell>
          <cell r="V253">
            <v>22.66</v>
          </cell>
          <cell r="W253">
            <v>22.8</v>
          </cell>
          <cell r="X253">
            <v>27</v>
          </cell>
          <cell r="Y253">
            <v>23.08</v>
          </cell>
          <cell r="Z253">
            <v>23.37</v>
          </cell>
          <cell r="AA253">
            <v>27.4</v>
          </cell>
          <cell r="AB253">
            <v>27.8</v>
          </cell>
          <cell r="AC253">
            <v>26.81</v>
          </cell>
          <cell r="AD253">
            <v>23.23</v>
          </cell>
          <cell r="AE253">
            <v>27.2</v>
          </cell>
          <cell r="AF253">
            <v>0</v>
          </cell>
          <cell r="AG253">
            <v>31.15</v>
          </cell>
          <cell r="AH253">
            <v>34.5</v>
          </cell>
          <cell r="AI253">
            <v>34.96</v>
          </cell>
          <cell r="AJ253">
            <v>35.44</v>
          </cell>
          <cell r="AK253">
            <v>32.33</v>
          </cell>
          <cell r="AL253">
            <v>34.729999999999997</v>
          </cell>
          <cell r="AM253">
            <v>31.33</v>
          </cell>
          <cell r="AN253">
            <v>31.52</v>
          </cell>
          <cell r="AO253">
            <v>35.94</v>
          </cell>
          <cell r="AP253">
            <v>31.91</v>
          </cell>
          <cell r="AQ253">
            <v>32.31</v>
          </cell>
          <cell r="AR253">
            <v>36.450000000000003</v>
          </cell>
          <cell r="AS253">
            <v>36.97</v>
          </cell>
          <cell r="AT253">
            <v>35.69</v>
          </cell>
          <cell r="AU253">
            <v>32.11</v>
          </cell>
          <cell r="AV253">
            <v>36.200000000000003</v>
          </cell>
          <cell r="AX253">
            <v>25.88</v>
          </cell>
          <cell r="AY253">
            <v>34.5</v>
          </cell>
          <cell r="AZ253">
            <v>0.17</v>
          </cell>
          <cell r="BA253">
            <v>0.12</v>
          </cell>
          <cell r="BB253" t="str">
            <v>#_NA</v>
          </cell>
          <cell r="BC253" t="str">
            <v>#_NA</v>
          </cell>
          <cell r="BD253" t="str">
            <v>#_NA</v>
          </cell>
          <cell r="BE253" t="str">
            <v>-</v>
          </cell>
          <cell r="BF253" t="str">
            <v>-</v>
          </cell>
          <cell r="BG253">
            <v>5.6820000000000002E-2</v>
          </cell>
          <cell r="BH253">
            <v>0.67959999999999998</v>
          </cell>
          <cell r="BI253">
            <v>7.82</v>
          </cell>
          <cell r="BJ253" t="str">
            <v>-</v>
          </cell>
          <cell r="BK253">
            <v>0.69489999999999996</v>
          </cell>
          <cell r="BL253">
            <v>7.45</v>
          </cell>
          <cell r="BM253" t="str">
            <v>-</v>
          </cell>
          <cell r="BN253" t="str">
            <v>SIM</v>
          </cell>
          <cell r="BO253" t="str">
            <v>NÃO</v>
          </cell>
          <cell r="BP253" t="str">
            <v>MS|S|NACIONAL|Sim|Negativa</v>
          </cell>
          <cell r="BR253" t="str">
            <v>TBD</v>
          </cell>
          <cell r="BS253">
            <v>0</v>
          </cell>
          <cell r="BT253" t="str">
            <v>#ERRO</v>
          </cell>
          <cell r="BU253">
            <v>7.45</v>
          </cell>
          <cell r="BV253" t="str">
            <v>-</v>
          </cell>
          <cell r="BX253" t="str">
            <v>TBD</v>
          </cell>
          <cell r="BY253" t="str">
            <v>TBD</v>
          </cell>
          <cell r="BZ253" t="str">
            <v>TBD</v>
          </cell>
          <cell r="CA253" t="str">
            <v>#ERRO</v>
          </cell>
          <cell r="CB253" t="str">
            <v>-</v>
          </cell>
        </row>
        <row r="254">
          <cell r="A254" t="str">
            <v>12426-0</v>
          </cell>
          <cell r="B254" t="str">
            <v>12426-0</v>
          </cell>
          <cell r="C254">
            <v>7896714205861</v>
          </cell>
          <cell r="D254" t="str">
            <v>VAL BETAMETASONA 1MG/G CR BG ALUM 1X30G</v>
          </cell>
          <cell r="E254" t="str">
            <v>SIM</v>
          </cell>
          <cell r="F254" t="str">
            <v>G</v>
          </cell>
          <cell r="G254" t="str">
            <v>LINHA</v>
          </cell>
          <cell r="H254">
            <v>5</v>
          </cell>
          <cell r="I254">
            <v>100</v>
          </cell>
          <cell r="J254" t="str">
            <v>Monitorado</v>
          </cell>
          <cell r="K254" t="str">
            <v>Negativa</v>
          </cell>
          <cell r="L254" t="str">
            <v>Sim</v>
          </cell>
          <cell r="M254" t="str">
            <v>NACIONAL</v>
          </cell>
          <cell r="N254" t="str">
            <v>NACIONAL</v>
          </cell>
          <cell r="P254">
            <v>19.72</v>
          </cell>
          <cell r="Q254">
            <v>22.65</v>
          </cell>
          <cell r="R254">
            <v>22.97</v>
          </cell>
          <cell r="S254">
            <v>23.3</v>
          </cell>
          <cell r="T254">
            <v>21.18</v>
          </cell>
          <cell r="U254">
            <v>22.81</v>
          </cell>
          <cell r="V254">
            <v>19.84</v>
          </cell>
          <cell r="W254">
            <v>19.96</v>
          </cell>
          <cell r="X254">
            <v>23.63</v>
          </cell>
          <cell r="Y254">
            <v>20.21</v>
          </cell>
          <cell r="Z254">
            <v>20.46</v>
          </cell>
          <cell r="AA254">
            <v>23.98</v>
          </cell>
          <cell r="AB254">
            <v>24.34</v>
          </cell>
          <cell r="AC254">
            <v>23.46</v>
          </cell>
          <cell r="AD254">
            <v>20.329999999999998</v>
          </cell>
          <cell r="AE254">
            <v>23.81</v>
          </cell>
          <cell r="AF254">
            <v>0</v>
          </cell>
          <cell r="AG254">
            <v>27.26</v>
          </cell>
          <cell r="AH254">
            <v>30.19</v>
          </cell>
          <cell r="AI254">
            <v>30.6</v>
          </cell>
          <cell r="AJ254">
            <v>31.03</v>
          </cell>
          <cell r="AK254">
            <v>28.29</v>
          </cell>
          <cell r="AL254">
            <v>30.4</v>
          </cell>
          <cell r="AM254">
            <v>27.43</v>
          </cell>
          <cell r="AN254">
            <v>27.59</v>
          </cell>
          <cell r="AO254">
            <v>31.45</v>
          </cell>
          <cell r="AP254">
            <v>27.94</v>
          </cell>
          <cell r="AQ254">
            <v>28.28</v>
          </cell>
          <cell r="AR254">
            <v>31.9</v>
          </cell>
          <cell r="AS254">
            <v>32.36</v>
          </cell>
          <cell r="AT254">
            <v>31.23</v>
          </cell>
          <cell r="AU254">
            <v>28.11</v>
          </cell>
          <cell r="AV254">
            <v>31.68</v>
          </cell>
          <cell r="AX254">
            <v>22.65</v>
          </cell>
          <cell r="AY254">
            <v>30.19</v>
          </cell>
          <cell r="AZ254">
            <v>0.17</v>
          </cell>
          <cell r="BA254">
            <v>0.12</v>
          </cell>
          <cell r="BB254" t="str">
            <v>#_NA</v>
          </cell>
          <cell r="BC254" t="str">
            <v>#_NA</v>
          </cell>
          <cell r="BD254" t="str">
            <v>#_NA</v>
          </cell>
          <cell r="BE254" t="str">
            <v>-</v>
          </cell>
          <cell r="BF254" t="str">
            <v>-</v>
          </cell>
          <cell r="BG254">
            <v>5.6820000000000002E-2</v>
          </cell>
          <cell r="BH254">
            <v>0.69379999999999997</v>
          </cell>
          <cell r="BI254">
            <v>6.54</v>
          </cell>
          <cell r="BJ254" t="str">
            <v>-</v>
          </cell>
          <cell r="BK254">
            <v>0.74770000000000003</v>
          </cell>
          <cell r="BL254">
            <v>5.39</v>
          </cell>
          <cell r="BM254" t="str">
            <v>-</v>
          </cell>
          <cell r="BN254" t="str">
            <v>NÃO</v>
          </cell>
          <cell r="BO254" t="str">
            <v>NÃO</v>
          </cell>
          <cell r="BP254" t="str">
            <v>MS|G|NACIONAL|Sim|Negativa</v>
          </cell>
          <cell r="BR254" t="str">
            <v>TBD</v>
          </cell>
          <cell r="BS254">
            <v>0</v>
          </cell>
          <cell r="BT254" t="str">
            <v>#ERRO</v>
          </cell>
          <cell r="BU254">
            <v>5.39</v>
          </cell>
          <cell r="BV254" t="str">
            <v>-</v>
          </cell>
          <cell r="BX254" t="str">
            <v>TBD</v>
          </cell>
          <cell r="BY254" t="str">
            <v>TBD</v>
          </cell>
          <cell r="BZ254" t="str">
            <v>TBD</v>
          </cell>
          <cell r="CA254" t="str">
            <v>#ERRO</v>
          </cell>
          <cell r="CB254" t="str">
            <v>-</v>
          </cell>
        </row>
        <row r="255">
          <cell r="A255" t="str">
            <v>12493-0</v>
          </cell>
          <cell r="B255" t="str">
            <v>12493-0</v>
          </cell>
          <cell r="C255">
            <v>7896714224114</v>
          </cell>
          <cell r="D255" t="str">
            <v>VAL BETAMETASONA 1MG/G SOL CAPIL 1X50ML</v>
          </cell>
          <cell r="E255" t="str">
            <v>SIM</v>
          </cell>
          <cell r="F255" t="str">
            <v>G</v>
          </cell>
          <cell r="G255" t="str">
            <v>LINHA</v>
          </cell>
          <cell r="H255">
            <v>5</v>
          </cell>
          <cell r="I255">
            <v>60</v>
          </cell>
          <cell r="J255" t="str">
            <v>Monitorado</v>
          </cell>
          <cell r="K255" t="str">
            <v>Negativa</v>
          </cell>
          <cell r="L255" t="str">
            <v>Sim</v>
          </cell>
          <cell r="M255" t="str">
            <v>NACIONAL</v>
          </cell>
          <cell r="N255" t="str">
            <v>NACIONAL</v>
          </cell>
          <cell r="P255">
            <v>34.49</v>
          </cell>
          <cell r="Q255">
            <v>39.619999999999997</v>
          </cell>
          <cell r="R255">
            <v>40.17</v>
          </cell>
          <cell r="S255">
            <v>40.75</v>
          </cell>
          <cell r="T255">
            <v>37.049999999999997</v>
          </cell>
          <cell r="U255">
            <v>39.89</v>
          </cell>
          <cell r="V255">
            <v>34.700000000000003</v>
          </cell>
          <cell r="W255">
            <v>34.909999999999997</v>
          </cell>
          <cell r="X255">
            <v>41.34</v>
          </cell>
          <cell r="Y255">
            <v>35.340000000000003</v>
          </cell>
          <cell r="Z255">
            <v>35.78</v>
          </cell>
          <cell r="AA255">
            <v>41.95</v>
          </cell>
          <cell r="AB255">
            <v>42.57</v>
          </cell>
          <cell r="AC255">
            <v>41.04</v>
          </cell>
          <cell r="AD255">
            <v>35.56</v>
          </cell>
          <cell r="AE255">
            <v>41.64</v>
          </cell>
          <cell r="AF255">
            <v>0</v>
          </cell>
          <cell r="AG255">
            <v>47.68</v>
          </cell>
          <cell r="AH255">
            <v>52.81</v>
          </cell>
          <cell r="AI255">
            <v>53.52</v>
          </cell>
          <cell r="AJ255">
            <v>54.27</v>
          </cell>
          <cell r="AK255">
            <v>49.49</v>
          </cell>
          <cell r="AL255">
            <v>53.16</v>
          </cell>
          <cell r="AM255">
            <v>47.97</v>
          </cell>
          <cell r="AN255">
            <v>48.26</v>
          </cell>
          <cell r="AO255">
            <v>55.02</v>
          </cell>
          <cell r="AP255">
            <v>48.86</v>
          </cell>
          <cell r="AQ255">
            <v>49.46</v>
          </cell>
          <cell r="AR255">
            <v>55.81</v>
          </cell>
          <cell r="AS255">
            <v>56.6</v>
          </cell>
          <cell r="AT255">
            <v>54.64</v>
          </cell>
          <cell r="AU255">
            <v>49.16</v>
          </cell>
          <cell r="AV255">
            <v>55.41</v>
          </cell>
          <cell r="AX255">
            <v>39.619999999999997</v>
          </cell>
          <cell r="AY255">
            <v>52.81</v>
          </cell>
          <cell r="AZ255">
            <v>0.17</v>
          </cell>
          <cell r="BA255">
            <v>0.12</v>
          </cell>
          <cell r="BB255" t="str">
            <v>#_NA</v>
          </cell>
          <cell r="BC255" t="str">
            <v>#_NA</v>
          </cell>
          <cell r="BD255" t="str">
            <v>#_NA</v>
          </cell>
          <cell r="BE255" t="str">
            <v>-</v>
          </cell>
          <cell r="BF255" t="str">
            <v>-</v>
          </cell>
          <cell r="BG255">
            <v>5.6820000000000002E-2</v>
          </cell>
          <cell r="BH255">
            <v>0.56010000000000004</v>
          </cell>
          <cell r="BI255">
            <v>16.440000000000001</v>
          </cell>
          <cell r="BJ255" t="str">
            <v>-</v>
          </cell>
          <cell r="BK255">
            <v>0.63719999999999999</v>
          </cell>
          <cell r="BL255">
            <v>13.56</v>
          </cell>
          <cell r="BM255" t="str">
            <v>-</v>
          </cell>
          <cell r="BN255" t="str">
            <v>NÃO</v>
          </cell>
          <cell r="BO255" t="str">
            <v>NÃO</v>
          </cell>
          <cell r="BP255" t="str">
            <v>MS|G|NACIONAL|Sim|Negativa</v>
          </cell>
          <cell r="BR255" t="str">
            <v>TBD</v>
          </cell>
          <cell r="BS255">
            <v>0</v>
          </cell>
          <cell r="BT255" t="str">
            <v>#ERRO</v>
          </cell>
          <cell r="BU255">
            <v>13.56</v>
          </cell>
          <cell r="BV255" t="str">
            <v>-</v>
          </cell>
          <cell r="BX255" t="str">
            <v>TBD</v>
          </cell>
          <cell r="BY255" t="str">
            <v>TBD</v>
          </cell>
          <cell r="BZ255" t="str">
            <v>TBD</v>
          </cell>
          <cell r="CA255" t="str">
            <v>#ERRO</v>
          </cell>
          <cell r="CB255" t="str">
            <v>-</v>
          </cell>
        </row>
        <row r="256">
          <cell r="A256" t="str">
            <v>18044-0</v>
          </cell>
          <cell r="B256" t="str">
            <v>18044-0</v>
          </cell>
          <cell r="C256">
            <v>7896714241319</v>
          </cell>
          <cell r="D256" t="str">
            <v>VALSARTANA 160MG COMP REV CT BL 3X10</v>
          </cell>
          <cell r="E256" t="str">
            <v>SIM</v>
          </cell>
          <cell r="F256" t="str">
            <v>G</v>
          </cell>
          <cell r="G256" t="str">
            <v>PRIORITARIO GENERICOS</v>
          </cell>
          <cell r="H256">
            <v>5</v>
          </cell>
          <cell r="I256">
            <v>60</v>
          </cell>
          <cell r="J256" t="str">
            <v>Monitorado</v>
          </cell>
          <cell r="K256" t="str">
            <v>Positiva</v>
          </cell>
          <cell r="L256" t="str">
            <v>Sim</v>
          </cell>
          <cell r="M256" t="str">
            <v>NACIONAL</v>
          </cell>
          <cell r="N256" t="str">
            <v>NACIONAL</v>
          </cell>
          <cell r="P256">
            <v>56.75</v>
          </cell>
          <cell r="Q256">
            <v>56.75</v>
          </cell>
          <cell r="R256">
            <v>57.44</v>
          </cell>
          <cell r="S256">
            <v>58.15</v>
          </cell>
          <cell r="T256">
            <v>53.52</v>
          </cell>
          <cell r="U256">
            <v>57.09</v>
          </cell>
          <cell r="V256">
            <v>57.09</v>
          </cell>
          <cell r="W256">
            <v>57.44</v>
          </cell>
          <cell r="X256">
            <v>58.88</v>
          </cell>
          <cell r="Y256">
            <v>58.15</v>
          </cell>
          <cell r="Z256">
            <v>58.88</v>
          </cell>
          <cell r="AA256">
            <v>59.62</v>
          </cell>
          <cell r="AB256">
            <v>60.38</v>
          </cell>
          <cell r="AC256">
            <v>58.51</v>
          </cell>
          <cell r="AD256">
            <v>58.51</v>
          </cell>
          <cell r="AE256">
            <v>59.25</v>
          </cell>
          <cell r="AF256">
            <v>0</v>
          </cell>
          <cell r="AG256">
            <v>78.45</v>
          </cell>
          <cell r="AH256">
            <v>78.45</v>
          </cell>
          <cell r="AI256">
            <v>79.41</v>
          </cell>
          <cell r="AJ256">
            <v>80.39</v>
          </cell>
          <cell r="AK256">
            <v>73.989999999999995</v>
          </cell>
          <cell r="AL256">
            <v>78.92</v>
          </cell>
          <cell r="AM256">
            <v>78.92</v>
          </cell>
          <cell r="AN256">
            <v>79.41</v>
          </cell>
          <cell r="AO256">
            <v>81.400000000000006</v>
          </cell>
          <cell r="AP256">
            <v>80.39</v>
          </cell>
          <cell r="AQ256">
            <v>81.400000000000006</v>
          </cell>
          <cell r="AR256">
            <v>82.42</v>
          </cell>
          <cell r="AS256">
            <v>83.47</v>
          </cell>
          <cell r="AT256">
            <v>80.89</v>
          </cell>
          <cell r="AU256">
            <v>80.89</v>
          </cell>
          <cell r="AV256">
            <v>81.91</v>
          </cell>
          <cell r="AX256">
            <v>56.75</v>
          </cell>
          <cell r="AY256">
            <v>78.45</v>
          </cell>
          <cell r="AZ256">
            <v>0.17</v>
          </cell>
          <cell r="BA256">
            <v>0.12</v>
          </cell>
          <cell r="BB256" t="str">
            <v>#_NA</v>
          </cell>
          <cell r="BC256" t="str">
            <v>#_NA</v>
          </cell>
          <cell r="BD256" t="str">
            <v>#_NA</v>
          </cell>
          <cell r="BE256" t="str">
            <v>-</v>
          </cell>
          <cell r="BF256" t="str">
            <v>-</v>
          </cell>
          <cell r="BG256">
            <v>5.6820000000000002E-2</v>
          </cell>
          <cell r="BH256">
            <v>0.46050000000000002</v>
          </cell>
          <cell r="BI256">
            <v>28.88</v>
          </cell>
          <cell r="BJ256" t="str">
            <v>-</v>
          </cell>
          <cell r="BK256">
            <v>0.48630000000000001</v>
          </cell>
          <cell r="BL256">
            <v>27.5</v>
          </cell>
          <cell r="BM256" t="str">
            <v>-</v>
          </cell>
          <cell r="BN256" t="str">
            <v>SIM</v>
          </cell>
          <cell r="BO256" t="str">
            <v>NÃO</v>
          </cell>
          <cell r="BP256" t="str">
            <v>MS|G|NACIONAL|Sim|Positiva</v>
          </cell>
          <cell r="BR256" t="str">
            <v>TBD</v>
          </cell>
          <cell r="BS256">
            <v>0</v>
          </cell>
          <cell r="BT256" t="str">
            <v>#ERRO</v>
          </cell>
          <cell r="BU256">
            <v>27.5</v>
          </cell>
          <cell r="BV256" t="str">
            <v>-</v>
          </cell>
          <cell r="BX256" t="str">
            <v>TBD</v>
          </cell>
          <cell r="BY256" t="str">
            <v>TBD</v>
          </cell>
          <cell r="BZ256" t="str">
            <v>TBD</v>
          </cell>
          <cell r="CA256" t="str">
            <v>#ERRO</v>
          </cell>
          <cell r="CB256" t="str">
            <v>-</v>
          </cell>
        </row>
        <row r="257">
          <cell r="A257" t="str">
            <v>18046-0</v>
          </cell>
          <cell r="B257" t="str">
            <v>18046-0</v>
          </cell>
          <cell r="C257">
            <v>7896714241340</v>
          </cell>
          <cell r="D257" t="str">
            <v>VALSARTANA 320MG COMP REV CT BL 3X10</v>
          </cell>
          <cell r="E257" t="str">
            <v>SIM</v>
          </cell>
          <cell r="F257" t="str">
            <v>G</v>
          </cell>
          <cell r="G257" t="str">
            <v>PRIORITARIO GENERICOS</v>
          </cell>
          <cell r="H257">
            <v>3</v>
          </cell>
          <cell r="I257">
            <v>60</v>
          </cell>
          <cell r="J257" t="str">
            <v>Monitorado</v>
          </cell>
          <cell r="K257" t="str">
            <v>Positiva</v>
          </cell>
          <cell r="L257" t="str">
            <v>Sim</v>
          </cell>
          <cell r="M257" t="str">
            <v>NACIONAL</v>
          </cell>
          <cell r="N257" t="str">
            <v>IMPORTADO</v>
          </cell>
          <cell r="P257">
            <v>65.78</v>
          </cell>
          <cell r="Q257">
            <v>65.78</v>
          </cell>
          <cell r="R257">
            <v>66.59</v>
          </cell>
          <cell r="S257">
            <v>67.41</v>
          </cell>
          <cell r="T257">
            <v>62.05</v>
          </cell>
          <cell r="U257">
            <v>66.180000000000007</v>
          </cell>
          <cell r="V257">
            <v>66.180000000000007</v>
          </cell>
          <cell r="W257">
            <v>66.59</v>
          </cell>
          <cell r="X257">
            <v>68.25</v>
          </cell>
          <cell r="Y257">
            <v>67.41</v>
          </cell>
          <cell r="Z257">
            <v>68.25</v>
          </cell>
          <cell r="AA257">
            <v>69.11</v>
          </cell>
          <cell r="AB257">
            <v>70</v>
          </cell>
          <cell r="AC257">
            <v>67.83</v>
          </cell>
          <cell r="AD257">
            <v>67.83</v>
          </cell>
          <cell r="AE257">
            <v>68.680000000000007</v>
          </cell>
          <cell r="AF257">
            <v>0</v>
          </cell>
          <cell r="AG257">
            <v>90.94</v>
          </cell>
          <cell r="AH257">
            <v>90.94</v>
          </cell>
          <cell r="AI257">
            <v>92.06</v>
          </cell>
          <cell r="AJ257">
            <v>93.19</v>
          </cell>
          <cell r="AK257">
            <v>85.78</v>
          </cell>
          <cell r="AL257">
            <v>91.49</v>
          </cell>
          <cell r="AM257">
            <v>91.49</v>
          </cell>
          <cell r="AN257">
            <v>92.06</v>
          </cell>
          <cell r="AO257">
            <v>94.35</v>
          </cell>
          <cell r="AP257">
            <v>93.19</v>
          </cell>
          <cell r="AQ257">
            <v>94.35</v>
          </cell>
          <cell r="AR257">
            <v>95.54</v>
          </cell>
          <cell r="AS257">
            <v>96.77</v>
          </cell>
          <cell r="AT257">
            <v>93.77</v>
          </cell>
          <cell r="AU257">
            <v>93.77</v>
          </cell>
          <cell r="AV257">
            <v>94.95</v>
          </cell>
          <cell r="AX257">
            <v>65.78</v>
          </cell>
          <cell r="AY257">
            <v>90.94</v>
          </cell>
          <cell r="AZ257">
            <v>0.17</v>
          </cell>
          <cell r="BA257">
            <v>0.04</v>
          </cell>
          <cell r="BB257" t="str">
            <v>#_NA</v>
          </cell>
          <cell r="BC257" t="str">
            <v>#_NA</v>
          </cell>
          <cell r="BD257" t="str">
            <v>#_NA</v>
          </cell>
          <cell r="BE257" t="str">
            <v>-</v>
          </cell>
          <cell r="BF257" t="str">
            <v>-</v>
          </cell>
          <cell r="BG257">
            <v>0.13542000000000001</v>
          </cell>
          <cell r="BH257">
            <v>0.51819999999999999</v>
          </cell>
          <cell r="BI257">
            <v>27.4</v>
          </cell>
          <cell r="BJ257" t="str">
            <v>-</v>
          </cell>
          <cell r="BK257">
            <v>0.5413</v>
          </cell>
          <cell r="BL257">
            <v>26.09</v>
          </cell>
          <cell r="BM257" t="str">
            <v>-</v>
          </cell>
          <cell r="BN257" t="str">
            <v>NÃO</v>
          </cell>
          <cell r="BO257" t="str">
            <v>NÃO</v>
          </cell>
          <cell r="BP257" t="str">
            <v>MS|G|IMPORTADO|Sim|Positiva</v>
          </cell>
          <cell r="BR257" t="str">
            <v>TBD</v>
          </cell>
          <cell r="BS257">
            <v>0</v>
          </cell>
          <cell r="BT257" t="str">
            <v>#ERRO</v>
          </cell>
          <cell r="BU257">
            <v>26.09</v>
          </cell>
          <cell r="BV257" t="str">
            <v>-</v>
          </cell>
          <cell r="BX257" t="str">
            <v>TBD</v>
          </cell>
          <cell r="BY257" t="str">
            <v>TBD</v>
          </cell>
          <cell r="BZ257" t="str">
            <v>TBD</v>
          </cell>
          <cell r="CA257" t="str">
            <v>#ERRO</v>
          </cell>
          <cell r="CB257" t="str">
            <v>-</v>
          </cell>
        </row>
        <row r="258">
          <cell r="A258" t="str">
            <v>18042-0</v>
          </cell>
          <cell r="B258" t="str">
            <v>18042-0</v>
          </cell>
          <cell r="C258">
            <v>7896714241289</v>
          </cell>
          <cell r="D258" t="str">
            <v>VALSARTANA 80MG COMP REV CT BL 2X15</v>
          </cell>
          <cell r="E258" t="str">
            <v>SIM</v>
          </cell>
          <cell r="F258" t="str">
            <v>G</v>
          </cell>
          <cell r="G258" t="str">
            <v>PRIORITARIO GENERICOS</v>
          </cell>
          <cell r="H258">
            <v>5</v>
          </cell>
          <cell r="I258">
            <v>60</v>
          </cell>
          <cell r="J258" t="str">
            <v>Monitorado</v>
          </cell>
          <cell r="K258" t="str">
            <v>Positiva</v>
          </cell>
          <cell r="L258" t="str">
            <v>Sim</v>
          </cell>
          <cell r="M258" t="str">
            <v>NACIONAL</v>
          </cell>
          <cell r="N258" t="str">
            <v>NACIONAL</v>
          </cell>
          <cell r="P258">
            <v>56.75</v>
          </cell>
          <cell r="Q258">
            <v>56.75</v>
          </cell>
          <cell r="R258">
            <v>57.44</v>
          </cell>
          <cell r="S258">
            <v>58.15</v>
          </cell>
          <cell r="T258">
            <v>53.52</v>
          </cell>
          <cell r="U258">
            <v>57.09</v>
          </cell>
          <cell r="V258">
            <v>57.09</v>
          </cell>
          <cell r="W258">
            <v>57.44</v>
          </cell>
          <cell r="X258">
            <v>58.88</v>
          </cell>
          <cell r="Y258">
            <v>58.15</v>
          </cell>
          <cell r="Z258">
            <v>58.88</v>
          </cell>
          <cell r="AA258">
            <v>59.62</v>
          </cell>
          <cell r="AB258">
            <v>60.38</v>
          </cell>
          <cell r="AC258">
            <v>58.51</v>
          </cell>
          <cell r="AD258">
            <v>58.51</v>
          </cell>
          <cell r="AE258">
            <v>59.25</v>
          </cell>
          <cell r="AF258">
            <v>0</v>
          </cell>
          <cell r="AG258">
            <v>78.45</v>
          </cell>
          <cell r="AH258">
            <v>78.45</v>
          </cell>
          <cell r="AI258">
            <v>79.41</v>
          </cell>
          <cell r="AJ258">
            <v>80.39</v>
          </cell>
          <cell r="AK258">
            <v>73.989999999999995</v>
          </cell>
          <cell r="AL258">
            <v>78.92</v>
          </cell>
          <cell r="AM258">
            <v>78.92</v>
          </cell>
          <cell r="AN258">
            <v>79.41</v>
          </cell>
          <cell r="AO258">
            <v>81.400000000000006</v>
          </cell>
          <cell r="AP258">
            <v>80.39</v>
          </cell>
          <cell r="AQ258">
            <v>81.400000000000006</v>
          </cell>
          <cell r="AR258">
            <v>82.42</v>
          </cell>
          <cell r="AS258">
            <v>83.47</v>
          </cell>
          <cell r="AT258">
            <v>80.89</v>
          </cell>
          <cell r="AU258">
            <v>80.89</v>
          </cell>
          <cell r="AV258">
            <v>81.91</v>
          </cell>
          <cell r="AX258">
            <v>56.75</v>
          </cell>
          <cell r="AY258">
            <v>78.45</v>
          </cell>
          <cell r="AZ258">
            <v>0.17</v>
          </cell>
          <cell r="BA258">
            <v>0.12</v>
          </cell>
          <cell r="BB258" t="str">
            <v>#_NA</v>
          </cell>
          <cell r="BC258" t="str">
            <v>#_NA</v>
          </cell>
          <cell r="BD258" t="str">
            <v>#_NA</v>
          </cell>
          <cell r="BE258" t="str">
            <v>-</v>
          </cell>
          <cell r="BF258" t="str">
            <v>-</v>
          </cell>
          <cell r="BG258">
            <v>5.6820000000000002E-2</v>
          </cell>
          <cell r="BH258">
            <v>0.69750000000000001</v>
          </cell>
          <cell r="BI258">
            <v>16.190000000000001</v>
          </cell>
          <cell r="BJ258" t="str">
            <v>-</v>
          </cell>
          <cell r="BK258">
            <v>0.71209999999999996</v>
          </cell>
          <cell r="BL258">
            <v>15.41</v>
          </cell>
          <cell r="BM258" t="str">
            <v>-</v>
          </cell>
          <cell r="BN258" t="str">
            <v>NÃO</v>
          </cell>
          <cell r="BO258" t="str">
            <v>NÃO</v>
          </cell>
          <cell r="BP258" t="str">
            <v>MS|G|NACIONAL|Sim|Positiva</v>
          </cell>
          <cell r="BR258" t="str">
            <v>TBD</v>
          </cell>
          <cell r="BS258">
            <v>0</v>
          </cell>
          <cell r="BT258" t="str">
            <v>#ERRO</v>
          </cell>
          <cell r="BU258">
            <v>15.41</v>
          </cell>
          <cell r="BV258" t="str">
            <v>-</v>
          </cell>
          <cell r="BX258" t="str">
            <v>TBD</v>
          </cell>
          <cell r="BY258" t="str">
            <v>TBD</v>
          </cell>
          <cell r="BZ258" t="str">
            <v>TBD</v>
          </cell>
          <cell r="CA258" t="str">
            <v>#ERRO</v>
          </cell>
          <cell r="CB258" t="str">
            <v>-</v>
          </cell>
        </row>
        <row r="259">
          <cell r="A259" t="str">
            <v>17459-0</v>
          </cell>
          <cell r="B259" t="str">
            <v>17459-0</v>
          </cell>
          <cell r="C259">
            <v>7896714239712</v>
          </cell>
          <cell r="D259" t="str">
            <v>VERTIGIUM 10MG COMP CT BL 2X25 ACLAR</v>
          </cell>
          <cell r="E259" t="str">
            <v>SIM</v>
          </cell>
          <cell r="F259" t="str">
            <v>S</v>
          </cell>
          <cell r="G259" t="str">
            <v>LINHA</v>
          </cell>
          <cell r="H259">
            <v>5</v>
          </cell>
          <cell r="I259">
            <v>60</v>
          </cell>
          <cell r="J259" t="str">
            <v>Monitorado</v>
          </cell>
          <cell r="K259" t="str">
            <v>Positiva</v>
          </cell>
          <cell r="L259" t="str">
            <v>Sim</v>
          </cell>
          <cell r="M259" t="str">
            <v>NACIONAL</v>
          </cell>
          <cell r="N259" t="str">
            <v>NACIONAL</v>
          </cell>
          <cell r="P259">
            <v>11.2</v>
          </cell>
          <cell r="Q259">
            <v>11.2</v>
          </cell>
          <cell r="R259">
            <v>11.34</v>
          </cell>
          <cell r="S259">
            <v>11.48</v>
          </cell>
          <cell r="T259">
            <v>10.57</v>
          </cell>
          <cell r="U259">
            <v>11.27</v>
          </cell>
          <cell r="V259">
            <v>11.27</v>
          </cell>
          <cell r="W259">
            <v>11.34</v>
          </cell>
          <cell r="X259">
            <v>11.63</v>
          </cell>
          <cell r="Y259">
            <v>11.48</v>
          </cell>
          <cell r="Z259">
            <v>11.63</v>
          </cell>
          <cell r="AA259">
            <v>11.77</v>
          </cell>
          <cell r="AB259">
            <v>11.92</v>
          </cell>
          <cell r="AC259">
            <v>11.55</v>
          </cell>
          <cell r="AD259">
            <v>11.55</v>
          </cell>
          <cell r="AE259">
            <v>11.7</v>
          </cell>
          <cell r="AF259">
            <v>0</v>
          </cell>
          <cell r="AG259">
            <v>15.48</v>
          </cell>
          <cell r="AH259">
            <v>15.48</v>
          </cell>
          <cell r="AI259">
            <v>15.68</v>
          </cell>
          <cell r="AJ259">
            <v>15.87</v>
          </cell>
          <cell r="AK259">
            <v>14.61</v>
          </cell>
          <cell r="AL259">
            <v>15.58</v>
          </cell>
          <cell r="AM259">
            <v>15.58</v>
          </cell>
          <cell r="AN259">
            <v>15.68</v>
          </cell>
          <cell r="AO259">
            <v>16.079999999999998</v>
          </cell>
          <cell r="AP259">
            <v>15.87</v>
          </cell>
          <cell r="AQ259">
            <v>16.079999999999998</v>
          </cell>
          <cell r="AR259">
            <v>16.27</v>
          </cell>
          <cell r="AS259">
            <v>16.48</v>
          </cell>
          <cell r="AT259">
            <v>15.97</v>
          </cell>
          <cell r="AU259">
            <v>15.97</v>
          </cell>
          <cell r="AV259">
            <v>16.170000000000002</v>
          </cell>
          <cell r="AX259">
            <v>11.2</v>
          </cell>
          <cell r="AY259">
            <v>15.48</v>
          </cell>
          <cell r="AZ259">
            <v>0.17</v>
          </cell>
          <cell r="BA259">
            <v>0.12</v>
          </cell>
          <cell r="BB259" t="str">
            <v>#_NA</v>
          </cell>
          <cell r="BC259" t="str">
            <v>#_NA</v>
          </cell>
          <cell r="BD259" t="str">
            <v>#_NA</v>
          </cell>
          <cell r="BE259" t="str">
            <v>-</v>
          </cell>
          <cell r="BF259" t="str">
            <v>-</v>
          </cell>
          <cell r="BG259">
            <v>5.6820000000000002E-2</v>
          </cell>
          <cell r="BH259">
            <v>0.2301</v>
          </cell>
          <cell r="BI259">
            <v>8.1300000000000008</v>
          </cell>
          <cell r="BJ259" t="str">
            <v>-</v>
          </cell>
          <cell r="BK259">
            <v>0.26769999999999999</v>
          </cell>
          <cell r="BL259">
            <v>7.73</v>
          </cell>
          <cell r="BM259" t="str">
            <v>-</v>
          </cell>
          <cell r="BN259" t="str">
            <v>NÃO</v>
          </cell>
          <cell r="BO259" t="str">
            <v>NÃO</v>
          </cell>
          <cell r="BP259" t="str">
            <v>MS|S|NACIONAL|Sim|Positiva</v>
          </cell>
          <cell r="BR259" t="str">
            <v>TBD</v>
          </cell>
          <cell r="BS259">
            <v>0</v>
          </cell>
          <cell r="BT259" t="str">
            <v>#ERRO</v>
          </cell>
          <cell r="BU259">
            <v>7.73</v>
          </cell>
          <cell r="BV259" t="str">
            <v>-</v>
          </cell>
          <cell r="BX259" t="str">
            <v>TBD</v>
          </cell>
          <cell r="BY259" t="str">
            <v>TBD</v>
          </cell>
          <cell r="BZ259" t="str">
            <v>TBD</v>
          </cell>
          <cell r="CA259" t="str">
            <v>#ERRO</v>
          </cell>
          <cell r="CB259" t="str">
            <v>-</v>
          </cell>
        </row>
        <row r="260">
          <cell r="A260" t="str">
            <v>19478-0</v>
          </cell>
          <cell r="B260" t="str">
            <v>19478-0</v>
          </cell>
          <cell r="C260">
            <v>7896714265612</v>
          </cell>
          <cell r="D260" t="str">
            <v>VIRINEO 50MG COMP REV CT BL 1X2</v>
          </cell>
          <cell r="E260" t="str">
            <v>SIM</v>
          </cell>
          <cell r="F260" t="str">
            <v>S</v>
          </cell>
          <cell r="G260" t="str">
            <v>LINHA</v>
          </cell>
          <cell r="H260">
            <v>0</v>
          </cell>
          <cell r="I260">
            <v>60</v>
          </cell>
          <cell r="J260" t="str">
            <v>Monitorado</v>
          </cell>
          <cell r="K260" t="str">
            <v>Negativa</v>
          </cell>
          <cell r="L260" t="str">
            <v>Sim</v>
          </cell>
          <cell r="M260" t="str">
            <v>NACIONAL</v>
          </cell>
          <cell r="N260" t="str">
            <v>NACIONAL</v>
          </cell>
          <cell r="P260">
            <v>30.02</v>
          </cell>
          <cell r="Q260">
            <v>34.49</v>
          </cell>
          <cell r="R260">
            <v>34.97</v>
          </cell>
          <cell r="S260">
            <v>35.47</v>
          </cell>
          <cell r="T260">
            <v>32.25</v>
          </cell>
          <cell r="U260">
            <v>34.729999999999997</v>
          </cell>
          <cell r="V260">
            <v>30.21</v>
          </cell>
          <cell r="W260">
            <v>30.39</v>
          </cell>
          <cell r="X260">
            <v>35.99</v>
          </cell>
          <cell r="Y260">
            <v>30.76</v>
          </cell>
          <cell r="Z260">
            <v>31.15</v>
          </cell>
          <cell r="AA260">
            <v>36.520000000000003</v>
          </cell>
          <cell r="AB260">
            <v>37.06</v>
          </cell>
          <cell r="AC260">
            <v>35.729999999999997</v>
          </cell>
          <cell r="AD260">
            <v>30.96</v>
          </cell>
          <cell r="AE260">
            <v>36.25</v>
          </cell>
          <cell r="AF260">
            <v>0</v>
          </cell>
          <cell r="AG260">
            <v>41.5</v>
          </cell>
          <cell r="AH260">
            <v>45.97</v>
          </cell>
          <cell r="AI260">
            <v>46.59</v>
          </cell>
          <cell r="AJ260">
            <v>47.23</v>
          </cell>
          <cell r="AK260">
            <v>43.08</v>
          </cell>
          <cell r="AL260">
            <v>46.28</v>
          </cell>
          <cell r="AM260">
            <v>41.76</v>
          </cell>
          <cell r="AN260">
            <v>42.01</v>
          </cell>
          <cell r="AO260">
            <v>47.9</v>
          </cell>
          <cell r="AP260">
            <v>42.52</v>
          </cell>
          <cell r="AQ260">
            <v>43.06</v>
          </cell>
          <cell r="AR260">
            <v>48.59</v>
          </cell>
          <cell r="AS260">
            <v>49.28</v>
          </cell>
          <cell r="AT260">
            <v>47.57</v>
          </cell>
          <cell r="AU260">
            <v>42.8</v>
          </cell>
          <cell r="AV260">
            <v>48.24</v>
          </cell>
          <cell r="AX260">
            <v>34.49</v>
          </cell>
          <cell r="AY260">
            <v>45.97</v>
          </cell>
          <cell r="AZ260">
            <v>0.17</v>
          </cell>
          <cell r="BA260">
            <v>0.12</v>
          </cell>
          <cell r="BB260" t="str">
            <v>#_NA</v>
          </cell>
          <cell r="BC260" t="str">
            <v>#_NA</v>
          </cell>
          <cell r="BD260" t="str">
            <v>#_NA</v>
          </cell>
          <cell r="BE260" t="str">
            <v>-</v>
          </cell>
          <cell r="BF260" t="str">
            <v>-</v>
          </cell>
          <cell r="BG260">
            <v>5.6820000000000002E-2</v>
          </cell>
          <cell r="BH260">
            <v>0.90400000000000003</v>
          </cell>
          <cell r="BI260">
            <v>3.12</v>
          </cell>
          <cell r="BJ260" t="str">
            <v>-</v>
          </cell>
          <cell r="BK260">
            <v>0.92079999999999995</v>
          </cell>
          <cell r="BL260">
            <v>2.58</v>
          </cell>
          <cell r="BM260" t="str">
            <v>-</v>
          </cell>
          <cell r="BN260" t="str">
            <v>NÃO</v>
          </cell>
          <cell r="BO260" t="str">
            <v>NÃO</v>
          </cell>
          <cell r="BP260" t="str">
            <v>MS|S|NACIONAL|Sim|Negativa</v>
          </cell>
          <cell r="BR260" t="str">
            <v>TBD</v>
          </cell>
          <cell r="BS260">
            <v>0</v>
          </cell>
          <cell r="BT260" t="str">
            <v>#ERRO</v>
          </cell>
          <cell r="BU260">
            <v>2.58</v>
          </cell>
          <cell r="BV260" t="str">
            <v>-</v>
          </cell>
          <cell r="BX260" t="str">
            <v>TBD</v>
          </cell>
          <cell r="BY260" t="str">
            <v>TBD</v>
          </cell>
          <cell r="BZ260" t="str">
            <v>TBD</v>
          </cell>
          <cell r="CA260" t="str">
            <v>#ERRO</v>
          </cell>
          <cell r="CB260" t="str">
            <v>-</v>
          </cell>
        </row>
        <row r="261">
          <cell r="A261" t="str">
            <v>12746-0</v>
          </cell>
          <cell r="B261" t="str">
            <v>12746-0</v>
          </cell>
          <cell r="C261">
            <v>7896714205632</v>
          </cell>
          <cell r="D261" t="str">
            <v>VITAMINA B1 NEO QUIM 300MG CPRV CT 3X10</v>
          </cell>
          <cell r="E261" t="str">
            <v>SIM</v>
          </cell>
          <cell r="F261" t="str">
            <v>S</v>
          </cell>
          <cell r="G261" t="str">
            <v>LINHA</v>
          </cell>
          <cell r="H261">
            <v>5</v>
          </cell>
          <cell r="I261">
            <v>60</v>
          </cell>
          <cell r="J261" t="str">
            <v>Monitorado</v>
          </cell>
          <cell r="K261" t="str">
            <v>Negativa</v>
          </cell>
          <cell r="L261" t="str">
            <v>Sim</v>
          </cell>
          <cell r="M261" t="str">
            <v>NACIONAL</v>
          </cell>
          <cell r="N261" t="str">
            <v>NACIONAL</v>
          </cell>
          <cell r="P261">
            <v>19.64</v>
          </cell>
          <cell r="Q261">
            <v>22.56</v>
          </cell>
          <cell r="R261">
            <v>22.88</v>
          </cell>
          <cell r="S261">
            <v>23.21</v>
          </cell>
          <cell r="T261">
            <v>21.1</v>
          </cell>
          <cell r="U261">
            <v>22.72</v>
          </cell>
          <cell r="V261">
            <v>19.760000000000002</v>
          </cell>
          <cell r="W261">
            <v>19.88</v>
          </cell>
          <cell r="X261">
            <v>23.54</v>
          </cell>
          <cell r="Y261">
            <v>20.13</v>
          </cell>
          <cell r="Z261">
            <v>20.38</v>
          </cell>
          <cell r="AA261">
            <v>23.89</v>
          </cell>
          <cell r="AB261">
            <v>24.25</v>
          </cell>
          <cell r="AC261">
            <v>23.38</v>
          </cell>
          <cell r="AD261">
            <v>20.25</v>
          </cell>
          <cell r="AE261">
            <v>23.72</v>
          </cell>
          <cell r="AF261">
            <v>0</v>
          </cell>
          <cell r="AG261">
            <v>27.15</v>
          </cell>
          <cell r="AH261">
            <v>30.07</v>
          </cell>
          <cell r="AI261">
            <v>30.48</v>
          </cell>
          <cell r="AJ261">
            <v>30.91</v>
          </cell>
          <cell r="AK261">
            <v>28.19</v>
          </cell>
          <cell r="AL261">
            <v>30.28</v>
          </cell>
          <cell r="AM261">
            <v>27.32</v>
          </cell>
          <cell r="AN261">
            <v>27.48</v>
          </cell>
          <cell r="AO261">
            <v>31.33</v>
          </cell>
          <cell r="AP261">
            <v>27.83</v>
          </cell>
          <cell r="AQ261">
            <v>28.17</v>
          </cell>
          <cell r="AR261">
            <v>31.78</v>
          </cell>
          <cell r="AS261">
            <v>32.24</v>
          </cell>
          <cell r="AT261">
            <v>31.13</v>
          </cell>
          <cell r="AU261">
            <v>27.99</v>
          </cell>
          <cell r="AV261">
            <v>31.56</v>
          </cell>
          <cell r="AX261">
            <v>22.56</v>
          </cell>
          <cell r="AY261">
            <v>30.07</v>
          </cell>
          <cell r="AZ261">
            <v>0.17</v>
          </cell>
          <cell r="BA261">
            <v>0.12</v>
          </cell>
          <cell r="BB261" t="str">
            <v>#_NA</v>
          </cell>
          <cell r="BC261" t="str">
            <v>#_NA</v>
          </cell>
          <cell r="BD261" t="str">
            <v>#_NA</v>
          </cell>
          <cell r="BE261" t="str">
            <v>-</v>
          </cell>
          <cell r="BF261" t="str">
            <v>-</v>
          </cell>
          <cell r="BG261">
            <v>5.6820000000000002E-2</v>
          </cell>
          <cell r="BH261">
            <v>0.36670000000000003</v>
          </cell>
          <cell r="BI261">
            <v>13.48</v>
          </cell>
          <cell r="BJ261" t="str">
            <v>-</v>
          </cell>
          <cell r="BK261">
            <v>0.47749999999999998</v>
          </cell>
          <cell r="BL261">
            <v>11.12</v>
          </cell>
          <cell r="BM261" t="str">
            <v>-</v>
          </cell>
          <cell r="BN261" t="str">
            <v>NÃO</v>
          </cell>
          <cell r="BO261" t="str">
            <v>NÃO</v>
          </cell>
          <cell r="BP261" t="str">
            <v>MS|S|NACIONAL|Sim|Negativa</v>
          </cell>
          <cell r="BR261" t="str">
            <v>TBD</v>
          </cell>
          <cell r="BS261">
            <v>0</v>
          </cell>
          <cell r="BT261" t="str">
            <v>#ERRO</v>
          </cell>
          <cell r="BU261">
            <v>11.12</v>
          </cell>
          <cell r="BV261" t="str">
            <v>-</v>
          </cell>
          <cell r="BX261" t="str">
            <v>TBD</v>
          </cell>
          <cell r="BY261" t="str">
            <v>TBD</v>
          </cell>
          <cell r="BZ261" t="str">
            <v>TBD</v>
          </cell>
          <cell r="CA261" t="str">
            <v>#ERRO</v>
          </cell>
          <cell r="CB261" t="str">
            <v>-</v>
          </cell>
        </row>
        <row r="262">
          <cell r="A262" t="str">
            <v>12731-0</v>
          </cell>
          <cell r="B262" t="str">
            <v>12731-0</v>
          </cell>
          <cell r="C262">
            <v>7896714220420</v>
          </cell>
          <cell r="D262" t="str">
            <v>ZITRONEO 40MG/ML PO EXT FR 1X600MG</v>
          </cell>
          <cell r="E262" t="str">
            <v>SIM</v>
          </cell>
          <cell r="F262" t="str">
            <v>S</v>
          </cell>
          <cell r="G262" t="str">
            <v>LINHA</v>
          </cell>
          <cell r="H262">
            <v>5</v>
          </cell>
          <cell r="I262">
            <v>24</v>
          </cell>
          <cell r="J262" t="str">
            <v>Monitorado</v>
          </cell>
          <cell r="K262" t="str">
            <v>Positiva</v>
          </cell>
          <cell r="L262" t="str">
            <v>Sim</v>
          </cell>
          <cell r="M262" t="str">
            <v>NACIONAL</v>
          </cell>
          <cell r="N262" t="str">
            <v>NACIONAL</v>
          </cell>
          <cell r="P262">
            <v>54.12</v>
          </cell>
          <cell r="Q262">
            <v>54.12</v>
          </cell>
          <cell r="R262">
            <v>54.78</v>
          </cell>
          <cell r="S262">
            <v>55.46</v>
          </cell>
          <cell r="T262">
            <v>51.05</v>
          </cell>
          <cell r="U262">
            <v>54.45</v>
          </cell>
          <cell r="V262">
            <v>54.45</v>
          </cell>
          <cell r="W262">
            <v>54.78</v>
          </cell>
          <cell r="X262">
            <v>56.15</v>
          </cell>
          <cell r="Y262">
            <v>55.46</v>
          </cell>
          <cell r="Z262">
            <v>56.15</v>
          </cell>
          <cell r="AA262">
            <v>56.86</v>
          </cell>
          <cell r="AB262">
            <v>57.59</v>
          </cell>
          <cell r="AC262">
            <v>55.8</v>
          </cell>
          <cell r="AD262">
            <v>55.8</v>
          </cell>
          <cell r="AE262">
            <v>56.5</v>
          </cell>
          <cell r="AF262">
            <v>0</v>
          </cell>
          <cell r="AG262">
            <v>74.819999999999993</v>
          </cell>
          <cell r="AH262">
            <v>74.819999999999993</v>
          </cell>
          <cell r="AI262">
            <v>75.73</v>
          </cell>
          <cell r="AJ262">
            <v>76.67</v>
          </cell>
          <cell r="AK262">
            <v>70.569999999999993</v>
          </cell>
          <cell r="AL262">
            <v>75.27</v>
          </cell>
          <cell r="AM262">
            <v>75.27</v>
          </cell>
          <cell r="AN262">
            <v>75.73</v>
          </cell>
          <cell r="AO262">
            <v>77.62</v>
          </cell>
          <cell r="AP262">
            <v>76.67</v>
          </cell>
          <cell r="AQ262">
            <v>77.62</v>
          </cell>
          <cell r="AR262">
            <v>78.61</v>
          </cell>
          <cell r="AS262">
            <v>79.61</v>
          </cell>
          <cell r="AT262">
            <v>77.14</v>
          </cell>
          <cell r="AU262">
            <v>77.14</v>
          </cell>
          <cell r="AV262">
            <v>78.11</v>
          </cell>
          <cell r="AX262">
            <v>54.12</v>
          </cell>
          <cell r="AY262">
            <v>74.819999999999993</v>
          </cell>
          <cell r="AZ262">
            <v>0.17</v>
          </cell>
          <cell r="BA262">
            <v>0.12</v>
          </cell>
          <cell r="BB262" t="str">
            <v>#_NA</v>
          </cell>
          <cell r="BC262" t="str">
            <v>#_NA</v>
          </cell>
          <cell r="BD262" t="str">
            <v>#_NA</v>
          </cell>
          <cell r="BE262" t="str">
            <v>-</v>
          </cell>
          <cell r="BF262" t="str">
            <v>-</v>
          </cell>
          <cell r="BG262">
            <v>5.6820000000000002E-2</v>
          </cell>
          <cell r="BH262">
            <v>0.7349</v>
          </cell>
          <cell r="BI262">
            <v>13.53</v>
          </cell>
          <cell r="BJ262" t="str">
            <v>-</v>
          </cell>
          <cell r="BK262">
            <v>0.74770000000000003</v>
          </cell>
          <cell r="BL262">
            <v>12.88</v>
          </cell>
          <cell r="BM262" t="str">
            <v>-</v>
          </cell>
          <cell r="BN262" t="str">
            <v>NÃO</v>
          </cell>
          <cell r="BO262" t="str">
            <v>NÃO</v>
          </cell>
          <cell r="BP262" t="str">
            <v>MS|S|NACIONAL|Sim|Positiva</v>
          </cell>
          <cell r="BR262" t="str">
            <v>TBD</v>
          </cell>
          <cell r="BS262">
            <v>0</v>
          </cell>
          <cell r="BT262" t="str">
            <v>#ERRO</v>
          </cell>
          <cell r="BU262">
            <v>12.88</v>
          </cell>
          <cell r="BV262" t="str">
            <v>-</v>
          </cell>
          <cell r="BX262" t="str">
            <v>TBD</v>
          </cell>
          <cell r="BY262" t="str">
            <v>TBD</v>
          </cell>
          <cell r="BZ262" t="str">
            <v>TBD</v>
          </cell>
          <cell r="CA262" t="str">
            <v>#ERRO</v>
          </cell>
          <cell r="CB262" t="str">
            <v>-</v>
          </cell>
        </row>
        <row r="263">
          <cell r="A263" t="str">
            <v>12730-0</v>
          </cell>
          <cell r="B263" t="str">
            <v>12730-0</v>
          </cell>
          <cell r="C263">
            <v>7896714220017</v>
          </cell>
          <cell r="D263" t="str">
            <v>ZITRONEO 40MG/ML PO EXT FR 1X900MG</v>
          </cell>
          <cell r="E263" t="str">
            <v>SIM</v>
          </cell>
          <cell r="F263" t="str">
            <v>S</v>
          </cell>
          <cell r="G263" t="str">
            <v>LINHA</v>
          </cell>
          <cell r="H263">
            <v>5</v>
          </cell>
          <cell r="I263">
            <v>24</v>
          </cell>
          <cell r="J263" t="str">
            <v>Monitorado</v>
          </cell>
          <cell r="K263" t="str">
            <v>Positiva</v>
          </cell>
          <cell r="L263" t="str">
            <v>Sim</v>
          </cell>
          <cell r="M263" t="str">
            <v>NACIONAL</v>
          </cell>
          <cell r="N263" t="str">
            <v>NACIONAL</v>
          </cell>
          <cell r="P263">
            <v>57.36</v>
          </cell>
          <cell r="Q263">
            <v>57.36</v>
          </cell>
          <cell r="R263">
            <v>58.06</v>
          </cell>
          <cell r="S263">
            <v>58.78</v>
          </cell>
          <cell r="T263">
            <v>54.1</v>
          </cell>
          <cell r="U263">
            <v>57.71</v>
          </cell>
          <cell r="V263">
            <v>57.71</v>
          </cell>
          <cell r="W263">
            <v>58.06</v>
          </cell>
          <cell r="X263">
            <v>59.51</v>
          </cell>
          <cell r="Y263">
            <v>58.78</v>
          </cell>
          <cell r="Z263">
            <v>59.51</v>
          </cell>
          <cell r="AA263">
            <v>60.27</v>
          </cell>
          <cell r="AB263">
            <v>61.04</v>
          </cell>
          <cell r="AC263">
            <v>59.14</v>
          </cell>
          <cell r="AD263">
            <v>59.14</v>
          </cell>
          <cell r="AE263">
            <v>59.89</v>
          </cell>
          <cell r="AF263">
            <v>0</v>
          </cell>
          <cell r="AG263">
            <v>79.3</v>
          </cell>
          <cell r="AH263">
            <v>79.3</v>
          </cell>
          <cell r="AI263">
            <v>80.260000000000005</v>
          </cell>
          <cell r="AJ263">
            <v>81.260000000000005</v>
          </cell>
          <cell r="AK263">
            <v>74.790000000000006</v>
          </cell>
          <cell r="AL263">
            <v>79.78</v>
          </cell>
          <cell r="AM263">
            <v>79.78</v>
          </cell>
          <cell r="AN263">
            <v>80.260000000000005</v>
          </cell>
          <cell r="AO263">
            <v>82.27</v>
          </cell>
          <cell r="AP263">
            <v>81.260000000000005</v>
          </cell>
          <cell r="AQ263">
            <v>82.27</v>
          </cell>
          <cell r="AR263">
            <v>83.32</v>
          </cell>
          <cell r="AS263">
            <v>84.38</v>
          </cell>
          <cell r="AT263">
            <v>81.760000000000005</v>
          </cell>
          <cell r="AU263">
            <v>81.760000000000005</v>
          </cell>
          <cell r="AV263">
            <v>82.79</v>
          </cell>
          <cell r="AX263">
            <v>57.36</v>
          </cell>
          <cell r="AY263">
            <v>79.3</v>
          </cell>
          <cell r="AZ263">
            <v>0.17</v>
          </cell>
          <cell r="BA263">
            <v>0.12</v>
          </cell>
          <cell r="BB263" t="str">
            <v>#_NA</v>
          </cell>
          <cell r="BC263" t="str">
            <v>#_NA</v>
          </cell>
          <cell r="BD263" t="str">
            <v>#_NA</v>
          </cell>
          <cell r="BE263" t="str">
            <v>-</v>
          </cell>
          <cell r="BF263" t="str">
            <v>-</v>
          </cell>
          <cell r="BG263">
            <v>5.6820000000000002E-2</v>
          </cell>
          <cell r="BH263">
            <v>0.66910000000000003</v>
          </cell>
          <cell r="BI263">
            <v>17.899999999999999</v>
          </cell>
          <cell r="BJ263" t="str">
            <v>-</v>
          </cell>
          <cell r="BK263">
            <v>0.68479999999999996</v>
          </cell>
          <cell r="BL263">
            <v>17.05</v>
          </cell>
          <cell r="BM263" t="str">
            <v>-</v>
          </cell>
          <cell r="BN263" t="str">
            <v>NÃO</v>
          </cell>
          <cell r="BO263" t="str">
            <v>NÃO</v>
          </cell>
          <cell r="BP263" t="str">
            <v>MS|S|NACIONAL|Sim|Positiva</v>
          </cell>
          <cell r="BR263" t="str">
            <v>TBD</v>
          </cell>
          <cell r="BS263">
            <v>0</v>
          </cell>
          <cell r="BT263" t="str">
            <v>#ERRO</v>
          </cell>
          <cell r="BU263">
            <v>17.05</v>
          </cell>
          <cell r="BV263" t="str">
            <v>-</v>
          </cell>
          <cell r="BX263" t="str">
            <v>TBD</v>
          </cell>
          <cell r="BY263" t="str">
            <v>TBD</v>
          </cell>
          <cell r="BZ263" t="str">
            <v>TBD</v>
          </cell>
          <cell r="CA263" t="str">
            <v>#ERRO</v>
          </cell>
          <cell r="CB263" t="str">
            <v>-</v>
          </cell>
        </row>
        <row r="264">
          <cell r="A264" t="str">
            <v>19938-0</v>
          </cell>
          <cell r="B264" t="str">
            <v>19938-0</v>
          </cell>
          <cell r="C264">
            <v>7896714273709</v>
          </cell>
          <cell r="D264" t="str">
            <v>ARIPIPRAZOL 10MG C1 CT BL 30 COMP</v>
          </cell>
          <cell r="E264" t="str">
            <v>SIM</v>
          </cell>
          <cell r="F264" t="str">
            <v>G</v>
          </cell>
          <cell r="G264" t="str">
            <v>LINHA</v>
          </cell>
          <cell r="H264">
            <v>2</v>
          </cell>
          <cell r="I264">
            <v>48</v>
          </cell>
          <cell r="J264" t="str">
            <v>Monitorado</v>
          </cell>
          <cell r="K264" t="str">
            <v>Positiva</v>
          </cell>
          <cell r="L264" t="str">
            <v>Não</v>
          </cell>
          <cell r="M264" t="str">
            <v>IMPORTADO</v>
          </cell>
          <cell r="N264" t="str">
            <v>IMPORTADO</v>
          </cell>
          <cell r="P264">
            <v>188.83</v>
          </cell>
          <cell r="Q264">
            <v>188.83</v>
          </cell>
          <cell r="R264">
            <v>191.13</v>
          </cell>
          <cell r="S264">
            <v>193.49</v>
          </cell>
          <cell r="T264">
            <v>178.1</v>
          </cell>
          <cell r="U264">
            <v>189.98</v>
          </cell>
          <cell r="V264">
            <v>189.98</v>
          </cell>
          <cell r="W264">
            <v>191.13</v>
          </cell>
          <cell r="X264">
            <v>195.91</v>
          </cell>
          <cell r="Y264">
            <v>193.49</v>
          </cell>
          <cell r="Z264">
            <v>195.91</v>
          </cell>
          <cell r="AA264">
            <v>198.39</v>
          </cell>
          <cell r="AB264">
            <v>200.94</v>
          </cell>
          <cell r="AC264">
            <v>194.7</v>
          </cell>
          <cell r="AD264">
            <v>194.7</v>
          </cell>
          <cell r="AE264">
            <v>197.14</v>
          </cell>
          <cell r="AF264">
            <v>0</v>
          </cell>
          <cell r="AG264">
            <v>261.05</v>
          </cell>
          <cell r="AH264">
            <v>261.05</v>
          </cell>
          <cell r="AI264">
            <v>264.23</v>
          </cell>
          <cell r="AJ264">
            <v>267.49</v>
          </cell>
          <cell r="AK264">
            <v>246.21</v>
          </cell>
          <cell r="AL264">
            <v>262.64</v>
          </cell>
          <cell r="AM264">
            <v>262.64</v>
          </cell>
          <cell r="AN264">
            <v>264.23</v>
          </cell>
          <cell r="AO264">
            <v>270.83</v>
          </cell>
          <cell r="AP264">
            <v>267.49</v>
          </cell>
          <cell r="AQ264">
            <v>270.83</v>
          </cell>
          <cell r="AR264">
            <v>274.26</v>
          </cell>
          <cell r="AS264">
            <v>277.79000000000002</v>
          </cell>
          <cell r="AT264">
            <v>269.16000000000003</v>
          </cell>
          <cell r="AU264">
            <v>269.16000000000003</v>
          </cell>
          <cell r="AV264">
            <v>272.52999999999997</v>
          </cell>
          <cell r="AX264">
            <v>188.83</v>
          </cell>
          <cell r="AY264">
            <v>261.05</v>
          </cell>
          <cell r="AZ264">
            <v>0.17</v>
          </cell>
          <cell r="BA264">
            <v>0.04</v>
          </cell>
          <cell r="BB264" t="str">
            <v>#_NA</v>
          </cell>
          <cell r="BC264" t="str">
            <v>#_NA</v>
          </cell>
          <cell r="BD264" t="str">
            <v>#_NA</v>
          </cell>
          <cell r="BE264" t="str">
            <v>-</v>
          </cell>
          <cell r="BF264" t="str">
            <v>-</v>
          </cell>
          <cell r="BG264">
            <v>0.13542000000000001</v>
          </cell>
          <cell r="BH264">
            <v>0.42249999999999999</v>
          </cell>
          <cell r="BI264">
            <v>94.28</v>
          </cell>
          <cell r="BJ264" t="str">
            <v>-</v>
          </cell>
          <cell r="BK264">
            <v>0.45</v>
          </cell>
          <cell r="BL264">
            <v>89.79</v>
          </cell>
          <cell r="BM264" t="str">
            <v>-</v>
          </cell>
          <cell r="BN264" t="str">
            <v>NÃO</v>
          </cell>
          <cell r="BO264" t="str">
            <v>NÃO</v>
          </cell>
          <cell r="BP264" t="str">
            <v>MS|G|IMPORTADO|Não|Positiva</v>
          </cell>
          <cell r="BR264" t="str">
            <v>TBD</v>
          </cell>
          <cell r="BS264">
            <v>0</v>
          </cell>
          <cell r="BT264" t="str">
            <v>#ERRO</v>
          </cell>
          <cell r="BU264">
            <v>89.79</v>
          </cell>
          <cell r="BV264" t="str">
            <v>-</v>
          </cell>
          <cell r="BX264" t="str">
            <v>TBD</v>
          </cell>
          <cell r="BY264" t="str">
            <v>TBD</v>
          </cell>
          <cell r="BZ264" t="str">
            <v>TBD</v>
          </cell>
          <cell r="CA264" t="str">
            <v>#ERRO</v>
          </cell>
          <cell r="CB264" t="str">
            <v>-</v>
          </cell>
        </row>
        <row r="265">
          <cell r="A265" t="str">
            <v>21638-0</v>
          </cell>
          <cell r="B265" t="str">
            <v>21638-0</v>
          </cell>
          <cell r="C265">
            <v>7896714290362</v>
          </cell>
          <cell r="D265" t="str">
            <v>PAROXETINA 20MG X30 CPRV</v>
          </cell>
          <cell r="E265" t="str">
            <v>SIM</v>
          </cell>
          <cell r="F265" t="str">
            <v>G</v>
          </cell>
          <cell r="G265" t="str">
            <v>LINHA</v>
          </cell>
          <cell r="H265">
            <v>2</v>
          </cell>
          <cell r="I265">
            <v>200</v>
          </cell>
          <cell r="J265" t="str">
            <v>Monitorado</v>
          </cell>
          <cell r="K265" t="str">
            <v>Positiva</v>
          </cell>
          <cell r="L265" t="str">
            <v>Não</v>
          </cell>
          <cell r="M265" t="str">
            <v>IMPORTADO</v>
          </cell>
          <cell r="N265" t="str">
            <v>IMPORTADO</v>
          </cell>
          <cell r="P265">
            <v>33.979999999999997</v>
          </cell>
          <cell r="Q265">
            <v>33.979999999999997</v>
          </cell>
          <cell r="R265">
            <v>34.39</v>
          </cell>
          <cell r="S265">
            <v>34.81</v>
          </cell>
          <cell r="T265">
            <v>32.049999999999997</v>
          </cell>
          <cell r="U265">
            <v>34.18</v>
          </cell>
          <cell r="V265">
            <v>34.18</v>
          </cell>
          <cell r="W265">
            <v>34.39</v>
          </cell>
          <cell r="X265">
            <v>35.25</v>
          </cell>
          <cell r="Y265">
            <v>34.81</v>
          </cell>
          <cell r="Z265">
            <v>35.25</v>
          </cell>
          <cell r="AA265">
            <v>35.700000000000003</v>
          </cell>
          <cell r="AB265">
            <v>36.15</v>
          </cell>
          <cell r="AC265">
            <v>35.03</v>
          </cell>
          <cell r="AD265">
            <v>35.03</v>
          </cell>
          <cell r="AE265">
            <v>35.47</v>
          </cell>
          <cell r="AF265">
            <v>0</v>
          </cell>
          <cell r="AG265">
            <v>46.98</v>
          </cell>
          <cell r="AH265">
            <v>46.98</v>
          </cell>
          <cell r="AI265">
            <v>47.54</v>
          </cell>
          <cell r="AJ265">
            <v>48.12</v>
          </cell>
          <cell r="AK265">
            <v>44.31</v>
          </cell>
          <cell r="AL265">
            <v>47.25</v>
          </cell>
          <cell r="AM265">
            <v>47.25</v>
          </cell>
          <cell r="AN265">
            <v>47.54</v>
          </cell>
          <cell r="AO265">
            <v>48.73</v>
          </cell>
          <cell r="AP265">
            <v>48.12</v>
          </cell>
          <cell r="AQ265">
            <v>48.73</v>
          </cell>
          <cell r="AR265">
            <v>49.35</v>
          </cell>
          <cell r="AS265">
            <v>49.98</v>
          </cell>
          <cell r="AT265">
            <v>48.43</v>
          </cell>
          <cell r="AU265">
            <v>48.43</v>
          </cell>
          <cell r="AV265">
            <v>49.04</v>
          </cell>
          <cell r="AX265">
            <v>33.979999999999997</v>
          </cell>
          <cell r="AY265">
            <v>46.98</v>
          </cell>
          <cell r="AZ265">
            <v>0.17</v>
          </cell>
          <cell r="BA265">
            <v>0.04</v>
          </cell>
          <cell r="BB265" t="str">
            <v>#_NA</v>
          </cell>
          <cell r="BC265" t="str">
            <v>#_NA</v>
          </cell>
          <cell r="BD265" t="str">
            <v>#_NA</v>
          </cell>
          <cell r="BE265" t="str">
            <v>-</v>
          </cell>
          <cell r="BF265" t="str">
            <v>-</v>
          </cell>
          <cell r="BG265">
            <v>0.13542000000000001</v>
          </cell>
          <cell r="BH265">
            <v>0.72289999999999999</v>
          </cell>
          <cell r="BI265">
            <v>8.14</v>
          </cell>
          <cell r="BJ265" t="str">
            <v>-</v>
          </cell>
          <cell r="BK265">
            <v>0.73609999999999998</v>
          </cell>
          <cell r="BL265">
            <v>7.75</v>
          </cell>
          <cell r="BM265" t="str">
            <v>-</v>
          </cell>
          <cell r="BN265" t="str">
            <v>NÃO</v>
          </cell>
          <cell r="BO265" t="str">
            <v>NÃO</v>
          </cell>
          <cell r="BP265" t="str">
            <v>MS|G|IMPORTADO|Não|Positiva</v>
          </cell>
          <cell r="BR265" t="str">
            <v>TBD</v>
          </cell>
          <cell r="BS265">
            <v>0</v>
          </cell>
          <cell r="BT265" t="str">
            <v>#ERRO</v>
          </cell>
          <cell r="BU265">
            <v>7.75</v>
          </cell>
          <cell r="BV265" t="str">
            <v>-</v>
          </cell>
          <cell r="BX265" t="str">
            <v>TBD</v>
          </cell>
          <cell r="BY265" t="str">
            <v>TBD</v>
          </cell>
          <cell r="BZ265" t="str">
            <v>TBD</v>
          </cell>
          <cell r="CA265" t="str">
            <v>#ERRO</v>
          </cell>
          <cell r="CB265" t="str">
            <v>-</v>
          </cell>
        </row>
        <row r="266">
          <cell r="A266" t="str">
            <v>21637-0</v>
          </cell>
          <cell r="B266" t="str">
            <v>21637-0</v>
          </cell>
          <cell r="C266">
            <v>7896714290355</v>
          </cell>
          <cell r="D266" t="str">
            <v>MONTELUCASTE 10MG CT BLX30 CPRV</v>
          </cell>
          <cell r="E266" t="str">
            <v>SIM</v>
          </cell>
          <cell r="F266" t="str">
            <v>G</v>
          </cell>
          <cell r="G266" t="str">
            <v>LINHA</v>
          </cell>
          <cell r="H266">
            <v>2</v>
          </cell>
          <cell r="I266">
            <v>54</v>
          </cell>
          <cell r="J266" t="str">
            <v>Monitorado</v>
          </cell>
          <cell r="K266" t="str">
            <v>Positiva</v>
          </cell>
          <cell r="L266" t="str">
            <v>Não</v>
          </cell>
          <cell r="M266" t="str">
            <v>IMPORTADO</v>
          </cell>
          <cell r="N266" t="str">
            <v>IMPORTADO</v>
          </cell>
          <cell r="P266">
            <v>51.57</v>
          </cell>
          <cell r="Q266">
            <v>51.57</v>
          </cell>
          <cell r="R266">
            <v>52.2</v>
          </cell>
          <cell r="S266">
            <v>52.84</v>
          </cell>
          <cell r="T266">
            <v>48.64</v>
          </cell>
          <cell r="U266">
            <v>51.88</v>
          </cell>
          <cell r="V266">
            <v>51.88</v>
          </cell>
          <cell r="W266">
            <v>52.2</v>
          </cell>
          <cell r="X266">
            <v>53.5</v>
          </cell>
          <cell r="Y266">
            <v>52.84</v>
          </cell>
          <cell r="Z266">
            <v>53.5</v>
          </cell>
          <cell r="AA266">
            <v>54.18</v>
          </cell>
          <cell r="AB266">
            <v>54.87</v>
          </cell>
          <cell r="AC266">
            <v>53.17</v>
          </cell>
          <cell r="AD266">
            <v>53.17</v>
          </cell>
          <cell r="AE266">
            <v>53.84</v>
          </cell>
          <cell r="AF266">
            <v>0</v>
          </cell>
          <cell r="AG266">
            <v>71.290000000000006</v>
          </cell>
          <cell r="AH266">
            <v>71.290000000000006</v>
          </cell>
          <cell r="AI266">
            <v>72.16</v>
          </cell>
          <cell r="AJ266">
            <v>73.05</v>
          </cell>
          <cell r="AK266">
            <v>67.239999999999995</v>
          </cell>
          <cell r="AL266">
            <v>71.72</v>
          </cell>
          <cell r="AM266">
            <v>71.72</v>
          </cell>
          <cell r="AN266">
            <v>72.16</v>
          </cell>
          <cell r="AO266">
            <v>73.959999999999994</v>
          </cell>
          <cell r="AP266">
            <v>73.05</v>
          </cell>
          <cell r="AQ266">
            <v>73.959999999999994</v>
          </cell>
          <cell r="AR266">
            <v>74.900000000000006</v>
          </cell>
          <cell r="AS266">
            <v>75.849999999999994</v>
          </cell>
          <cell r="AT266">
            <v>73.5</v>
          </cell>
          <cell r="AU266">
            <v>73.5</v>
          </cell>
          <cell r="AV266">
            <v>74.430000000000007</v>
          </cell>
          <cell r="AX266">
            <v>51.57</v>
          </cell>
          <cell r="AY266">
            <v>71.290000000000006</v>
          </cell>
          <cell r="AZ266">
            <v>0.17</v>
          </cell>
          <cell r="BA266">
            <v>0.04</v>
          </cell>
          <cell r="BB266" t="str">
            <v>#_NA</v>
          </cell>
          <cell r="BC266" t="str">
            <v>#_NA</v>
          </cell>
          <cell r="BD266" t="str">
            <v>#_NA</v>
          </cell>
          <cell r="BE266" t="str">
            <v>-</v>
          </cell>
          <cell r="BF266" t="str">
            <v>-</v>
          </cell>
          <cell r="BG266">
            <v>0.13542000000000001</v>
          </cell>
          <cell r="BH266">
            <v>0.66110000000000002</v>
          </cell>
          <cell r="BI266">
            <v>15.11</v>
          </cell>
          <cell r="BJ266" t="str">
            <v>-</v>
          </cell>
          <cell r="BK266">
            <v>0.67730000000000001</v>
          </cell>
          <cell r="BL266">
            <v>14.39</v>
          </cell>
          <cell r="BM266" t="str">
            <v>-</v>
          </cell>
          <cell r="BN266" t="str">
            <v>NÃO</v>
          </cell>
          <cell r="BO266" t="str">
            <v>NÃO</v>
          </cell>
          <cell r="BP266" t="str">
            <v>MS|G|IMPORTADO|Não|Positiva</v>
          </cell>
          <cell r="BR266" t="str">
            <v>TBD</v>
          </cell>
          <cell r="BS266">
            <v>0</v>
          </cell>
          <cell r="BT266" t="str">
            <v>#ERRO</v>
          </cell>
          <cell r="BU266">
            <v>14.39</v>
          </cell>
          <cell r="BV266" t="str">
            <v>-</v>
          </cell>
          <cell r="BX266" t="str">
            <v>TBD</v>
          </cell>
          <cell r="BY266" t="str">
            <v>TBD</v>
          </cell>
          <cell r="BZ266" t="str">
            <v>TBD</v>
          </cell>
          <cell r="CA266" t="str">
            <v>#ERRO</v>
          </cell>
          <cell r="CB266" t="str">
            <v>-</v>
          </cell>
        </row>
        <row r="267">
          <cell r="A267" t="str">
            <v>21565-0</v>
          </cell>
          <cell r="B267" t="str">
            <v>21565-0</v>
          </cell>
          <cell r="C267">
            <v>7896714290201</v>
          </cell>
          <cell r="D267" t="str">
            <v>CLOR TANSULOSINA 0,4MG 30CPRV LIB PRO</v>
          </cell>
          <cell r="E267" t="str">
            <v>SIM</v>
          </cell>
          <cell r="F267" t="str">
            <v>G</v>
          </cell>
          <cell r="G267" t="str">
            <v>LINHA</v>
          </cell>
          <cell r="H267">
            <v>2</v>
          </cell>
          <cell r="I267">
            <v>35</v>
          </cell>
          <cell r="J267" t="str">
            <v>Monitorado</v>
          </cell>
          <cell r="K267" t="str">
            <v>Positiva</v>
          </cell>
          <cell r="L267" t="str">
            <v>Não</v>
          </cell>
          <cell r="M267" t="str">
            <v>IMPORTADO</v>
          </cell>
          <cell r="N267" t="str">
            <v>IMPORTADO</v>
          </cell>
          <cell r="P267">
            <v>79.45</v>
          </cell>
          <cell r="Q267">
            <v>79.45</v>
          </cell>
          <cell r="R267">
            <v>80.41</v>
          </cell>
          <cell r="S267">
            <v>81.41</v>
          </cell>
          <cell r="T267">
            <v>74.930000000000007</v>
          </cell>
          <cell r="U267">
            <v>79.930000000000007</v>
          </cell>
          <cell r="V267">
            <v>79.930000000000007</v>
          </cell>
          <cell r="W267">
            <v>80.41</v>
          </cell>
          <cell r="X267">
            <v>82.43</v>
          </cell>
          <cell r="Y267">
            <v>81.41</v>
          </cell>
          <cell r="Z267">
            <v>82.43</v>
          </cell>
          <cell r="AA267">
            <v>83.47</v>
          </cell>
          <cell r="AB267">
            <v>84.54</v>
          </cell>
          <cell r="AC267">
            <v>81.91</v>
          </cell>
          <cell r="AD267">
            <v>81.91</v>
          </cell>
          <cell r="AE267">
            <v>82.94</v>
          </cell>
          <cell r="AF267">
            <v>0</v>
          </cell>
          <cell r="AG267">
            <v>109.83</v>
          </cell>
          <cell r="AH267">
            <v>109.83</v>
          </cell>
          <cell r="AI267">
            <v>111.16</v>
          </cell>
          <cell r="AJ267">
            <v>112.54</v>
          </cell>
          <cell r="AK267">
            <v>103.59</v>
          </cell>
          <cell r="AL267">
            <v>110.5</v>
          </cell>
          <cell r="AM267">
            <v>110.5</v>
          </cell>
          <cell r="AN267">
            <v>111.16</v>
          </cell>
          <cell r="AO267">
            <v>113.95</v>
          </cell>
          <cell r="AP267">
            <v>112.54</v>
          </cell>
          <cell r="AQ267">
            <v>113.95</v>
          </cell>
          <cell r="AR267">
            <v>115.39</v>
          </cell>
          <cell r="AS267">
            <v>116.87</v>
          </cell>
          <cell r="AT267">
            <v>113.24</v>
          </cell>
          <cell r="AU267">
            <v>113.24</v>
          </cell>
          <cell r="AV267">
            <v>114.66</v>
          </cell>
          <cell r="AX267">
            <v>79.45</v>
          </cell>
          <cell r="AY267">
            <v>109.83</v>
          </cell>
          <cell r="AZ267">
            <v>0.17</v>
          </cell>
          <cell r="BA267">
            <v>0.04</v>
          </cell>
          <cell r="BB267" t="str">
            <v>#_NA</v>
          </cell>
          <cell r="BC267" t="str">
            <v>#_NA</v>
          </cell>
          <cell r="BD267" t="str">
            <v>#_NA</v>
          </cell>
          <cell r="BE267" t="str">
            <v>-</v>
          </cell>
          <cell r="BF267" t="str">
            <v>-</v>
          </cell>
          <cell r="BG267">
            <v>0.13542000000000001</v>
          </cell>
          <cell r="BH267">
            <v>0.65039999999999998</v>
          </cell>
          <cell r="BI267">
            <v>24.01</v>
          </cell>
          <cell r="BJ267" t="str">
            <v>-</v>
          </cell>
          <cell r="BK267">
            <v>0.66700000000000004</v>
          </cell>
          <cell r="BL267">
            <v>22.87</v>
          </cell>
          <cell r="BM267" t="str">
            <v>-</v>
          </cell>
          <cell r="BN267" t="str">
            <v>NÃO</v>
          </cell>
          <cell r="BO267" t="str">
            <v>NÃO</v>
          </cell>
          <cell r="BP267" t="str">
            <v>MS|G|IMPORTADO|Não|Positiva</v>
          </cell>
          <cell r="BR267" t="str">
            <v>TBD</v>
          </cell>
          <cell r="BS267">
            <v>0</v>
          </cell>
          <cell r="BT267" t="str">
            <v>#ERRO</v>
          </cell>
          <cell r="BU267">
            <v>22.87</v>
          </cell>
          <cell r="BV267" t="str">
            <v>-</v>
          </cell>
          <cell r="BX267" t="str">
            <v>TBD</v>
          </cell>
          <cell r="BY267" t="str">
            <v>TBD</v>
          </cell>
          <cell r="BZ267" t="str">
            <v>TBD</v>
          </cell>
          <cell r="CA267" t="str">
            <v>#ERRO</v>
          </cell>
          <cell r="CB267" t="str">
            <v>-</v>
          </cell>
        </row>
        <row r="268">
          <cell r="A268" t="str">
            <v>21916-0</v>
          </cell>
          <cell r="B268" t="str">
            <v>21916-0</v>
          </cell>
          <cell r="C268">
            <v>7896714290997</v>
          </cell>
          <cell r="D268" t="str">
            <v>MINOXIDIL 50MG/ML SOL CAP X 100ML</v>
          </cell>
          <cell r="E268" t="str">
            <v>SIM</v>
          </cell>
          <cell r="F268" t="str">
            <v>G</v>
          </cell>
          <cell r="G268" t="str">
            <v>LINHA</v>
          </cell>
          <cell r="H268">
            <v>5</v>
          </cell>
          <cell r="I268">
            <v>30</v>
          </cell>
          <cell r="J268" t="str">
            <v>Monitorado</v>
          </cell>
          <cell r="K268" t="str">
            <v>Negativa</v>
          </cell>
          <cell r="L268" t="str">
            <v>Sim</v>
          </cell>
          <cell r="M268" t="str">
            <v>NACIONAL</v>
          </cell>
          <cell r="N268" t="str">
            <v>NACIONAL</v>
          </cell>
          <cell r="P268">
            <v>87.72</v>
          </cell>
          <cell r="Q268">
            <v>100.76</v>
          </cell>
          <cell r="R268">
            <v>102.18</v>
          </cell>
          <cell r="S268">
            <v>103.64</v>
          </cell>
          <cell r="T268">
            <v>94.23</v>
          </cell>
          <cell r="U268">
            <v>101.47</v>
          </cell>
          <cell r="V268">
            <v>88.25</v>
          </cell>
          <cell r="W268">
            <v>88.78</v>
          </cell>
          <cell r="X268">
            <v>105.14</v>
          </cell>
          <cell r="Y268">
            <v>89.88</v>
          </cell>
          <cell r="Z268">
            <v>91</v>
          </cell>
          <cell r="AA268">
            <v>106.68</v>
          </cell>
          <cell r="AB268">
            <v>108.27</v>
          </cell>
          <cell r="AC268">
            <v>104.38</v>
          </cell>
          <cell r="AD268">
            <v>90.44</v>
          </cell>
          <cell r="AE268">
            <v>105.9</v>
          </cell>
          <cell r="AF268">
            <v>0</v>
          </cell>
          <cell r="AG268">
            <v>121.27</v>
          </cell>
          <cell r="AH268">
            <v>134.31</v>
          </cell>
          <cell r="AI268">
            <v>136.13999999999999</v>
          </cell>
          <cell r="AJ268">
            <v>138.02000000000001</v>
          </cell>
          <cell r="AK268">
            <v>125.87</v>
          </cell>
          <cell r="AL268">
            <v>135.22</v>
          </cell>
          <cell r="AM268">
            <v>122</v>
          </cell>
          <cell r="AN268">
            <v>122.73</v>
          </cell>
          <cell r="AO268">
            <v>139.94</v>
          </cell>
          <cell r="AP268">
            <v>124.25</v>
          </cell>
          <cell r="AQ268">
            <v>125.8</v>
          </cell>
          <cell r="AR268">
            <v>141.91999999999999</v>
          </cell>
          <cell r="AS268">
            <v>143.97</v>
          </cell>
          <cell r="AT268">
            <v>138.97</v>
          </cell>
          <cell r="AU268">
            <v>125.03</v>
          </cell>
          <cell r="AV268">
            <v>140.91999999999999</v>
          </cell>
          <cell r="AX268">
            <v>100.76</v>
          </cell>
          <cell r="AY268">
            <v>134.31</v>
          </cell>
          <cell r="AZ268">
            <v>0.17</v>
          </cell>
          <cell r="BA268">
            <v>0.12</v>
          </cell>
          <cell r="BB268" t="str">
            <v>#_NA</v>
          </cell>
          <cell r="BC268" t="str">
            <v>#_NA</v>
          </cell>
          <cell r="BD268" t="str">
            <v>#_NA</v>
          </cell>
          <cell r="BE268" t="str">
            <v>-</v>
          </cell>
          <cell r="BF268" t="str">
            <v>-</v>
          </cell>
          <cell r="BG268">
            <v>5.6820000000000002E-2</v>
          </cell>
          <cell r="BH268">
            <v>0.55069999999999997</v>
          </cell>
          <cell r="BI268">
            <v>42.7</v>
          </cell>
          <cell r="BJ268" t="str">
            <v>-</v>
          </cell>
          <cell r="BK268">
            <v>0.70679999999999998</v>
          </cell>
          <cell r="BL268">
            <v>27.86</v>
          </cell>
          <cell r="BM268" t="str">
            <v>-</v>
          </cell>
          <cell r="BN268" t="str">
            <v>SIM</v>
          </cell>
          <cell r="BO268" t="str">
            <v>NÃO</v>
          </cell>
          <cell r="BP268" t="str">
            <v>MS|G|NACIONAL|Sim|Negativa</v>
          </cell>
          <cell r="BR268" t="str">
            <v>TBD</v>
          </cell>
          <cell r="BS268">
            <v>0</v>
          </cell>
          <cell r="BT268" t="str">
            <v>#ERRO</v>
          </cell>
          <cell r="BU268">
            <v>27.86</v>
          </cell>
          <cell r="BV268" t="str">
            <v>-</v>
          </cell>
          <cell r="BX268" t="str">
            <v>TBD</v>
          </cell>
          <cell r="BY268" t="str">
            <v>TBD</v>
          </cell>
          <cell r="BZ268" t="str">
            <v>TBD</v>
          </cell>
          <cell r="CA268" t="str">
            <v>#ERRO</v>
          </cell>
          <cell r="CB268" t="str">
            <v>-</v>
          </cell>
        </row>
        <row r="269">
          <cell r="A269" t="str">
            <v>20574-0</v>
          </cell>
          <cell r="B269" t="str">
            <v>20574-1</v>
          </cell>
          <cell r="C269">
            <v>7896714274126</v>
          </cell>
          <cell r="D269" t="str">
            <v>AXETILCEFUROXIMA 500MG X 14 CPR</v>
          </cell>
          <cell r="E269" t="str">
            <v>SIM</v>
          </cell>
          <cell r="F269" t="str">
            <v>G</v>
          </cell>
          <cell r="G269" t="str">
            <v>LINHA</v>
          </cell>
          <cell r="H269">
            <v>2</v>
          </cell>
          <cell r="I269">
            <v>60</v>
          </cell>
          <cell r="J269" t="str">
            <v>Monitorado</v>
          </cell>
          <cell r="K269" t="str">
            <v>Positiva</v>
          </cell>
          <cell r="L269" t="str">
            <v>Não</v>
          </cell>
          <cell r="M269" t="str">
            <v>IMPORTADO</v>
          </cell>
          <cell r="N269" t="str">
            <v>IMPORTADO</v>
          </cell>
          <cell r="P269">
            <v>125.05</v>
          </cell>
          <cell r="Q269">
            <v>125.05</v>
          </cell>
          <cell r="R269">
            <v>126.57</v>
          </cell>
          <cell r="S269">
            <v>128.13999999999999</v>
          </cell>
          <cell r="T269">
            <v>117.94</v>
          </cell>
          <cell r="U269">
            <v>125.81</v>
          </cell>
          <cell r="V269">
            <v>125.81</v>
          </cell>
          <cell r="W269">
            <v>126.57</v>
          </cell>
          <cell r="X269">
            <v>129.74</v>
          </cell>
          <cell r="Y269">
            <v>128.13999999999999</v>
          </cell>
          <cell r="Z269">
            <v>129.74</v>
          </cell>
          <cell r="AA269">
            <v>131.38</v>
          </cell>
          <cell r="AB269">
            <v>133.06</v>
          </cell>
          <cell r="AC269">
            <v>128.93</v>
          </cell>
          <cell r="AD269">
            <v>128.93</v>
          </cell>
          <cell r="AE269">
            <v>130.55000000000001</v>
          </cell>
          <cell r="AF269">
            <v>0</v>
          </cell>
          <cell r="AG269">
            <v>172.87</v>
          </cell>
          <cell r="AH269">
            <v>172.87</v>
          </cell>
          <cell r="AI269">
            <v>174.98</v>
          </cell>
          <cell r="AJ269">
            <v>177.15</v>
          </cell>
          <cell r="AK269">
            <v>163.05000000000001</v>
          </cell>
          <cell r="AL269">
            <v>173.92</v>
          </cell>
          <cell r="AM269">
            <v>173.92</v>
          </cell>
          <cell r="AN269">
            <v>174.98</v>
          </cell>
          <cell r="AO269">
            <v>179.36</v>
          </cell>
          <cell r="AP269">
            <v>177.15</v>
          </cell>
          <cell r="AQ269">
            <v>179.36</v>
          </cell>
          <cell r="AR269">
            <v>181.63</v>
          </cell>
          <cell r="AS269">
            <v>183.95</v>
          </cell>
          <cell r="AT269">
            <v>178.24</v>
          </cell>
          <cell r="AU269">
            <v>178.24</v>
          </cell>
          <cell r="AV269">
            <v>180.48</v>
          </cell>
          <cell r="AX269">
            <v>125.05</v>
          </cell>
          <cell r="AY269">
            <v>172.87</v>
          </cell>
          <cell r="AZ269">
            <v>0.17</v>
          </cell>
          <cell r="BA269">
            <v>0.04</v>
          </cell>
          <cell r="BB269" t="str">
            <v>#_NA</v>
          </cell>
          <cell r="BC269" t="str">
            <v>#_NA</v>
          </cell>
          <cell r="BD269" t="str">
            <v>#_NA</v>
          </cell>
          <cell r="BE269" t="str">
            <v>-</v>
          </cell>
          <cell r="BF269" t="str">
            <v>-</v>
          </cell>
          <cell r="BG269">
            <v>0.13542000000000001</v>
          </cell>
          <cell r="BH269">
            <v>0.52949999999999997</v>
          </cell>
          <cell r="BI269">
            <v>50.87</v>
          </cell>
          <cell r="BJ269" t="str">
            <v>-</v>
          </cell>
          <cell r="BK269">
            <v>0.55189999999999995</v>
          </cell>
          <cell r="BL269">
            <v>48.45</v>
          </cell>
          <cell r="BM269" t="str">
            <v>-</v>
          </cell>
          <cell r="BN269" t="str">
            <v>NÃO</v>
          </cell>
          <cell r="BO269" t="str">
            <v>NÃO</v>
          </cell>
          <cell r="BP269" t="str">
            <v>MS|G|IMPORTADO|Não|Positiva</v>
          </cell>
          <cell r="BR269" t="str">
            <v>TBD</v>
          </cell>
          <cell r="BS269">
            <v>0</v>
          </cell>
          <cell r="BT269" t="str">
            <v>#ERRO</v>
          </cell>
          <cell r="BU269">
            <v>48.45</v>
          </cell>
          <cell r="BV269" t="str">
            <v>-</v>
          </cell>
          <cell r="BX269" t="str">
            <v>TBD</v>
          </cell>
          <cell r="BY269" t="str">
            <v>TBD</v>
          </cell>
          <cell r="BZ269" t="str">
            <v>TBD</v>
          </cell>
          <cell r="CA269" t="str">
            <v>#ERRO</v>
          </cell>
          <cell r="CB269" t="str">
            <v>-</v>
          </cell>
        </row>
        <row r="270">
          <cell r="A270" t="str">
            <v>21538-0</v>
          </cell>
          <cell r="B270" t="str">
            <v>21538-1</v>
          </cell>
          <cell r="C270">
            <v>7896714273815</v>
          </cell>
          <cell r="D270" t="str">
            <v>AXETILCEFUROXIMA 500MG X 10 CPR</v>
          </cell>
          <cell r="E270" t="str">
            <v>SIM</v>
          </cell>
          <cell r="F270" t="str">
            <v>G</v>
          </cell>
          <cell r="G270" t="str">
            <v>LINHA</v>
          </cell>
          <cell r="H270">
            <v>0</v>
          </cell>
          <cell r="I270">
            <v>60</v>
          </cell>
          <cell r="J270" t="str">
            <v>Monitorado</v>
          </cell>
          <cell r="K270" t="str">
            <v>Positiva</v>
          </cell>
          <cell r="L270" t="str">
            <v>Não</v>
          </cell>
          <cell r="M270" t="str">
            <v>NACIONAL</v>
          </cell>
          <cell r="N270" t="str">
            <v>NACIONAL</v>
          </cell>
          <cell r="P270">
            <v>100.05</v>
          </cell>
          <cell r="Q270">
            <v>100.05</v>
          </cell>
          <cell r="R270">
            <v>101.27</v>
          </cell>
          <cell r="S270">
            <v>102.52</v>
          </cell>
          <cell r="T270">
            <v>94.36</v>
          </cell>
          <cell r="U270">
            <v>100.65</v>
          </cell>
          <cell r="V270">
            <v>100.65</v>
          </cell>
          <cell r="W270">
            <v>101.27</v>
          </cell>
          <cell r="X270">
            <v>103.8</v>
          </cell>
          <cell r="Y270">
            <v>102.52</v>
          </cell>
          <cell r="Z270">
            <v>103.8</v>
          </cell>
          <cell r="AA270">
            <v>105.11</v>
          </cell>
          <cell r="AB270">
            <v>106.46</v>
          </cell>
          <cell r="AC270">
            <v>103.16</v>
          </cell>
          <cell r="AD270">
            <v>103.16</v>
          </cell>
          <cell r="AE270">
            <v>104.45</v>
          </cell>
          <cell r="AF270">
            <v>0</v>
          </cell>
          <cell r="AG270">
            <v>138.31</v>
          </cell>
          <cell r="AH270">
            <v>138.31</v>
          </cell>
          <cell r="AI270">
            <v>140</v>
          </cell>
          <cell r="AJ270">
            <v>141.72999999999999</v>
          </cell>
          <cell r="AK270">
            <v>130.44999999999999</v>
          </cell>
          <cell r="AL270">
            <v>139.13999999999999</v>
          </cell>
          <cell r="AM270">
            <v>139.13999999999999</v>
          </cell>
          <cell r="AN270">
            <v>140</v>
          </cell>
          <cell r="AO270">
            <v>143.5</v>
          </cell>
          <cell r="AP270">
            <v>141.72999999999999</v>
          </cell>
          <cell r="AQ270">
            <v>143.5</v>
          </cell>
          <cell r="AR270">
            <v>145.31</v>
          </cell>
          <cell r="AS270">
            <v>147.16999999999999</v>
          </cell>
          <cell r="AT270">
            <v>142.61000000000001</v>
          </cell>
          <cell r="AU270">
            <v>142.61000000000001</v>
          </cell>
          <cell r="AV270">
            <v>144.4</v>
          </cell>
          <cell r="AX270">
            <v>100.05</v>
          </cell>
          <cell r="AY270">
            <v>138.31</v>
          </cell>
          <cell r="AZ270">
            <v>0.17</v>
          </cell>
          <cell r="BA270">
            <v>0.12</v>
          </cell>
          <cell r="BB270" t="str">
            <v>#_NA</v>
          </cell>
          <cell r="BC270" t="str">
            <v>#_NA</v>
          </cell>
          <cell r="BD270" t="str">
            <v>#_NA</v>
          </cell>
          <cell r="BE270" t="str">
            <v>-</v>
          </cell>
          <cell r="BF270" t="str">
            <v>-</v>
          </cell>
          <cell r="BG270">
            <v>5.6820000000000002E-2</v>
          </cell>
          <cell r="BH270">
            <v>0.59360000000000002</v>
          </cell>
          <cell r="BI270">
            <v>38.35</v>
          </cell>
          <cell r="BJ270" t="str">
            <v>-</v>
          </cell>
          <cell r="BK270">
            <v>0.61309999999999998</v>
          </cell>
          <cell r="BL270">
            <v>36.51</v>
          </cell>
          <cell r="BM270" t="str">
            <v>-</v>
          </cell>
          <cell r="BN270" t="str">
            <v>NÃO</v>
          </cell>
          <cell r="BO270" t="str">
            <v>NÃO</v>
          </cell>
          <cell r="BP270" t="str">
            <v>MS|G|NACIONAL|Não|Positiva</v>
          </cell>
          <cell r="BR270" t="str">
            <v>TBD</v>
          </cell>
          <cell r="BS270">
            <v>0</v>
          </cell>
          <cell r="BT270" t="str">
            <v>#ERRO</v>
          </cell>
          <cell r="BU270">
            <v>36.51</v>
          </cell>
          <cell r="BV270" t="str">
            <v>-</v>
          </cell>
          <cell r="BX270" t="str">
            <v>TBD</v>
          </cell>
          <cell r="BY270" t="str">
            <v>TBD</v>
          </cell>
          <cell r="BZ270" t="str">
            <v>TBD</v>
          </cell>
          <cell r="CA270" t="str">
            <v>#ERRO</v>
          </cell>
          <cell r="CB270" t="str">
            <v>-</v>
          </cell>
        </row>
        <row r="271">
          <cell r="A271" t="str">
            <v>21729-0</v>
          </cell>
          <cell r="B271" t="str">
            <v>21729-0</v>
          </cell>
          <cell r="C271">
            <v>7896714290478</v>
          </cell>
          <cell r="D271" t="str">
            <v>PANTOPRAZOL 20MG CT BL 28 CPRV LIB RET</v>
          </cell>
          <cell r="E271" t="str">
            <v>SIM</v>
          </cell>
          <cell r="F271" t="str">
            <v>G</v>
          </cell>
          <cell r="G271" t="str">
            <v>LINHA</v>
          </cell>
          <cell r="H271">
            <v>5</v>
          </cell>
          <cell r="I271">
            <v>24</v>
          </cell>
          <cell r="J271" t="str">
            <v>Monitorado</v>
          </cell>
          <cell r="K271" t="str">
            <v>Positiva</v>
          </cell>
          <cell r="L271" t="str">
            <v>Sim</v>
          </cell>
          <cell r="M271" t="str">
            <v>NACIONAL</v>
          </cell>
          <cell r="N271" t="str">
            <v>NACIONAL</v>
          </cell>
          <cell r="P271">
            <v>23.93</v>
          </cell>
          <cell r="Q271">
            <v>23.93</v>
          </cell>
          <cell r="R271">
            <v>24.22</v>
          </cell>
          <cell r="S271">
            <v>24.52</v>
          </cell>
          <cell r="T271">
            <v>22.57</v>
          </cell>
          <cell r="U271">
            <v>24.07</v>
          </cell>
          <cell r="V271">
            <v>24.07</v>
          </cell>
          <cell r="W271">
            <v>24.22</v>
          </cell>
          <cell r="X271">
            <v>24.83</v>
          </cell>
          <cell r="Y271">
            <v>24.52</v>
          </cell>
          <cell r="Z271">
            <v>24.83</v>
          </cell>
          <cell r="AA271">
            <v>25.14</v>
          </cell>
          <cell r="AB271">
            <v>25.46</v>
          </cell>
          <cell r="AC271">
            <v>24.67</v>
          </cell>
          <cell r="AD271">
            <v>24.67</v>
          </cell>
          <cell r="AE271">
            <v>24.98</v>
          </cell>
          <cell r="AF271">
            <v>0</v>
          </cell>
          <cell r="AG271">
            <v>33.08</v>
          </cell>
          <cell r="AH271">
            <v>33.08</v>
          </cell>
          <cell r="AI271">
            <v>33.479999999999997</v>
          </cell>
          <cell r="AJ271">
            <v>33.9</v>
          </cell>
          <cell r="AK271">
            <v>31.2</v>
          </cell>
          <cell r="AL271">
            <v>33.28</v>
          </cell>
          <cell r="AM271">
            <v>33.28</v>
          </cell>
          <cell r="AN271">
            <v>33.479999999999997</v>
          </cell>
          <cell r="AO271">
            <v>34.33</v>
          </cell>
          <cell r="AP271">
            <v>33.9</v>
          </cell>
          <cell r="AQ271">
            <v>34.33</v>
          </cell>
          <cell r="AR271">
            <v>34.75</v>
          </cell>
          <cell r="AS271">
            <v>35.200000000000003</v>
          </cell>
          <cell r="AT271">
            <v>34.1</v>
          </cell>
          <cell r="AU271">
            <v>34.1</v>
          </cell>
          <cell r="AV271">
            <v>34.53</v>
          </cell>
          <cell r="AX271">
            <v>23.93</v>
          </cell>
          <cell r="AY271">
            <v>33.08</v>
          </cell>
          <cell r="AZ271">
            <v>0.17</v>
          </cell>
          <cell r="BA271">
            <v>0.12</v>
          </cell>
          <cell r="BB271" t="str">
            <v>#_NA</v>
          </cell>
          <cell r="BC271" t="str">
            <v>#_NA</v>
          </cell>
          <cell r="BD271" t="str">
            <v>#_NA</v>
          </cell>
          <cell r="BE271" t="str">
            <v>-</v>
          </cell>
          <cell r="BF271" t="str">
            <v>-</v>
          </cell>
          <cell r="BG271">
            <v>5.6820000000000002E-2</v>
          </cell>
          <cell r="BH271">
            <v>0.64319999999999999</v>
          </cell>
          <cell r="BI271">
            <v>8.0500000000000007</v>
          </cell>
          <cell r="BJ271" t="str">
            <v>-</v>
          </cell>
          <cell r="BK271">
            <v>0.66769999999999996</v>
          </cell>
          <cell r="BL271">
            <v>7.5</v>
          </cell>
          <cell r="BM271" t="str">
            <v>-</v>
          </cell>
          <cell r="BN271" t="str">
            <v>SIM</v>
          </cell>
          <cell r="BO271" t="str">
            <v>NÃO</v>
          </cell>
          <cell r="BP271" t="str">
            <v>MS|G|NACIONAL|Sim|Positiva</v>
          </cell>
          <cell r="BR271" t="str">
            <v>TBD</v>
          </cell>
          <cell r="BS271">
            <v>0</v>
          </cell>
          <cell r="BT271" t="str">
            <v>#ERRO</v>
          </cell>
          <cell r="BU271">
            <v>7.5</v>
          </cell>
          <cell r="BV271" t="str">
            <v>-</v>
          </cell>
          <cell r="BX271" t="str">
            <v>TBD</v>
          </cell>
          <cell r="BY271" t="str">
            <v>TBD</v>
          </cell>
          <cell r="BZ271" t="str">
            <v>TBD</v>
          </cell>
          <cell r="CA271" t="str">
            <v>#ERRO</v>
          </cell>
          <cell r="CB271" t="str">
            <v>-</v>
          </cell>
        </row>
        <row r="272">
          <cell r="A272" t="str">
            <v>21731-0</v>
          </cell>
          <cell r="B272" t="str">
            <v>21731-0</v>
          </cell>
          <cell r="C272">
            <v>7896714290492</v>
          </cell>
          <cell r="D272" t="str">
            <v>PANTOPRAZOL 40MG CT BL 28 CPRV LIB RET</v>
          </cell>
          <cell r="E272" t="str">
            <v>SIM</v>
          </cell>
          <cell r="F272" t="str">
            <v>G</v>
          </cell>
          <cell r="G272" t="str">
            <v>LINHA</v>
          </cell>
          <cell r="H272">
            <v>5</v>
          </cell>
          <cell r="I272">
            <v>24</v>
          </cell>
          <cell r="J272" t="str">
            <v>Monitorado</v>
          </cell>
          <cell r="K272" t="str">
            <v>Positiva</v>
          </cell>
          <cell r="L272" t="str">
            <v>Sim</v>
          </cell>
          <cell r="M272" t="str">
            <v>NACIONAL</v>
          </cell>
          <cell r="N272" t="str">
            <v>NACIONAL</v>
          </cell>
          <cell r="P272">
            <v>31.89</v>
          </cell>
          <cell r="Q272">
            <v>31.89</v>
          </cell>
          <cell r="R272">
            <v>32.28</v>
          </cell>
          <cell r="S272">
            <v>32.68</v>
          </cell>
          <cell r="T272">
            <v>30.08</v>
          </cell>
          <cell r="U272">
            <v>32.08</v>
          </cell>
          <cell r="V272">
            <v>32.08</v>
          </cell>
          <cell r="W272">
            <v>32.28</v>
          </cell>
          <cell r="X272">
            <v>33.090000000000003</v>
          </cell>
          <cell r="Y272">
            <v>32.68</v>
          </cell>
          <cell r="Z272">
            <v>33.090000000000003</v>
          </cell>
          <cell r="AA272">
            <v>33.51</v>
          </cell>
          <cell r="AB272">
            <v>33.94</v>
          </cell>
          <cell r="AC272">
            <v>32.880000000000003</v>
          </cell>
          <cell r="AD272">
            <v>32.880000000000003</v>
          </cell>
          <cell r="AE272">
            <v>33.299999999999997</v>
          </cell>
          <cell r="AF272">
            <v>0</v>
          </cell>
          <cell r="AG272">
            <v>44.09</v>
          </cell>
          <cell r="AH272">
            <v>44.09</v>
          </cell>
          <cell r="AI272">
            <v>44.63</v>
          </cell>
          <cell r="AJ272">
            <v>45.18</v>
          </cell>
          <cell r="AK272">
            <v>41.58</v>
          </cell>
          <cell r="AL272">
            <v>44.35</v>
          </cell>
          <cell r="AM272">
            <v>44.35</v>
          </cell>
          <cell r="AN272">
            <v>44.63</v>
          </cell>
          <cell r="AO272">
            <v>45.74</v>
          </cell>
          <cell r="AP272">
            <v>45.18</v>
          </cell>
          <cell r="AQ272">
            <v>45.74</v>
          </cell>
          <cell r="AR272">
            <v>46.33</v>
          </cell>
          <cell r="AS272">
            <v>46.92</v>
          </cell>
          <cell r="AT272">
            <v>45.45</v>
          </cell>
          <cell r="AU272">
            <v>45.45</v>
          </cell>
          <cell r="AV272">
            <v>46.04</v>
          </cell>
          <cell r="AX272">
            <v>31.89</v>
          </cell>
          <cell r="AY272">
            <v>44.09</v>
          </cell>
          <cell r="AZ272">
            <v>0.17</v>
          </cell>
          <cell r="BA272">
            <v>0.12</v>
          </cell>
          <cell r="BB272" t="str">
            <v>#_NA</v>
          </cell>
          <cell r="BC272" t="str">
            <v>#_NA</v>
          </cell>
          <cell r="BD272" t="str">
            <v>#_NA</v>
          </cell>
          <cell r="BE272" t="str">
            <v>-</v>
          </cell>
          <cell r="BF272" t="str">
            <v>-</v>
          </cell>
          <cell r="BG272">
            <v>5.6820000000000002E-2</v>
          </cell>
          <cell r="BH272">
            <v>0.73229999999999995</v>
          </cell>
          <cell r="BI272">
            <v>8.0500000000000007</v>
          </cell>
          <cell r="BJ272" t="str">
            <v>-</v>
          </cell>
          <cell r="BK272">
            <v>0.75070000000000003</v>
          </cell>
          <cell r="BL272">
            <v>7.5</v>
          </cell>
          <cell r="BM272" t="str">
            <v>-</v>
          </cell>
          <cell r="BN272" t="str">
            <v>SIM</v>
          </cell>
          <cell r="BO272" t="str">
            <v>NÃO</v>
          </cell>
          <cell r="BP272" t="str">
            <v>MS|G|NACIONAL|Sim|Positiva</v>
          </cell>
          <cell r="BR272" t="str">
            <v>TBD</v>
          </cell>
          <cell r="BS272">
            <v>0</v>
          </cell>
          <cell r="BT272" t="str">
            <v>#ERRO</v>
          </cell>
          <cell r="BU272">
            <v>7.5</v>
          </cell>
          <cell r="BV272" t="str">
            <v>-</v>
          </cell>
          <cell r="BX272" t="str">
            <v>TBD</v>
          </cell>
          <cell r="BY272" t="str">
            <v>TBD</v>
          </cell>
          <cell r="BZ272" t="str">
            <v>TBD</v>
          </cell>
          <cell r="CA272" t="str">
            <v>#ERRO</v>
          </cell>
          <cell r="CB272" t="str">
            <v>-</v>
          </cell>
        </row>
        <row r="273">
          <cell r="A273" t="str">
            <v>19796-0</v>
          </cell>
          <cell r="B273" t="str">
            <v>19796-0</v>
          </cell>
          <cell r="C273">
            <v>7896714241647</v>
          </cell>
          <cell r="D273" t="str">
            <v>TART BRIMONIDINA+MAL TIMOLOL SOL FR 5ML</v>
          </cell>
          <cell r="E273" t="str">
            <v>SIM</v>
          </cell>
          <cell r="F273" t="str">
            <v>G</v>
          </cell>
          <cell r="G273" t="str">
            <v>LINHA</v>
          </cell>
          <cell r="H273">
            <v>5</v>
          </cell>
          <cell r="I273">
            <v>50</v>
          </cell>
          <cell r="J273" t="str">
            <v>Monitorado</v>
          </cell>
          <cell r="K273" t="str">
            <v>Positiva</v>
          </cell>
          <cell r="L273" t="str">
            <v>Sim</v>
          </cell>
          <cell r="M273" t="str">
            <v>NACIONAL</v>
          </cell>
          <cell r="N273" t="str">
            <v>NACIONAL</v>
          </cell>
          <cell r="P273">
            <v>70.84</v>
          </cell>
          <cell r="Q273">
            <v>70.84</v>
          </cell>
          <cell r="R273">
            <v>71.709999999999994</v>
          </cell>
          <cell r="S273">
            <v>72.59</v>
          </cell>
          <cell r="T273">
            <v>66.819999999999993</v>
          </cell>
          <cell r="U273">
            <v>71.27</v>
          </cell>
          <cell r="V273">
            <v>71.27</v>
          </cell>
          <cell r="W273">
            <v>71.709999999999994</v>
          </cell>
          <cell r="X273">
            <v>73.5</v>
          </cell>
          <cell r="Y273">
            <v>72.59</v>
          </cell>
          <cell r="Z273">
            <v>73.5</v>
          </cell>
          <cell r="AA273">
            <v>74.430000000000007</v>
          </cell>
          <cell r="AB273">
            <v>75.38</v>
          </cell>
          <cell r="AC273">
            <v>73.040000000000006</v>
          </cell>
          <cell r="AD273">
            <v>73.040000000000006</v>
          </cell>
          <cell r="AE273">
            <v>73.959999999999994</v>
          </cell>
          <cell r="AF273">
            <v>0</v>
          </cell>
          <cell r="AG273">
            <v>97.93</v>
          </cell>
          <cell r="AH273">
            <v>97.93</v>
          </cell>
          <cell r="AI273">
            <v>99.13</v>
          </cell>
          <cell r="AJ273">
            <v>100.35</v>
          </cell>
          <cell r="AK273">
            <v>92.37</v>
          </cell>
          <cell r="AL273">
            <v>98.53</v>
          </cell>
          <cell r="AM273">
            <v>98.53</v>
          </cell>
          <cell r="AN273">
            <v>99.13</v>
          </cell>
          <cell r="AO273">
            <v>101.61</v>
          </cell>
          <cell r="AP273">
            <v>100.35</v>
          </cell>
          <cell r="AQ273">
            <v>101.61</v>
          </cell>
          <cell r="AR273">
            <v>102.9</v>
          </cell>
          <cell r="AS273">
            <v>104.21</v>
          </cell>
          <cell r="AT273">
            <v>100.97</v>
          </cell>
          <cell r="AU273">
            <v>100.97</v>
          </cell>
          <cell r="AV273">
            <v>102.25</v>
          </cell>
          <cell r="AX273">
            <v>70.84</v>
          </cell>
          <cell r="AY273">
            <v>97.93</v>
          </cell>
          <cell r="AZ273">
            <v>0.17</v>
          </cell>
          <cell r="BA273">
            <v>0.12</v>
          </cell>
          <cell r="BB273" t="str">
            <v>#_NA</v>
          </cell>
          <cell r="BC273" t="str">
            <v>#_NA</v>
          </cell>
          <cell r="BD273" t="str">
            <v>#_NA</v>
          </cell>
          <cell r="BE273" t="str">
            <v>-</v>
          </cell>
          <cell r="BF273" t="str">
            <v>-</v>
          </cell>
          <cell r="BG273">
            <v>5.6820000000000002E-2</v>
          </cell>
          <cell r="BH273">
            <v>0.30590000000000001</v>
          </cell>
          <cell r="BI273">
            <v>46.37</v>
          </cell>
          <cell r="BJ273" t="str">
            <v>-</v>
          </cell>
          <cell r="BK273">
            <v>0.33929999999999999</v>
          </cell>
          <cell r="BL273">
            <v>44.14</v>
          </cell>
          <cell r="BM273" t="str">
            <v>-</v>
          </cell>
          <cell r="BN273" t="str">
            <v>NÃO</v>
          </cell>
          <cell r="BO273" t="str">
            <v>NÃO</v>
          </cell>
          <cell r="BP273" t="str">
            <v>MS|G|NACIONAL|Sim|Positiva</v>
          </cell>
          <cell r="BR273" t="str">
            <v>TBD</v>
          </cell>
          <cell r="BS273">
            <v>0</v>
          </cell>
          <cell r="BT273" t="str">
            <v>#ERRO</v>
          </cell>
          <cell r="BU273">
            <v>44.14</v>
          </cell>
          <cell r="BV273" t="str">
            <v>-</v>
          </cell>
          <cell r="BX273" t="str">
            <v>TBD</v>
          </cell>
          <cell r="BY273" t="str">
            <v>TBD</v>
          </cell>
          <cell r="BZ273" t="str">
            <v>TBD</v>
          </cell>
          <cell r="CA273" t="str">
            <v>#ERRO</v>
          </cell>
          <cell r="CB273" t="str">
            <v>-</v>
          </cell>
        </row>
        <row r="274">
          <cell r="A274" t="str">
            <v>21958-0</v>
          </cell>
          <cell r="B274" t="str">
            <v>21958-0</v>
          </cell>
          <cell r="C274">
            <v>7896714291239</v>
          </cell>
          <cell r="D274" t="str">
            <v>VIT NEO QUIMICA OMEGA 3 FR 60 CAP</v>
          </cell>
          <cell r="E274" t="str">
            <v>SIM</v>
          </cell>
          <cell r="F274" t="str">
            <v>S</v>
          </cell>
          <cell r="G274" t="str">
            <v>FOCO SMART</v>
          </cell>
          <cell r="H274">
            <v>0</v>
          </cell>
          <cell r="I274">
            <v>24</v>
          </cell>
          <cell r="J274" t="str">
            <v>Liberado</v>
          </cell>
          <cell r="K274" t="str">
            <v>Alimento Funcional</v>
          </cell>
          <cell r="L274" t="str">
            <v>Sim</v>
          </cell>
          <cell r="M274" t="str">
            <v>NACIONAL</v>
          </cell>
          <cell r="N274" t="str">
            <v>NACIONAL</v>
          </cell>
          <cell r="P274">
            <v>65.58</v>
          </cell>
          <cell r="Q274">
            <v>65.58</v>
          </cell>
          <cell r="R274">
            <v>66.38</v>
          </cell>
          <cell r="S274">
            <v>67.2</v>
          </cell>
          <cell r="T274">
            <v>61.85</v>
          </cell>
          <cell r="U274">
            <v>65.98</v>
          </cell>
          <cell r="V274">
            <v>65.98</v>
          </cell>
          <cell r="W274">
            <v>66.38</v>
          </cell>
          <cell r="X274">
            <v>68.040000000000006</v>
          </cell>
          <cell r="Y274">
            <v>67.2</v>
          </cell>
          <cell r="Z274">
            <v>68.040000000000006</v>
          </cell>
          <cell r="AA274">
            <v>68.900000000000006</v>
          </cell>
          <cell r="AB274">
            <v>69.78</v>
          </cell>
          <cell r="AC274">
            <v>67.62</v>
          </cell>
          <cell r="AD274">
            <v>67.62</v>
          </cell>
          <cell r="AE274">
            <v>68.47</v>
          </cell>
          <cell r="AF274">
            <v>0</v>
          </cell>
          <cell r="AG274">
            <v>90.66</v>
          </cell>
          <cell r="AH274">
            <v>90.66</v>
          </cell>
          <cell r="AI274">
            <v>91.77</v>
          </cell>
          <cell r="AJ274">
            <v>92.9</v>
          </cell>
          <cell r="AK274">
            <v>85.5</v>
          </cell>
          <cell r="AL274">
            <v>91.21</v>
          </cell>
          <cell r="AM274">
            <v>91.21</v>
          </cell>
          <cell r="AN274">
            <v>91.77</v>
          </cell>
          <cell r="AO274">
            <v>94.06</v>
          </cell>
          <cell r="AP274">
            <v>92.9</v>
          </cell>
          <cell r="AQ274">
            <v>94.06</v>
          </cell>
          <cell r="AR274">
            <v>95.25</v>
          </cell>
          <cell r="AS274">
            <v>96.47</v>
          </cell>
          <cell r="AT274">
            <v>93.48</v>
          </cell>
          <cell r="AU274">
            <v>93.48</v>
          </cell>
          <cell r="AV274">
            <v>94.66</v>
          </cell>
          <cell r="AX274">
            <v>65.58</v>
          </cell>
          <cell r="AY274">
            <v>90.66</v>
          </cell>
          <cell r="AZ274">
            <v>0.17</v>
          </cell>
          <cell r="BA274">
            <v>0.12</v>
          </cell>
          <cell r="BB274" t="str">
            <v>#_NA</v>
          </cell>
          <cell r="BC274" t="str">
            <v>#_NA</v>
          </cell>
          <cell r="BD274" t="str">
            <v>#_NA</v>
          </cell>
          <cell r="BE274" t="str">
            <v>-</v>
          </cell>
          <cell r="BF274" t="str">
            <v>-</v>
          </cell>
          <cell r="BG274">
            <v>5.6820000000000002E-2</v>
          </cell>
          <cell r="BH274">
            <v>0.77459999999999996</v>
          </cell>
          <cell r="BI274">
            <v>13.94</v>
          </cell>
          <cell r="BJ274" t="str">
            <v>-</v>
          </cell>
          <cell r="BK274">
            <v>0.78539999999999999</v>
          </cell>
          <cell r="BL274">
            <v>13.27</v>
          </cell>
          <cell r="BM274" t="str">
            <v>-</v>
          </cell>
          <cell r="BN274" t="str">
            <v>NÃO</v>
          </cell>
          <cell r="BO274" t="str">
            <v>NÃO</v>
          </cell>
          <cell r="BP274" t="str">
            <v>MS|S|NACIONAL|Sim|Alimento Funcional</v>
          </cell>
          <cell r="BR274" t="str">
            <v>TBD</v>
          </cell>
          <cell r="BS274">
            <v>0</v>
          </cell>
          <cell r="BT274" t="str">
            <v>#ERRO</v>
          </cell>
          <cell r="BU274">
            <v>13.27</v>
          </cell>
          <cell r="BV274" t="str">
            <v>-</v>
          </cell>
          <cell r="BX274" t="str">
            <v>TBD</v>
          </cell>
          <cell r="BY274" t="str">
            <v>TBD</v>
          </cell>
          <cell r="BZ274" t="str">
            <v>TBD</v>
          </cell>
          <cell r="CA274" t="str">
            <v>#ERRO</v>
          </cell>
          <cell r="CB274" t="str">
            <v>-</v>
          </cell>
        </row>
        <row r="275">
          <cell r="A275" t="str">
            <v>17044-0</v>
          </cell>
          <cell r="B275" t="str">
            <v>17044-0</v>
          </cell>
          <cell r="C275">
            <v>7896714202617</v>
          </cell>
          <cell r="D275" t="str">
            <v>CEFALEXINA MONO 50MG/ML SUSP FR 100ML</v>
          </cell>
          <cell r="E275" t="str">
            <v>SIM</v>
          </cell>
          <cell r="F275" t="str">
            <v>G</v>
          </cell>
          <cell r="G275" t="str">
            <v>LINHA</v>
          </cell>
          <cell r="H275">
            <v>5</v>
          </cell>
          <cell r="I275">
            <v>60</v>
          </cell>
          <cell r="J275" t="str">
            <v>Monitorado</v>
          </cell>
          <cell r="K275" t="str">
            <v>Positiva</v>
          </cell>
          <cell r="L275" t="str">
            <v>Não</v>
          </cell>
          <cell r="M275" t="str">
            <v>NACIONAL</v>
          </cell>
          <cell r="N275" t="str">
            <v>NACIONAL</v>
          </cell>
          <cell r="P275">
            <v>35.14</v>
          </cell>
          <cell r="Q275">
            <v>35.14</v>
          </cell>
          <cell r="R275">
            <v>35.57</v>
          </cell>
          <cell r="S275">
            <v>36.01</v>
          </cell>
          <cell r="T275">
            <v>33.15</v>
          </cell>
          <cell r="U275">
            <v>35.36</v>
          </cell>
          <cell r="V275">
            <v>35.36</v>
          </cell>
          <cell r="W275">
            <v>35.57</v>
          </cell>
          <cell r="X275">
            <v>36.46</v>
          </cell>
          <cell r="Y275">
            <v>36.01</v>
          </cell>
          <cell r="Z275">
            <v>36.46</v>
          </cell>
          <cell r="AA275">
            <v>36.92</v>
          </cell>
          <cell r="AB275">
            <v>37.4</v>
          </cell>
          <cell r="AC275">
            <v>36.24</v>
          </cell>
          <cell r="AD275">
            <v>36.24</v>
          </cell>
          <cell r="AE275">
            <v>36.69</v>
          </cell>
          <cell r="AF275">
            <v>0</v>
          </cell>
          <cell r="AG275">
            <v>48.58</v>
          </cell>
          <cell r="AH275">
            <v>48.58</v>
          </cell>
          <cell r="AI275">
            <v>49.17</v>
          </cell>
          <cell r="AJ275">
            <v>49.78</v>
          </cell>
          <cell r="AK275">
            <v>45.83</v>
          </cell>
          <cell r="AL275">
            <v>48.88</v>
          </cell>
          <cell r="AM275">
            <v>48.88</v>
          </cell>
          <cell r="AN275">
            <v>49.17</v>
          </cell>
          <cell r="AO275">
            <v>50.4</v>
          </cell>
          <cell r="AP275">
            <v>49.78</v>
          </cell>
          <cell r="AQ275">
            <v>50.4</v>
          </cell>
          <cell r="AR275">
            <v>51.04</v>
          </cell>
          <cell r="AS275">
            <v>51.7</v>
          </cell>
          <cell r="AT275">
            <v>50.1</v>
          </cell>
          <cell r="AU275">
            <v>50.1</v>
          </cell>
          <cell r="AV275">
            <v>50.72</v>
          </cell>
          <cell r="AX275">
            <v>35.14</v>
          </cell>
          <cell r="AY275">
            <v>48.58</v>
          </cell>
          <cell r="AZ275">
            <v>0.17</v>
          </cell>
          <cell r="BA275">
            <v>0.12</v>
          </cell>
          <cell r="BB275" t="str">
            <v>#_NA</v>
          </cell>
          <cell r="BC275" t="str">
            <v>#_NA</v>
          </cell>
          <cell r="BD275" t="str">
            <v>#_NA</v>
          </cell>
          <cell r="BE275" t="str">
            <v>-</v>
          </cell>
          <cell r="BF275" t="str">
            <v>-</v>
          </cell>
          <cell r="BG275">
            <v>5.6820000000000002E-2</v>
          </cell>
          <cell r="BH275">
            <v>0.67900000000000005</v>
          </cell>
          <cell r="BI275">
            <v>10.64</v>
          </cell>
          <cell r="BJ275" t="str">
            <v>-</v>
          </cell>
          <cell r="BK275">
            <v>0.6946</v>
          </cell>
          <cell r="BL275">
            <v>10.119999999999999</v>
          </cell>
          <cell r="BM275" t="str">
            <v>-</v>
          </cell>
          <cell r="BN275" t="str">
            <v>NÃO</v>
          </cell>
          <cell r="BO275" t="str">
            <v>NÃO</v>
          </cell>
          <cell r="BP275" t="str">
            <v>MS|G|NACIONAL|Não|Positiva</v>
          </cell>
          <cell r="BR275" t="str">
            <v>TBD</v>
          </cell>
          <cell r="BS275">
            <v>0</v>
          </cell>
          <cell r="BT275" t="str">
            <v>#ERRO</v>
          </cell>
          <cell r="BU275">
            <v>10.119999999999999</v>
          </cell>
          <cell r="BV275" t="str">
            <v>-</v>
          </cell>
          <cell r="BX275" t="str">
            <v>TBD</v>
          </cell>
          <cell r="BY275" t="str">
            <v>TBD</v>
          </cell>
          <cell r="BZ275" t="str">
            <v>TBD</v>
          </cell>
          <cell r="CA275" t="str">
            <v>#ERRO</v>
          </cell>
          <cell r="CB275" t="str">
            <v>-</v>
          </cell>
        </row>
        <row r="276">
          <cell r="A276" t="str">
            <v>22071-0</v>
          </cell>
          <cell r="B276" t="str">
            <v>22071-0</v>
          </cell>
          <cell r="C276">
            <v>7896714291789</v>
          </cell>
          <cell r="D276" t="str">
            <v>DROPY D 10.000UI VIT D CT BL 10 CPRV</v>
          </cell>
          <cell r="E276" t="str">
            <v>SIM</v>
          </cell>
          <cell r="F276" t="str">
            <v>S</v>
          </cell>
          <cell r="G276" t="str">
            <v>LINHA</v>
          </cell>
          <cell r="H276">
            <v>5</v>
          </cell>
          <cell r="I276">
            <v>24</v>
          </cell>
          <cell r="J276" t="str">
            <v>Monitorado</v>
          </cell>
          <cell r="K276" t="str">
            <v>Negativa</v>
          </cell>
          <cell r="L276" t="str">
            <v>Sim</v>
          </cell>
          <cell r="M276" t="str">
            <v>NACIONAL</v>
          </cell>
          <cell r="N276" t="str">
            <v>NACIONAL</v>
          </cell>
          <cell r="P276">
            <v>46.49</v>
          </cell>
          <cell r="Q276">
            <v>53.41</v>
          </cell>
          <cell r="R276">
            <v>54.16</v>
          </cell>
          <cell r="S276">
            <v>54.93</v>
          </cell>
          <cell r="T276">
            <v>49.94</v>
          </cell>
          <cell r="U276">
            <v>53.78</v>
          </cell>
          <cell r="V276">
            <v>46.77</v>
          </cell>
          <cell r="W276">
            <v>47.06</v>
          </cell>
          <cell r="X276">
            <v>55.73</v>
          </cell>
          <cell r="Y276">
            <v>47.64</v>
          </cell>
          <cell r="Z276">
            <v>48.24</v>
          </cell>
          <cell r="AA276">
            <v>56.55</v>
          </cell>
          <cell r="AB276">
            <v>57.39</v>
          </cell>
          <cell r="AC276">
            <v>55.33</v>
          </cell>
          <cell r="AD276">
            <v>47.94</v>
          </cell>
          <cell r="AE276">
            <v>56.13</v>
          </cell>
          <cell r="AF276">
            <v>0</v>
          </cell>
          <cell r="AG276">
            <v>64.27</v>
          </cell>
          <cell r="AH276">
            <v>71.19</v>
          </cell>
          <cell r="AI276">
            <v>72.16</v>
          </cell>
          <cell r="AJ276">
            <v>73.150000000000006</v>
          </cell>
          <cell r="AK276">
            <v>66.709999999999994</v>
          </cell>
          <cell r="AL276">
            <v>71.67</v>
          </cell>
          <cell r="AM276">
            <v>64.66</v>
          </cell>
          <cell r="AN276">
            <v>65.06</v>
          </cell>
          <cell r="AO276">
            <v>74.180000000000007</v>
          </cell>
          <cell r="AP276">
            <v>65.86</v>
          </cell>
          <cell r="AQ276">
            <v>66.69</v>
          </cell>
          <cell r="AR276">
            <v>75.23</v>
          </cell>
          <cell r="AS276">
            <v>76.31</v>
          </cell>
          <cell r="AT276">
            <v>73.66</v>
          </cell>
          <cell r="AU276">
            <v>66.27</v>
          </cell>
          <cell r="AV276">
            <v>74.69</v>
          </cell>
          <cell r="AX276">
            <v>53.41</v>
          </cell>
          <cell r="AY276">
            <v>71.19</v>
          </cell>
          <cell r="AZ276">
            <v>0.17</v>
          </cell>
          <cell r="BA276">
            <v>0.12</v>
          </cell>
          <cell r="BB276" t="str">
            <v>#_NA</v>
          </cell>
          <cell r="BC276" t="str">
            <v>#_NA</v>
          </cell>
          <cell r="BD276" t="str">
            <v>#_NA</v>
          </cell>
          <cell r="BE276" t="str">
            <v>-</v>
          </cell>
          <cell r="BF276" t="str">
            <v>-</v>
          </cell>
          <cell r="BG276">
            <v>5.6820000000000002E-2</v>
          </cell>
          <cell r="BH276">
            <v>0.89259999999999995</v>
          </cell>
          <cell r="BI276">
            <v>5.41</v>
          </cell>
          <cell r="BJ276" t="str">
            <v>-</v>
          </cell>
          <cell r="BK276">
            <v>0.91159999999999997</v>
          </cell>
          <cell r="BL276">
            <v>4.45</v>
          </cell>
          <cell r="BM276" t="str">
            <v>-</v>
          </cell>
          <cell r="BN276" t="str">
            <v>NÃO</v>
          </cell>
          <cell r="BO276" t="str">
            <v>NÃO</v>
          </cell>
          <cell r="BP276" t="str">
            <v>MS|S|NACIONAL|Sim|Negativa</v>
          </cell>
          <cell r="BR276" t="str">
            <v>TBD</v>
          </cell>
          <cell r="BS276">
            <v>0</v>
          </cell>
          <cell r="BT276" t="str">
            <v>#ERRO</v>
          </cell>
          <cell r="BU276">
            <v>4.45</v>
          </cell>
          <cell r="BV276" t="str">
            <v>-</v>
          </cell>
          <cell r="BX276" t="str">
            <v>TBD</v>
          </cell>
          <cell r="BY276" t="str">
            <v>TBD</v>
          </cell>
          <cell r="BZ276" t="str">
            <v>TBD</v>
          </cell>
          <cell r="CA276" t="str">
            <v>#ERRO</v>
          </cell>
          <cell r="CB276" t="str">
            <v>-</v>
          </cell>
        </row>
        <row r="277">
          <cell r="A277" t="str">
            <v>22072-0</v>
          </cell>
          <cell r="B277" t="str">
            <v>22072-0</v>
          </cell>
          <cell r="C277">
            <v>7896714291802</v>
          </cell>
          <cell r="D277" t="str">
            <v>DROPY D 7.000UI VIT D CT BL 30 CPRV</v>
          </cell>
          <cell r="E277" t="str">
            <v>SIM</v>
          </cell>
          <cell r="F277" t="str">
            <v>S</v>
          </cell>
          <cell r="G277" t="str">
            <v>LINHA</v>
          </cell>
          <cell r="H277">
            <v>0</v>
          </cell>
          <cell r="I277">
            <v>24</v>
          </cell>
          <cell r="J277" t="str">
            <v>Monitorado</v>
          </cell>
          <cell r="K277" t="str">
            <v>Negativa</v>
          </cell>
          <cell r="L277" t="str">
            <v>Sim</v>
          </cell>
          <cell r="M277" t="str">
            <v>NACIONAL</v>
          </cell>
          <cell r="N277" t="str">
            <v>NACIONAL</v>
          </cell>
          <cell r="P277">
            <v>67.709999999999994</v>
          </cell>
          <cell r="Q277">
            <v>77.78</v>
          </cell>
          <cell r="R277">
            <v>78.87</v>
          </cell>
          <cell r="S277">
            <v>80</v>
          </cell>
          <cell r="T277">
            <v>72.73</v>
          </cell>
          <cell r="U277">
            <v>78.319999999999993</v>
          </cell>
          <cell r="V277">
            <v>68.12</v>
          </cell>
          <cell r="W277">
            <v>68.53</v>
          </cell>
          <cell r="X277">
            <v>81.150000000000006</v>
          </cell>
          <cell r="Y277">
            <v>69.38</v>
          </cell>
          <cell r="Z277">
            <v>70.25</v>
          </cell>
          <cell r="AA277">
            <v>82.35</v>
          </cell>
          <cell r="AB277">
            <v>83.57</v>
          </cell>
          <cell r="AC277">
            <v>80.569999999999993</v>
          </cell>
          <cell r="AD277">
            <v>69.81</v>
          </cell>
          <cell r="AE277">
            <v>81.75</v>
          </cell>
          <cell r="AF277">
            <v>0</v>
          </cell>
          <cell r="AG277">
            <v>93.61</v>
          </cell>
          <cell r="AH277">
            <v>103.67</v>
          </cell>
          <cell r="AI277">
            <v>105.08</v>
          </cell>
          <cell r="AJ277">
            <v>106.53</v>
          </cell>
          <cell r="AK277">
            <v>97.15</v>
          </cell>
          <cell r="AL277">
            <v>104.37</v>
          </cell>
          <cell r="AM277">
            <v>94.17</v>
          </cell>
          <cell r="AN277">
            <v>94.74</v>
          </cell>
          <cell r="AO277">
            <v>108.01</v>
          </cell>
          <cell r="AP277">
            <v>95.91</v>
          </cell>
          <cell r="AQ277">
            <v>97.12</v>
          </cell>
          <cell r="AR277">
            <v>109.56</v>
          </cell>
          <cell r="AS277">
            <v>111.12</v>
          </cell>
          <cell r="AT277">
            <v>107.27</v>
          </cell>
          <cell r="AU277">
            <v>96.51</v>
          </cell>
          <cell r="AV277">
            <v>108.79</v>
          </cell>
          <cell r="AX277">
            <v>77.78</v>
          </cell>
          <cell r="AY277">
            <v>103.67</v>
          </cell>
          <cell r="AZ277">
            <v>0.17</v>
          </cell>
          <cell r="BA277">
            <v>0.12</v>
          </cell>
          <cell r="BB277" t="str">
            <v>#_NA</v>
          </cell>
          <cell r="BC277" t="str">
            <v>#_NA</v>
          </cell>
          <cell r="BD277" t="str">
            <v>#_NA</v>
          </cell>
          <cell r="BE277" t="str">
            <v>-</v>
          </cell>
          <cell r="BF277" t="str">
            <v>-</v>
          </cell>
          <cell r="BG277">
            <v>5.6820000000000002E-2</v>
          </cell>
          <cell r="BH277">
            <v>0.88</v>
          </cell>
          <cell r="BI277">
            <v>8.8000000000000007</v>
          </cell>
          <cell r="BJ277" t="str">
            <v>-</v>
          </cell>
          <cell r="BK277">
            <v>0.90110000000000001</v>
          </cell>
          <cell r="BL277">
            <v>7.26</v>
          </cell>
          <cell r="BM277" t="str">
            <v>-</v>
          </cell>
          <cell r="BN277" t="str">
            <v>NÃO</v>
          </cell>
          <cell r="BO277" t="str">
            <v>NÃO</v>
          </cell>
          <cell r="BP277" t="str">
            <v>MS|S|NACIONAL|Sim|Negativa</v>
          </cell>
          <cell r="BR277" t="str">
            <v>TBD</v>
          </cell>
          <cell r="BS277">
            <v>0</v>
          </cell>
          <cell r="BT277" t="str">
            <v>#ERRO</v>
          </cell>
          <cell r="BU277">
            <v>7.26</v>
          </cell>
          <cell r="BV277" t="str">
            <v>-</v>
          </cell>
          <cell r="BX277" t="str">
            <v>TBD</v>
          </cell>
          <cell r="BY277" t="str">
            <v>TBD</v>
          </cell>
          <cell r="BZ277" t="str">
            <v>TBD</v>
          </cell>
          <cell r="CA277" t="str">
            <v>#ERRO</v>
          </cell>
          <cell r="CB277" t="str">
            <v>-</v>
          </cell>
        </row>
        <row r="278">
          <cell r="A278" t="str">
            <v>22073-0</v>
          </cell>
          <cell r="B278" t="str">
            <v>22073-0</v>
          </cell>
          <cell r="C278">
            <v>7896714291826</v>
          </cell>
          <cell r="D278" t="str">
            <v>DROPY D 5.000UI VIT D CT BL 30 CPRV</v>
          </cell>
          <cell r="E278" t="str">
            <v>SIM</v>
          </cell>
          <cell r="F278" t="str">
            <v>S</v>
          </cell>
          <cell r="G278" t="str">
            <v>LINHA</v>
          </cell>
          <cell r="H278">
            <v>5</v>
          </cell>
          <cell r="I278">
            <v>24</v>
          </cell>
          <cell r="J278" t="str">
            <v>Monitorado</v>
          </cell>
          <cell r="K278" t="str">
            <v>Negativa</v>
          </cell>
          <cell r="L278" t="str">
            <v>Sim</v>
          </cell>
          <cell r="M278" t="str">
            <v>NACIONAL</v>
          </cell>
          <cell r="N278" t="str">
            <v>NACIONAL</v>
          </cell>
          <cell r="P278">
            <v>52.73</v>
          </cell>
          <cell r="Q278">
            <v>60.58</v>
          </cell>
          <cell r="R278">
            <v>61.43</v>
          </cell>
          <cell r="S278">
            <v>62.3</v>
          </cell>
          <cell r="T278">
            <v>56.65</v>
          </cell>
          <cell r="U278">
            <v>61</v>
          </cell>
          <cell r="V278">
            <v>53.05</v>
          </cell>
          <cell r="W278">
            <v>53.38</v>
          </cell>
          <cell r="X278">
            <v>63.21</v>
          </cell>
          <cell r="Y278">
            <v>54.03</v>
          </cell>
          <cell r="Z278">
            <v>54.71</v>
          </cell>
          <cell r="AA278">
            <v>64.13</v>
          </cell>
          <cell r="AB278">
            <v>65.09</v>
          </cell>
          <cell r="AC278">
            <v>62.75</v>
          </cell>
          <cell r="AD278">
            <v>54.37</v>
          </cell>
          <cell r="AE278">
            <v>63.67</v>
          </cell>
          <cell r="AF278">
            <v>0</v>
          </cell>
          <cell r="AG278">
            <v>72.900000000000006</v>
          </cell>
          <cell r="AH278">
            <v>80.75</v>
          </cell>
          <cell r="AI278">
            <v>81.84</v>
          </cell>
          <cell r="AJ278">
            <v>82.96</v>
          </cell>
          <cell r="AK278">
            <v>75.67</v>
          </cell>
          <cell r="AL278">
            <v>81.290000000000006</v>
          </cell>
          <cell r="AM278">
            <v>73.34</v>
          </cell>
          <cell r="AN278">
            <v>73.790000000000006</v>
          </cell>
          <cell r="AO278">
            <v>84.13</v>
          </cell>
          <cell r="AP278">
            <v>74.69</v>
          </cell>
          <cell r="AQ278">
            <v>75.63</v>
          </cell>
          <cell r="AR278">
            <v>85.32</v>
          </cell>
          <cell r="AS278">
            <v>86.55</v>
          </cell>
          <cell r="AT278">
            <v>83.54</v>
          </cell>
          <cell r="AU278">
            <v>75.16</v>
          </cell>
          <cell r="AV278">
            <v>84.73</v>
          </cell>
          <cell r="AX278">
            <v>60.58</v>
          </cell>
          <cell r="AY278">
            <v>80.75</v>
          </cell>
          <cell r="AZ278">
            <v>0.17</v>
          </cell>
          <cell r="BA278">
            <v>0.12</v>
          </cell>
          <cell r="BB278" t="str">
            <v>#_NA</v>
          </cell>
          <cell r="BC278" t="str">
            <v>#_NA</v>
          </cell>
          <cell r="BD278" t="str">
            <v>#_NA</v>
          </cell>
          <cell r="BE278" t="str">
            <v>-</v>
          </cell>
          <cell r="BF278" t="str">
            <v>-</v>
          </cell>
          <cell r="BG278">
            <v>5.6820000000000002E-2</v>
          </cell>
          <cell r="BH278">
            <v>0.85860000000000003</v>
          </cell>
          <cell r="BI278">
            <v>8.08</v>
          </cell>
          <cell r="BJ278" t="str">
            <v>-</v>
          </cell>
          <cell r="BK278">
            <v>0.88349999999999995</v>
          </cell>
          <cell r="BL278">
            <v>6.66</v>
          </cell>
          <cell r="BM278" t="str">
            <v>-</v>
          </cell>
          <cell r="BN278" t="str">
            <v>NÃO</v>
          </cell>
          <cell r="BO278" t="str">
            <v>NÃO</v>
          </cell>
          <cell r="BP278" t="str">
            <v>MS|S|NACIONAL|Sim|Negativa</v>
          </cell>
          <cell r="BR278" t="str">
            <v>TBD</v>
          </cell>
          <cell r="BS278">
            <v>0</v>
          </cell>
          <cell r="BT278" t="str">
            <v>#ERRO</v>
          </cell>
          <cell r="BU278">
            <v>6.66</v>
          </cell>
          <cell r="BV278" t="str">
            <v>-</v>
          </cell>
          <cell r="BX278" t="str">
            <v>TBD</v>
          </cell>
          <cell r="BY278" t="str">
            <v>TBD</v>
          </cell>
          <cell r="BZ278" t="str">
            <v>TBD</v>
          </cell>
          <cell r="CA278" t="str">
            <v>#ERRO</v>
          </cell>
          <cell r="CB278" t="str">
            <v>-</v>
          </cell>
        </row>
        <row r="279">
          <cell r="A279" t="str">
            <v>21942-0</v>
          </cell>
          <cell r="B279" t="str">
            <v>21942-0</v>
          </cell>
          <cell r="C279">
            <v>7896714291130</v>
          </cell>
          <cell r="D279" t="str">
            <v>RIVNEO 10MG BL X 10 CPRV</v>
          </cell>
          <cell r="E279" t="str">
            <v>SIM</v>
          </cell>
          <cell r="F279" t="str">
            <v>S</v>
          </cell>
          <cell r="G279" t="str">
            <v>LINHA</v>
          </cell>
          <cell r="H279">
            <v>5</v>
          </cell>
          <cell r="I279">
            <v>60</v>
          </cell>
          <cell r="J279" t="str">
            <v>Monitorado</v>
          </cell>
          <cell r="K279" t="str">
            <v>Positiva</v>
          </cell>
          <cell r="L279" t="str">
            <v>Sim</v>
          </cell>
          <cell r="M279" t="str">
            <v>NACIONAL</v>
          </cell>
          <cell r="N279" t="str">
            <v>NACIONAL</v>
          </cell>
          <cell r="P279">
            <v>46.76</v>
          </cell>
          <cell r="Q279">
            <v>46.76</v>
          </cell>
          <cell r="R279">
            <v>47.33</v>
          </cell>
          <cell r="S279">
            <v>47.91</v>
          </cell>
          <cell r="T279">
            <v>44.1</v>
          </cell>
          <cell r="U279">
            <v>47.04</v>
          </cell>
          <cell r="V279">
            <v>47.04</v>
          </cell>
          <cell r="W279">
            <v>47.33</v>
          </cell>
          <cell r="X279">
            <v>48.51</v>
          </cell>
          <cell r="Y279">
            <v>47.91</v>
          </cell>
          <cell r="Z279">
            <v>48.51</v>
          </cell>
          <cell r="AA279">
            <v>49.13</v>
          </cell>
          <cell r="AB279">
            <v>49.76</v>
          </cell>
          <cell r="AC279">
            <v>48.21</v>
          </cell>
          <cell r="AD279">
            <v>48.21</v>
          </cell>
          <cell r="AE279">
            <v>48.82</v>
          </cell>
          <cell r="AF279">
            <v>0</v>
          </cell>
          <cell r="AG279">
            <v>64.64</v>
          </cell>
          <cell r="AH279">
            <v>64.64</v>
          </cell>
          <cell r="AI279">
            <v>65.430000000000007</v>
          </cell>
          <cell r="AJ279">
            <v>66.23</v>
          </cell>
          <cell r="AK279">
            <v>60.97</v>
          </cell>
          <cell r="AL279">
            <v>65.03</v>
          </cell>
          <cell r="AM279">
            <v>65.03</v>
          </cell>
          <cell r="AN279">
            <v>65.430000000000007</v>
          </cell>
          <cell r="AO279">
            <v>67.06</v>
          </cell>
          <cell r="AP279">
            <v>66.23</v>
          </cell>
          <cell r="AQ279">
            <v>67.06</v>
          </cell>
          <cell r="AR279">
            <v>67.92</v>
          </cell>
          <cell r="AS279">
            <v>68.790000000000006</v>
          </cell>
          <cell r="AT279">
            <v>66.650000000000006</v>
          </cell>
          <cell r="AU279">
            <v>66.650000000000006</v>
          </cell>
          <cell r="AV279">
            <v>67.489999999999995</v>
          </cell>
          <cell r="AX279">
            <v>46.76</v>
          </cell>
          <cell r="AY279">
            <v>64.64</v>
          </cell>
          <cell r="AZ279">
            <v>0.17</v>
          </cell>
          <cell r="BA279">
            <v>0.12</v>
          </cell>
          <cell r="BB279" t="str">
            <v>#_NA</v>
          </cell>
          <cell r="BC279" t="str">
            <v>#_NA</v>
          </cell>
          <cell r="BD279" t="str">
            <v>#_NA</v>
          </cell>
          <cell r="BE279" t="str">
            <v>-</v>
          </cell>
          <cell r="BF279" t="str">
            <v>-</v>
          </cell>
          <cell r="BG279">
            <v>5.6820000000000002E-2</v>
          </cell>
          <cell r="BH279">
            <v>0.68830000000000002</v>
          </cell>
          <cell r="BI279">
            <v>13.75</v>
          </cell>
          <cell r="BJ279" t="str">
            <v>-</v>
          </cell>
          <cell r="BK279">
            <v>0.70979999999999999</v>
          </cell>
          <cell r="BL279">
            <v>12.8</v>
          </cell>
          <cell r="BM279" t="str">
            <v>-</v>
          </cell>
          <cell r="BN279" t="str">
            <v>SIM</v>
          </cell>
          <cell r="BO279" t="str">
            <v>NÃO</v>
          </cell>
          <cell r="BP279" t="str">
            <v>MS|S|NACIONAL|Sim|Positiva</v>
          </cell>
          <cell r="BR279" t="str">
            <v>TBD</v>
          </cell>
          <cell r="BS279">
            <v>0</v>
          </cell>
          <cell r="BT279" t="str">
            <v>#ERRO</v>
          </cell>
          <cell r="BU279">
            <v>12.8</v>
          </cell>
          <cell r="BV279" t="str">
            <v>-</v>
          </cell>
          <cell r="BX279" t="str">
            <v>TBD</v>
          </cell>
          <cell r="BY279" t="str">
            <v>TBD</v>
          </cell>
          <cell r="BZ279" t="str">
            <v>TBD</v>
          </cell>
          <cell r="CA279" t="str">
            <v>#ERRO</v>
          </cell>
          <cell r="CB279" t="str">
            <v>-</v>
          </cell>
        </row>
        <row r="280">
          <cell r="A280" t="str">
            <v>21943-0</v>
          </cell>
          <cell r="B280" t="str">
            <v>21943-0</v>
          </cell>
          <cell r="C280">
            <v>7896714291147</v>
          </cell>
          <cell r="D280" t="str">
            <v>RIVNEO 15MG BL X 30 CPRV</v>
          </cell>
          <cell r="E280" t="str">
            <v>SIM</v>
          </cell>
          <cell r="F280" t="str">
            <v>S</v>
          </cell>
          <cell r="G280" t="str">
            <v>LINHA</v>
          </cell>
          <cell r="H280">
            <v>8</v>
          </cell>
          <cell r="I280">
            <v>60</v>
          </cell>
          <cell r="J280" t="str">
            <v>Monitorado</v>
          </cell>
          <cell r="K280" t="str">
            <v>Positiva</v>
          </cell>
          <cell r="L280" t="str">
            <v>Sim</v>
          </cell>
          <cell r="M280" t="str">
            <v>NACIONAL</v>
          </cell>
          <cell r="N280" t="str">
            <v>IMPORTADO</v>
          </cell>
          <cell r="P280">
            <v>104.8</v>
          </cell>
          <cell r="Q280">
            <v>104.8</v>
          </cell>
          <cell r="R280">
            <v>106.07</v>
          </cell>
          <cell r="S280">
            <v>107.38</v>
          </cell>
          <cell r="T280">
            <v>98.84</v>
          </cell>
          <cell r="U280">
            <v>105.43</v>
          </cell>
          <cell r="V280">
            <v>105.43</v>
          </cell>
          <cell r="W280">
            <v>106.07</v>
          </cell>
          <cell r="X280">
            <v>108.73</v>
          </cell>
          <cell r="Y280">
            <v>107.38</v>
          </cell>
          <cell r="Z280">
            <v>108.73</v>
          </cell>
          <cell r="AA280">
            <v>110.1</v>
          </cell>
          <cell r="AB280">
            <v>111.51</v>
          </cell>
          <cell r="AC280">
            <v>108.05</v>
          </cell>
          <cell r="AD280">
            <v>108.05</v>
          </cell>
          <cell r="AE280">
            <v>109.41</v>
          </cell>
          <cell r="AF280">
            <v>0</v>
          </cell>
          <cell r="AG280">
            <v>144.88</v>
          </cell>
          <cell r="AH280">
            <v>144.88</v>
          </cell>
          <cell r="AI280">
            <v>146.63999999999999</v>
          </cell>
          <cell r="AJ280">
            <v>148.44999999999999</v>
          </cell>
          <cell r="AK280">
            <v>136.63999999999999</v>
          </cell>
          <cell r="AL280">
            <v>145.75</v>
          </cell>
          <cell r="AM280">
            <v>145.75</v>
          </cell>
          <cell r="AN280">
            <v>146.63999999999999</v>
          </cell>
          <cell r="AO280">
            <v>150.31</v>
          </cell>
          <cell r="AP280">
            <v>148.44999999999999</v>
          </cell>
          <cell r="AQ280">
            <v>150.31</v>
          </cell>
          <cell r="AR280">
            <v>152.21</v>
          </cell>
          <cell r="AS280">
            <v>154.16</v>
          </cell>
          <cell r="AT280">
            <v>149.37</v>
          </cell>
          <cell r="AU280">
            <v>149.37</v>
          </cell>
          <cell r="AV280">
            <v>151.25</v>
          </cell>
          <cell r="AX280">
            <v>104.8</v>
          </cell>
          <cell r="AY280">
            <v>144.88</v>
          </cell>
          <cell r="AZ280">
            <v>0.17</v>
          </cell>
          <cell r="BA280">
            <v>0.04</v>
          </cell>
          <cell r="BB280" t="str">
            <v>#_NA</v>
          </cell>
          <cell r="BC280" t="str">
            <v>#_NA</v>
          </cell>
          <cell r="BD280" t="str">
            <v>#_NA</v>
          </cell>
          <cell r="BE280" t="str">
            <v>-</v>
          </cell>
          <cell r="BF280" t="str">
            <v>-</v>
          </cell>
          <cell r="BG280">
            <v>0.13542000000000001</v>
          </cell>
          <cell r="BH280">
            <v>0.72189999999999999</v>
          </cell>
          <cell r="BI280">
            <v>25.2</v>
          </cell>
          <cell r="BJ280" t="str">
            <v>-</v>
          </cell>
          <cell r="BK280">
            <v>0.7409</v>
          </cell>
          <cell r="BL280">
            <v>23.48</v>
          </cell>
          <cell r="BM280" t="str">
            <v>-</v>
          </cell>
          <cell r="BN280" t="str">
            <v>SIM</v>
          </cell>
          <cell r="BO280" t="str">
            <v>NÃO</v>
          </cell>
          <cell r="BP280" t="str">
            <v>MS|S|IMPORTADO|Sim|Positiva</v>
          </cell>
          <cell r="BR280" t="str">
            <v>TBD</v>
          </cell>
          <cell r="BS280">
            <v>0</v>
          </cell>
          <cell r="BT280" t="str">
            <v>#ERRO</v>
          </cell>
          <cell r="BU280">
            <v>23.48</v>
          </cell>
          <cell r="BV280" t="str">
            <v>-</v>
          </cell>
          <cell r="BX280" t="str">
            <v>TBD</v>
          </cell>
          <cell r="BY280" t="str">
            <v>TBD</v>
          </cell>
          <cell r="BZ280" t="str">
            <v>TBD</v>
          </cell>
          <cell r="CA280" t="str">
            <v>#ERRO</v>
          </cell>
          <cell r="CB280" t="str">
            <v>-</v>
          </cell>
        </row>
        <row r="281">
          <cell r="A281" t="str">
            <v>21947-0</v>
          </cell>
          <cell r="B281" t="str">
            <v>21947-0</v>
          </cell>
          <cell r="C281">
            <v>7896714291185</v>
          </cell>
          <cell r="D281" t="str">
            <v>RIVNEO 20MG BL X 30 CPRV</v>
          </cell>
          <cell r="E281" t="str">
            <v>SIM</v>
          </cell>
          <cell r="F281" t="str">
            <v>S</v>
          </cell>
          <cell r="G281" t="str">
            <v>LINHA</v>
          </cell>
          <cell r="H281">
            <v>5</v>
          </cell>
          <cell r="I281">
            <v>60</v>
          </cell>
          <cell r="J281" t="str">
            <v>Monitorado</v>
          </cell>
          <cell r="K281" t="str">
            <v>Positiva</v>
          </cell>
          <cell r="L281" t="str">
            <v>Sim</v>
          </cell>
          <cell r="M281" t="str">
            <v>NACIONAL</v>
          </cell>
          <cell r="N281" t="str">
            <v>NACIONAL</v>
          </cell>
          <cell r="P281">
            <v>104.8</v>
          </cell>
          <cell r="Q281">
            <v>104.8</v>
          </cell>
          <cell r="R281">
            <v>106.07</v>
          </cell>
          <cell r="S281">
            <v>107.38</v>
          </cell>
          <cell r="T281">
            <v>98.84</v>
          </cell>
          <cell r="U281">
            <v>105.43</v>
          </cell>
          <cell r="V281">
            <v>105.43</v>
          </cell>
          <cell r="W281">
            <v>106.07</v>
          </cell>
          <cell r="X281">
            <v>108.73</v>
          </cell>
          <cell r="Y281">
            <v>107.38</v>
          </cell>
          <cell r="Z281">
            <v>108.73</v>
          </cell>
          <cell r="AA281">
            <v>110.1</v>
          </cell>
          <cell r="AB281">
            <v>111.51</v>
          </cell>
          <cell r="AC281">
            <v>108.05</v>
          </cell>
          <cell r="AD281">
            <v>108.05</v>
          </cell>
          <cell r="AE281">
            <v>109.41</v>
          </cell>
          <cell r="AF281">
            <v>0</v>
          </cell>
          <cell r="AG281">
            <v>144.88</v>
          </cell>
          <cell r="AH281">
            <v>144.88</v>
          </cell>
          <cell r="AI281">
            <v>146.63999999999999</v>
          </cell>
          <cell r="AJ281">
            <v>148.44999999999999</v>
          </cell>
          <cell r="AK281">
            <v>136.63999999999999</v>
          </cell>
          <cell r="AL281">
            <v>145.75</v>
          </cell>
          <cell r="AM281">
            <v>145.75</v>
          </cell>
          <cell r="AN281">
            <v>146.63999999999999</v>
          </cell>
          <cell r="AO281">
            <v>150.31</v>
          </cell>
          <cell r="AP281">
            <v>148.44999999999999</v>
          </cell>
          <cell r="AQ281">
            <v>150.31</v>
          </cell>
          <cell r="AR281">
            <v>152.21</v>
          </cell>
          <cell r="AS281">
            <v>154.16</v>
          </cell>
          <cell r="AT281">
            <v>149.37</v>
          </cell>
          <cell r="AU281">
            <v>149.37</v>
          </cell>
          <cell r="AV281">
            <v>151.25</v>
          </cell>
          <cell r="AX281">
            <v>104.8</v>
          </cell>
          <cell r="AY281">
            <v>144.88</v>
          </cell>
          <cell r="AZ281">
            <v>0.17</v>
          </cell>
          <cell r="BA281">
            <v>0.12</v>
          </cell>
          <cell r="BB281" t="str">
            <v>#_NA</v>
          </cell>
          <cell r="BC281" t="str">
            <v>#_NA</v>
          </cell>
          <cell r="BD281" t="str">
            <v>#_NA</v>
          </cell>
          <cell r="BE281" t="str">
            <v>-</v>
          </cell>
          <cell r="BF281" t="str">
            <v>-</v>
          </cell>
          <cell r="BG281">
            <v>5.6820000000000002E-2</v>
          </cell>
          <cell r="BH281">
            <v>0.72189999999999999</v>
          </cell>
          <cell r="BI281">
            <v>27.49</v>
          </cell>
          <cell r="BJ281" t="str">
            <v>-</v>
          </cell>
          <cell r="BK281">
            <v>0.7409</v>
          </cell>
          <cell r="BL281">
            <v>25.61</v>
          </cell>
          <cell r="BM281" t="str">
            <v>-</v>
          </cell>
          <cell r="BN281" t="str">
            <v>SIM</v>
          </cell>
          <cell r="BO281" t="str">
            <v>NÃO</v>
          </cell>
          <cell r="BP281" t="str">
            <v>MS|S|NACIONAL|Sim|Positiva</v>
          </cell>
          <cell r="BR281" t="str">
            <v>TBD</v>
          </cell>
          <cell r="BS281">
            <v>0</v>
          </cell>
          <cell r="BT281" t="str">
            <v>#ERRO</v>
          </cell>
          <cell r="BU281">
            <v>25.61</v>
          </cell>
          <cell r="BV281" t="str">
            <v>-</v>
          </cell>
          <cell r="BX281" t="str">
            <v>TBD</v>
          </cell>
          <cell r="BY281" t="str">
            <v>TBD</v>
          </cell>
          <cell r="BZ281" t="str">
            <v>TBD</v>
          </cell>
          <cell r="CA281" t="str">
            <v>#ERRO</v>
          </cell>
          <cell r="CB281" t="str">
            <v>-</v>
          </cell>
        </row>
        <row r="282">
          <cell r="A282" t="str">
            <v>21787-0</v>
          </cell>
          <cell r="B282" t="str">
            <v>21787-1</v>
          </cell>
          <cell r="C282">
            <v>7896714290607</v>
          </cell>
          <cell r="D282" t="str">
            <v>CL VENLAFAXINA XR 75MG X30 CAP LIB PROL</v>
          </cell>
          <cell r="E282" t="str">
            <v>SIM</v>
          </cell>
          <cell r="F282" t="str">
            <v>G</v>
          </cell>
          <cell r="G282" t="str">
            <v>LINHA</v>
          </cell>
          <cell r="H282">
            <v>0</v>
          </cell>
          <cell r="I282">
            <v>60</v>
          </cell>
          <cell r="J282" t="str">
            <v>Monitorado</v>
          </cell>
          <cell r="K282" t="str">
            <v>Positiva</v>
          </cell>
          <cell r="L282" t="str">
            <v>Não</v>
          </cell>
          <cell r="M282" t="str">
            <v>NACIONAL</v>
          </cell>
          <cell r="N282" t="str">
            <v>NACIONAL</v>
          </cell>
          <cell r="P282">
            <v>85.88</v>
          </cell>
          <cell r="Q282">
            <v>85.88</v>
          </cell>
          <cell r="R282">
            <v>86.93</v>
          </cell>
          <cell r="S282">
            <v>88</v>
          </cell>
          <cell r="T282">
            <v>81</v>
          </cell>
          <cell r="U282">
            <v>86.4</v>
          </cell>
          <cell r="V282">
            <v>86.4</v>
          </cell>
          <cell r="W282">
            <v>86.93</v>
          </cell>
          <cell r="X282">
            <v>89.1</v>
          </cell>
          <cell r="Y282">
            <v>88</v>
          </cell>
          <cell r="Z282">
            <v>89.1</v>
          </cell>
          <cell r="AA282">
            <v>90.23</v>
          </cell>
          <cell r="AB282">
            <v>91.38</v>
          </cell>
          <cell r="AC282">
            <v>88.55</v>
          </cell>
          <cell r="AD282">
            <v>88.55</v>
          </cell>
          <cell r="AE282">
            <v>89.66</v>
          </cell>
          <cell r="AF282">
            <v>0</v>
          </cell>
          <cell r="AG282">
            <v>118.72</v>
          </cell>
          <cell r="AH282">
            <v>118.72</v>
          </cell>
          <cell r="AI282">
            <v>120.18</v>
          </cell>
          <cell r="AJ282">
            <v>121.65</v>
          </cell>
          <cell r="AK282">
            <v>111.98</v>
          </cell>
          <cell r="AL282">
            <v>119.44</v>
          </cell>
          <cell r="AM282">
            <v>119.44</v>
          </cell>
          <cell r="AN282">
            <v>120.18</v>
          </cell>
          <cell r="AO282">
            <v>123.18</v>
          </cell>
          <cell r="AP282">
            <v>121.65</v>
          </cell>
          <cell r="AQ282">
            <v>123.18</v>
          </cell>
          <cell r="AR282">
            <v>124.74</v>
          </cell>
          <cell r="AS282">
            <v>126.33</v>
          </cell>
          <cell r="AT282">
            <v>122.42</v>
          </cell>
          <cell r="AU282">
            <v>122.42</v>
          </cell>
          <cell r="AV282">
            <v>123.95</v>
          </cell>
          <cell r="AX282">
            <v>85.88</v>
          </cell>
          <cell r="AY282">
            <v>118.72</v>
          </cell>
          <cell r="AZ282">
            <v>0.17</v>
          </cell>
          <cell r="BA282">
            <v>0.12</v>
          </cell>
          <cell r="BB282" t="str">
            <v>#_NA</v>
          </cell>
          <cell r="BC282" t="str">
            <v>#_NA</v>
          </cell>
          <cell r="BD282" t="str">
            <v>#_NA</v>
          </cell>
          <cell r="BE282" t="str">
            <v>-</v>
          </cell>
          <cell r="BF282" t="str">
            <v>-</v>
          </cell>
          <cell r="BG282">
            <v>5.6820000000000002E-2</v>
          </cell>
          <cell r="BH282">
            <v>0.75219999999999998</v>
          </cell>
          <cell r="BI282">
            <v>20.07</v>
          </cell>
          <cell r="BJ282" t="str">
            <v>-</v>
          </cell>
          <cell r="BK282">
            <v>0.76419999999999999</v>
          </cell>
          <cell r="BL282">
            <v>19.100000000000001</v>
          </cell>
          <cell r="BM282" t="str">
            <v>-</v>
          </cell>
          <cell r="BN282" t="str">
            <v>NÃO</v>
          </cell>
          <cell r="BO282" t="str">
            <v>NÃO</v>
          </cell>
          <cell r="BP282" t="str">
            <v>MS|G|NACIONAL|Não|Positiva</v>
          </cell>
          <cell r="BR282" t="str">
            <v>TBD</v>
          </cell>
          <cell r="BS282">
            <v>0</v>
          </cell>
          <cell r="BT282" t="str">
            <v>#ERRO</v>
          </cell>
          <cell r="BU282">
            <v>19.100000000000001</v>
          </cell>
          <cell r="BV282" t="str">
            <v>-</v>
          </cell>
          <cell r="BX282" t="str">
            <v>TBD</v>
          </cell>
          <cell r="BY282" t="str">
            <v>TBD</v>
          </cell>
          <cell r="BZ282" t="str">
            <v>TBD</v>
          </cell>
          <cell r="CA282" t="str">
            <v>#ERRO</v>
          </cell>
          <cell r="CB282" t="str">
            <v>-</v>
          </cell>
        </row>
        <row r="283">
          <cell r="A283" t="str">
            <v>21636-0</v>
          </cell>
          <cell r="B283" t="str">
            <v>21636-1</v>
          </cell>
          <cell r="C283">
            <v>7896714290348</v>
          </cell>
          <cell r="D283" t="str">
            <v>CITALOPRAM 20MG CT BL X30 CPRV</v>
          </cell>
          <cell r="E283" t="str">
            <v>SIM</v>
          </cell>
          <cell r="F283" t="str">
            <v>G</v>
          </cell>
          <cell r="G283" t="str">
            <v>LINHA</v>
          </cell>
          <cell r="H283">
            <v>2</v>
          </cell>
          <cell r="I283">
            <v>100</v>
          </cell>
          <cell r="J283" t="str">
            <v>Monitorado</v>
          </cell>
          <cell r="K283" t="str">
            <v>Positiva</v>
          </cell>
          <cell r="L283" t="str">
            <v>Não</v>
          </cell>
          <cell r="M283" t="str">
            <v>IMPORTADO</v>
          </cell>
          <cell r="N283" t="str">
            <v>IMPORTADO</v>
          </cell>
          <cell r="P283">
            <v>29.27</v>
          </cell>
          <cell r="Q283">
            <v>29.27</v>
          </cell>
          <cell r="R283">
            <v>29.62</v>
          </cell>
          <cell r="S283">
            <v>29.99</v>
          </cell>
          <cell r="T283">
            <v>27.6</v>
          </cell>
          <cell r="U283">
            <v>29.44</v>
          </cell>
          <cell r="V283">
            <v>29.44</v>
          </cell>
          <cell r="W283">
            <v>29.62</v>
          </cell>
          <cell r="X283">
            <v>30.36</v>
          </cell>
          <cell r="Y283">
            <v>29.99</v>
          </cell>
          <cell r="Z283">
            <v>30.36</v>
          </cell>
          <cell r="AA283">
            <v>30.75</v>
          </cell>
          <cell r="AB283">
            <v>31.14</v>
          </cell>
          <cell r="AC283">
            <v>30.17</v>
          </cell>
          <cell r="AD283">
            <v>30.17</v>
          </cell>
          <cell r="AE283">
            <v>30.55</v>
          </cell>
          <cell r="AF283">
            <v>0</v>
          </cell>
          <cell r="AG283">
            <v>40.46</v>
          </cell>
          <cell r="AH283">
            <v>40.46</v>
          </cell>
          <cell r="AI283">
            <v>40.950000000000003</v>
          </cell>
          <cell r="AJ283">
            <v>41.46</v>
          </cell>
          <cell r="AK283">
            <v>38.159999999999997</v>
          </cell>
          <cell r="AL283">
            <v>40.700000000000003</v>
          </cell>
          <cell r="AM283">
            <v>40.700000000000003</v>
          </cell>
          <cell r="AN283">
            <v>40.950000000000003</v>
          </cell>
          <cell r="AO283">
            <v>41.97</v>
          </cell>
          <cell r="AP283">
            <v>41.46</v>
          </cell>
          <cell r="AQ283">
            <v>41.97</v>
          </cell>
          <cell r="AR283">
            <v>42.51</v>
          </cell>
          <cell r="AS283">
            <v>43.05</v>
          </cell>
          <cell r="AT283">
            <v>41.71</v>
          </cell>
          <cell r="AU283">
            <v>41.71</v>
          </cell>
          <cell r="AV283">
            <v>42.23</v>
          </cell>
          <cell r="AX283">
            <v>29.27</v>
          </cell>
          <cell r="AY283">
            <v>40.46</v>
          </cell>
          <cell r="AZ283">
            <v>0.17</v>
          </cell>
          <cell r="BA283">
            <v>0.04</v>
          </cell>
          <cell r="BB283" t="str">
            <v>#_NA</v>
          </cell>
          <cell r="BC283" t="str">
            <v>#_NA</v>
          </cell>
          <cell r="BD283" t="str">
            <v>#_NA</v>
          </cell>
          <cell r="BE283" t="str">
            <v>-</v>
          </cell>
          <cell r="BF283" t="str">
            <v>-</v>
          </cell>
          <cell r="BG283">
            <v>0.13542000000000001</v>
          </cell>
          <cell r="BH283">
            <v>0.79790000000000005</v>
          </cell>
          <cell r="BI283">
            <v>5.12</v>
          </cell>
          <cell r="BJ283" t="str">
            <v>-</v>
          </cell>
          <cell r="BK283">
            <v>0.80759999999999998</v>
          </cell>
          <cell r="BL283">
            <v>4.87</v>
          </cell>
          <cell r="BM283" t="str">
            <v>-</v>
          </cell>
          <cell r="BN283" t="str">
            <v>SIM</v>
          </cell>
          <cell r="BO283" t="str">
            <v>NÃO</v>
          </cell>
          <cell r="BP283" t="str">
            <v>MS|G|IMPORTADO|Não|Positiva</v>
          </cell>
          <cell r="BR283" t="str">
            <v>TBD</v>
          </cell>
          <cell r="BS283">
            <v>0</v>
          </cell>
          <cell r="BT283" t="str">
            <v>#ERRO</v>
          </cell>
          <cell r="BU283">
            <v>4.87</v>
          </cell>
          <cell r="BV283" t="str">
            <v>-</v>
          </cell>
          <cell r="BX283" t="str">
            <v>TBD</v>
          </cell>
          <cell r="BY283" t="str">
            <v>TBD</v>
          </cell>
          <cell r="BZ283" t="str">
            <v>TBD</v>
          </cell>
          <cell r="CA283" t="str">
            <v>#ERRO</v>
          </cell>
          <cell r="CB283" t="str">
            <v>-</v>
          </cell>
        </row>
        <row r="284">
          <cell r="A284" t="str">
            <v>22036-0</v>
          </cell>
          <cell r="B284" t="str">
            <v>22036-0</v>
          </cell>
          <cell r="C284">
            <v>7896714291499</v>
          </cell>
          <cell r="D284" t="str">
            <v>HEMIFUMARATO DE QUETIAPINA XR 200MG 30CP</v>
          </cell>
          <cell r="E284" t="str">
            <v>SIM</v>
          </cell>
          <cell r="F284" t="str">
            <v>G</v>
          </cell>
          <cell r="G284" t="str">
            <v>LINHA</v>
          </cell>
          <cell r="H284">
            <v>2</v>
          </cell>
          <cell r="I284">
            <v>72</v>
          </cell>
          <cell r="J284" t="str">
            <v>Monitorado</v>
          </cell>
          <cell r="K284" t="str">
            <v>Negativa</v>
          </cell>
          <cell r="L284" t="str">
            <v>Não</v>
          </cell>
          <cell r="M284" t="str">
            <v>IMPORTADO</v>
          </cell>
          <cell r="N284" t="str">
            <v>IMPORTADO</v>
          </cell>
          <cell r="P284">
            <v>143.31</v>
          </cell>
          <cell r="Q284">
            <v>164.62</v>
          </cell>
          <cell r="R284">
            <v>166.94</v>
          </cell>
          <cell r="S284">
            <v>169.32</v>
          </cell>
          <cell r="T284">
            <v>153.94999999999999</v>
          </cell>
          <cell r="U284">
            <v>165.77</v>
          </cell>
          <cell r="V284">
            <v>144.18</v>
          </cell>
          <cell r="W284">
            <v>145.06</v>
          </cell>
          <cell r="X284">
            <v>171.77</v>
          </cell>
          <cell r="Y284">
            <v>146.85</v>
          </cell>
          <cell r="Z284">
            <v>148.68</v>
          </cell>
          <cell r="AA284">
            <v>174.3</v>
          </cell>
          <cell r="AB284">
            <v>176.89</v>
          </cell>
          <cell r="AC284">
            <v>170.54</v>
          </cell>
          <cell r="AD284">
            <v>147.76</v>
          </cell>
          <cell r="AE284">
            <v>173.03</v>
          </cell>
          <cell r="AF284">
            <v>0</v>
          </cell>
          <cell r="AG284">
            <v>198.12</v>
          </cell>
          <cell r="AH284">
            <v>219.43</v>
          </cell>
          <cell r="AI284">
            <v>222.42</v>
          </cell>
          <cell r="AJ284">
            <v>225.48</v>
          </cell>
          <cell r="AK284">
            <v>205.64</v>
          </cell>
          <cell r="AL284">
            <v>220.91</v>
          </cell>
          <cell r="AM284">
            <v>199.32</v>
          </cell>
          <cell r="AN284">
            <v>200.54</v>
          </cell>
          <cell r="AO284">
            <v>228.63</v>
          </cell>
          <cell r="AP284">
            <v>203.01</v>
          </cell>
          <cell r="AQ284">
            <v>205.54</v>
          </cell>
          <cell r="AR284">
            <v>231.88</v>
          </cell>
          <cell r="AS284">
            <v>235.21</v>
          </cell>
          <cell r="AT284">
            <v>227.05</v>
          </cell>
          <cell r="AU284">
            <v>204.27</v>
          </cell>
          <cell r="AV284">
            <v>230.25</v>
          </cell>
          <cell r="AX284">
            <v>164.62</v>
          </cell>
          <cell r="AY284">
            <v>219.43</v>
          </cell>
          <cell r="AZ284">
            <v>0.17</v>
          </cell>
          <cell r="BA284">
            <v>0.04</v>
          </cell>
          <cell r="BB284" t="str">
            <v>#_NA</v>
          </cell>
          <cell r="BC284" t="str">
            <v>#_NA</v>
          </cell>
          <cell r="BD284" t="str">
            <v>#_NA</v>
          </cell>
          <cell r="BE284" t="str">
            <v>-</v>
          </cell>
          <cell r="BF284" t="str">
            <v>-</v>
          </cell>
          <cell r="BG284">
            <v>0.13542000000000001</v>
          </cell>
          <cell r="BH284">
            <v>0.51680000000000004</v>
          </cell>
          <cell r="BI284">
            <v>68.77</v>
          </cell>
          <cell r="BJ284" t="str">
            <v>-</v>
          </cell>
          <cell r="BK284">
            <v>0.53990000000000005</v>
          </cell>
          <cell r="BL284">
            <v>65.489999999999995</v>
          </cell>
          <cell r="BM284" t="str">
            <v>-</v>
          </cell>
          <cell r="BN284" t="str">
            <v>SIM</v>
          </cell>
          <cell r="BO284" t="str">
            <v>NÃO</v>
          </cell>
          <cell r="BP284" t="str">
            <v>MS|G|IMPORTADO|Não|Negativa</v>
          </cell>
          <cell r="BR284" t="str">
            <v>TBD</v>
          </cell>
          <cell r="BS284">
            <v>0</v>
          </cell>
          <cell r="BT284" t="str">
            <v>#ERRO</v>
          </cell>
          <cell r="BU284">
            <v>65.489999999999995</v>
          </cell>
          <cell r="BV284" t="str">
            <v>-</v>
          </cell>
          <cell r="BX284" t="str">
            <v>TBD</v>
          </cell>
          <cell r="BY284" t="str">
            <v>TBD</v>
          </cell>
          <cell r="BZ284" t="str">
            <v>TBD</v>
          </cell>
          <cell r="CA284" t="str">
            <v>#ERRO</v>
          </cell>
          <cell r="CB284" t="str">
            <v>-</v>
          </cell>
        </row>
        <row r="285">
          <cell r="A285" t="str">
            <v>22035-0</v>
          </cell>
          <cell r="B285" t="str">
            <v>22035-0</v>
          </cell>
          <cell r="C285">
            <v>7896714291482</v>
          </cell>
          <cell r="D285" t="str">
            <v>HEMIFUMARATO DE QUETIAPINA XR 300MG 30CP</v>
          </cell>
          <cell r="E285" t="str">
            <v>SIM</v>
          </cell>
          <cell r="F285" t="str">
            <v>G</v>
          </cell>
          <cell r="G285" t="str">
            <v>LINHA</v>
          </cell>
          <cell r="H285">
            <v>2</v>
          </cell>
          <cell r="I285">
            <v>64</v>
          </cell>
          <cell r="J285" t="str">
            <v>Monitorado</v>
          </cell>
          <cell r="K285" t="str">
            <v>Negativa</v>
          </cell>
          <cell r="L285" t="str">
            <v>Não</v>
          </cell>
          <cell r="M285" t="str">
            <v>IMPORTADO</v>
          </cell>
          <cell r="N285" t="str">
            <v>IMPORTADO</v>
          </cell>
          <cell r="P285">
            <v>169.13</v>
          </cell>
          <cell r="Q285">
            <v>194.28</v>
          </cell>
          <cell r="R285">
            <v>197.01</v>
          </cell>
          <cell r="S285">
            <v>199.83</v>
          </cell>
          <cell r="T285">
            <v>181.68</v>
          </cell>
          <cell r="U285">
            <v>195.64</v>
          </cell>
          <cell r="V285">
            <v>170.15</v>
          </cell>
          <cell r="W285">
            <v>171.19</v>
          </cell>
          <cell r="X285">
            <v>202.72</v>
          </cell>
          <cell r="Y285">
            <v>173.3</v>
          </cell>
          <cell r="Z285">
            <v>175.47</v>
          </cell>
          <cell r="AA285">
            <v>205.7</v>
          </cell>
          <cell r="AB285">
            <v>208.76</v>
          </cell>
          <cell r="AC285">
            <v>201.26</v>
          </cell>
          <cell r="AD285">
            <v>174.38</v>
          </cell>
          <cell r="AE285">
            <v>204.2</v>
          </cell>
          <cell r="AF285">
            <v>0</v>
          </cell>
          <cell r="AG285">
            <v>233.81</v>
          </cell>
          <cell r="AH285">
            <v>258.95999999999998</v>
          </cell>
          <cell r="AI285">
            <v>262.48</v>
          </cell>
          <cell r="AJ285">
            <v>266.11</v>
          </cell>
          <cell r="AK285">
            <v>242.69</v>
          </cell>
          <cell r="AL285">
            <v>260.70999999999998</v>
          </cell>
          <cell r="AM285">
            <v>235.22</v>
          </cell>
          <cell r="AN285">
            <v>236.66</v>
          </cell>
          <cell r="AO285">
            <v>269.83</v>
          </cell>
          <cell r="AP285">
            <v>239.58</v>
          </cell>
          <cell r="AQ285">
            <v>242.58</v>
          </cell>
          <cell r="AR285">
            <v>273.66000000000003</v>
          </cell>
          <cell r="AS285">
            <v>277.58999999999997</v>
          </cell>
          <cell r="AT285">
            <v>267.95</v>
          </cell>
          <cell r="AU285">
            <v>241.07</v>
          </cell>
          <cell r="AV285">
            <v>271.73</v>
          </cell>
          <cell r="AX285">
            <v>194.28</v>
          </cell>
          <cell r="AY285">
            <v>258.95999999999998</v>
          </cell>
          <cell r="AZ285">
            <v>0.17</v>
          </cell>
          <cell r="BA285">
            <v>0.04</v>
          </cell>
          <cell r="BB285" t="str">
            <v>#_NA</v>
          </cell>
          <cell r="BC285" t="str">
            <v>#_NA</v>
          </cell>
          <cell r="BD285" t="str">
            <v>#_NA</v>
          </cell>
          <cell r="BE285" t="str">
            <v>-</v>
          </cell>
          <cell r="BF285" t="str">
            <v>-</v>
          </cell>
          <cell r="BG285">
            <v>0.13542000000000001</v>
          </cell>
          <cell r="BH285">
            <v>0.22220000000000001</v>
          </cell>
          <cell r="BI285">
            <v>130.65</v>
          </cell>
          <cell r="BJ285" t="str">
            <v>-</v>
          </cell>
          <cell r="BK285">
            <v>0.25919999999999999</v>
          </cell>
          <cell r="BL285">
            <v>124.43</v>
          </cell>
          <cell r="BM285" t="str">
            <v>-</v>
          </cell>
          <cell r="BN285" t="str">
            <v>SIM</v>
          </cell>
          <cell r="BO285" t="str">
            <v>NÃO</v>
          </cell>
          <cell r="BP285" t="str">
            <v>MS|G|IMPORTADO|Não|Negativa</v>
          </cell>
          <cell r="BR285" t="str">
            <v>TBD</v>
          </cell>
          <cell r="BS285">
            <v>0</v>
          </cell>
          <cell r="BT285" t="str">
            <v>#ERRO</v>
          </cell>
          <cell r="BU285">
            <v>124.43</v>
          </cell>
          <cell r="BV285" t="str">
            <v>-</v>
          </cell>
          <cell r="BX285" t="str">
            <v>TBD</v>
          </cell>
          <cell r="BY285" t="str">
            <v>TBD</v>
          </cell>
          <cell r="BZ285" t="str">
            <v>TBD</v>
          </cell>
          <cell r="CA285" t="str">
            <v>#ERRO</v>
          </cell>
          <cell r="CB285" t="str">
            <v>-</v>
          </cell>
        </row>
        <row r="286">
          <cell r="A286" t="str">
            <v>21900-0</v>
          </cell>
          <cell r="B286" t="str">
            <v>21900-1</v>
          </cell>
          <cell r="C286">
            <v>7896714290850</v>
          </cell>
          <cell r="D286" t="str">
            <v>CL TRAMADOL+PAR 37,5+325MG CT BLX10 CPRV</v>
          </cell>
          <cell r="E286" t="str">
            <v>SIM</v>
          </cell>
          <cell r="F286" t="str">
            <v>G</v>
          </cell>
          <cell r="G286" t="str">
            <v>LINHA</v>
          </cell>
          <cell r="H286">
            <v>0</v>
          </cell>
          <cell r="I286">
            <v>40</v>
          </cell>
          <cell r="J286" t="str">
            <v>Monitorado</v>
          </cell>
          <cell r="K286" t="str">
            <v>Negativa</v>
          </cell>
          <cell r="L286" t="str">
            <v>Não</v>
          </cell>
          <cell r="M286" t="str">
            <v>NACIONAL</v>
          </cell>
          <cell r="N286" t="str">
            <v>NACIONAL</v>
          </cell>
          <cell r="P286">
            <v>21.87</v>
          </cell>
          <cell r="Q286">
            <v>25.12</v>
          </cell>
          <cell r="R286">
            <v>25.48</v>
          </cell>
          <cell r="S286">
            <v>25.84</v>
          </cell>
          <cell r="T286">
            <v>23.49</v>
          </cell>
          <cell r="U286">
            <v>25.3</v>
          </cell>
          <cell r="V286">
            <v>22</v>
          </cell>
          <cell r="W286">
            <v>22.14</v>
          </cell>
          <cell r="X286">
            <v>26.21</v>
          </cell>
          <cell r="Y286">
            <v>22.41</v>
          </cell>
          <cell r="Z286">
            <v>22.69</v>
          </cell>
          <cell r="AA286">
            <v>26.6</v>
          </cell>
          <cell r="AB286">
            <v>26.99</v>
          </cell>
          <cell r="AC286">
            <v>26.02</v>
          </cell>
          <cell r="AD286">
            <v>22.55</v>
          </cell>
          <cell r="AE286">
            <v>26.4</v>
          </cell>
          <cell r="AF286">
            <v>0</v>
          </cell>
          <cell r="AG286">
            <v>30.23</v>
          </cell>
          <cell r="AH286">
            <v>33.479999999999997</v>
          </cell>
          <cell r="AI286">
            <v>33.950000000000003</v>
          </cell>
          <cell r="AJ286">
            <v>34.409999999999997</v>
          </cell>
          <cell r="AK286">
            <v>31.38</v>
          </cell>
          <cell r="AL286">
            <v>33.72</v>
          </cell>
          <cell r="AM286">
            <v>30.41</v>
          </cell>
          <cell r="AN286">
            <v>30.61</v>
          </cell>
          <cell r="AO286">
            <v>34.89</v>
          </cell>
          <cell r="AP286">
            <v>30.98</v>
          </cell>
          <cell r="AQ286">
            <v>31.37</v>
          </cell>
          <cell r="AR286">
            <v>35.39</v>
          </cell>
          <cell r="AS286">
            <v>35.89</v>
          </cell>
          <cell r="AT286">
            <v>34.64</v>
          </cell>
          <cell r="AU286">
            <v>31.17</v>
          </cell>
          <cell r="AV286">
            <v>35.130000000000003</v>
          </cell>
          <cell r="AX286">
            <v>25.12</v>
          </cell>
          <cell r="AY286">
            <v>33.479999999999997</v>
          </cell>
          <cell r="AZ286">
            <v>0.17</v>
          </cell>
          <cell r="BA286">
            <v>0.12</v>
          </cell>
          <cell r="BB286" t="str">
            <v>#_NA</v>
          </cell>
          <cell r="BC286" t="str">
            <v>#_NA</v>
          </cell>
          <cell r="BD286" t="str">
            <v>#_NA</v>
          </cell>
          <cell r="BE286" t="str">
            <v>-</v>
          </cell>
          <cell r="BF286" t="str">
            <v>-</v>
          </cell>
          <cell r="BG286">
            <v>5.6820000000000002E-2</v>
          </cell>
          <cell r="BH286">
            <v>0.2984</v>
          </cell>
          <cell r="BI286">
            <v>16.62</v>
          </cell>
          <cell r="BJ286" t="str">
            <v>-</v>
          </cell>
          <cell r="BK286">
            <v>0.42170000000000002</v>
          </cell>
          <cell r="BL286">
            <v>13.7</v>
          </cell>
          <cell r="BM286" t="str">
            <v>-</v>
          </cell>
          <cell r="BN286" t="str">
            <v>SIM</v>
          </cell>
          <cell r="BO286" t="str">
            <v>NÃO</v>
          </cell>
          <cell r="BP286" t="str">
            <v>MS|G|NACIONAL|Não|Negativa</v>
          </cell>
          <cell r="BR286" t="str">
            <v>TBD</v>
          </cell>
          <cell r="BS286">
            <v>0</v>
          </cell>
          <cell r="BT286" t="str">
            <v>#ERRO</v>
          </cell>
          <cell r="BU286">
            <v>13.7</v>
          </cell>
          <cell r="BV286" t="str">
            <v>-</v>
          </cell>
          <cell r="BX286" t="str">
            <v>TBD</v>
          </cell>
          <cell r="BY286" t="str">
            <v>TBD</v>
          </cell>
          <cell r="BZ286" t="str">
            <v>TBD</v>
          </cell>
          <cell r="CA286" t="str">
            <v>#ERRO</v>
          </cell>
          <cell r="CB286" t="str">
            <v>-</v>
          </cell>
        </row>
        <row r="287">
          <cell r="A287" t="str">
            <v>21901-0</v>
          </cell>
          <cell r="B287" t="str">
            <v>21901-1</v>
          </cell>
          <cell r="C287">
            <v>7896714290867</v>
          </cell>
          <cell r="D287" t="str">
            <v>CL TRAMADOL+PAR 37,5+325MG CT BLX20 CPRV</v>
          </cell>
          <cell r="E287" t="str">
            <v>SIM</v>
          </cell>
          <cell r="F287" t="str">
            <v>G</v>
          </cell>
          <cell r="G287" t="str">
            <v>LINHA</v>
          </cell>
          <cell r="H287">
            <v>0</v>
          </cell>
          <cell r="I287">
            <v>40</v>
          </cell>
          <cell r="J287" t="str">
            <v>Monitorado</v>
          </cell>
          <cell r="K287" t="str">
            <v>Negativa</v>
          </cell>
          <cell r="L287" t="str">
            <v>Não</v>
          </cell>
          <cell r="M287" t="str">
            <v>NACIONAL</v>
          </cell>
          <cell r="N287" t="str">
            <v>NACIONAL</v>
          </cell>
          <cell r="P287">
            <v>38.1</v>
          </cell>
          <cell r="Q287">
            <v>43.77</v>
          </cell>
          <cell r="R287">
            <v>44.39</v>
          </cell>
          <cell r="S287">
            <v>45.02</v>
          </cell>
          <cell r="T287">
            <v>40.93</v>
          </cell>
          <cell r="U287">
            <v>44.08</v>
          </cell>
          <cell r="V287">
            <v>38.33</v>
          </cell>
          <cell r="W287">
            <v>38.57</v>
          </cell>
          <cell r="X287">
            <v>45.67</v>
          </cell>
          <cell r="Y287">
            <v>39.04</v>
          </cell>
          <cell r="Z287">
            <v>39.53</v>
          </cell>
          <cell r="AA287">
            <v>46.34</v>
          </cell>
          <cell r="AB287">
            <v>47.03</v>
          </cell>
          <cell r="AC287">
            <v>45.34</v>
          </cell>
          <cell r="AD287">
            <v>39.29</v>
          </cell>
          <cell r="AE287">
            <v>46</v>
          </cell>
          <cell r="AF287">
            <v>0</v>
          </cell>
          <cell r="AG287">
            <v>52.67</v>
          </cell>
          <cell r="AH287">
            <v>58.34</v>
          </cell>
          <cell r="AI287">
            <v>59.14</v>
          </cell>
          <cell r="AJ287">
            <v>59.95</v>
          </cell>
          <cell r="AK287">
            <v>54.67</v>
          </cell>
          <cell r="AL287">
            <v>58.74</v>
          </cell>
          <cell r="AM287">
            <v>52.99</v>
          </cell>
          <cell r="AN287">
            <v>53.32</v>
          </cell>
          <cell r="AO287">
            <v>60.79</v>
          </cell>
          <cell r="AP287">
            <v>53.97</v>
          </cell>
          <cell r="AQ287">
            <v>54.65</v>
          </cell>
          <cell r="AR287">
            <v>61.65</v>
          </cell>
          <cell r="AS287">
            <v>62.54</v>
          </cell>
          <cell r="AT287">
            <v>60.36</v>
          </cell>
          <cell r="AU287">
            <v>54.32</v>
          </cell>
          <cell r="AV287">
            <v>61.21</v>
          </cell>
          <cell r="AX287">
            <v>43.77</v>
          </cell>
          <cell r="AY287">
            <v>58.34</v>
          </cell>
          <cell r="AZ287">
            <v>0.17</v>
          </cell>
          <cell r="BA287">
            <v>0.12</v>
          </cell>
          <cell r="BB287" t="str">
            <v>#_NA</v>
          </cell>
          <cell r="BC287" t="str">
            <v>#_NA</v>
          </cell>
          <cell r="BD287" t="str">
            <v>#_NA</v>
          </cell>
          <cell r="BE287" t="str">
            <v>-</v>
          </cell>
          <cell r="BF287" t="str">
            <v>-</v>
          </cell>
          <cell r="BG287">
            <v>5.6820000000000002E-2</v>
          </cell>
          <cell r="BH287">
            <v>0.32769999999999999</v>
          </cell>
          <cell r="BI287">
            <v>27.75</v>
          </cell>
          <cell r="BJ287" t="str">
            <v>-</v>
          </cell>
          <cell r="BK287">
            <v>0.4456</v>
          </cell>
          <cell r="BL287">
            <v>22.89</v>
          </cell>
          <cell r="BM287" t="str">
            <v>-</v>
          </cell>
          <cell r="BN287" t="str">
            <v>SIM</v>
          </cell>
          <cell r="BO287" t="str">
            <v>NÃO</v>
          </cell>
          <cell r="BP287" t="str">
            <v>MS|G|NACIONAL|Não|Negativa</v>
          </cell>
          <cell r="BR287" t="str">
            <v>TBD</v>
          </cell>
          <cell r="BS287">
            <v>0</v>
          </cell>
          <cell r="BT287" t="str">
            <v>#ERRO</v>
          </cell>
          <cell r="BU287">
            <v>22.89</v>
          </cell>
          <cell r="BV287" t="str">
            <v>-</v>
          </cell>
          <cell r="BX287" t="str">
            <v>TBD</v>
          </cell>
          <cell r="BY287" t="str">
            <v>TBD</v>
          </cell>
          <cell r="BZ287" t="str">
            <v>TBD</v>
          </cell>
          <cell r="CA287" t="str">
            <v>#ERRO</v>
          </cell>
          <cell r="CB287" t="str">
            <v>-</v>
          </cell>
        </row>
        <row r="288">
          <cell r="A288" t="str">
            <v>21902-0</v>
          </cell>
          <cell r="B288" t="str">
            <v>21902-1</v>
          </cell>
          <cell r="C288">
            <v>7896714290874</v>
          </cell>
          <cell r="D288" t="str">
            <v>CL TRAMADOL+PAR 37,5+325MG CT BLX30 CPRV</v>
          </cell>
          <cell r="E288" t="str">
            <v>SIM</v>
          </cell>
          <cell r="F288" t="str">
            <v>G</v>
          </cell>
          <cell r="G288" t="str">
            <v>LINHA</v>
          </cell>
          <cell r="H288">
            <v>0</v>
          </cell>
          <cell r="I288">
            <v>40</v>
          </cell>
          <cell r="J288" t="str">
            <v>Monitorado</v>
          </cell>
          <cell r="K288" t="str">
            <v>Negativa</v>
          </cell>
          <cell r="L288" t="str">
            <v>Não</v>
          </cell>
          <cell r="M288" t="str">
            <v>NACIONAL</v>
          </cell>
          <cell r="N288" t="str">
            <v>NACIONAL</v>
          </cell>
          <cell r="P288">
            <v>52.46</v>
          </cell>
          <cell r="Q288">
            <v>60.27</v>
          </cell>
          <cell r="R288">
            <v>61.11</v>
          </cell>
          <cell r="S288">
            <v>61.99</v>
          </cell>
          <cell r="T288">
            <v>56.36</v>
          </cell>
          <cell r="U288">
            <v>60.69</v>
          </cell>
          <cell r="V288">
            <v>52.78</v>
          </cell>
          <cell r="W288">
            <v>53.1</v>
          </cell>
          <cell r="X288">
            <v>62.88</v>
          </cell>
          <cell r="Y288">
            <v>53.76</v>
          </cell>
          <cell r="Z288">
            <v>54.43</v>
          </cell>
          <cell r="AA288">
            <v>63.81</v>
          </cell>
          <cell r="AB288">
            <v>64.760000000000005</v>
          </cell>
          <cell r="AC288">
            <v>62.43</v>
          </cell>
          <cell r="AD288">
            <v>54.09</v>
          </cell>
          <cell r="AE288">
            <v>63.34</v>
          </cell>
          <cell r="AF288">
            <v>0</v>
          </cell>
          <cell r="AG288">
            <v>72.52</v>
          </cell>
          <cell r="AH288">
            <v>80.34</v>
          </cell>
          <cell r="AI288">
            <v>81.42</v>
          </cell>
          <cell r="AJ288">
            <v>82.55</v>
          </cell>
          <cell r="AK288">
            <v>75.28</v>
          </cell>
          <cell r="AL288">
            <v>80.88</v>
          </cell>
          <cell r="AM288">
            <v>72.97</v>
          </cell>
          <cell r="AN288">
            <v>73.41</v>
          </cell>
          <cell r="AO288">
            <v>83.7</v>
          </cell>
          <cell r="AP288">
            <v>74.319999999999993</v>
          </cell>
          <cell r="AQ288">
            <v>75.25</v>
          </cell>
          <cell r="AR288">
            <v>84.89</v>
          </cell>
          <cell r="AS288">
            <v>86.11</v>
          </cell>
          <cell r="AT288">
            <v>83.12</v>
          </cell>
          <cell r="AU288">
            <v>74.78</v>
          </cell>
          <cell r="AV288">
            <v>84.29</v>
          </cell>
          <cell r="AX288">
            <v>60.27</v>
          </cell>
          <cell r="AY288">
            <v>80.34</v>
          </cell>
          <cell r="AZ288">
            <v>0.17</v>
          </cell>
          <cell r="BA288">
            <v>0.12</v>
          </cell>
          <cell r="BB288" t="str">
            <v>#_NA</v>
          </cell>
          <cell r="BC288" t="str">
            <v>#_NA</v>
          </cell>
          <cell r="BD288" t="str">
            <v>#_NA</v>
          </cell>
          <cell r="BE288" t="str">
            <v>-</v>
          </cell>
          <cell r="BF288" t="str">
            <v>-</v>
          </cell>
          <cell r="BG288">
            <v>5.6820000000000002E-2</v>
          </cell>
          <cell r="BH288">
            <v>0.37909999999999999</v>
          </cell>
          <cell r="BI288">
            <v>35.299999999999997</v>
          </cell>
          <cell r="BJ288" t="str">
            <v>-</v>
          </cell>
          <cell r="BK288">
            <v>0.48820000000000002</v>
          </cell>
          <cell r="BL288">
            <v>29.1</v>
          </cell>
          <cell r="BM288" t="str">
            <v>-</v>
          </cell>
          <cell r="BN288" t="str">
            <v>SIM</v>
          </cell>
          <cell r="BO288" t="str">
            <v>NÃO</v>
          </cell>
          <cell r="BP288" t="str">
            <v>MS|G|NACIONAL|Não|Negativa</v>
          </cell>
          <cell r="BR288" t="str">
            <v>TBD</v>
          </cell>
          <cell r="BS288">
            <v>0</v>
          </cell>
          <cell r="BT288" t="str">
            <v>#ERRO</v>
          </cell>
          <cell r="BU288">
            <v>29.1</v>
          </cell>
          <cell r="BV288" t="str">
            <v>-</v>
          </cell>
          <cell r="BX288" t="str">
            <v>TBD</v>
          </cell>
          <cell r="BY288" t="str">
            <v>TBD</v>
          </cell>
          <cell r="BZ288" t="str">
            <v>TBD</v>
          </cell>
          <cell r="CA288" t="str">
            <v>#ERRO</v>
          </cell>
          <cell r="CB288" t="str">
            <v>-</v>
          </cell>
        </row>
        <row r="289">
          <cell r="A289" t="str">
            <v>21980-0</v>
          </cell>
          <cell r="B289" t="str">
            <v>21980-0</v>
          </cell>
          <cell r="C289">
            <v>7896714291383</v>
          </cell>
          <cell r="D289" t="str">
            <v>VIT NEO QUIMICA COLAGENO CT BL 30 CAPS</v>
          </cell>
          <cell r="E289" t="str">
            <v>SIM</v>
          </cell>
          <cell r="F289" t="str">
            <v>S</v>
          </cell>
          <cell r="G289" t="str">
            <v>FOCO SMART</v>
          </cell>
          <cell r="H289">
            <v>5</v>
          </cell>
          <cell r="I289">
            <v>24</v>
          </cell>
          <cell r="J289" t="str">
            <v>Liberado</v>
          </cell>
          <cell r="K289" t="str">
            <v>Alimento Funcional</v>
          </cell>
          <cell r="L289" t="str">
            <v>Sim</v>
          </cell>
          <cell r="M289" t="str">
            <v>NACIONAL</v>
          </cell>
          <cell r="N289" t="str">
            <v>NACIONAL</v>
          </cell>
          <cell r="P289">
            <v>101.05</v>
          </cell>
          <cell r="Q289">
            <v>101.05</v>
          </cell>
          <cell r="R289">
            <v>102.28</v>
          </cell>
          <cell r="S289">
            <v>103.54</v>
          </cell>
          <cell r="T289">
            <v>95.31</v>
          </cell>
          <cell r="U289">
            <v>101.66</v>
          </cell>
          <cell r="V289">
            <v>101.66</v>
          </cell>
          <cell r="W289">
            <v>102.28</v>
          </cell>
          <cell r="X289">
            <v>104.84</v>
          </cell>
          <cell r="Y289">
            <v>103.54</v>
          </cell>
          <cell r="Z289">
            <v>104.84</v>
          </cell>
          <cell r="AA289">
            <v>106.16</v>
          </cell>
          <cell r="AB289">
            <v>107.53</v>
          </cell>
          <cell r="AC289">
            <v>104.19</v>
          </cell>
          <cell r="AD289">
            <v>104.19</v>
          </cell>
          <cell r="AE289">
            <v>105.5</v>
          </cell>
          <cell r="AF289">
            <v>0</v>
          </cell>
          <cell r="AG289">
            <v>139.69999999999999</v>
          </cell>
          <cell r="AH289">
            <v>139.69999999999999</v>
          </cell>
          <cell r="AI289">
            <v>141.4</v>
          </cell>
          <cell r="AJ289">
            <v>143.13999999999999</v>
          </cell>
          <cell r="AK289">
            <v>131.76</v>
          </cell>
          <cell r="AL289">
            <v>140.54</v>
          </cell>
          <cell r="AM289">
            <v>140.54</v>
          </cell>
          <cell r="AN289">
            <v>141.4</v>
          </cell>
          <cell r="AO289">
            <v>144.94</v>
          </cell>
          <cell r="AP289">
            <v>143.13999999999999</v>
          </cell>
          <cell r="AQ289">
            <v>144.94</v>
          </cell>
          <cell r="AR289">
            <v>146.76</v>
          </cell>
          <cell r="AS289">
            <v>148.65</v>
          </cell>
          <cell r="AT289">
            <v>144.04</v>
          </cell>
          <cell r="AU289">
            <v>144.04</v>
          </cell>
          <cell r="AV289">
            <v>145.85</v>
          </cell>
          <cell r="AX289">
            <v>101.05</v>
          </cell>
          <cell r="AY289">
            <v>139.69999999999999</v>
          </cell>
          <cell r="AZ289">
            <v>0.17</v>
          </cell>
          <cell r="BA289">
            <v>0.12</v>
          </cell>
          <cell r="BB289" t="str">
            <v>#_NA</v>
          </cell>
          <cell r="BC289" t="str">
            <v>#_NA</v>
          </cell>
          <cell r="BD289" t="str">
            <v>#_NA</v>
          </cell>
          <cell r="BE289" t="str">
            <v>-</v>
          </cell>
          <cell r="BF289" t="str">
            <v>-</v>
          </cell>
          <cell r="BG289">
            <v>5.6820000000000002E-2</v>
          </cell>
          <cell r="BH289">
            <v>0.69599999999999995</v>
          </cell>
          <cell r="BI289">
            <v>28.97</v>
          </cell>
          <cell r="BJ289" t="str">
            <v>-</v>
          </cell>
          <cell r="BK289">
            <v>0.71050000000000002</v>
          </cell>
          <cell r="BL289">
            <v>27.59</v>
          </cell>
          <cell r="BM289" t="str">
            <v>-</v>
          </cell>
          <cell r="BN289" t="str">
            <v>SIM</v>
          </cell>
          <cell r="BO289" t="str">
            <v>NÃO</v>
          </cell>
          <cell r="BP289" t="str">
            <v>MS|S|NACIONAL|Sim|Alimento Funcional</v>
          </cell>
          <cell r="BR289" t="str">
            <v>TBD</v>
          </cell>
          <cell r="BS289">
            <v>0</v>
          </cell>
          <cell r="BT289" t="str">
            <v>#ERRO</v>
          </cell>
          <cell r="BU289">
            <v>27.59</v>
          </cell>
          <cell r="BV289" t="str">
            <v>-</v>
          </cell>
          <cell r="BX289" t="str">
            <v>TBD</v>
          </cell>
          <cell r="BY289" t="str">
            <v>TBD</v>
          </cell>
          <cell r="BZ289" t="str">
            <v>TBD</v>
          </cell>
          <cell r="CA289" t="str">
            <v>#ERRO</v>
          </cell>
          <cell r="CB289" t="str">
            <v>-</v>
          </cell>
        </row>
        <row r="290">
          <cell r="A290" t="str">
            <v>20940-0</v>
          </cell>
          <cell r="B290" t="str">
            <v>20940-0</v>
          </cell>
          <cell r="C290">
            <v>7896714274751</v>
          </cell>
          <cell r="D290" t="str">
            <v>SUC DESVENLA 50MG CT BLX30 CPRV LIB PROL</v>
          </cell>
          <cell r="E290" t="str">
            <v>SIM</v>
          </cell>
          <cell r="F290" t="str">
            <v>G</v>
          </cell>
          <cell r="G290" t="str">
            <v>LINHA</v>
          </cell>
          <cell r="H290">
            <v>0</v>
          </cell>
          <cell r="I290">
            <v>24</v>
          </cell>
          <cell r="J290" t="str">
            <v>Monitorado</v>
          </cell>
          <cell r="K290" t="str">
            <v>Positiva</v>
          </cell>
          <cell r="L290" t="str">
            <v>Sim</v>
          </cell>
          <cell r="M290" t="str">
            <v>NACIONAL</v>
          </cell>
          <cell r="N290" t="str">
            <v>NACIONAL</v>
          </cell>
          <cell r="P290">
            <v>66.19</v>
          </cell>
          <cell r="Q290">
            <v>66.19</v>
          </cell>
          <cell r="R290">
            <v>67</v>
          </cell>
          <cell r="S290">
            <v>67.83</v>
          </cell>
          <cell r="T290">
            <v>62.43</v>
          </cell>
          <cell r="U290">
            <v>66.59</v>
          </cell>
          <cell r="V290">
            <v>66.59</v>
          </cell>
          <cell r="W290">
            <v>67</v>
          </cell>
          <cell r="X290">
            <v>68.680000000000007</v>
          </cell>
          <cell r="Y290">
            <v>67.83</v>
          </cell>
          <cell r="Z290">
            <v>68.680000000000007</v>
          </cell>
          <cell r="AA290">
            <v>69.540000000000006</v>
          </cell>
          <cell r="AB290">
            <v>70.44</v>
          </cell>
          <cell r="AC290">
            <v>68.25</v>
          </cell>
          <cell r="AD290">
            <v>68.25</v>
          </cell>
          <cell r="AE290">
            <v>69.11</v>
          </cell>
          <cell r="AF290">
            <v>0</v>
          </cell>
          <cell r="AG290">
            <v>91.5</v>
          </cell>
          <cell r="AH290">
            <v>91.5</v>
          </cell>
          <cell r="AI290">
            <v>92.62</v>
          </cell>
          <cell r="AJ290">
            <v>93.77</v>
          </cell>
          <cell r="AK290">
            <v>86.31</v>
          </cell>
          <cell r="AL290">
            <v>92.06</v>
          </cell>
          <cell r="AM290">
            <v>92.06</v>
          </cell>
          <cell r="AN290">
            <v>92.62</v>
          </cell>
          <cell r="AO290">
            <v>94.95</v>
          </cell>
          <cell r="AP290">
            <v>93.77</v>
          </cell>
          <cell r="AQ290">
            <v>94.95</v>
          </cell>
          <cell r="AR290">
            <v>96.13</v>
          </cell>
          <cell r="AS290">
            <v>97.38</v>
          </cell>
          <cell r="AT290">
            <v>94.35</v>
          </cell>
          <cell r="AU290">
            <v>94.35</v>
          </cell>
          <cell r="AV290">
            <v>95.54</v>
          </cell>
          <cell r="AX290">
            <v>66.19</v>
          </cell>
          <cell r="AY290">
            <v>91.5</v>
          </cell>
          <cell r="AZ290">
            <v>0.17</v>
          </cell>
          <cell r="BA290">
            <v>0.12</v>
          </cell>
          <cell r="BB290" t="str">
            <v>#_NA</v>
          </cell>
          <cell r="BC290" t="str">
            <v>#_NA</v>
          </cell>
          <cell r="BD290" t="str">
            <v>#_NA</v>
          </cell>
          <cell r="BE290" t="str">
            <v>-</v>
          </cell>
          <cell r="BF290" t="str">
            <v>-</v>
          </cell>
          <cell r="BG290">
            <v>5.6820000000000002E-2</v>
          </cell>
          <cell r="BH290">
            <v>0.59519999999999995</v>
          </cell>
          <cell r="BI290">
            <v>25.27</v>
          </cell>
          <cell r="BJ290" t="str">
            <v>-</v>
          </cell>
          <cell r="BK290">
            <v>0.61460000000000004</v>
          </cell>
          <cell r="BL290">
            <v>24.06</v>
          </cell>
          <cell r="BM290" t="str">
            <v>-</v>
          </cell>
          <cell r="BN290" t="str">
            <v>NÃO</v>
          </cell>
          <cell r="BO290" t="str">
            <v>NÃO</v>
          </cell>
          <cell r="BP290" t="str">
            <v>MS|G|NACIONAL|Sim|Positiva</v>
          </cell>
          <cell r="BR290" t="str">
            <v>TBD</v>
          </cell>
          <cell r="BS290">
            <v>0</v>
          </cell>
          <cell r="BT290" t="str">
            <v>#ERRO</v>
          </cell>
          <cell r="BU290">
            <v>24.06</v>
          </cell>
          <cell r="BV290" t="str">
            <v>-</v>
          </cell>
          <cell r="BX290" t="str">
            <v>TBD</v>
          </cell>
          <cell r="BY290" t="str">
            <v>TBD</v>
          </cell>
          <cell r="BZ290" t="str">
            <v>TBD</v>
          </cell>
          <cell r="CA290" t="str">
            <v>#ERRO</v>
          </cell>
          <cell r="CB290" t="str">
            <v>-</v>
          </cell>
        </row>
        <row r="291">
          <cell r="A291" t="str">
            <v>22086-0</v>
          </cell>
          <cell r="B291" t="str">
            <v>22086-0</v>
          </cell>
          <cell r="C291">
            <v>7896714291963</v>
          </cell>
          <cell r="D291" t="str">
            <v>APIXABANA 2,5MG COMP REV BL X20</v>
          </cell>
          <cell r="E291" t="str">
            <v>SIM</v>
          </cell>
          <cell r="F291" t="str">
            <v>G</v>
          </cell>
          <cell r="G291" t="str">
            <v>LINHA</v>
          </cell>
          <cell r="H291">
            <v>2</v>
          </cell>
          <cell r="I291">
            <v>24</v>
          </cell>
          <cell r="J291" t="str">
            <v>Monitorado</v>
          </cell>
          <cell r="K291" t="str">
            <v>Positiva</v>
          </cell>
          <cell r="L291" t="str">
            <v>Não</v>
          </cell>
          <cell r="M291" t="str">
            <v>IMPORTADO</v>
          </cell>
          <cell r="N291" t="str">
            <v>IMPORTADO</v>
          </cell>
          <cell r="P291">
            <v>57.37</v>
          </cell>
          <cell r="Q291">
            <v>57.37</v>
          </cell>
          <cell r="R291">
            <v>58.07</v>
          </cell>
          <cell r="S291">
            <v>58.79</v>
          </cell>
          <cell r="T291">
            <v>54.11</v>
          </cell>
          <cell r="U291">
            <v>57.72</v>
          </cell>
          <cell r="V291">
            <v>57.72</v>
          </cell>
          <cell r="W291">
            <v>58.07</v>
          </cell>
          <cell r="X291">
            <v>59.53</v>
          </cell>
          <cell r="Y291">
            <v>58.79</v>
          </cell>
          <cell r="Z291">
            <v>59.53</v>
          </cell>
          <cell r="AA291">
            <v>60.28</v>
          </cell>
          <cell r="AB291">
            <v>61.05</v>
          </cell>
          <cell r="AC291">
            <v>59.16</v>
          </cell>
          <cell r="AD291">
            <v>59.16</v>
          </cell>
          <cell r="AE291">
            <v>59.9</v>
          </cell>
          <cell r="AF291">
            <v>0</v>
          </cell>
          <cell r="AG291">
            <v>79.31</v>
          </cell>
          <cell r="AH291">
            <v>79.31</v>
          </cell>
          <cell r="AI291">
            <v>80.28</v>
          </cell>
          <cell r="AJ291">
            <v>81.27</v>
          </cell>
          <cell r="AK291">
            <v>74.8</v>
          </cell>
          <cell r="AL291">
            <v>79.790000000000006</v>
          </cell>
          <cell r="AM291">
            <v>79.790000000000006</v>
          </cell>
          <cell r="AN291">
            <v>80.28</v>
          </cell>
          <cell r="AO291">
            <v>82.3</v>
          </cell>
          <cell r="AP291">
            <v>81.27</v>
          </cell>
          <cell r="AQ291">
            <v>82.3</v>
          </cell>
          <cell r="AR291">
            <v>83.33</v>
          </cell>
          <cell r="AS291">
            <v>84.4</v>
          </cell>
          <cell r="AT291">
            <v>81.790000000000006</v>
          </cell>
          <cell r="AU291">
            <v>81.790000000000006</v>
          </cell>
          <cell r="AV291">
            <v>82.81</v>
          </cell>
          <cell r="AX291">
            <v>57.37</v>
          </cell>
          <cell r="AY291">
            <v>79.31</v>
          </cell>
          <cell r="AZ291">
            <v>0.17</v>
          </cell>
          <cell r="BA291">
            <v>0.04</v>
          </cell>
          <cell r="BB291" t="str">
            <v>#_NA</v>
          </cell>
          <cell r="BC291" t="str">
            <v>#_NA</v>
          </cell>
          <cell r="BD291" t="str">
            <v>#_NA</v>
          </cell>
          <cell r="BE291" t="str">
            <v>-</v>
          </cell>
          <cell r="BF291" t="str">
            <v>-</v>
          </cell>
          <cell r="BG291">
            <v>0.13542000000000001</v>
          </cell>
          <cell r="BH291">
            <v>0.45569999999999999</v>
          </cell>
          <cell r="BI291">
            <v>27</v>
          </cell>
          <cell r="BJ291" t="str">
            <v>-</v>
          </cell>
          <cell r="BK291">
            <v>0.4819</v>
          </cell>
          <cell r="BL291">
            <v>25.7</v>
          </cell>
          <cell r="BM291" t="str">
            <v>-</v>
          </cell>
          <cell r="BN291" t="str">
            <v>NÃO</v>
          </cell>
          <cell r="BO291" t="str">
            <v>NÃO</v>
          </cell>
          <cell r="BP291" t="str">
            <v>MS|G|IMPORTADO|Não|Positiva</v>
          </cell>
          <cell r="BR291" t="str">
            <v>TBD</v>
          </cell>
          <cell r="BS291">
            <v>0</v>
          </cell>
          <cell r="BT291" t="str">
            <v>#ERRO</v>
          </cell>
          <cell r="BU291">
            <v>25.7</v>
          </cell>
          <cell r="BV291" t="str">
            <v>-</v>
          </cell>
          <cell r="BX291" t="str">
            <v>TBD</v>
          </cell>
          <cell r="BY291" t="str">
            <v>TBD</v>
          </cell>
          <cell r="BZ291" t="str">
            <v>TBD</v>
          </cell>
          <cell r="CA291" t="str">
            <v>#ERRO</v>
          </cell>
          <cell r="CB291" t="str">
            <v>-</v>
          </cell>
        </row>
        <row r="292">
          <cell r="A292" t="str">
            <v>22085-0</v>
          </cell>
          <cell r="B292" t="str">
            <v>22085-0</v>
          </cell>
          <cell r="C292">
            <v>7896714291956</v>
          </cell>
          <cell r="D292" t="str">
            <v>APIXABANA 2,5MG COMP REV X60</v>
          </cell>
          <cell r="E292" t="str">
            <v>SIM</v>
          </cell>
          <cell r="F292" t="str">
            <v>G</v>
          </cell>
          <cell r="G292" t="str">
            <v>LINHA</v>
          </cell>
          <cell r="H292">
            <v>2</v>
          </cell>
          <cell r="I292">
            <v>24</v>
          </cell>
          <cell r="J292" t="str">
            <v>Monitorado</v>
          </cell>
          <cell r="K292" t="str">
            <v>Positiva</v>
          </cell>
          <cell r="L292" t="str">
            <v>Não</v>
          </cell>
          <cell r="M292" t="str">
            <v>IMPORTADO</v>
          </cell>
          <cell r="N292" t="str">
            <v>IMPORTADO</v>
          </cell>
          <cell r="P292">
            <v>172.12</v>
          </cell>
          <cell r="Q292">
            <v>172.12</v>
          </cell>
          <cell r="R292">
            <v>174.22</v>
          </cell>
          <cell r="S292">
            <v>176.37</v>
          </cell>
          <cell r="T292">
            <v>162.34</v>
          </cell>
          <cell r="U292">
            <v>173.16</v>
          </cell>
          <cell r="V292">
            <v>173.16</v>
          </cell>
          <cell r="W292">
            <v>174.22</v>
          </cell>
          <cell r="X292">
            <v>178.58</v>
          </cell>
          <cell r="Y292">
            <v>176.37</v>
          </cell>
          <cell r="Z292">
            <v>178.58</v>
          </cell>
          <cell r="AA292">
            <v>180.84</v>
          </cell>
          <cell r="AB292">
            <v>183.15</v>
          </cell>
          <cell r="AC292">
            <v>177.47</v>
          </cell>
          <cell r="AD292">
            <v>177.47</v>
          </cell>
          <cell r="AE292">
            <v>179.7</v>
          </cell>
          <cell r="AF292">
            <v>0</v>
          </cell>
          <cell r="AG292">
            <v>237.95</v>
          </cell>
          <cell r="AH292">
            <v>237.95</v>
          </cell>
          <cell r="AI292">
            <v>240.85</v>
          </cell>
          <cell r="AJ292">
            <v>243.82</v>
          </cell>
          <cell r="AK292">
            <v>224.43</v>
          </cell>
          <cell r="AL292">
            <v>239.38</v>
          </cell>
          <cell r="AM292">
            <v>239.38</v>
          </cell>
          <cell r="AN292">
            <v>240.85</v>
          </cell>
          <cell r="AO292">
            <v>246.88</v>
          </cell>
          <cell r="AP292">
            <v>243.82</v>
          </cell>
          <cell r="AQ292">
            <v>246.88</v>
          </cell>
          <cell r="AR292">
            <v>250</v>
          </cell>
          <cell r="AS292">
            <v>253.19</v>
          </cell>
          <cell r="AT292">
            <v>245.34</v>
          </cell>
          <cell r="AU292">
            <v>245.34</v>
          </cell>
          <cell r="AV292">
            <v>248.42</v>
          </cell>
          <cell r="AX292">
            <v>172.12</v>
          </cell>
          <cell r="AY292">
            <v>237.95</v>
          </cell>
          <cell r="AZ292">
            <v>0.17</v>
          </cell>
          <cell r="BA292">
            <v>0.04</v>
          </cell>
          <cell r="BB292" t="str">
            <v>#_NA</v>
          </cell>
          <cell r="BC292" t="str">
            <v>#_NA</v>
          </cell>
          <cell r="BD292" t="str">
            <v>#_NA</v>
          </cell>
          <cell r="BE292" t="str">
            <v>-</v>
          </cell>
          <cell r="BF292" t="str">
            <v>-</v>
          </cell>
          <cell r="BG292">
            <v>0.13542000000000001</v>
          </cell>
          <cell r="BH292">
            <v>0.45879999999999999</v>
          </cell>
          <cell r="BI292">
            <v>80.540000000000006</v>
          </cell>
          <cell r="BJ292" t="str">
            <v>-</v>
          </cell>
          <cell r="BK292">
            <v>0.48459999999999998</v>
          </cell>
          <cell r="BL292">
            <v>76.7</v>
          </cell>
          <cell r="BM292" t="str">
            <v>-</v>
          </cell>
          <cell r="BN292" t="str">
            <v>NÃO</v>
          </cell>
          <cell r="BO292" t="str">
            <v>NÃO</v>
          </cell>
          <cell r="BP292" t="str">
            <v>MS|G|IMPORTADO|Não|Positiva</v>
          </cell>
          <cell r="BR292" t="str">
            <v>TBD</v>
          </cell>
          <cell r="BS292">
            <v>0</v>
          </cell>
          <cell r="BT292" t="str">
            <v>#ERRO</v>
          </cell>
          <cell r="BU292">
            <v>76.7</v>
          </cell>
          <cell r="BV292" t="str">
            <v>-</v>
          </cell>
          <cell r="BX292" t="str">
            <v>TBD</v>
          </cell>
          <cell r="BY292" t="str">
            <v>TBD</v>
          </cell>
          <cell r="BZ292" t="str">
            <v>TBD</v>
          </cell>
          <cell r="CA292" t="str">
            <v>#ERRO</v>
          </cell>
          <cell r="CB292" t="str">
            <v>-</v>
          </cell>
        </row>
        <row r="293">
          <cell r="A293" t="str">
            <v>22084-0</v>
          </cell>
          <cell r="B293" t="str">
            <v>22084-0</v>
          </cell>
          <cell r="C293">
            <v>7896714291949</v>
          </cell>
          <cell r="D293" t="str">
            <v>APIXABANA 5MG COMP REV X20</v>
          </cell>
          <cell r="E293" t="str">
            <v>SIM</v>
          </cell>
          <cell r="F293" t="str">
            <v>G</v>
          </cell>
          <cell r="G293" t="str">
            <v>LINHA</v>
          </cell>
          <cell r="H293">
            <v>2</v>
          </cell>
          <cell r="I293">
            <v>24</v>
          </cell>
          <cell r="J293" t="str">
            <v>Monitorado</v>
          </cell>
          <cell r="K293" t="str">
            <v>Positiva</v>
          </cell>
          <cell r="L293" t="str">
            <v>Não</v>
          </cell>
          <cell r="M293" t="str">
            <v>IMPORTADO</v>
          </cell>
          <cell r="N293" t="str">
            <v>IMPORTADO</v>
          </cell>
          <cell r="P293">
            <v>57.37</v>
          </cell>
          <cell r="Q293">
            <v>57.37</v>
          </cell>
          <cell r="R293">
            <v>58.07</v>
          </cell>
          <cell r="S293">
            <v>58.79</v>
          </cell>
          <cell r="T293">
            <v>54.11</v>
          </cell>
          <cell r="U293">
            <v>57.72</v>
          </cell>
          <cell r="V293">
            <v>57.72</v>
          </cell>
          <cell r="W293">
            <v>58.07</v>
          </cell>
          <cell r="X293">
            <v>59.53</v>
          </cell>
          <cell r="Y293">
            <v>58.79</v>
          </cell>
          <cell r="Z293">
            <v>59.53</v>
          </cell>
          <cell r="AA293">
            <v>60.28</v>
          </cell>
          <cell r="AB293">
            <v>61.05</v>
          </cell>
          <cell r="AC293">
            <v>59.16</v>
          </cell>
          <cell r="AD293">
            <v>59.16</v>
          </cell>
          <cell r="AE293">
            <v>59.9</v>
          </cell>
          <cell r="AF293">
            <v>0</v>
          </cell>
          <cell r="AG293">
            <v>79.31</v>
          </cell>
          <cell r="AH293">
            <v>79.31</v>
          </cell>
          <cell r="AI293">
            <v>80.28</v>
          </cell>
          <cell r="AJ293">
            <v>81.27</v>
          </cell>
          <cell r="AK293">
            <v>74.8</v>
          </cell>
          <cell r="AL293">
            <v>79.790000000000006</v>
          </cell>
          <cell r="AM293">
            <v>79.790000000000006</v>
          </cell>
          <cell r="AN293">
            <v>80.28</v>
          </cell>
          <cell r="AO293">
            <v>82.3</v>
          </cell>
          <cell r="AP293">
            <v>81.27</v>
          </cell>
          <cell r="AQ293">
            <v>82.3</v>
          </cell>
          <cell r="AR293">
            <v>83.33</v>
          </cell>
          <cell r="AS293">
            <v>84.4</v>
          </cell>
          <cell r="AT293">
            <v>81.790000000000006</v>
          </cell>
          <cell r="AU293">
            <v>81.790000000000006</v>
          </cell>
          <cell r="AV293">
            <v>82.81</v>
          </cell>
          <cell r="AX293">
            <v>57.37</v>
          </cell>
          <cell r="AY293">
            <v>79.31</v>
          </cell>
          <cell r="AZ293">
            <v>0.17</v>
          </cell>
          <cell r="BA293">
            <v>0.04</v>
          </cell>
          <cell r="BB293" t="str">
            <v>#_NA</v>
          </cell>
          <cell r="BC293" t="str">
            <v>#_NA</v>
          </cell>
          <cell r="BD293" t="str">
            <v>#_NA</v>
          </cell>
          <cell r="BE293" t="str">
            <v>-</v>
          </cell>
          <cell r="BF293" t="str">
            <v>-</v>
          </cell>
          <cell r="BG293">
            <v>0.13542000000000001</v>
          </cell>
          <cell r="BH293">
            <v>0.46079999999999999</v>
          </cell>
          <cell r="BI293">
            <v>26.74</v>
          </cell>
          <cell r="BJ293" t="str">
            <v>-</v>
          </cell>
          <cell r="BK293">
            <v>0.48670000000000002</v>
          </cell>
          <cell r="BL293">
            <v>25.46</v>
          </cell>
          <cell r="BM293" t="str">
            <v>-</v>
          </cell>
          <cell r="BN293" t="str">
            <v>NÃO</v>
          </cell>
          <cell r="BO293" t="str">
            <v>NÃO</v>
          </cell>
          <cell r="BP293" t="str">
            <v>MS|G|IMPORTADO|Não|Positiva</v>
          </cell>
          <cell r="BR293" t="str">
            <v>TBD</v>
          </cell>
          <cell r="BS293">
            <v>0</v>
          </cell>
          <cell r="BT293" t="str">
            <v>#ERRO</v>
          </cell>
          <cell r="BU293">
            <v>25.46</v>
          </cell>
          <cell r="BV293" t="str">
            <v>-</v>
          </cell>
          <cell r="BX293" t="str">
            <v>TBD</v>
          </cell>
          <cell r="BY293" t="str">
            <v>TBD</v>
          </cell>
          <cell r="BZ293" t="str">
            <v>TBD</v>
          </cell>
          <cell r="CA293" t="str">
            <v>#ERRO</v>
          </cell>
          <cell r="CB293" t="str">
            <v>-</v>
          </cell>
        </row>
        <row r="294">
          <cell r="A294" t="str">
            <v>22083-0</v>
          </cell>
          <cell r="B294" t="str">
            <v>22083-0</v>
          </cell>
          <cell r="C294">
            <v>7896714291932</v>
          </cell>
          <cell r="D294" t="str">
            <v>APIXABANA 5MG COMP REV BL X60</v>
          </cell>
          <cell r="E294" t="str">
            <v>SIM</v>
          </cell>
          <cell r="F294" t="str">
            <v>G</v>
          </cell>
          <cell r="G294" t="str">
            <v>LINHA</v>
          </cell>
          <cell r="H294">
            <v>2</v>
          </cell>
          <cell r="I294">
            <v>24</v>
          </cell>
          <cell r="J294" t="str">
            <v>Monitorado</v>
          </cell>
          <cell r="K294" t="str">
            <v>Positiva</v>
          </cell>
          <cell r="L294" t="str">
            <v>Não</v>
          </cell>
          <cell r="M294" t="str">
            <v>IMPORTADO</v>
          </cell>
          <cell r="N294" t="str">
            <v>IMPORTADO</v>
          </cell>
          <cell r="P294">
            <v>172.12</v>
          </cell>
          <cell r="Q294">
            <v>172.12</v>
          </cell>
          <cell r="R294">
            <v>174.22</v>
          </cell>
          <cell r="S294">
            <v>176.37</v>
          </cell>
          <cell r="T294">
            <v>162.34</v>
          </cell>
          <cell r="U294">
            <v>173.16</v>
          </cell>
          <cell r="V294">
            <v>173.16</v>
          </cell>
          <cell r="W294">
            <v>174.22</v>
          </cell>
          <cell r="X294">
            <v>178.58</v>
          </cell>
          <cell r="Y294">
            <v>176.37</v>
          </cell>
          <cell r="Z294">
            <v>178.58</v>
          </cell>
          <cell r="AA294">
            <v>180.84</v>
          </cell>
          <cell r="AB294">
            <v>183.15</v>
          </cell>
          <cell r="AC294">
            <v>177.47</v>
          </cell>
          <cell r="AD294">
            <v>177.47</v>
          </cell>
          <cell r="AE294">
            <v>179.7</v>
          </cell>
          <cell r="AF294">
            <v>0</v>
          </cell>
          <cell r="AG294">
            <v>237.95</v>
          </cell>
          <cell r="AH294">
            <v>237.95</v>
          </cell>
          <cell r="AI294">
            <v>240.85</v>
          </cell>
          <cell r="AJ294">
            <v>243.82</v>
          </cell>
          <cell r="AK294">
            <v>224.43</v>
          </cell>
          <cell r="AL294">
            <v>239.38</v>
          </cell>
          <cell r="AM294">
            <v>239.38</v>
          </cell>
          <cell r="AN294">
            <v>240.85</v>
          </cell>
          <cell r="AO294">
            <v>246.88</v>
          </cell>
          <cell r="AP294">
            <v>243.82</v>
          </cell>
          <cell r="AQ294">
            <v>246.88</v>
          </cell>
          <cell r="AR294">
            <v>250</v>
          </cell>
          <cell r="AS294">
            <v>253.19</v>
          </cell>
          <cell r="AT294">
            <v>245.34</v>
          </cell>
          <cell r="AU294">
            <v>245.34</v>
          </cell>
          <cell r="AV294">
            <v>248.42</v>
          </cell>
          <cell r="AX294">
            <v>172.12</v>
          </cell>
          <cell r="AY294">
            <v>237.95</v>
          </cell>
          <cell r="AZ294">
            <v>0.17</v>
          </cell>
          <cell r="BA294">
            <v>0.04</v>
          </cell>
          <cell r="BB294" t="str">
            <v>#_NA</v>
          </cell>
          <cell r="BC294" t="str">
            <v>#_NA</v>
          </cell>
          <cell r="BD294" t="str">
            <v>#_NA</v>
          </cell>
          <cell r="BE294" t="str">
            <v>-</v>
          </cell>
          <cell r="BF294" t="str">
            <v>-</v>
          </cell>
          <cell r="BG294">
            <v>0.13542000000000001</v>
          </cell>
          <cell r="BH294">
            <v>0.441</v>
          </cell>
          <cell r="BI294">
            <v>83.18</v>
          </cell>
          <cell r="BJ294" t="str">
            <v>-</v>
          </cell>
          <cell r="BK294">
            <v>0.46760000000000002</v>
          </cell>
          <cell r="BL294">
            <v>79.23</v>
          </cell>
          <cell r="BM294" t="str">
            <v>-</v>
          </cell>
          <cell r="BN294" t="str">
            <v>NÃO</v>
          </cell>
          <cell r="BO294" t="str">
            <v>NÃO</v>
          </cell>
          <cell r="BP294" t="str">
            <v>MS|G|IMPORTADO|Não|Positiva</v>
          </cell>
          <cell r="BR294" t="str">
            <v>TBD</v>
          </cell>
          <cell r="BS294">
            <v>0</v>
          </cell>
          <cell r="BT294" t="str">
            <v>#ERRO</v>
          </cell>
          <cell r="BU294">
            <v>79.23</v>
          </cell>
          <cell r="BV294" t="str">
            <v>-</v>
          </cell>
          <cell r="BX294" t="str">
            <v>TBD</v>
          </cell>
          <cell r="BY294" t="str">
            <v>TBD</v>
          </cell>
          <cell r="BZ294" t="str">
            <v>TBD</v>
          </cell>
          <cell r="CA294" t="str">
            <v>#ERRO</v>
          </cell>
          <cell r="CB294" t="str">
            <v>-</v>
          </cell>
        </row>
        <row r="295">
          <cell r="A295" t="str">
            <v>12382-0</v>
          </cell>
          <cell r="B295" t="str">
            <v>12382-0</v>
          </cell>
          <cell r="C295">
            <v>7896714225623</v>
          </cell>
          <cell r="D295" t="str">
            <v>BABYNEO POM BG 1X60G</v>
          </cell>
          <cell r="E295" t="str">
            <v>SIM</v>
          </cell>
          <cell r="F295" t="str">
            <v>S</v>
          </cell>
          <cell r="G295" t="str">
            <v>LINHA</v>
          </cell>
          <cell r="H295">
            <v>5</v>
          </cell>
          <cell r="I295">
            <v>60</v>
          </cell>
          <cell r="J295" t="str">
            <v>Liberado</v>
          </cell>
          <cell r="K295" t="str">
            <v>Negativa</v>
          </cell>
          <cell r="L295" t="str">
            <v>Sim</v>
          </cell>
          <cell r="M295" t="str">
            <v>NACIONAL</v>
          </cell>
          <cell r="N295" t="str">
            <v>NACIONAL</v>
          </cell>
          <cell r="P295">
            <v>45.11</v>
          </cell>
          <cell r="Q295">
            <v>51.81</v>
          </cell>
          <cell r="R295">
            <v>52.54</v>
          </cell>
          <cell r="S295">
            <v>53.29</v>
          </cell>
          <cell r="T295">
            <v>48.45</v>
          </cell>
          <cell r="U295">
            <v>52.18</v>
          </cell>
          <cell r="V295">
            <v>45.38</v>
          </cell>
          <cell r="W295">
            <v>45.66</v>
          </cell>
          <cell r="X295">
            <v>54.06</v>
          </cell>
          <cell r="Y295">
            <v>46.22</v>
          </cell>
          <cell r="Z295">
            <v>46.8</v>
          </cell>
          <cell r="AA295">
            <v>54.86</v>
          </cell>
          <cell r="AB295">
            <v>55.68</v>
          </cell>
          <cell r="AC295">
            <v>53.68</v>
          </cell>
          <cell r="AD295">
            <v>46.51</v>
          </cell>
          <cell r="AE295">
            <v>54.46</v>
          </cell>
          <cell r="AF295">
            <v>0</v>
          </cell>
          <cell r="AG295">
            <v>62.36</v>
          </cell>
          <cell r="AH295">
            <v>69.06</v>
          </cell>
          <cell r="AI295">
            <v>70</v>
          </cell>
          <cell r="AJ295">
            <v>70.97</v>
          </cell>
          <cell r="AK295">
            <v>64.72</v>
          </cell>
          <cell r="AL295">
            <v>69.540000000000006</v>
          </cell>
          <cell r="AM295">
            <v>62.74</v>
          </cell>
          <cell r="AN295">
            <v>63.12</v>
          </cell>
          <cell r="AO295">
            <v>71.959999999999994</v>
          </cell>
          <cell r="AP295">
            <v>63.9</v>
          </cell>
          <cell r="AQ295">
            <v>64.7</v>
          </cell>
          <cell r="AR295">
            <v>72.98</v>
          </cell>
          <cell r="AS295">
            <v>74.040000000000006</v>
          </cell>
          <cell r="AT295">
            <v>71.47</v>
          </cell>
          <cell r="AU295">
            <v>64.3</v>
          </cell>
          <cell r="AV295">
            <v>72.47</v>
          </cell>
          <cell r="AX295">
            <v>51.81</v>
          </cell>
          <cell r="AY295">
            <v>69.06</v>
          </cell>
          <cell r="AZ295">
            <v>0.17</v>
          </cell>
          <cell r="BA295">
            <v>0.12</v>
          </cell>
          <cell r="BB295" t="str">
            <v>#_NA</v>
          </cell>
          <cell r="BC295" t="str">
            <v>#_NA</v>
          </cell>
          <cell r="BD295" t="str">
            <v>#_NA</v>
          </cell>
          <cell r="BE295" t="str">
            <v>-</v>
          </cell>
          <cell r="BF295" t="str">
            <v>-</v>
          </cell>
          <cell r="BG295">
            <v>5.6820000000000002E-2</v>
          </cell>
          <cell r="BH295">
            <v>0.83579999999999999</v>
          </cell>
          <cell r="BI295">
            <v>8.02</v>
          </cell>
          <cell r="BJ295" t="str">
            <v>-</v>
          </cell>
          <cell r="BK295">
            <v>0.86450000000000005</v>
          </cell>
          <cell r="BL295">
            <v>6.62</v>
          </cell>
          <cell r="BM295" t="str">
            <v>-</v>
          </cell>
          <cell r="BN295" t="str">
            <v>NÃO</v>
          </cell>
          <cell r="BO295" t="str">
            <v>NÃO</v>
          </cell>
          <cell r="BP295" t="str">
            <v>MS|S|NACIONAL|Sim|Negativa</v>
          </cell>
          <cell r="BR295" t="str">
            <v>TBD</v>
          </cell>
          <cell r="BS295">
            <v>0</v>
          </cell>
          <cell r="BT295" t="str">
            <v>#ERRO</v>
          </cell>
          <cell r="BU295">
            <v>6.62</v>
          </cell>
          <cell r="BV295" t="str">
            <v>-</v>
          </cell>
          <cell r="BX295" t="str">
            <v>TBD</v>
          </cell>
          <cell r="BY295" t="str">
            <v>TBD</v>
          </cell>
          <cell r="BZ295" t="str">
            <v>TBD</v>
          </cell>
          <cell r="CA295" t="str">
            <v>#ERRO</v>
          </cell>
          <cell r="CB295" t="str">
            <v>-</v>
          </cell>
        </row>
        <row r="296">
          <cell r="A296" t="str">
            <v>22232-0</v>
          </cell>
          <cell r="B296" t="str">
            <v>22232-0</v>
          </cell>
          <cell r="C296">
            <v>7896714292441</v>
          </cell>
          <cell r="D296" t="str">
            <v>ONDAVON 4MG CT BL X 10 CPR ORODISP</v>
          </cell>
          <cell r="E296" t="str">
            <v>SIM</v>
          </cell>
          <cell r="F296" t="str">
            <v>S</v>
          </cell>
          <cell r="G296" t="str">
            <v>LINHA</v>
          </cell>
          <cell r="H296">
            <v>0</v>
          </cell>
          <cell r="I296">
            <v>70</v>
          </cell>
          <cell r="J296" t="str">
            <v>Monitorado</v>
          </cell>
          <cell r="K296" t="str">
            <v>Positiva</v>
          </cell>
          <cell r="L296" t="str">
            <v>Não</v>
          </cell>
          <cell r="M296" t="str">
            <v>NACIONAL</v>
          </cell>
          <cell r="N296" t="str">
            <v>NACIONAL</v>
          </cell>
          <cell r="P296">
            <v>18.78</v>
          </cell>
          <cell r="Q296">
            <v>18.78</v>
          </cell>
          <cell r="R296">
            <v>19.010000000000002</v>
          </cell>
          <cell r="S296">
            <v>19.25</v>
          </cell>
          <cell r="T296">
            <v>17.72</v>
          </cell>
          <cell r="U296">
            <v>18.899999999999999</v>
          </cell>
          <cell r="V296">
            <v>18.899999999999999</v>
          </cell>
          <cell r="W296">
            <v>19.010000000000002</v>
          </cell>
          <cell r="X296">
            <v>19.489999999999998</v>
          </cell>
          <cell r="Y296">
            <v>19.25</v>
          </cell>
          <cell r="Z296">
            <v>19.489999999999998</v>
          </cell>
          <cell r="AA296">
            <v>19.73</v>
          </cell>
          <cell r="AB296">
            <v>19.989999999999998</v>
          </cell>
          <cell r="AC296">
            <v>19.37</v>
          </cell>
          <cell r="AD296">
            <v>19.37</v>
          </cell>
          <cell r="AE296">
            <v>19.61</v>
          </cell>
          <cell r="AF296">
            <v>0</v>
          </cell>
          <cell r="AG296">
            <v>25.96</v>
          </cell>
          <cell r="AH296">
            <v>25.96</v>
          </cell>
          <cell r="AI296">
            <v>26.28</v>
          </cell>
          <cell r="AJ296">
            <v>26.61</v>
          </cell>
          <cell r="AK296">
            <v>24.5</v>
          </cell>
          <cell r="AL296">
            <v>26.13</v>
          </cell>
          <cell r="AM296">
            <v>26.13</v>
          </cell>
          <cell r="AN296">
            <v>26.28</v>
          </cell>
          <cell r="AO296">
            <v>26.94</v>
          </cell>
          <cell r="AP296">
            <v>26.61</v>
          </cell>
          <cell r="AQ296">
            <v>26.94</v>
          </cell>
          <cell r="AR296">
            <v>27.28</v>
          </cell>
          <cell r="AS296">
            <v>27.64</v>
          </cell>
          <cell r="AT296">
            <v>26.78</v>
          </cell>
          <cell r="AU296">
            <v>26.78</v>
          </cell>
          <cell r="AV296">
            <v>27.11</v>
          </cell>
          <cell r="AX296">
            <v>18.78</v>
          </cell>
          <cell r="AY296">
            <v>25.96</v>
          </cell>
          <cell r="AZ296">
            <v>0.17</v>
          </cell>
          <cell r="BA296">
            <v>0.12</v>
          </cell>
          <cell r="BB296" t="str">
            <v>#_NA</v>
          </cell>
          <cell r="BC296" t="str">
            <v>#_NA</v>
          </cell>
          <cell r="BD296" t="str">
            <v>#_NA</v>
          </cell>
          <cell r="BE296" t="str">
            <v>-</v>
          </cell>
          <cell r="BF296" t="str">
            <v>-</v>
          </cell>
          <cell r="BG296">
            <v>5.6820000000000002E-2</v>
          </cell>
          <cell r="BH296">
            <v>0.58940000000000003</v>
          </cell>
          <cell r="BI296">
            <v>7.27</v>
          </cell>
          <cell r="BJ296" t="str">
            <v>-</v>
          </cell>
          <cell r="BK296">
            <v>0.60899999999999999</v>
          </cell>
          <cell r="BL296">
            <v>6.92</v>
          </cell>
          <cell r="BM296" t="str">
            <v>-</v>
          </cell>
          <cell r="BN296" t="str">
            <v>NÃO</v>
          </cell>
          <cell r="BO296" t="str">
            <v>NÃO</v>
          </cell>
          <cell r="BP296" t="str">
            <v>MS|S|NACIONAL|Não|Positiva</v>
          </cell>
          <cell r="BR296" t="str">
            <v>TBD</v>
          </cell>
          <cell r="BS296">
            <v>0</v>
          </cell>
          <cell r="BT296" t="str">
            <v>#ERRO</v>
          </cell>
          <cell r="BU296">
            <v>6.92</v>
          </cell>
          <cell r="BV296" t="str">
            <v>-</v>
          </cell>
          <cell r="BX296" t="str">
            <v>TBD</v>
          </cell>
          <cell r="BY296" t="str">
            <v>TBD</v>
          </cell>
          <cell r="BZ296" t="str">
            <v>TBD</v>
          </cell>
          <cell r="CA296" t="str">
            <v>#ERRO</v>
          </cell>
          <cell r="CB296" t="str">
            <v>-</v>
          </cell>
        </row>
        <row r="297">
          <cell r="A297" t="str">
            <v>22231-0</v>
          </cell>
          <cell r="B297" t="str">
            <v>22231-0</v>
          </cell>
          <cell r="C297">
            <v>7896714292434</v>
          </cell>
          <cell r="D297" t="str">
            <v>ONDAVON 4MG CT BL X 30 CPR ORODISP</v>
          </cell>
          <cell r="E297" t="str">
            <v>SIM</v>
          </cell>
          <cell r="F297" t="str">
            <v>S</v>
          </cell>
          <cell r="G297" t="str">
            <v>LINHA</v>
          </cell>
          <cell r="H297">
            <v>0</v>
          </cell>
          <cell r="I297">
            <v>70</v>
          </cell>
          <cell r="J297" t="str">
            <v>Monitorado</v>
          </cell>
          <cell r="K297" t="str">
            <v>Positiva</v>
          </cell>
          <cell r="L297" t="str">
            <v>Não</v>
          </cell>
          <cell r="M297" t="str">
            <v>NACIONAL</v>
          </cell>
          <cell r="N297" t="str">
            <v>NACIONAL</v>
          </cell>
          <cell r="P297">
            <v>60.7</v>
          </cell>
          <cell r="Q297">
            <v>60.7</v>
          </cell>
          <cell r="R297">
            <v>61.44</v>
          </cell>
          <cell r="S297">
            <v>62.2</v>
          </cell>
          <cell r="T297">
            <v>57.25</v>
          </cell>
          <cell r="U297">
            <v>61.07</v>
          </cell>
          <cell r="V297">
            <v>61.07</v>
          </cell>
          <cell r="W297">
            <v>61.44</v>
          </cell>
          <cell r="X297">
            <v>62.98</v>
          </cell>
          <cell r="Y297">
            <v>62.2</v>
          </cell>
          <cell r="Z297">
            <v>62.98</v>
          </cell>
          <cell r="AA297">
            <v>63.77</v>
          </cell>
          <cell r="AB297">
            <v>64.59</v>
          </cell>
          <cell r="AC297">
            <v>62.58</v>
          </cell>
          <cell r="AD297">
            <v>62.58</v>
          </cell>
          <cell r="AE297">
            <v>63.37</v>
          </cell>
          <cell r="AF297">
            <v>0</v>
          </cell>
          <cell r="AG297">
            <v>83.91</v>
          </cell>
          <cell r="AH297">
            <v>83.91</v>
          </cell>
          <cell r="AI297">
            <v>84.94</v>
          </cell>
          <cell r="AJ297">
            <v>85.99</v>
          </cell>
          <cell r="AK297">
            <v>79.14</v>
          </cell>
          <cell r="AL297">
            <v>84.43</v>
          </cell>
          <cell r="AM297">
            <v>84.43</v>
          </cell>
          <cell r="AN297">
            <v>84.94</v>
          </cell>
          <cell r="AO297">
            <v>87.07</v>
          </cell>
          <cell r="AP297">
            <v>85.99</v>
          </cell>
          <cell r="AQ297">
            <v>87.07</v>
          </cell>
          <cell r="AR297">
            <v>88.16</v>
          </cell>
          <cell r="AS297">
            <v>89.29</v>
          </cell>
          <cell r="AT297">
            <v>86.51</v>
          </cell>
          <cell r="AU297">
            <v>86.51</v>
          </cell>
          <cell r="AV297">
            <v>87.61</v>
          </cell>
          <cell r="AX297">
            <v>60.7</v>
          </cell>
          <cell r="AY297">
            <v>83.91</v>
          </cell>
          <cell r="AZ297">
            <v>0.17</v>
          </cell>
          <cell r="BA297">
            <v>0.12</v>
          </cell>
          <cell r="BB297" t="str">
            <v>#_NA</v>
          </cell>
          <cell r="BC297" t="str">
            <v>#_NA</v>
          </cell>
          <cell r="BD297" t="str">
            <v>#_NA</v>
          </cell>
          <cell r="BE297" t="str">
            <v>-</v>
          </cell>
          <cell r="BF297" t="str">
            <v>-</v>
          </cell>
          <cell r="BG297">
            <v>5.6820000000000002E-2</v>
          </cell>
          <cell r="BH297">
            <v>0.65669999999999995</v>
          </cell>
          <cell r="BI297">
            <v>19.649999999999999</v>
          </cell>
          <cell r="BJ297" t="str">
            <v>-</v>
          </cell>
          <cell r="BK297">
            <v>0.67300000000000004</v>
          </cell>
          <cell r="BL297">
            <v>18.72</v>
          </cell>
          <cell r="BM297" t="str">
            <v>-</v>
          </cell>
          <cell r="BN297" t="str">
            <v>NÃO</v>
          </cell>
          <cell r="BO297" t="str">
            <v>NÃO</v>
          </cell>
          <cell r="BP297" t="str">
            <v>MS|S|NACIONAL|Não|Positiva</v>
          </cell>
          <cell r="BR297" t="str">
            <v>TBD</v>
          </cell>
          <cell r="BS297">
            <v>0</v>
          </cell>
          <cell r="BT297" t="str">
            <v>#ERRO</v>
          </cell>
          <cell r="BU297">
            <v>18.72</v>
          </cell>
          <cell r="BV297" t="str">
            <v>-</v>
          </cell>
          <cell r="BX297" t="str">
            <v>TBD</v>
          </cell>
          <cell r="BY297" t="str">
            <v>TBD</v>
          </cell>
          <cell r="BZ297" t="str">
            <v>TBD</v>
          </cell>
          <cell r="CA297" t="str">
            <v>#ERRO</v>
          </cell>
          <cell r="CB297" t="str">
            <v>-</v>
          </cell>
        </row>
        <row r="298">
          <cell r="A298" t="str">
            <v>22230-0</v>
          </cell>
          <cell r="B298" t="str">
            <v>22230-0</v>
          </cell>
          <cell r="C298">
            <v>7896714292427</v>
          </cell>
          <cell r="D298" t="str">
            <v>ONDAVON 8MG CT BL X 10 CPR ORODISP</v>
          </cell>
          <cell r="E298" t="str">
            <v>SIM</v>
          </cell>
          <cell r="F298" t="str">
            <v>S</v>
          </cell>
          <cell r="G298" t="str">
            <v>LINHA</v>
          </cell>
          <cell r="H298">
            <v>0</v>
          </cell>
          <cell r="I298">
            <v>70</v>
          </cell>
          <cell r="J298" t="str">
            <v>Monitorado</v>
          </cell>
          <cell r="K298" t="str">
            <v>Positiva</v>
          </cell>
          <cell r="L298" t="str">
            <v>Não</v>
          </cell>
          <cell r="M298" t="str">
            <v>NACIONAL</v>
          </cell>
          <cell r="N298" t="str">
            <v>NACIONAL</v>
          </cell>
          <cell r="P298">
            <v>35.229999999999997</v>
          </cell>
          <cell r="Q298">
            <v>35.229999999999997</v>
          </cell>
          <cell r="R298">
            <v>35.659999999999997</v>
          </cell>
          <cell r="S298">
            <v>36.1</v>
          </cell>
          <cell r="T298">
            <v>33.229999999999997</v>
          </cell>
          <cell r="U298">
            <v>35.44</v>
          </cell>
          <cell r="V298">
            <v>35.44</v>
          </cell>
          <cell r="W298">
            <v>35.659999999999997</v>
          </cell>
          <cell r="X298">
            <v>36.549999999999997</v>
          </cell>
          <cell r="Y298">
            <v>36.1</v>
          </cell>
          <cell r="Z298">
            <v>36.549999999999997</v>
          </cell>
          <cell r="AA298">
            <v>37.01</v>
          </cell>
          <cell r="AB298">
            <v>37.49</v>
          </cell>
          <cell r="AC298">
            <v>36.32</v>
          </cell>
          <cell r="AD298">
            <v>36.32</v>
          </cell>
          <cell r="AE298">
            <v>36.78</v>
          </cell>
          <cell r="AF298">
            <v>0</v>
          </cell>
          <cell r="AG298">
            <v>48.7</v>
          </cell>
          <cell r="AH298">
            <v>48.7</v>
          </cell>
          <cell r="AI298">
            <v>49.3</v>
          </cell>
          <cell r="AJ298">
            <v>49.91</v>
          </cell>
          <cell r="AK298">
            <v>45.94</v>
          </cell>
          <cell r="AL298">
            <v>48.99</v>
          </cell>
          <cell r="AM298">
            <v>48.99</v>
          </cell>
          <cell r="AN298">
            <v>49.3</v>
          </cell>
          <cell r="AO298">
            <v>50.53</v>
          </cell>
          <cell r="AP298">
            <v>49.91</v>
          </cell>
          <cell r="AQ298">
            <v>50.53</v>
          </cell>
          <cell r="AR298">
            <v>51.16</v>
          </cell>
          <cell r="AS298">
            <v>51.83</v>
          </cell>
          <cell r="AT298">
            <v>50.21</v>
          </cell>
          <cell r="AU298">
            <v>50.21</v>
          </cell>
          <cell r="AV298">
            <v>50.85</v>
          </cell>
          <cell r="AX298">
            <v>35.229999999999997</v>
          </cell>
          <cell r="AY298">
            <v>48.7</v>
          </cell>
          <cell r="AZ298">
            <v>0.17</v>
          </cell>
          <cell r="BA298">
            <v>0.12</v>
          </cell>
          <cell r="BB298" t="str">
            <v>#_NA</v>
          </cell>
          <cell r="BC298" t="str">
            <v>#_NA</v>
          </cell>
          <cell r="BD298" t="str">
            <v>#_NA</v>
          </cell>
          <cell r="BE298" t="str">
            <v>-</v>
          </cell>
          <cell r="BF298" t="str">
            <v>-</v>
          </cell>
          <cell r="BG298">
            <v>5.6820000000000002E-2</v>
          </cell>
          <cell r="BH298">
            <v>0.60840000000000005</v>
          </cell>
          <cell r="BI298">
            <v>13.01</v>
          </cell>
          <cell r="BJ298" t="str">
            <v>-</v>
          </cell>
          <cell r="BK298">
            <v>0.62709999999999999</v>
          </cell>
          <cell r="BL298">
            <v>12.39</v>
          </cell>
          <cell r="BM298" t="str">
            <v>-</v>
          </cell>
          <cell r="BN298" t="str">
            <v>NÃO</v>
          </cell>
          <cell r="BO298" t="str">
            <v>NÃO</v>
          </cell>
          <cell r="BP298" t="str">
            <v>MS|S|NACIONAL|Não|Positiva</v>
          </cell>
          <cell r="BR298" t="str">
            <v>TBD</v>
          </cell>
          <cell r="BS298">
            <v>0</v>
          </cell>
          <cell r="BT298" t="str">
            <v>#ERRO</v>
          </cell>
          <cell r="BU298">
            <v>12.39</v>
          </cell>
          <cell r="BV298" t="str">
            <v>-</v>
          </cell>
          <cell r="BX298" t="str">
            <v>TBD</v>
          </cell>
          <cell r="BY298" t="str">
            <v>TBD</v>
          </cell>
          <cell r="BZ298" t="str">
            <v>TBD</v>
          </cell>
          <cell r="CA298" t="str">
            <v>#ERRO</v>
          </cell>
          <cell r="CB298" t="str">
            <v>-</v>
          </cell>
        </row>
        <row r="299">
          <cell r="A299" t="str">
            <v>22229-0</v>
          </cell>
          <cell r="B299" t="str">
            <v>22229-0</v>
          </cell>
          <cell r="C299">
            <v>7896714292410</v>
          </cell>
          <cell r="D299" t="str">
            <v>ONDAVON 8MG CT BL X 30 CPR ORODISP</v>
          </cell>
          <cell r="E299" t="str">
            <v>SIM</v>
          </cell>
          <cell r="F299" t="str">
            <v>S</v>
          </cell>
          <cell r="G299" t="str">
            <v>LINHA</v>
          </cell>
          <cell r="H299">
            <v>0</v>
          </cell>
          <cell r="I299">
            <v>70</v>
          </cell>
          <cell r="J299" t="str">
            <v>Monitorado</v>
          </cell>
          <cell r="K299" t="str">
            <v>Positiva</v>
          </cell>
          <cell r="L299" t="str">
            <v>Não</v>
          </cell>
          <cell r="M299" t="str">
            <v>NACIONAL</v>
          </cell>
          <cell r="N299" t="str">
            <v>NACIONAL</v>
          </cell>
          <cell r="P299">
            <v>119.49</v>
          </cell>
          <cell r="Q299">
            <v>119.49</v>
          </cell>
          <cell r="R299">
            <v>120.95</v>
          </cell>
          <cell r="S299">
            <v>122.44</v>
          </cell>
          <cell r="T299">
            <v>112.7</v>
          </cell>
          <cell r="U299">
            <v>120.22</v>
          </cell>
          <cell r="V299">
            <v>120.22</v>
          </cell>
          <cell r="W299">
            <v>120.95</v>
          </cell>
          <cell r="X299">
            <v>123.98</v>
          </cell>
          <cell r="Y299">
            <v>122.44</v>
          </cell>
          <cell r="Z299">
            <v>123.98</v>
          </cell>
          <cell r="AA299">
            <v>125.54</v>
          </cell>
          <cell r="AB299">
            <v>127.15</v>
          </cell>
          <cell r="AC299">
            <v>123.2</v>
          </cell>
          <cell r="AD299">
            <v>123.2</v>
          </cell>
          <cell r="AE299">
            <v>124.75</v>
          </cell>
          <cell r="AF299">
            <v>0</v>
          </cell>
          <cell r="AG299">
            <v>165.19</v>
          </cell>
          <cell r="AH299">
            <v>165.19</v>
          </cell>
          <cell r="AI299">
            <v>167.21</v>
          </cell>
          <cell r="AJ299">
            <v>169.27</v>
          </cell>
          <cell r="AK299">
            <v>155.80000000000001</v>
          </cell>
          <cell r="AL299">
            <v>166.2</v>
          </cell>
          <cell r="AM299">
            <v>166.2</v>
          </cell>
          <cell r="AN299">
            <v>167.21</v>
          </cell>
          <cell r="AO299">
            <v>171.4</v>
          </cell>
          <cell r="AP299">
            <v>169.27</v>
          </cell>
          <cell r="AQ299">
            <v>171.4</v>
          </cell>
          <cell r="AR299">
            <v>173.55</v>
          </cell>
          <cell r="AS299">
            <v>175.78</v>
          </cell>
          <cell r="AT299">
            <v>170.32</v>
          </cell>
          <cell r="AU299">
            <v>170.32</v>
          </cell>
          <cell r="AV299">
            <v>172.46</v>
          </cell>
          <cell r="AX299">
            <v>119.49</v>
          </cell>
          <cell r="AY299">
            <v>165.19</v>
          </cell>
          <cell r="AZ299">
            <v>0.17</v>
          </cell>
          <cell r="BA299">
            <v>0.12</v>
          </cell>
          <cell r="BB299" t="str">
            <v>#_NA</v>
          </cell>
          <cell r="BC299" t="str">
            <v>#_NA</v>
          </cell>
          <cell r="BD299" t="str">
            <v>#_NA</v>
          </cell>
          <cell r="BE299" t="str">
            <v>-</v>
          </cell>
          <cell r="BF299" t="str">
            <v>-</v>
          </cell>
          <cell r="BG299">
            <v>5.6820000000000002E-2</v>
          </cell>
          <cell r="BH299">
            <v>0.68810000000000004</v>
          </cell>
          <cell r="BI299">
            <v>35.15</v>
          </cell>
          <cell r="BJ299" t="str">
            <v>-</v>
          </cell>
          <cell r="BK299">
            <v>0.70289999999999997</v>
          </cell>
          <cell r="BL299">
            <v>33.479999999999997</v>
          </cell>
          <cell r="BM299" t="str">
            <v>-</v>
          </cell>
          <cell r="BN299" t="str">
            <v>NÃO</v>
          </cell>
          <cell r="BO299" t="str">
            <v>NÃO</v>
          </cell>
          <cell r="BP299" t="str">
            <v>MS|S|NACIONAL|Não|Positiva</v>
          </cell>
          <cell r="BR299" t="str">
            <v>TBD</v>
          </cell>
          <cell r="BS299">
            <v>0</v>
          </cell>
          <cell r="BT299" t="str">
            <v>#ERRO</v>
          </cell>
          <cell r="BU299">
            <v>33.479999999999997</v>
          </cell>
          <cell r="BV299" t="str">
            <v>-</v>
          </cell>
          <cell r="BX299" t="str">
            <v>TBD</v>
          </cell>
          <cell r="BY299" t="str">
            <v>TBD</v>
          </cell>
          <cell r="BZ299" t="str">
            <v>TBD</v>
          </cell>
          <cell r="CA299" t="str">
            <v>#ERRO</v>
          </cell>
          <cell r="CB299" t="str">
            <v>-</v>
          </cell>
        </row>
        <row r="300">
          <cell r="A300" t="str">
            <v>22235-0</v>
          </cell>
          <cell r="B300" t="str">
            <v>22235-0</v>
          </cell>
          <cell r="C300">
            <v>7896714292472</v>
          </cell>
          <cell r="D300" t="str">
            <v>CL ONDANSETRONA 4MG CT BLX10 CPR ORODISP</v>
          </cell>
          <cell r="E300" t="str">
            <v>SIM</v>
          </cell>
          <cell r="F300" t="str">
            <v>G</v>
          </cell>
          <cell r="G300" t="str">
            <v>LINHA</v>
          </cell>
          <cell r="H300">
            <v>0</v>
          </cell>
          <cell r="I300">
            <v>70</v>
          </cell>
          <cell r="J300" t="str">
            <v>Monitorado</v>
          </cell>
          <cell r="K300" t="str">
            <v>Positiva</v>
          </cell>
          <cell r="L300" t="str">
            <v>Não</v>
          </cell>
          <cell r="M300" t="str">
            <v>NACIONAL</v>
          </cell>
          <cell r="N300" t="str">
            <v>NACIONAL</v>
          </cell>
          <cell r="P300">
            <v>18.78</v>
          </cell>
          <cell r="Q300">
            <v>18.78</v>
          </cell>
          <cell r="R300">
            <v>19.010000000000002</v>
          </cell>
          <cell r="S300">
            <v>19.25</v>
          </cell>
          <cell r="T300">
            <v>17.72</v>
          </cell>
          <cell r="U300">
            <v>18.899999999999999</v>
          </cell>
          <cell r="V300">
            <v>18.899999999999999</v>
          </cell>
          <cell r="W300">
            <v>19.010000000000002</v>
          </cell>
          <cell r="X300">
            <v>19.489999999999998</v>
          </cell>
          <cell r="Y300">
            <v>19.25</v>
          </cell>
          <cell r="Z300">
            <v>19.489999999999998</v>
          </cell>
          <cell r="AA300">
            <v>19.73</v>
          </cell>
          <cell r="AB300">
            <v>19.989999999999998</v>
          </cell>
          <cell r="AC300">
            <v>19.37</v>
          </cell>
          <cell r="AD300">
            <v>19.37</v>
          </cell>
          <cell r="AE300">
            <v>19.61</v>
          </cell>
          <cell r="AF300">
            <v>0</v>
          </cell>
          <cell r="AG300">
            <v>25.96</v>
          </cell>
          <cell r="AH300">
            <v>25.96</v>
          </cell>
          <cell r="AI300">
            <v>26.28</v>
          </cell>
          <cell r="AJ300">
            <v>26.61</v>
          </cell>
          <cell r="AK300">
            <v>24.5</v>
          </cell>
          <cell r="AL300">
            <v>26.13</v>
          </cell>
          <cell r="AM300">
            <v>26.13</v>
          </cell>
          <cell r="AN300">
            <v>26.28</v>
          </cell>
          <cell r="AO300">
            <v>26.94</v>
          </cell>
          <cell r="AP300">
            <v>26.61</v>
          </cell>
          <cell r="AQ300">
            <v>26.94</v>
          </cell>
          <cell r="AR300">
            <v>27.28</v>
          </cell>
          <cell r="AS300">
            <v>27.64</v>
          </cell>
          <cell r="AT300">
            <v>26.78</v>
          </cell>
          <cell r="AU300">
            <v>26.78</v>
          </cell>
          <cell r="AV300">
            <v>27.11</v>
          </cell>
          <cell r="AX300">
            <v>18.78</v>
          </cell>
          <cell r="AY300">
            <v>25.96</v>
          </cell>
          <cell r="AZ300">
            <v>0.17</v>
          </cell>
          <cell r="BA300">
            <v>0.12</v>
          </cell>
          <cell r="BB300" t="str">
            <v>#_NA</v>
          </cell>
          <cell r="BC300" t="str">
            <v>#_NA</v>
          </cell>
          <cell r="BD300" t="str">
            <v>#_NA</v>
          </cell>
          <cell r="BE300" t="str">
            <v>-</v>
          </cell>
          <cell r="BF300" t="str">
            <v>-</v>
          </cell>
          <cell r="BG300">
            <v>5.6820000000000002E-2</v>
          </cell>
          <cell r="BH300">
            <v>0.58940000000000003</v>
          </cell>
          <cell r="BI300">
            <v>7.27</v>
          </cell>
          <cell r="BJ300" t="str">
            <v>-</v>
          </cell>
          <cell r="BK300">
            <v>0.60899999999999999</v>
          </cell>
          <cell r="BL300">
            <v>6.92</v>
          </cell>
          <cell r="BM300" t="str">
            <v>-</v>
          </cell>
          <cell r="BN300" t="str">
            <v>NÃO</v>
          </cell>
          <cell r="BO300" t="str">
            <v>NÃO</v>
          </cell>
          <cell r="BP300" t="str">
            <v>MS|G|NACIONAL|Não|Positiva</v>
          </cell>
          <cell r="BR300" t="str">
            <v>TBD</v>
          </cell>
          <cell r="BS300">
            <v>0</v>
          </cell>
          <cell r="BT300" t="str">
            <v>#ERRO</v>
          </cell>
          <cell r="BU300">
            <v>6.92</v>
          </cell>
          <cell r="BV300" t="str">
            <v>-</v>
          </cell>
          <cell r="BX300" t="str">
            <v>TBD</v>
          </cell>
          <cell r="BY300" t="str">
            <v>TBD</v>
          </cell>
          <cell r="BZ300" t="str">
            <v>TBD</v>
          </cell>
          <cell r="CA300" t="str">
            <v>#ERRO</v>
          </cell>
          <cell r="CB300" t="str">
            <v>-</v>
          </cell>
        </row>
        <row r="301">
          <cell r="A301" t="str">
            <v>22234-0</v>
          </cell>
          <cell r="B301" t="str">
            <v>22234-0</v>
          </cell>
          <cell r="C301">
            <v>7896714292465</v>
          </cell>
          <cell r="D301" t="str">
            <v>CL ONDANSETRONA 4MG CT BLX30 CPR ORODISP</v>
          </cell>
          <cell r="E301" t="str">
            <v>SIM</v>
          </cell>
          <cell r="F301" t="str">
            <v>G</v>
          </cell>
          <cell r="G301" t="str">
            <v>LINHA</v>
          </cell>
          <cell r="H301">
            <v>0</v>
          </cell>
          <cell r="I301">
            <v>70</v>
          </cell>
          <cell r="J301" t="str">
            <v>Monitorado</v>
          </cell>
          <cell r="K301" t="str">
            <v>Positiva</v>
          </cell>
          <cell r="L301" t="str">
            <v>Não</v>
          </cell>
          <cell r="M301" t="str">
            <v>NACIONAL</v>
          </cell>
          <cell r="N301" t="str">
            <v>NACIONAL</v>
          </cell>
          <cell r="P301">
            <v>60.7</v>
          </cell>
          <cell r="Q301">
            <v>60.7</v>
          </cell>
          <cell r="R301">
            <v>61.44</v>
          </cell>
          <cell r="S301">
            <v>62.2</v>
          </cell>
          <cell r="T301">
            <v>57.25</v>
          </cell>
          <cell r="U301">
            <v>61.07</v>
          </cell>
          <cell r="V301">
            <v>61.07</v>
          </cell>
          <cell r="W301">
            <v>61.44</v>
          </cell>
          <cell r="X301">
            <v>62.98</v>
          </cell>
          <cell r="Y301">
            <v>62.2</v>
          </cell>
          <cell r="Z301">
            <v>62.98</v>
          </cell>
          <cell r="AA301">
            <v>63.77</v>
          </cell>
          <cell r="AB301">
            <v>64.59</v>
          </cell>
          <cell r="AC301">
            <v>62.58</v>
          </cell>
          <cell r="AD301">
            <v>62.58</v>
          </cell>
          <cell r="AE301">
            <v>63.37</v>
          </cell>
          <cell r="AF301">
            <v>0</v>
          </cell>
          <cell r="AG301">
            <v>83.91</v>
          </cell>
          <cell r="AH301">
            <v>83.91</v>
          </cell>
          <cell r="AI301">
            <v>84.94</v>
          </cell>
          <cell r="AJ301">
            <v>85.99</v>
          </cell>
          <cell r="AK301">
            <v>79.14</v>
          </cell>
          <cell r="AL301">
            <v>84.43</v>
          </cell>
          <cell r="AM301">
            <v>84.43</v>
          </cell>
          <cell r="AN301">
            <v>84.94</v>
          </cell>
          <cell r="AO301">
            <v>87.07</v>
          </cell>
          <cell r="AP301">
            <v>85.99</v>
          </cell>
          <cell r="AQ301">
            <v>87.07</v>
          </cell>
          <cell r="AR301">
            <v>88.16</v>
          </cell>
          <cell r="AS301">
            <v>89.29</v>
          </cell>
          <cell r="AT301">
            <v>86.51</v>
          </cell>
          <cell r="AU301">
            <v>86.51</v>
          </cell>
          <cell r="AV301">
            <v>87.61</v>
          </cell>
          <cell r="AX301">
            <v>60.7</v>
          </cell>
          <cell r="AY301">
            <v>83.91</v>
          </cell>
          <cell r="AZ301">
            <v>0.17</v>
          </cell>
          <cell r="BA301">
            <v>0.12</v>
          </cell>
          <cell r="BB301" t="str">
            <v>#_NA</v>
          </cell>
          <cell r="BC301" t="str">
            <v>#_NA</v>
          </cell>
          <cell r="BD301" t="str">
            <v>#_NA</v>
          </cell>
          <cell r="BE301" t="str">
            <v>-</v>
          </cell>
          <cell r="BF301" t="str">
            <v>-</v>
          </cell>
          <cell r="BG301">
            <v>5.6820000000000002E-2</v>
          </cell>
          <cell r="BH301">
            <v>0.65669999999999995</v>
          </cell>
          <cell r="BI301">
            <v>19.649999999999999</v>
          </cell>
          <cell r="BJ301" t="str">
            <v>-</v>
          </cell>
          <cell r="BK301">
            <v>0.67300000000000004</v>
          </cell>
          <cell r="BL301">
            <v>18.72</v>
          </cell>
          <cell r="BM301" t="str">
            <v>-</v>
          </cell>
          <cell r="BN301" t="str">
            <v>NÃO</v>
          </cell>
          <cell r="BO301" t="str">
            <v>NÃO</v>
          </cell>
          <cell r="BP301" t="str">
            <v>MS|G|NACIONAL|Não|Positiva</v>
          </cell>
          <cell r="BR301" t="str">
            <v>TBD</v>
          </cell>
          <cell r="BS301">
            <v>0</v>
          </cell>
          <cell r="BT301" t="str">
            <v>#ERRO</v>
          </cell>
          <cell r="BU301">
            <v>18.72</v>
          </cell>
          <cell r="BV301" t="str">
            <v>-</v>
          </cell>
          <cell r="BX301" t="str">
            <v>TBD</v>
          </cell>
          <cell r="BY301" t="str">
            <v>TBD</v>
          </cell>
          <cell r="BZ301" t="str">
            <v>TBD</v>
          </cell>
          <cell r="CA301" t="str">
            <v>#ERRO</v>
          </cell>
          <cell r="CB301" t="str">
            <v>-</v>
          </cell>
        </row>
        <row r="302">
          <cell r="A302" t="str">
            <v>22236-0</v>
          </cell>
          <cell r="B302" t="str">
            <v>22236-0</v>
          </cell>
          <cell r="C302">
            <v>7896714292489</v>
          </cell>
          <cell r="D302" t="str">
            <v>CL ONDANSETRONA 8MG CT BLX10 CPR ORODISP</v>
          </cell>
          <cell r="E302" t="str">
            <v>SIM</v>
          </cell>
          <cell r="F302" t="str">
            <v>G</v>
          </cell>
          <cell r="G302" t="str">
            <v>FOCO GENERICOS</v>
          </cell>
          <cell r="H302">
            <v>0</v>
          </cell>
          <cell r="I302">
            <v>70</v>
          </cell>
          <cell r="J302" t="str">
            <v>Monitorado</v>
          </cell>
          <cell r="K302" t="str">
            <v>Positiva</v>
          </cell>
          <cell r="L302" t="str">
            <v>Não</v>
          </cell>
          <cell r="M302" t="str">
            <v>NACIONAL</v>
          </cell>
          <cell r="N302" t="str">
            <v>NACIONAL</v>
          </cell>
          <cell r="P302">
            <v>35.229999999999997</v>
          </cell>
          <cell r="Q302">
            <v>35.229999999999997</v>
          </cell>
          <cell r="R302">
            <v>35.659999999999997</v>
          </cell>
          <cell r="S302">
            <v>36.1</v>
          </cell>
          <cell r="T302">
            <v>33.229999999999997</v>
          </cell>
          <cell r="U302">
            <v>35.44</v>
          </cell>
          <cell r="V302">
            <v>35.44</v>
          </cell>
          <cell r="W302">
            <v>35.659999999999997</v>
          </cell>
          <cell r="X302">
            <v>36.549999999999997</v>
          </cell>
          <cell r="Y302">
            <v>36.1</v>
          </cell>
          <cell r="Z302">
            <v>36.549999999999997</v>
          </cell>
          <cell r="AA302">
            <v>37.01</v>
          </cell>
          <cell r="AB302">
            <v>37.49</v>
          </cell>
          <cell r="AC302">
            <v>36.32</v>
          </cell>
          <cell r="AD302">
            <v>36.32</v>
          </cell>
          <cell r="AE302">
            <v>36.78</v>
          </cell>
          <cell r="AF302">
            <v>0</v>
          </cell>
          <cell r="AG302">
            <v>48.7</v>
          </cell>
          <cell r="AH302">
            <v>48.7</v>
          </cell>
          <cell r="AI302">
            <v>49.3</v>
          </cell>
          <cell r="AJ302">
            <v>49.91</v>
          </cell>
          <cell r="AK302">
            <v>45.94</v>
          </cell>
          <cell r="AL302">
            <v>48.99</v>
          </cell>
          <cell r="AM302">
            <v>48.99</v>
          </cell>
          <cell r="AN302">
            <v>49.3</v>
          </cell>
          <cell r="AO302">
            <v>50.53</v>
          </cell>
          <cell r="AP302">
            <v>49.91</v>
          </cell>
          <cell r="AQ302">
            <v>50.53</v>
          </cell>
          <cell r="AR302">
            <v>51.16</v>
          </cell>
          <cell r="AS302">
            <v>51.83</v>
          </cell>
          <cell r="AT302">
            <v>50.21</v>
          </cell>
          <cell r="AU302">
            <v>50.21</v>
          </cell>
          <cell r="AV302">
            <v>50.85</v>
          </cell>
          <cell r="AX302">
            <v>35.229999999999997</v>
          </cell>
          <cell r="AY302">
            <v>48.7</v>
          </cell>
          <cell r="AZ302">
            <v>0.17</v>
          </cell>
          <cell r="BA302">
            <v>0.12</v>
          </cell>
          <cell r="BB302" t="str">
            <v>#_NA</v>
          </cell>
          <cell r="BC302" t="str">
            <v>#_NA</v>
          </cell>
          <cell r="BD302" t="str">
            <v>#_NA</v>
          </cell>
          <cell r="BE302" t="str">
            <v>-</v>
          </cell>
          <cell r="BF302" t="str">
            <v>-</v>
          </cell>
          <cell r="BG302">
            <v>5.6820000000000002E-2</v>
          </cell>
          <cell r="BH302">
            <v>0.60840000000000005</v>
          </cell>
          <cell r="BI302">
            <v>13.01</v>
          </cell>
          <cell r="BJ302" t="str">
            <v>-</v>
          </cell>
          <cell r="BK302">
            <v>0.62709999999999999</v>
          </cell>
          <cell r="BL302">
            <v>12.39</v>
          </cell>
          <cell r="BM302" t="str">
            <v>-</v>
          </cell>
          <cell r="BN302" t="str">
            <v>NÃO</v>
          </cell>
          <cell r="BO302" t="str">
            <v>NÃO</v>
          </cell>
          <cell r="BP302" t="str">
            <v>MS|G|NACIONAL|Não|Positiva</v>
          </cell>
          <cell r="BR302" t="str">
            <v>TBD</v>
          </cell>
          <cell r="BS302">
            <v>0</v>
          </cell>
          <cell r="BT302" t="str">
            <v>#ERRO</v>
          </cell>
          <cell r="BU302">
            <v>12.39</v>
          </cell>
          <cell r="BV302" t="str">
            <v>-</v>
          </cell>
          <cell r="BX302" t="str">
            <v>TBD</v>
          </cell>
          <cell r="BY302" t="str">
            <v>TBD</v>
          </cell>
          <cell r="BZ302" t="str">
            <v>TBD</v>
          </cell>
          <cell r="CA302" t="str">
            <v>#ERRO</v>
          </cell>
          <cell r="CB302" t="str">
            <v>-</v>
          </cell>
        </row>
        <row r="303">
          <cell r="A303" t="str">
            <v>22233-0</v>
          </cell>
          <cell r="B303" t="str">
            <v>22233-0</v>
          </cell>
          <cell r="C303">
            <v>7896714292458</v>
          </cell>
          <cell r="D303" t="str">
            <v>CL ONDANSETRONA 8MG CT BLX30 CPR ORODISP</v>
          </cell>
          <cell r="E303" t="str">
            <v>SIM</v>
          </cell>
          <cell r="F303" t="str">
            <v>G</v>
          </cell>
          <cell r="G303" t="str">
            <v>LINHA</v>
          </cell>
          <cell r="H303">
            <v>0</v>
          </cell>
          <cell r="I303">
            <v>70</v>
          </cell>
          <cell r="J303" t="str">
            <v>Monitorado</v>
          </cell>
          <cell r="K303" t="str">
            <v>Positiva</v>
          </cell>
          <cell r="L303" t="str">
            <v>Não</v>
          </cell>
          <cell r="M303" t="str">
            <v>NACIONAL</v>
          </cell>
          <cell r="N303" t="str">
            <v>NACIONAL</v>
          </cell>
          <cell r="P303">
            <v>119.49</v>
          </cell>
          <cell r="Q303">
            <v>119.49</v>
          </cell>
          <cell r="R303">
            <v>120.95</v>
          </cell>
          <cell r="S303">
            <v>122.44</v>
          </cell>
          <cell r="T303">
            <v>112.7</v>
          </cell>
          <cell r="U303">
            <v>120.22</v>
          </cell>
          <cell r="V303">
            <v>120.22</v>
          </cell>
          <cell r="W303">
            <v>120.95</v>
          </cell>
          <cell r="X303">
            <v>123.98</v>
          </cell>
          <cell r="Y303">
            <v>122.44</v>
          </cell>
          <cell r="Z303">
            <v>123.98</v>
          </cell>
          <cell r="AA303">
            <v>125.54</v>
          </cell>
          <cell r="AB303">
            <v>127.15</v>
          </cell>
          <cell r="AC303">
            <v>123.2</v>
          </cell>
          <cell r="AD303">
            <v>123.2</v>
          </cell>
          <cell r="AE303">
            <v>124.75</v>
          </cell>
          <cell r="AF303">
            <v>0</v>
          </cell>
          <cell r="AG303">
            <v>165.19</v>
          </cell>
          <cell r="AH303">
            <v>165.19</v>
          </cell>
          <cell r="AI303">
            <v>167.21</v>
          </cell>
          <cell r="AJ303">
            <v>169.27</v>
          </cell>
          <cell r="AK303">
            <v>155.80000000000001</v>
          </cell>
          <cell r="AL303">
            <v>166.2</v>
          </cell>
          <cell r="AM303">
            <v>166.2</v>
          </cell>
          <cell r="AN303">
            <v>167.21</v>
          </cell>
          <cell r="AO303">
            <v>171.4</v>
          </cell>
          <cell r="AP303">
            <v>169.27</v>
          </cell>
          <cell r="AQ303">
            <v>171.4</v>
          </cell>
          <cell r="AR303">
            <v>173.55</v>
          </cell>
          <cell r="AS303">
            <v>175.78</v>
          </cell>
          <cell r="AT303">
            <v>170.32</v>
          </cell>
          <cell r="AU303">
            <v>170.32</v>
          </cell>
          <cell r="AV303">
            <v>172.46</v>
          </cell>
          <cell r="AX303">
            <v>119.49</v>
          </cell>
          <cell r="AY303">
            <v>165.19</v>
          </cell>
          <cell r="AZ303">
            <v>0.17</v>
          </cell>
          <cell r="BA303">
            <v>0.12</v>
          </cell>
          <cell r="BB303" t="str">
            <v>#_NA</v>
          </cell>
          <cell r="BC303" t="str">
            <v>#_NA</v>
          </cell>
          <cell r="BD303" t="str">
            <v>#_NA</v>
          </cell>
          <cell r="BE303" t="str">
            <v>-</v>
          </cell>
          <cell r="BF303" t="str">
            <v>-</v>
          </cell>
          <cell r="BG303">
            <v>5.6820000000000002E-2</v>
          </cell>
          <cell r="BH303">
            <v>0.68810000000000004</v>
          </cell>
          <cell r="BI303">
            <v>35.15</v>
          </cell>
          <cell r="BJ303" t="str">
            <v>-</v>
          </cell>
          <cell r="BK303">
            <v>0.70289999999999997</v>
          </cell>
          <cell r="BL303">
            <v>33.479999999999997</v>
          </cell>
          <cell r="BM303" t="str">
            <v>-</v>
          </cell>
          <cell r="BN303" t="str">
            <v>NÃO</v>
          </cell>
          <cell r="BO303" t="str">
            <v>NÃO</v>
          </cell>
          <cell r="BP303" t="str">
            <v>MS|G|NACIONAL|Não|Positiva</v>
          </cell>
          <cell r="BR303" t="str">
            <v>TBD</v>
          </cell>
          <cell r="BS303">
            <v>0</v>
          </cell>
          <cell r="BT303" t="str">
            <v>#ERRO</v>
          </cell>
          <cell r="BU303">
            <v>33.479999999999997</v>
          </cell>
          <cell r="BV303" t="str">
            <v>-</v>
          </cell>
          <cell r="BX303" t="str">
            <v>TBD</v>
          </cell>
          <cell r="BY303" t="str">
            <v>TBD</v>
          </cell>
          <cell r="BZ303" t="str">
            <v>TBD</v>
          </cell>
          <cell r="CA303" t="str">
            <v>#ERRO</v>
          </cell>
          <cell r="CB303" t="str">
            <v>-</v>
          </cell>
        </row>
        <row r="304">
          <cell r="A304" t="str">
            <v>18977-0</v>
          </cell>
          <cell r="B304" t="str">
            <v>18977-0</v>
          </cell>
          <cell r="C304">
            <v>7896714240442</v>
          </cell>
          <cell r="D304" t="str">
            <v>OLANZAPINA 10MG C1 CPRV CT BL AL X30</v>
          </cell>
          <cell r="E304" t="str">
            <v>SIM</v>
          </cell>
          <cell r="F304" t="str">
            <v>G</v>
          </cell>
          <cell r="G304" t="str">
            <v>LINHA</v>
          </cell>
          <cell r="H304">
            <v>5</v>
          </cell>
          <cell r="I304">
            <v>30</v>
          </cell>
          <cell r="J304" t="str">
            <v>Monitorado</v>
          </cell>
          <cell r="K304" t="str">
            <v>Positiva</v>
          </cell>
          <cell r="L304" t="str">
            <v>Sim</v>
          </cell>
          <cell r="M304" t="str">
            <v>NACIONAL</v>
          </cell>
          <cell r="N304" t="str">
            <v>NACIONAL</v>
          </cell>
          <cell r="P304">
            <v>107.3</v>
          </cell>
          <cell r="Q304">
            <v>107.3</v>
          </cell>
          <cell r="R304">
            <v>108.61</v>
          </cell>
          <cell r="S304">
            <v>109.95</v>
          </cell>
          <cell r="T304">
            <v>101.2</v>
          </cell>
          <cell r="U304">
            <v>107.95</v>
          </cell>
          <cell r="V304">
            <v>107.95</v>
          </cell>
          <cell r="W304">
            <v>108.61</v>
          </cell>
          <cell r="X304">
            <v>111.33</v>
          </cell>
          <cell r="Y304">
            <v>109.95</v>
          </cell>
          <cell r="Z304">
            <v>111.33</v>
          </cell>
          <cell r="AA304">
            <v>112.73</v>
          </cell>
          <cell r="AB304">
            <v>114.18</v>
          </cell>
          <cell r="AC304">
            <v>110.63</v>
          </cell>
          <cell r="AD304">
            <v>110.63</v>
          </cell>
          <cell r="AE304">
            <v>112.03</v>
          </cell>
          <cell r="AF304">
            <v>0</v>
          </cell>
          <cell r="AG304">
            <v>148.34</v>
          </cell>
          <cell r="AH304">
            <v>148.34</v>
          </cell>
          <cell r="AI304">
            <v>150.15</v>
          </cell>
          <cell r="AJ304">
            <v>152</v>
          </cell>
          <cell r="AK304">
            <v>139.9</v>
          </cell>
          <cell r="AL304">
            <v>149.22999999999999</v>
          </cell>
          <cell r="AM304">
            <v>149.22999999999999</v>
          </cell>
          <cell r="AN304">
            <v>150.15</v>
          </cell>
          <cell r="AO304">
            <v>153.91</v>
          </cell>
          <cell r="AP304">
            <v>152</v>
          </cell>
          <cell r="AQ304">
            <v>153.91</v>
          </cell>
          <cell r="AR304">
            <v>155.84</v>
          </cell>
          <cell r="AS304">
            <v>157.85</v>
          </cell>
          <cell r="AT304">
            <v>152.94</v>
          </cell>
          <cell r="AU304">
            <v>152.94</v>
          </cell>
          <cell r="AV304">
            <v>154.87</v>
          </cell>
          <cell r="AX304">
            <v>107.3</v>
          </cell>
          <cell r="AY304">
            <v>148.34</v>
          </cell>
          <cell r="AZ304">
            <v>0.17</v>
          </cell>
          <cell r="BA304">
            <v>0.12</v>
          </cell>
          <cell r="BB304" t="str">
            <v>#_NA</v>
          </cell>
          <cell r="BC304" t="str">
            <v>#_NA</v>
          </cell>
          <cell r="BD304" t="str">
            <v>#_NA</v>
          </cell>
          <cell r="BE304" t="str">
            <v>-</v>
          </cell>
          <cell r="BF304" t="str">
            <v>-</v>
          </cell>
          <cell r="BG304">
            <v>5.6820000000000002E-2</v>
          </cell>
          <cell r="BH304">
            <v>0.77049999999999996</v>
          </cell>
          <cell r="BI304">
            <v>23.23</v>
          </cell>
          <cell r="BJ304" t="str">
            <v>-</v>
          </cell>
          <cell r="BK304">
            <v>0.78139999999999998</v>
          </cell>
          <cell r="BL304">
            <v>22.12</v>
          </cell>
          <cell r="BM304" t="str">
            <v>-</v>
          </cell>
          <cell r="BN304" t="str">
            <v>NÃO</v>
          </cell>
          <cell r="BO304" t="str">
            <v>NÃO</v>
          </cell>
          <cell r="BP304" t="str">
            <v>MS|G|NACIONAL|Sim|Positiva</v>
          </cell>
          <cell r="BR304" t="str">
            <v>TBD</v>
          </cell>
          <cell r="BS304">
            <v>0</v>
          </cell>
          <cell r="BT304" t="str">
            <v>#ERRO</v>
          </cell>
          <cell r="BU304">
            <v>22.12</v>
          </cell>
          <cell r="BV304" t="str">
            <v>-</v>
          </cell>
          <cell r="BX304" t="str">
            <v>TBD</v>
          </cell>
          <cell r="BY304" t="str">
            <v>TBD</v>
          </cell>
          <cell r="BZ304" t="str">
            <v>TBD</v>
          </cell>
          <cell r="CA304" t="str">
            <v>#ERRO</v>
          </cell>
          <cell r="CB304" t="str">
            <v>-</v>
          </cell>
        </row>
        <row r="305">
          <cell r="A305" t="str">
            <v>18978-0</v>
          </cell>
          <cell r="B305" t="str">
            <v>18978-0</v>
          </cell>
          <cell r="C305">
            <v>7896714240541</v>
          </cell>
          <cell r="D305" t="str">
            <v>OLANZAPINA 2,5MG C1 CPRV CT BL AL X30</v>
          </cell>
          <cell r="E305" t="str">
            <v>SIM</v>
          </cell>
          <cell r="F305" t="str">
            <v>G</v>
          </cell>
          <cell r="G305" t="str">
            <v>LINHA</v>
          </cell>
          <cell r="H305">
            <v>5</v>
          </cell>
          <cell r="I305">
            <v>30</v>
          </cell>
          <cell r="J305" t="str">
            <v>Monitorado</v>
          </cell>
          <cell r="K305" t="str">
            <v>Positiva</v>
          </cell>
          <cell r="L305" t="str">
            <v>Sim</v>
          </cell>
          <cell r="M305" t="str">
            <v>NACIONAL</v>
          </cell>
          <cell r="N305" t="str">
            <v>NACIONAL</v>
          </cell>
          <cell r="P305">
            <v>61.29</v>
          </cell>
          <cell r="Q305">
            <v>61.29</v>
          </cell>
          <cell r="R305">
            <v>62.04</v>
          </cell>
          <cell r="S305">
            <v>62.8</v>
          </cell>
          <cell r="T305">
            <v>57.81</v>
          </cell>
          <cell r="U305">
            <v>61.66</v>
          </cell>
          <cell r="V305">
            <v>61.66</v>
          </cell>
          <cell r="W305">
            <v>62.04</v>
          </cell>
          <cell r="X305">
            <v>63.59</v>
          </cell>
          <cell r="Y305">
            <v>62.8</v>
          </cell>
          <cell r="Z305">
            <v>63.59</v>
          </cell>
          <cell r="AA305">
            <v>64.39</v>
          </cell>
          <cell r="AB305">
            <v>65.22</v>
          </cell>
          <cell r="AC305">
            <v>63.19</v>
          </cell>
          <cell r="AD305">
            <v>63.19</v>
          </cell>
          <cell r="AE305">
            <v>63.99</v>
          </cell>
          <cell r="AF305">
            <v>0</v>
          </cell>
          <cell r="AG305">
            <v>84.73</v>
          </cell>
          <cell r="AH305">
            <v>84.73</v>
          </cell>
          <cell r="AI305">
            <v>85.77</v>
          </cell>
          <cell r="AJ305">
            <v>86.82</v>
          </cell>
          <cell r="AK305">
            <v>79.92</v>
          </cell>
          <cell r="AL305">
            <v>85.24</v>
          </cell>
          <cell r="AM305">
            <v>85.24</v>
          </cell>
          <cell r="AN305">
            <v>85.77</v>
          </cell>
          <cell r="AO305">
            <v>87.91</v>
          </cell>
          <cell r="AP305">
            <v>86.82</v>
          </cell>
          <cell r="AQ305">
            <v>87.91</v>
          </cell>
          <cell r="AR305">
            <v>89.02</v>
          </cell>
          <cell r="AS305">
            <v>90.16</v>
          </cell>
          <cell r="AT305">
            <v>87.36</v>
          </cell>
          <cell r="AU305">
            <v>87.36</v>
          </cell>
          <cell r="AV305">
            <v>88.46</v>
          </cell>
          <cell r="AX305">
            <v>61.29</v>
          </cell>
          <cell r="AY305">
            <v>84.73</v>
          </cell>
          <cell r="AZ305">
            <v>0.17</v>
          </cell>
          <cell r="BA305">
            <v>0.12</v>
          </cell>
          <cell r="BB305" t="str">
            <v>#_NA</v>
          </cell>
          <cell r="BC305" t="str">
            <v>#_NA</v>
          </cell>
          <cell r="BD305" t="str">
            <v>#_NA</v>
          </cell>
          <cell r="BE305" t="str">
            <v>-</v>
          </cell>
          <cell r="BF305" t="str">
            <v>-</v>
          </cell>
          <cell r="BG305">
            <v>5.6820000000000002E-2</v>
          </cell>
          <cell r="BH305">
            <v>0.79949999999999999</v>
          </cell>
          <cell r="BI305">
            <v>11.59</v>
          </cell>
          <cell r="BJ305" t="str">
            <v>-</v>
          </cell>
          <cell r="BK305">
            <v>0.80900000000000005</v>
          </cell>
          <cell r="BL305">
            <v>11.04</v>
          </cell>
          <cell r="BM305" t="str">
            <v>-</v>
          </cell>
          <cell r="BN305" t="str">
            <v>NÃO</v>
          </cell>
          <cell r="BO305" t="str">
            <v>NÃO</v>
          </cell>
          <cell r="BP305" t="str">
            <v>MS|G|NACIONAL|Sim|Positiva</v>
          </cell>
          <cell r="BR305" t="str">
            <v>TBD</v>
          </cell>
          <cell r="BS305">
            <v>0</v>
          </cell>
          <cell r="BT305" t="str">
            <v>#ERRO</v>
          </cell>
          <cell r="BU305">
            <v>11.04</v>
          </cell>
          <cell r="BV305" t="str">
            <v>-</v>
          </cell>
          <cell r="BX305" t="str">
            <v>TBD</v>
          </cell>
          <cell r="BY305" t="str">
            <v>TBD</v>
          </cell>
          <cell r="BZ305" t="str">
            <v>TBD</v>
          </cell>
          <cell r="CA305" t="str">
            <v>#ERRO</v>
          </cell>
          <cell r="CB305" t="str">
            <v>-</v>
          </cell>
        </row>
        <row r="306">
          <cell r="A306" t="str">
            <v>18979-0</v>
          </cell>
          <cell r="B306" t="str">
            <v>18979-0</v>
          </cell>
          <cell r="C306">
            <v>7896714240688</v>
          </cell>
          <cell r="D306" t="str">
            <v>OLANZAPINA 5MG C1 CPRV CT BL AL X30</v>
          </cell>
          <cell r="E306" t="str">
            <v>SIM</v>
          </cell>
          <cell r="F306" t="str">
            <v>G</v>
          </cell>
          <cell r="G306" t="str">
            <v>LINHA</v>
          </cell>
          <cell r="H306">
            <v>5</v>
          </cell>
          <cell r="I306">
            <v>30</v>
          </cell>
          <cell r="J306" t="str">
            <v>Monitorado</v>
          </cell>
          <cell r="K306" t="str">
            <v>Positiva</v>
          </cell>
          <cell r="L306" t="str">
            <v>Sim</v>
          </cell>
          <cell r="M306" t="str">
            <v>NACIONAL</v>
          </cell>
          <cell r="N306" t="str">
            <v>NACIONAL</v>
          </cell>
          <cell r="P306">
            <v>91.27</v>
          </cell>
          <cell r="Q306">
            <v>91.27</v>
          </cell>
          <cell r="R306">
            <v>92.38</v>
          </cell>
          <cell r="S306">
            <v>93.52</v>
          </cell>
          <cell r="T306">
            <v>86.08</v>
          </cell>
          <cell r="U306">
            <v>91.82</v>
          </cell>
          <cell r="V306">
            <v>91.82</v>
          </cell>
          <cell r="W306">
            <v>92.38</v>
          </cell>
          <cell r="X306">
            <v>94.69</v>
          </cell>
          <cell r="Y306">
            <v>93.52</v>
          </cell>
          <cell r="Z306">
            <v>94.69</v>
          </cell>
          <cell r="AA306">
            <v>95.89</v>
          </cell>
          <cell r="AB306">
            <v>97.12</v>
          </cell>
          <cell r="AC306">
            <v>94.1</v>
          </cell>
          <cell r="AD306">
            <v>94.1</v>
          </cell>
          <cell r="AE306">
            <v>95.28</v>
          </cell>
          <cell r="AF306">
            <v>0</v>
          </cell>
          <cell r="AG306">
            <v>126.18</v>
          </cell>
          <cell r="AH306">
            <v>126.18</v>
          </cell>
          <cell r="AI306">
            <v>127.71</v>
          </cell>
          <cell r="AJ306">
            <v>129.29</v>
          </cell>
          <cell r="AK306">
            <v>119</v>
          </cell>
          <cell r="AL306">
            <v>126.94</v>
          </cell>
          <cell r="AM306">
            <v>126.94</v>
          </cell>
          <cell r="AN306">
            <v>127.71</v>
          </cell>
          <cell r="AO306">
            <v>130.9</v>
          </cell>
          <cell r="AP306">
            <v>129.29</v>
          </cell>
          <cell r="AQ306">
            <v>130.9</v>
          </cell>
          <cell r="AR306">
            <v>132.56</v>
          </cell>
          <cell r="AS306">
            <v>134.26</v>
          </cell>
          <cell r="AT306">
            <v>130.09</v>
          </cell>
          <cell r="AU306">
            <v>130.09</v>
          </cell>
          <cell r="AV306">
            <v>131.72</v>
          </cell>
          <cell r="AX306">
            <v>91.27</v>
          </cell>
          <cell r="AY306">
            <v>126.18</v>
          </cell>
          <cell r="AZ306">
            <v>0.17</v>
          </cell>
          <cell r="BA306">
            <v>0.12</v>
          </cell>
          <cell r="BB306" t="str">
            <v>#_NA</v>
          </cell>
          <cell r="BC306" t="str">
            <v>#_NA</v>
          </cell>
          <cell r="BD306" t="str">
            <v>#_NA</v>
          </cell>
          <cell r="BE306" t="str">
            <v>-</v>
          </cell>
          <cell r="BF306" t="str">
            <v>-</v>
          </cell>
          <cell r="BG306">
            <v>5.6820000000000002E-2</v>
          </cell>
          <cell r="BH306">
            <v>0.83699999999999997</v>
          </cell>
          <cell r="BI306">
            <v>14.03</v>
          </cell>
          <cell r="BJ306" t="str">
            <v>-</v>
          </cell>
          <cell r="BK306">
            <v>0.8448</v>
          </cell>
          <cell r="BL306">
            <v>13.36</v>
          </cell>
          <cell r="BM306" t="str">
            <v>-</v>
          </cell>
          <cell r="BN306" t="str">
            <v>NÃO</v>
          </cell>
          <cell r="BO306" t="str">
            <v>NÃO</v>
          </cell>
          <cell r="BP306" t="str">
            <v>MS|G|NACIONAL|Sim|Positiva</v>
          </cell>
          <cell r="BR306" t="str">
            <v>TBD</v>
          </cell>
          <cell r="BS306">
            <v>0</v>
          </cell>
          <cell r="BT306" t="str">
            <v>#ERRO</v>
          </cell>
          <cell r="BU306">
            <v>13.36</v>
          </cell>
          <cell r="BV306" t="str">
            <v>-</v>
          </cell>
          <cell r="BX306" t="str">
            <v>TBD</v>
          </cell>
          <cell r="BY306" t="str">
            <v>TBD</v>
          </cell>
          <cell r="BZ306" t="str">
            <v>TBD</v>
          </cell>
          <cell r="CA306" t="str">
            <v>#ERRO</v>
          </cell>
          <cell r="CB306" t="str">
            <v>-</v>
          </cell>
        </row>
        <row r="307">
          <cell r="A307" t="str">
            <v>22062-0</v>
          </cell>
          <cell r="B307" t="str">
            <v>22062-0</v>
          </cell>
          <cell r="C307">
            <v>7896714291758</v>
          </cell>
          <cell r="D307" t="str">
            <v>ROSUVASTATINA CALCICA 10MG C/ 30CPRV</v>
          </cell>
          <cell r="E307" t="str">
            <v>SIM</v>
          </cell>
          <cell r="F307" t="str">
            <v>G</v>
          </cell>
          <cell r="G307" t="str">
            <v>LINHA</v>
          </cell>
          <cell r="H307">
            <v>2</v>
          </cell>
          <cell r="I307">
            <v>96</v>
          </cell>
          <cell r="J307" t="str">
            <v>Monitorado</v>
          </cell>
          <cell r="K307" t="str">
            <v>Positiva</v>
          </cell>
          <cell r="L307" t="str">
            <v>Não</v>
          </cell>
          <cell r="M307" t="str">
            <v>IMPORTADO</v>
          </cell>
          <cell r="N307" t="str">
            <v>IMPORTADO</v>
          </cell>
          <cell r="P307">
            <v>32.29</v>
          </cell>
          <cell r="Q307">
            <v>32.29</v>
          </cell>
          <cell r="R307">
            <v>32.68</v>
          </cell>
          <cell r="S307">
            <v>33.090000000000003</v>
          </cell>
          <cell r="T307">
            <v>30.45</v>
          </cell>
          <cell r="U307">
            <v>32.479999999999997</v>
          </cell>
          <cell r="V307">
            <v>32.479999999999997</v>
          </cell>
          <cell r="W307">
            <v>32.68</v>
          </cell>
          <cell r="X307">
            <v>33.5</v>
          </cell>
          <cell r="Y307">
            <v>33.090000000000003</v>
          </cell>
          <cell r="Z307">
            <v>33.5</v>
          </cell>
          <cell r="AA307">
            <v>33.92</v>
          </cell>
          <cell r="AB307">
            <v>34.36</v>
          </cell>
          <cell r="AC307">
            <v>33.29</v>
          </cell>
          <cell r="AD307">
            <v>33.29</v>
          </cell>
          <cell r="AE307">
            <v>33.71</v>
          </cell>
          <cell r="AF307">
            <v>0</v>
          </cell>
          <cell r="AG307">
            <v>44.64</v>
          </cell>
          <cell r="AH307">
            <v>44.64</v>
          </cell>
          <cell r="AI307">
            <v>45.18</v>
          </cell>
          <cell r="AJ307">
            <v>45.74</v>
          </cell>
          <cell r="AK307">
            <v>42.1</v>
          </cell>
          <cell r="AL307">
            <v>44.9</v>
          </cell>
          <cell r="AM307">
            <v>44.9</v>
          </cell>
          <cell r="AN307">
            <v>45.18</v>
          </cell>
          <cell r="AO307">
            <v>46.31</v>
          </cell>
          <cell r="AP307">
            <v>45.74</v>
          </cell>
          <cell r="AQ307">
            <v>46.31</v>
          </cell>
          <cell r="AR307">
            <v>46.89</v>
          </cell>
          <cell r="AS307">
            <v>47.5</v>
          </cell>
          <cell r="AT307">
            <v>46.02</v>
          </cell>
          <cell r="AU307">
            <v>46.02</v>
          </cell>
          <cell r="AV307">
            <v>46.6</v>
          </cell>
          <cell r="AX307">
            <v>32.29</v>
          </cell>
          <cell r="AY307">
            <v>44.64</v>
          </cell>
          <cell r="AZ307">
            <v>0.17</v>
          </cell>
          <cell r="BA307">
            <v>0.04</v>
          </cell>
          <cell r="BB307" t="str">
            <v>#_NA</v>
          </cell>
          <cell r="BC307" t="str">
            <v>#_NA</v>
          </cell>
          <cell r="BD307" t="str">
            <v>#_NA</v>
          </cell>
          <cell r="BE307" t="str">
            <v>-</v>
          </cell>
          <cell r="BF307" t="str">
            <v>-</v>
          </cell>
          <cell r="BG307">
            <v>0.13542000000000001</v>
          </cell>
          <cell r="BH307">
            <v>0.81299999999999994</v>
          </cell>
          <cell r="BI307">
            <v>5.22</v>
          </cell>
          <cell r="BJ307" t="str">
            <v>-</v>
          </cell>
          <cell r="BK307">
            <v>0.82199999999999995</v>
          </cell>
          <cell r="BL307">
            <v>4.97</v>
          </cell>
          <cell r="BM307" t="str">
            <v>-</v>
          </cell>
          <cell r="BN307" t="str">
            <v>SIM</v>
          </cell>
          <cell r="BO307" t="str">
            <v>NÃO</v>
          </cell>
          <cell r="BP307" t="str">
            <v>MS|G|IMPORTADO|Não|Positiva</v>
          </cell>
          <cell r="BR307" t="str">
            <v>TBD</v>
          </cell>
          <cell r="BS307">
            <v>0</v>
          </cell>
          <cell r="BT307" t="str">
            <v>#ERRO</v>
          </cell>
          <cell r="BU307">
            <v>4.97</v>
          </cell>
          <cell r="BV307" t="str">
            <v>-</v>
          </cell>
          <cell r="BX307" t="str">
            <v>TBD</v>
          </cell>
          <cell r="BY307" t="str">
            <v>TBD</v>
          </cell>
          <cell r="BZ307" t="str">
            <v>TBD</v>
          </cell>
          <cell r="CA307" t="str">
            <v>#ERRO</v>
          </cell>
          <cell r="CB307" t="str">
            <v>-</v>
          </cell>
        </row>
        <row r="308">
          <cell r="A308" t="str">
            <v>22061-0</v>
          </cell>
          <cell r="B308" t="str">
            <v>22061-0</v>
          </cell>
          <cell r="C308">
            <v>7896714291741</v>
          </cell>
          <cell r="D308" t="str">
            <v>ROSUVASTATINA CALCICA 10MG C/ 60CPRV</v>
          </cell>
          <cell r="E308" t="str">
            <v>SIM</v>
          </cell>
          <cell r="F308" t="str">
            <v>G</v>
          </cell>
          <cell r="G308" t="str">
            <v>LINHA</v>
          </cell>
          <cell r="H308">
            <v>2</v>
          </cell>
          <cell r="I308">
            <v>108</v>
          </cell>
          <cell r="J308" t="str">
            <v>Monitorado</v>
          </cell>
          <cell r="K308" t="str">
            <v>Positiva</v>
          </cell>
          <cell r="L308" t="str">
            <v>Não</v>
          </cell>
          <cell r="M308" t="str">
            <v>IMPORTADO</v>
          </cell>
          <cell r="N308" t="str">
            <v>IMPORTADO</v>
          </cell>
          <cell r="P308">
            <v>43.65</v>
          </cell>
          <cell r="Q308">
            <v>43.65</v>
          </cell>
          <cell r="R308">
            <v>44.18</v>
          </cell>
          <cell r="S308">
            <v>44.73</v>
          </cell>
          <cell r="T308">
            <v>41.17</v>
          </cell>
          <cell r="U308">
            <v>43.92</v>
          </cell>
          <cell r="V308">
            <v>43.92</v>
          </cell>
          <cell r="W308">
            <v>44.18</v>
          </cell>
          <cell r="X308">
            <v>45.29</v>
          </cell>
          <cell r="Y308">
            <v>44.73</v>
          </cell>
          <cell r="Z308">
            <v>45.29</v>
          </cell>
          <cell r="AA308">
            <v>45.86</v>
          </cell>
          <cell r="AB308">
            <v>46.45</v>
          </cell>
          <cell r="AC308">
            <v>45.01</v>
          </cell>
          <cell r="AD308">
            <v>45.01</v>
          </cell>
          <cell r="AE308">
            <v>45.57</v>
          </cell>
          <cell r="AF308">
            <v>0</v>
          </cell>
          <cell r="AG308">
            <v>60.34</v>
          </cell>
          <cell r="AH308">
            <v>60.34</v>
          </cell>
          <cell r="AI308">
            <v>61.08</v>
          </cell>
          <cell r="AJ308">
            <v>61.84</v>
          </cell>
          <cell r="AK308">
            <v>56.92</v>
          </cell>
          <cell r="AL308">
            <v>60.72</v>
          </cell>
          <cell r="AM308">
            <v>60.72</v>
          </cell>
          <cell r="AN308">
            <v>61.08</v>
          </cell>
          <cell r="AO308">
            <v>62.61</v>
          </cell>
          <cell r="AP308">
            <v>61.84</v>
          </cell>
          <cell r="AQ308">
            <v>62.61</v>
          </cell>
          <cell r="AR308">
            <v>63.4</v>
          </cell>
          <cell r="AS308">
            <v>64.209999999999994</v>
          </cell>
          <cell r="AT308">
            <v>62.22</v>
          </cell>
          <cell r="AU308">
            <v>62.22</v>
          </cell>
          <cell r="AV308">
            <v>63</v>
          </cell>
          <cell r="AX308">
            <v>43.65</v>
          </cell>
          <cell r="AY308">
            <v>60.34</v>
          </cell>
          <cell r="AZ308">
            <v>0.17</v>
          </cell>
          <cell r="BA308">
            <v>0.04</v>
          </cell>
          <cell r="BB308" t="str">
            <v>#_NA</v>
          </cell>
          <cell r="BC308" t="str">
            <v>#_NA</v>
          </cell>
          <cell r="BD308" t="str">
            <v>#_NA</v>
          </cell>
          <cell r="BE308" t="str">
            <v>-</v>
          </cell>
          <cell r="BF308" t="str">
            <v>-</v>
          </cell>
          <cell r="BG308">
            <v>0.13542000000000001</v>
          </cell>
          <cell r="BH308">
            <v>0.51449999999999996</v>
          </cell>
          <cell r="BI308">
            <v>18.32</v>
          </cell>
          <cell r="BJ308" t="str">
            <v>-</v>
          </cell>
          <cell r="BK308">
            <v>0.53790000000000004</v>
          </cell>
          <cell r="BL308">
            <v>17.440000000000001</v>
          </cell>
          <cell r="BM308" t="str">
            <v>-</v>
          </cell>
          <cell r="BN308" t="str">
            <v>SIM</v>
          </cell>
          <cell r="BO308" t="str">
            <v>NÃO</v>
          </cell>
          <cell r="BP308" t="str">
            <v>MS|G|IMPORTADO|Não|Positiva</v>
          </cell>
          <cell r="BR308" t="str">
            <v>TBD</v>
          </cell>
          <cell r="BS308">
            <v>0</v>
          </cell>
          <cell r="BT308" t="str">
            <v>#ERRO</v>
          </cell>
          <cell r="BU308">
            <v>17.440000000000001</v>
          </cell>
          <cell r="BV308" t="str">
            <v>-</v>
          </cell>
          <cell r="BX308" t="str">
            <v>TBD</v>
          </cell>
          <cell r="BY308" t="str">
            <v>TBD</v>
          </cell>
          <cell r="BZ308" t="str">
            <v>TBD</v>
          </cell>
          <cell r="CA308" t="str">
            <v>#ERRO</v>
          </cell>
          <cell r="CB308" t="str">
            <v>-</v>
          </cell>
        </row>
        <row r="309">
          <cell r="A309" t="str">
            <v>22060-0</v>
          </cell>
          <cell r="B309" t="str">
            <v>22060-0</v>
          </cell>
          <cell r="C309">
            <v>7896714291734</v>
          </cell>
          <cell r="D309" t="str">
            <v>ROSUVASTATINA CALCICA 20MG C/ 30CPRV</v>
          </cell>
          <cell r="E309" t="str">
            <v>SIM</v>
          </cell>
          <cell r="F309" t="str">
            <v>G</v>
          </cell>
          <cell r="G309" t="str">
            <v>LINHA</v>
          </cell>
          <cell r="H309">
            <v>2</v>
          </cell>
          <cell r="I309">
            <v>96</v>
          </cell>
          <cell r="J309" t="str">
            <v>Monitorado</v>
          </cell>
          <cell r="K309" t="str">
            <v>Positiva</v>
          </cell>
          <cell r="L309" t="str">
            <v>Não</v>
          </cell>
          <cell r="M309" t="str">
            <v>IMPORTADO</v>
          </cell>
          <cell r="N309" t="str">
            <v>IMPORTADO</v>
          </cell>
          <cell r="P309">
            <v>55.24</v>
          </cell>
          <cell r="Q309">
            <v>55.24</v>
          </cell>
          <cell r="R309">
            <v>55.91</v>
          </cell>
          <cell r="S309">
            <v>56.6</v>
          </cell>
          <cell r="T309">
            <v>52.1</v>
          </cell>
          <cell r="U309">
            <v>55.58</v>
          </cell>
          <cell r="V309">
            <v>55.58</v>
          </cell>
          <cell r="W309">
            <v>55.91</v>
          </cell>
          <cell r="X309">
            <v>57.31</v>
          </cell>
          <cell r="Y309">
            <v>56.6</v>
          </cell>
          <cell r="Z309">
            <v>57.31</v>
          </cell>
          <cell r="AA309">
            <v>58.04</v>
          </cell>
          <cell r="AB309">
            <v>58.78</v>
          </cell>
          <cell r="AC309">
            <v>56.96</v>
          </cell>
          <cell r="AD309">
            <v>56.96</v>
          </cell>
          <cell r="AE309">
            <v>57.67</v>
          </cell>
          <cell r="AF309">
            <v>0</v>
          </cell>
          <cell r="AG309">
            <v>76.37</v>
          </cell>
          <cell r="AH309">
            <v>76.37</v>
          </cell>
          <cell r="AI309">
            <v>77.290000000000006</v>
          </cell>
          <cell r="AJ309">
            <v>78.25</v>
          </cell>
          <cell r="AK309">
            <v>72.03</v>
          </cell>
          <cell r="AL309">
            <v>76.84</v>
          </cell>
          <cell r="AM309">
            <v>76.84</v>
          </cell>
          <cell r="AN309">
            <v>77.290000000000006</v>
          </cell>
          <cell r="AO309">
            <v>79.23</v>
          </cell>
          <cell r="AP309">
            <v>78.25</v>
          </cell>
          <cell r="AQ309">
            <v>79.23</v>
          </cell>
          <cell r="AR309">
            <v>80.239999999999995</v>
          </cell>
          <cell r="AS309">
            <v>81.260000000000005</v>
          </cell>
          <cell r="AT309">
            <v>78.739999999999995</v>
          </cell>
          <cell r="AU309">
            <v>78.739999999999995</v>
          </cell>
          <cell r="AV309">
            <v>79.73</v>
          </cell>
          <cell r="AX309">
            <v>55.24</v>
          </cell>
          <cell r="AY309">
            <v>76.37</v>
          </cell>
          <cell r="AZ309">
            <v>0.17</v>
          </cell>
          <cell r="BA309">
            <v>0.04</v>
          </cell>
          <cell r="BB309" t="str">
            <v>#_NA</v>
          </cell>
          <cell r="BC309" t="str">
            <v>#_NA</v>
          </cell>
          <cell r="BD309" t="str">
            <v>#_NA</v>
          </cell>
          <cell r="BE309" t="str">
            <v>-</v>
          </cell>
          <cell r="BF309" t="str">
            <v>-</v>
          </cell>
          <cell r="BG309">
            <v>0.13542000000000001</v>
          </cell>
          <cell r="BH309">
            <v>0.79049999999999998</v>
          </cell>
          <cell r="BI309">
            <v>10.01</v>
          </cell>
          <cell r="BJ309" t="str">
            <v>-</v>
          </cell>
          <cell r="BK309">
            <v>0.80049999999999999</v>
          </cell>
          <cell r="BL309">
            <v>9.5299999999999994</v>
          </cell>
          <cell r="BM309" t="str">
            <v>-</v>
          </cell>
          <cell r="BN309" t="str">
            <v>SIM</v>
          </cell>
          <cell r="BO309" t="str">
            <v>NÃO</v>
          </cell>
          <cell r="BP309" t="str">
            <v>MS|G|IMPORTADO|Não|Positiva</v>
          </cell>
          <cell r="BR309" t="str">
            <v>TBD</v>
          </cell>
          <cell r="BS309">
            <v>0</v>
          </cell>
          <cell r="BT309" t="str">
            <v>#ERRO</v>
          </cell>
          <cell r="BU309">
            <v>9.5299999999999994</v>
          </cell>
          <cell r="BV309" t="str">
            <v>-</v>
          </cell>
          <cell r="BX309" t="str">
            <v>TBD</v>
          </cell>
          <cell r="BY309" t="str">
            <v>TBD</v>
          </cell>
          <cell r="BZ309" t="str">
            <v>TBD</v>
          </cell>
          <cell r="CA309" t="str">
            <v>#ERRO</v>
          </cell>
          <cell r="CB309" t="str">
            <v>-</v>
          </cell>
        </row>
        <row r="310">
          <cell r="A310" t="str">
            <v>22059-0</v>
          </cell>
          <cell r="B310" t="str">
            <v>22059-0</v>
          </cell>
          <cell r="C310">
            <v>7896714291727</v>
          </cell>
          <cell r="D310" t="str">
            <v>ROSUVASTATINA CALCICA 20MG C/ 60CPRV</v>
          </cell>
          <cell r="E310" t="str">
            <v>SIM</v>
          </cell>
          <cell r="F310" t="str">
            <v>G</v>
          </cell>
          <cell r="G310" t="str">
            <v>LINHA</v>
          </cell>
          <cell r="H310">
            <v>2</v>
          </cell>
          <cell r="I310">
            <v>96</v>
          </cell>
          <cell r="J310" t="str">
            <v>Monitorado</v>
          </cell>
          <cell r="K310" t="str">
            <v>Positiva</v>
          </cell>
          <cell r="L310" t="str">
            <v>Não</v>
          </cell>
          <cell r="M310" t="str">
            <v>IMPORTADO</v>
          </cell>
          <cell r="N310" t="str">
            <v>IMPORTADO</v>
          </cell>
          <cell r="P310">
            <v>81.709999999999994</v>
          </cell>
          <cell r="Q310">
            <v>81.709999999999994</v>
          </cell>
          <cell r="R310">
            <v>82.71</v>
          </cell>
          <cell r="S310">
            <v>83.73</v>
          </cell>
          <cell r="T310">
            <v>77.069999999999993</v>
          </cell>
          <cell r="U310">
            <v>82.21</v>
          </cell>
          <cell r="V310">
            <v>82.21</v>
          </cell>
          <cell r="W310">
            <v>82.71</v>
          </cell>
          <cell r="X310">
            <v>84.78</v>
          </cell>
          <cell r="Y310">
            <v>83.73</v>
          </cell>
          <cell r="Z310">
            <v>84.78</v>
          </cell>
          <cell r="AA310">
            <v>85.85</v>
          </cell>
          <cell r="AB310">
            <v>86.95</v>
          </cell>
          <cell r="AC310">
            <v>84.25</v>
          </cell>
          <cell r="AD310">
            <v>84.25</v>
          </cell>
          <cell r="AE310">
            <v>85.31</v>
          </cell>
          <cell r="AF310">
            <v>0</v>
          </cell>
          <cell r="AG310">
            <v>112.96</v>
          </cell>
          <cell r="AH310">
            <v>112.96</v>
          </cell>
          <cell r="AI310">
            <v>114.34</v>
          </cell>
          <cell r="AJ310">
            <v>115.75</v>
          </cell>
          <cell r="AK310">
            <v>106.54</v>
          </cell>
          <cell r="AL310">
            <v>113.65</v>
          </cell>
          <cell r="AM310">
            <v>113.65</v>
          </cell>
          <cell r="AN310">
            <v>114.34</v>
          </cell>
          <cell r="AO310">
            <v>117.2</v>
          </cell>
          <cell r="AP310">
            <v>115.75</v>
          </cell>
          <cell r="AQ310">
            <v>117.2</v>
          </cell>
          <cell r="AR310">
            <v>118.68</v>
          </cell>
          <cell r="AS310">
            <v>120.2</v>
          </cell>
          <cell r="AT310">
            <v>116.47</v>
          </cell>
          <cell r="AU310">
            <v>116.47</v>
          </cell>
          <cell r="AV310">
            <v>117.94</v>
          </cell>
          <cell r="AX310">
            <v>81.709999999999994</v>
          </cell>
          <cell r="AY310">
            <v>112.96</v>
          </cell>
          <cell r="AZ310">
            <v>0.17</v>
          </cell>
          <cell r="BA310">
            <v>0.04</v>
          </cell>
          <cell r="BB310" t="str">
            <v>#_NA</v>
          </cell>
          <cell r="BC310" t="str">
            <v>#_NA</v>
          </cell>
          <cell r="BD310" t="str">
            <v>#_NA</v>
          </cell>
          <cell r="BE310" t="str">
            <v>-</v>
          </cell>
          <cell r="BF310" t="str">
            <v>-</v>
          </cell>
          <cell r="BG310">
            <v>0.13542000000000001</v>
          </cell>
          <cell r="BH310">
            <v>0.64700000000000002</v>
          </cell>
          <cell r="BI310">
            <v>24.94</v>
          </cell>
          <cell r="BJ310" t="str">
            <v>-</v>
          </cell>
          <cell r="BK310">
            <v>0.66390000000000005</v>
          </cell>
          <cell r="BL310">
            <v>23.74</v>
          </cell>
          <cell r="BM310" t="str">
            <v>-</v>
          </cell>
          <cell r="BN310" t="str">
            <v>SIM</v>
          </cell>
          <cell r="BO310" t="str">
            <v>NÃO</v>
          </cell>
          <cell r="BP310" t="str">
            <v>MS|G|IMPORTADO|Não|Positiva</v>
          </cell>
          <cell r="BR310" t="str">
            <v>TBD</v>
          </cell>
          <cell r="BS310">
            <v>0</v>
          </cell>
          <cell r="BT310" t="str">
            <v>#ERRO</v>
          </cell>
          <cell r="BU310">
            <v>23.74</v>
          </cell>
          <cell r="BV310" t="str">
            <v>-</v>
          </cell>
          <cell r="BX310" t="str">
            <v>TBD</v>
          </cell>
          <cell r="BY310" t="str">
            <v>TBD</v>
          </cell>
          <cell r="BZ310" t="str">
            <v>TBD</v>
          </cell>
          <cell r="CA310" t="str">
            <v>#ERRO</v>
          </cell>
          <cell r="CB310" t="str">
            <v>-</v>
          </cell>
        </row>
        <row r="311">
          <cell r="A311" t="str">
            <v>22038-0</v>
          </cell>
          <cell r="B311" t="str">
            <v>22038-0</v>
          </cell>
          <cell r="C311">
            <v>7896714291512</v>
          </cell>
          <cell r="D311" t="str">
            <v>ROSUVASTATINA CALCICA 5MG C/ 30CPRV</v>
          </cell>
          <cell r="E311" t="str">
            <v>SIM</v>
          </cell>
          <cell r="F311" t="str">
            <v>G</v>
          </cell>
          <cell r="G311" t="str">
            <v>LINHA</v>
          </cell>
          <cell r="H311">
            <v>2</v>
          </cell>
          <cell r="I311">
            <v>96</v>
          </cell>
          <cell r="J311" t="str">
            <v>Monitorado</v>
          </cell>
          <cell r="K311" t="str">
            <v>Positiva</v>
          </cell>
          <cell r="L311" t="str">
            <v>Não</v>
          </cell>
          <cell r="M311" t="str">
            <v>IMPORTADO</v>
          </cell>
          <cell r="N311" t="str">
            <v>IMPORTADO</v>
          </cell>
          <cell r="P311">
            <v>32.880000000000003</v>
          </cell>
          <cell r="Q311">
            <v>32.880000000000003</v>
          </cell>
          <cell r="R311">
            <v>33.28</v>
          </cell>
          <cell r="S311">
            <v>33.69</v>
          </cell>
          <cell r="T311">
            <v>31.01</v>
          </cell>
          <cell r="U311">
            <v>33.08</v>
          </cell>
          <cell r="V311">
            <v>33.08</v>
          </cell>
          <cell r="W311">
            <v>33.28</v>
          </cell>
          <cell r="X311">
            <v>34.11</v>
          </cell>
          <cell r="Y311">
            <v>33.69</v>
          </cell>
          <cell r="Z311">
            <v>34.11</v>
          </cell>
          <cell r="AA311">
            <v>34.54</v>
          </cell>
          <cell r="AB311">
            <v>34.99</v>
          </cell>
          <cell r="AC311">
            <v>33.9</v>
          </cell>
          <cell r="AD311">
            <v>33.9</v>
          </cell>
          <cell r="AE311">
            <v>34.33</v>
          </cell>
          <cell r="AF311">
            <v>0</v>
          </cell>
          <cell r="AG311">
            <v>45.45</v>
          </cell>
          <cell r="AH311">
            <v>45.45</v>
          </cell>
          <cell r="AI311">
            <v>46.01</v>
          </cell>
          <cell r="AJ311">
            <v>46.57</v>
          </cell>
          <cell r="AK311">
            <v>42.87</v>
          </cell>
          <cell r="AL311">
            <v>45.73</v>
          </cell>
          <cell r="AM311">
            <v>45.73</v>
          </cell>
          <cell r="AN311">
            <v>46.01</v>
          </cell>
          <cell r="AO311">
            <v>47.16</v>
          </cell>
          <cell r="AP311">
            <v>46.57</v>
          </cell>
          <cell r="AQ311">
            <v>47.16</v>
          </cell>
          <cell r="AR311">
            <v>47.75</v>
          </cell>
          <cell r="AS311">
            <v>48.37</v>
          </cell>
          <cell r="AT311">
            <v>46.86</v>
          </cell>
          <cell r="AU311">
            <v>46.86</v>
          </cell>
          <cell r="AV311">
            <v>47.46</v>
          </cell>
          <cell r="AX311">
            <v>32.880000000000003</v>
          </cell>
          <cell r="AY311">
            <v>45.45</v>
          </cell>
          <cell r="AZ311">
            <v>0.17</v>
          </cell>
          <cell r="BA311">
            <v>0.04</v>
          </cell>
          <cell r="BB311" t="str">
            <v>#_NA</v>
          </cell>
          <cell r="BC311" t="str">
            <v>#_NA</v>
          </cell>
          <cell r="BD311" t="str">
            <v>#_NA</v>
          </cell>
          <cell r="BE311" t="str">
            <v>-</v>
          </cell>
          <cell r="BF311" t="str">
            <v>-</v>
          </cell>
          <cell r="BG311">
            <v>0.13542000000000001</v>
          </cell>
          <cell r="BH311">
            <v>0.73560000000000003</v>
          </cell>
          <cell r="BI311">
            <v>7.52</v>
          </cell>
          <cell r="BJ311" t="str">
            <v>-</v>
          </cell>
          <cell r="BK311">
            <v>0.74819999999999998</v>
          </cell>
          <cell r="BL311">
            <v>7.16</v>
          </cell>
          <cell r="BM311" t="str">
            <v>-</v>
          </cell>
          <cell r="BN311" t="str">
            <v>SIM</v>
          </cell>
          <cell r="BO311" t="str">
            <v>NÃO</v>
          </cell>
          <cell r="BP311" t="str">
            <v>MS|G|IMPORTADO|Não|Positiva</v>
          </cell>
          <cell r="BR311" t="str">
            <v>TBD</v>
          </cell>
          <cell r="BS311">
            <v>0</v>
          </cell>
          <cell r="BT311" t="str">
            <v>#ERRO</v>
          </cell>
          <cell r="BU311">
            <v>7.16</v>
          </cell>
          <cell r="BV311" t="str">
            <v>-</v>
          </cell>
          <cell r="BX311" t="str">
            <v>TBD</v>
          </cell>
          <cell r="BY311" t="str">
            <v>TBD</v>
          </cell>
          <cell r="BZ311" t="str">
            <v>TBD</v>
          </cell>
          <cell r="CA311" t="str">
            <v>#ERRO</v>
          </cell>
          <cell r="CB311" t="str">
            <v>-</v>
          </cell>
        </row>
        <row r="312">
          <cell r="A312" t="str">
            <v>22037-0</v>
          </cell>
          <cell r="B312" t="str">
            <v>22037-0</v>
          </cell>
          <cell r="C312">
            <v>7896714291505</v>
          </cell>
          <cell r="D312" t="str">
            <v>ROSUVASTATINA CALCICA 5MG C/ 60CPRV</v>
          </cell>
          <cell r="E312" t="str">
            <v>SIM</v>
          </cell>
          <cell r="F312" t="str">
            <v>G</v>
          </cell>
          <cell r="G312" t="str">
            <v>LINHA</v>
          </cell>
          <cell r="H312">
            <v>2</v>
          </cell>
          <cell r="I312">
            <v>108</v>
          </cell>
          <cell r="J312" t="str">
            <v>Monitorado</v>
          </cell>
          <cell r="K312" t="str">
            <v>Positiva</v>
          </cell>
          <cell r="L312" t="str">
            <v>Não</v>
          </cell>
          <cell r="M312" t="str">
            <v>IMPORTADO</v>
          </cell>
          <cell r="N312" t="str">
            <v>IMPORTADO</v>
          </cell>
          <cell r="P312">
            <v>55.42</v>
          </cell>
          <cell r="Q312">
            <v>55.42</v>
          </cell>
          <cell r="R312">
            <v>56.1</v>
          </cell>
          <cell r="S312">
            <v>56.79</v>
          </cell>
          <cell r="T312">
            <v>52.27</v>
          </cell>
          <cell r="U312">
            <v>55.76</v>
          </cell>
          <cell r="V312">
            <v>55.76</v>
          </cell>
          <cell r="W312">
            <v>56.1</v>
          </cell>
          <cell r="X312">
            <v>57.5</v>
          </cell>
          <cell r="Y312">
            <v>56.79</v>
          </cell>
          <cell r="Z312">
            <v>57.5</v>
          </cell>
          <cell r="AA312">
            <v>58.23</v>
          </cell>
          <cell r="AB312">
            <v>58.97</v>
          </cell>
          <cell r="AC312">
            <v>57.14</v>
          </cell>
          <cell r="AD312">
            <v>57.14</v>
          </cell>
          <cell r="AE312">
            <v>57.86</v>
          </cell>
          <cell r="AF312">
            <v>0</v>
          </cell>
          <cell r="AG312">
            <v>76.61</v>
          </cell>
          <cell r="AH312">
            <v>76.61</v>
          </cell>
          <cell r="AI312">
            <v>77.55</v>
          </cell>
          <cell r="AJ312">
            <v>78.510000000000005</v>
          </cell>
          <cell r="AK312">
            <v>72.260000000000005</v>
          </cell>
          <cell r="AL312">
            <v>77.08</v>
          </cell>
          <cell r="AM312">
            <v>77.08</v>
          </cell>
          <cell r="AN312">
            <v>77.55</v>
          </cell>
          <cell r="AO312">
            <v>79.489999999999995</v>
          </cell>
          <cell r="AP312">
            <v>78.510000000000005</v>
          </cell>
          <cell r="AQ312">
            <v>79.489999999999995</v>
          </cell>
          <cell r="AR312">
            <v>80.5</v>
          </cell>
          <cell r="AS312">
            <v>81.52</v>
          </cell>
          <cell r="AT312">
            <v>78.989999999999995</v>
          </cell>
          <cell r="AU312">
            <v>78.989999999999995</v>
          </cell>
          <cell r="AV312">
            <v>79.989999999999995</v>
          </cell>
          <cell r="AX312">
            <v>55.42</v>
          </cell>
          <cell r="AY312">
            <v>76.61</v>
          </cell>
          <cell r="AZ312">
            <v>0.17</v>
          </cell>
          <cell r="BA312">
            <v>0.04</v>
          </cell>
          <cell r="BB312" t="str">
            <v>#_NA</v>
          </cell>
          <cell r="BC312" t="str">
            <v>#_NA</v>
          </cell>
          <cell r="BD312" t="str">
            <v>#_NA</v>
          </cell>
          <cell r="BE312" t="str">
            <v>-</v>
          </cell>
          <cell r="BF312" t="str">
            <v>-</v>
          </cell>
          <cell r="BG312">
            <v>0.13542000000000001</v>
          </cell>
          <cell r="BH312">
            <v>0.6744</v>
          </cell>
          <cell r="BI312">
            <v>15.6</v>
          </cell>
          <cell r="BJ312" t="str">
            <v>-</v>
          </cell>
          <cell r="BK312">
            <v>0.68989999999999996</v>
          </cell>
          <cell r="BL312">
            <v>14.86</v>
          </cell>
          <cell r="BM312" t="str">
            <v>-</v>
          </cell>
          <cell r="BN312" t="str">
            <v>SIM</v>
          </cell>
          <cell r="BO312" t="str">
            <v>NÃO</v>
          </cell>
          <cell r="BP312" t="str">
            <v>MS|G|IMPORTADO|Não|Positiva</v>
          </cell>
          <cell r="BR312" t="str">
            <v>TBD</v>
          </cell>
          <cell r="BS312">
            <v>0</v>
          </cell>
          <cell r="BT312" t="str">
            <v>#ERRO</v>
          </cell>
          <cell r="BU312">
            <v>14.86</v>
          </cell>
          <cell r="BV312" t="str">
            <v>-</v>
          </cell>
          <cell r="BX312" t="str">
            <v>TBD</v>
          </cell>
          <cell r="BY312" t="str">
            <v>TBD</v>
          </cell>
          <cell r="BZ312" t="str">
            <v>TBD</v>
          </cell>
          <cell r="CA312" t="str">
            <v>#ERRO</v>
          </cell>
          <cell r="CB312" t="str">
            <v>-</v>
          </cell>
        </row>
        <row r="313">
          <cell r="A313" t="str">
            <v>22148-0</v>
          </cell>
          <cell r="B313" t="str">
            <v>22148-0</v>
          </cell>
          <cell r="C313">
            <v>7896714291987</v>
          </cell>
          <cell r="D313" t="str">
            <v>MIRADOR COLICA CPRV X 20</v>
          </cell>
          <cell r="E313" t="str">
            <v>SIM</v>
          </cell>
          <cell r="F313" t="str">
            <v>S</v>
          </cell>
          <cell r="G313" t="str">
            <v>PRIORITARIO SMART</v>
          </cell>
          <cell r="H313">
            <v>0</v>
          </cell>
          <cell r="I313">
            <v>120</v>
          </cell>
          <cell r="J313" t="str">
            <v>Liberado</v>
          </cell>
          <cell r="K313" t="str">
            <v>Negativa</v>
          </cell>
          <cell r="L313" t="str">
            <v>Sim</v>
          </cell>
          <cell r="M313" t="str">
            <v>NACIONAL</v>
          </cell>
          <cell r="N313" t="str">
            <v>NACIONAL</v>
          </cell>
          <cell r="P313">
            <v>10.34</v>
          </cell>
          <cell r="Q313">
            <v>11.88</v>
          </cell>
          <cell r="R313">
            <v>12.04</v>
          </cell>
          <cell r="S313">
            <v>12.21</v>
          </cell>
          <cell r="T313">
            <v>11.11</v>
          </cell>
          <cell r="U313">
            <v>11.96</v>
          </cell>
          <cell r="V313">
            <v>10.4</v>
          </cell>
          <cell r="W313">
            <v>10.46</v>
          </cell>
          <cell r="X313">
            <v>12.39</v>
          </cell>
          <cell r="Y313">
            <v>10.59</v>
          </cell>
          <cell r="Z313">
            <v>10.73</v>
          </cell>
          <cell r="AA313">
            <v>12.57</v>
          </cell>
          <cell r="AB313">
            <v>12.76</v>
          </cell>
          <cell r="AC313">
            <v>12.3</v>
          </cell>
          <cell r="AD313">
            <v>10.66</v>
          </cell>
          <cell r="AE313">
            <v>12.48</v>
          </cell>
          <cell r="AF313">
            <v>0</v>
          </cell>
          <cell r="AG313">
            <v>14.29</v>
          </cell>
          <cell r="AH313">
            <v>15.84</v>
          </cell>
          <cell r="AI313">
            <v>16.04</v>
          </cell>
          <cell r="AJ313">
            <v>16.260000000000002</v>
          </cell>
          <cell r="AK313">
            <v>14.84</v>
          </cell>
          <cell r="AL313">
            <v>15.94</v>
          </cell>
          <cell r="AM313">
            <v>14.38</v>
          </cell>
          <cell r="AN313">
            <v>14.46</v>
          </cell>
          <cell r="AO313">
            <v>16.489999999999998</v>
          </cell>
          <cell r="AP313">
            <v>14.64</v>
          </cell>
          <cell r="AQ313">
            <v>14.83</v>
          </cell>
          <cell r="AR313">
            <v>16.72</v>
          </cell>
          <cell r="AS313">
            <v>16.97</v>
          </cell>
          <cell r="AT313">
            <v>16.38</v>
          </cell>
          <cell r="AU313">
            <v>14.74</v>
          </cell>
          <cell r="AV313">
            <v>16.61</v>
          </cell>
          <cell r="AX313">
            <v>11.88</v>
          </cell>
          <cell r="AY313">
            <v>15.84</v>
          </cell>
          <cell r="AZ313">
            <v>0.17</v>
          </cell>
          <cell r="BA313">
            <v>0.12</v>
          </cell>
          <cell r="BB313" t="str">
            <v>#_NA</v>
          </cell>
          <cell r="BC313" t="str">
            <v>#_NA</v>
          </cell>
          <cell r="BD313" t="str">
            <v>#_NA</v>
          </cell>
          <cell r="BE313" t="str">
            <v>-</v>
          </cell>
          <cell r="BF313" t="str">
            <v>-</v>
          </cell>
          <cell r="BG313">
            <v>5.6820000000000002E-2</v>
          </cell>
          <cell r="BH313">
            <v>0.34300000000000003</v>
          </cell>
          <cell r="BI313">
            <v>7.36</v>
          </cell>
          <cell r="BJ313" t="str">
            <v>-</v>
          </cell>
          <cell r="BK313">
            <v>0.45810000000000001</v>
          </cell>
          <cell r="BL313">
            <v>6.07</v>
          </cell>
          <cell r="BM313" t="str">
            <v>-</v>
          </cell>
          <cell r="BN313" t="str">
            <v>NÃO</v>
          </cell>
          <cell r="BO313" t="str">
            <v>NÃO</v>
          </cell>
          <cell r="BP313" t="str">
            <v>MS|S|NACIONAL|Sim|Negativa</v>
          </cell>
          <cell r="BR313" t="str">
            <v>TBD</v>
          </cell>
          <cell r="BS313">
            <v>0</v>
          </cell>
          <cell r="BT313" t="str">
            <v>#ERRO</v>
          </cell>
          <cell r="BU313">
            <v>6.07</v>
          </cell>
          <cell r="BV313" t="str">
            <v>-</v>
          </cell>
          <cell r="BX313" t="str">
            <v>TBD</v>
          </cell>
          <cell r="BY313" t="str">
            <v>TBD</v>
          </cell>
          <cell r="BZ313" t="str">
            <v>TBD</v>
          </cell>
          <cell r="CA313" t="str">
            <v>#ERRO</v>
          </cell>
          <cell r="CB313" t="str">
            <v>-</v>
          </cell>
        </row>
        <row r="314">
          <cell r="A314" t="str">
            <v>22395-0</v>
          </cell>
          <cell r="B314" t="str">
            <v>22395-0</v>
          </cell>
          <cell r="C314">
            <v>7896714292847</v>
          </cell>
          <cell r="D314" t="str">
            <v>NQ MELATONINA MARACU SOL ORAL CT FR 30ML</v>
          </cell>
          <cell r="E314" t="str">
            <v>SIM</v>
          </cell>
          <cell r="F314" t="str">
            <v>S</v>
          </cell>
          <cell r="G314" t="str">
            <v>FOCO SMART</v>
          </cell>
          <cell r="H314">
            <v>5</v>
          </cell>
          <cell r="I314">
            <v>48</v>
          </cell>
          <cell r="J314" t="str">
            <v>Liberado</v>
          </cell>
          <cell r="K314" t="str">
            <v>Alimento Funcional</v>
          </cell>
          <cell r="L314" t="str">
            <v>Sim</v>
          </cell>
          <cell r="M314" t="str">
            <v>NACIONAL</v>
          </cell>
          <cell r="N314" t="str">
            <v>NACIONAL</v>
          </cell>
          <cell r="P314">
            <v>69.930000000000007</v>
          </cell>
          <cell r="Q314">
            <v>69.930000000000007</v>
          </cell>
          <cell r="R314">
            <v>70.78</v>
          </cell>
          <cell r="S314">
            <v>71.650000000000006</v>
          </cell>
          <cell r="T314">
            <v>65.95</v>
          </cell>
          <cell r="U314">
            <v>70.349999999999994</v>
          </cell>
          <cell r="V314">
            <v>70.349999999999994</v>
          </cell>
          <cell r="W314">
            <v>70.78</v>
          </cell>
          <cell r="X314">
            <v>72.55</v>
          </cell>
          <cell r="Y314">
            <v>71.650000000000006</v>
          </cell>
          <cell r="Z314">
            <v>72.55</v>
          </cell>
          <cell r="AA314">
            <v>73.47</v>
          </cell>
          <cell r="AB314">
            <v>74.41</v>
          </cell>
          <cell r="AC314">
            <v>72.099999999999994</v>
          </cell>
          <cell r="AD314">
            <v>72.099999999999994</v>
          </cell>
          <cell r="AE314">
            <v>73.010000000000005</v>
          </cell>
          <cell r="AF314">
            <v>0</v>
          </cell>
          <cell r="AG314">
            <v>96.67</v>
          </cell>
          <cell r="AH314">
            <v>96.67</v>
          </cell>
          <cell r="AI314">
            <v>97.85</v>
          </cell>
          <cell r="AJ314">
            <v>99.05</v>
          </cell>
          <cell r="AK314">
            <v>91.17</v>
          </cell>
          <cell r="AL314">
            <v>97.25</v>
          </cell>
          <cell r="AM314">
            <v>97.25</v>
          </cell>
          <cell r="AN314">
            <v>97.85</v>
          </cell>
          <cell r="AO314">
            <v>100.3</v>
          </cell>
          <cell r="AP314">
            <v>99.05</v>
          </cell>
          <cell r="AQ314">
            <v>100.3</v>
          </cell>
          <cell r="AR314">
            <v>101.57</v>
          </cell>
          <cell r="AS314">
            <v>102.87</v>
          </cell>
          <cell r="AT314">
            <v>99.67</v>
          </cell>
          <cell r="AU314">
            <v>99.67</v>
          </cell>
          <cell r="AV314">
            <v>100.93</v>
          </cell>
          <cell r="AX314">
            <v>69.930000000000007</v>
          </cell>
          <cell r="AY314">
            <v>96.67</v>
          </cell>
          <cell r="AZ314">
            <v>0.17</v>
          </cell>
          <cell r="BA314">
            <v>0.12</v>
          </cell>
          <cell r="BB314" t="str">
            <v>#_NA</v>
          </cell>
          <cell r="BC314" t="str">
            <v>#_NA</v>
          </cell>
          <cell r="BD314" t="str">
            <v>#_NA</v>
          </cell>
          <cell r="BE314" t="str">
            <v>-</v>
          </cell>
          <cell r="BF314" t="str">
            <v>-</v>
          </cell>
          <cell r="BG314">
            <v>5.6820000000000002E-2</v>
          </cell>
          <cell r="BH314">
            <v>0.80689999999999995</v>
          </cell>
          <cell r="BI314">
            <v>12.74</v>
          </cell>
          <cell r="BJ314" t="str">
            <v>-</v>
          </cell>
          <cell r="BK314">
            <v>0.81610000000000005</v>
          </cell>
          <cell r="BL314">
            <v>12.13</v>
          </cell>
          <cell r="BM314" t="str">
            <v>-</v>
          </cell>
          <cell r="BN314" t="str">
            <v>NÃO</v>
          </cell>
          <cell r="BO314" t="str">
            <v>NÃO</v>
          </cell>
          <cell r="BP314" t="str">
            <v>MS|S|NACIONAL|Sim|Alimento Funcional</v>
          </cell>
          <cell r="BR314" t="str">
            <v>TBD</v>
          </cell>
          <cell r="BS314">
            <v>0</v>
          </cell>
          <cell r="BT314" t="str">
            <v>#ERRO</v>
          </cell>
          <cell r="BU314">
            <v>12.13</v>
          </cell>
          <cell r="BV314" t="str">
            <v>-</v>
          </cell>
          <cell r="BX314" t="str">
            <v>TBD</v>
          </cell>
          <cell r="BY314" t="str">
            <v>TBD</v>
          </cell>
          <cell r="BZ314" t="str">
            <v>TBD</v>
          </cell>
          <cell r="CA314" t="str">
            <v>#ERRO</v>
          </cell>
          <cell r="CB314" t="str">
            <v>-</v>
          </cell>
        </row>
        <row r="315">
          <cell r="A315" t="str">
            <v>21006-0</v>
          </cell>
          <cell r="B315" t="str">
            <v>21006-0</v>
          </cell>
          <cell r="C315">
            <v>7896714200361</v>
          </cell>
          <cell r="D315" t="str">
            <v>NEOSULIDA 100MG COMP CT BL X12</v>
          </cell>
          <cell r="E315" t="str">
            <v>SIM</v>
          </cell>
          <cell r="F315" t="str">
            <v>S</v>
          </cell>
          <cell r="G315" t="str">
            <v>LINHA</v>
          </cell>
          <cell r="H315">
            <v>5</v>
          </cell>
          <cell r="I315">
            <v>60</v>
          </cell>
          <cell r="J315" t="str">
            <v>Monitorado</v>
          </cell>
          <cell r="K315" t="str">
            <v>Positiva</v>
          </cell>
          <cell r="L315" t="str">
            <v>Sim</v>
          </cell>
          <cell r="M315" t="str">
            <v>NACIONAL</v>
          </cell>
          <cell r="N315" t="str">
            <v>NACIONAL</v>
          </cell>
          <cell r="P315">
            <v>11.02</v>
          </cell>
          <cell r="Q315">
            <v>11.02</v>
          </cell>
          <cell r="R315">
            <v>11.16</v>
          </cell>
          <cell r="S315">
            <v>11.3</v>
          </cell>
          <cell r="T315">
            <v>10.4</v>
          </cell>
          <cell r="U315">
            <v>11.09</v>
          </cell>
          <cell r="V315">
            <v>11.09</v>
          </cell>
          <cell r="W315">
            <v>11.16</v>
          </cell>
          <cell r="X315">
            <v>11.44</v>
          </cell>
          <cell r="Y315">
            <v>11.3</v>
          </cell>
          <cell r="Z315">
            <v>11.44</v>
          </cell>
          <cell r="AA315">
            <v>11.58</v>
          </cell>
          <cell r="AB315">
            <v>11.73</v>
          </cell>
          <cell r="AC315">
            <v>11.37</v>
          </cell>
          <cell r="AD315">
            <v>11.37</v>
          </cell>
          <cell r="AE315">
            <v>11.51</v>
          </cell>
          <cell r="AF315">
            <v>0</v>
          </cell>
          <cell r="AG315">
            <v>15.23</v>
          </cell>
          <cell r="AH315">
            <v>15.23</v>
          </cell>
          <cell r="AI315">
            <v>15.43</v>
          </cell>
          <cell r="AJ315">
            <v>15.62</v>
          </cell>
          <cell r="AK315">
            <v>14.38</v>
          </cell>
          <cell r="AL315">
            <v>15.33</v>
          </cell>
          <cell r="AM315">
            <v>15.33</v>
          </cell>
          <cell r="AN315">
            <v>15.43</v>
          </cell>
          <cell r="AO315">
            <v>15.82</v>
          </cell>
          <cell r="AP315">
            <v>15.62</v>
          </cell>
          <cell r="AQ315">
            <v>15.82</v>
          </cell>
          <cell r="AR315">
            <v>16.010000000000002</v>
          </cell>
          <cell r="AS315">
            <v>16.22</v>
          </cell>
          <cell r="AT315">
            <v>15.72</v>
          </cell>
          <cell r="AU315">
            <v>15.72</v>
          </cell>
          <cell r="AV315">
            <v>15.91</v>
          </cell>
          <cell r="AX315">
            <v>11.02</v>
          </cell>
          <cell r="AY315">
            <v>15.23</v>
          </cell>
          <cell r="AZ315">
            <v>0.17</v>
          </cell>
          <cell r="BA315">
            <v>0.12</v>
          </cell>
          <cell r="BB315" t="str">
            <v>#_NA</v>
          </cell>
          <cell r="BC315" t="str">
            <v>#_NA</v>
          </cell>
          <cell r="BD315" t="str">
            <v>#_NA</v>
          </cell>
          <cell r="BE315" t="str">
            <v>-</v>
          </cell>
          <cell r="BF315" t="str">
            <v>-</v>
          </cell>
          <cell r="BG315">
            <v>5.6820000000000002E-2</v>
          </cell>
          <cell r="BH315">
            <v>0.84650000000000003</v>
          </cell>
          <cell r="BI315">
            <v>1.59</v>
          </cell>
          <cell r="BJ315" t="str">
            <v>-</v>
          </cell>
          <cell r="BK315">
            <v>0.8538</v>
          </cell>
          <cell r="BL315">
            <v>1.52</v>
          </cell>
          <cell r="BM315" t="str">
            <v>-</v>
          </cell>
          <cell r="BN315" t="str">
            <v>NÃO</v>
          </cell>
          <cell r="BO315" t="str">
            <v>NÃO</v>
          </cell>
          <cell r="BP315" t="str">
            <v>MS|S|NACIONAL|Sim|Positiva</v>
          </cell>
          <cell r="BR315" t="str">
            <v>TBD</v>
          </cell>
          <cell r="BS315">
            <v>0</v>
          </cell>
          <cell r="BT315" t="str">
            <v>#ERRO</v>
          </cell>
          <cell r="BU315">
            <v>1.52</v>
          </cell>
          <cell r="BV315" t="str">
            <v>-</v>
          </cell>
          <cell r="BX315" t="str">
            <v>TBD</v>
          </cell>
          <cell r="BY315" t="str">
            <v>TBD</v>
          </cell>
          <cell r="BZ315" t="str">
            <v>TBD</v>
          </cell>
          <cell r="CA315" t="str">
            <v>#ERRO</v>
          </cell>
          <cell r="CB315" t="str">
            <v>-</v>
          </cell>
        </row>
        <row r="316">
          <cell r="A316" t="str">
            <v>22224-0</v>
          </cell>
          <cell r="B316" t="str">
            <v>22224-0</v>
          </cell>
          <cell r="C316">
            <v>7896714292397</v>
          </cell>
          <cell r="D316" t="str">
            <v>VIT NEO QUIMICA VIT D 2.000UI FR 30 CPRV</v>
          </cell>
          <cell r="E316" t="str">
            <v>SIM</v>
          </cell>
          <cell r="F316" t="str">
            <v>S</v>
          </cell>
          <cell r="G316" t="str">
            <v>FOCO SMART</v>
          </cell>
          <cell r="H316">
            <v>5</v>
          </cell>
          <cell r="I316">
            <v>24</v>
          </cell>
          <cell r="J316" t="str">
            <v>Liberado</v>
          </cell>
          <cell r="K316" t="str">
            <v>Alimento Funcional</v>
          </cell>
          <cell r="L316" t="str">
            <v>Sim</v>
          </cell>
          <cell r="M316" t="str">
            <v>NACIONAL</v>
          </cell>
          <cell r="N316" t="str">
            <v>NACIONAL</v>
          </cell>
          <cell r="P316">
            <v>42.11</v>
          </cell>
          <cell r="Q316">
            <v>42.11</v>
          </cell>
          <cell r="R316">
            <v>42.62</v>
          </cell>
          <cell r="S316">
            <v>43.15</v>
          </cell>
          <cell r="T316">
            <v>39.71</v>
          </cell>
          <cell r="U316">
            <v>42.36</v>
          </cell>
          <cell r="V316">
            <v>42.36</v>
          </cell>
          <cell r="W316">
            <v>42.62</v>
          </cell>
          <cell r="X316">
            <v>43.69</v>
          </cell>
          <cell r="Y316">
            <v>43.15</v>
          </cell>
          <cell r="Z316">
            <v>43.69</v>
          </cell>
          <cell r="AA316">
            <v>44.24</v>
          </cell>
          <cell r="AB316">
            <v>44.81</v>
          </cell>
          <cell r="AC316">
            <v>43.41</v>
          </cell>
          <cell r="AD316">
            <v>43.41</v>
          </cell>
          <cell r="AE316">
            <v>43.96</v>
          </cell>
          <cell r="AF316">
            <v>0</v>
          </cell>
          <cell r="AG316">
            <v>58.21</v>
          </cell>
          <cell r="AH316">
            <v>58.21</v>
          </cell>
          <cell r="AI316">
            <v>58.92</v>
          </cell>
          <cell r="AJ316">
            <v>59.65</v>
          </cell>
          <cell r="AK316">
            <v>54.9</v>
          </cell>
          <cell r="AL316">
            <v>58.56</v>
          </cell>
          <cell r="AM316">
            <v>58.56</v>
          </cell>
          <cell r="AN316">
            <v>58.92</v>
          </cell>
          <cell r="AO316">
            <v>60.4</v>
          </cell>
          <cell r="AP316">
            <v>59.65</v>
          </cell>
          <cell r="AQ316">
            <v>60.4</v>
          </cell>
          <cell r="AR316">
            <v>61.16</v>
          </cell>
          <cell r="AS316">
            <v>61.95</v>
          </cell>
          <cell r="AT316">
            <v>60.01</v>
          </cell>
          <cell r="AU316">
            <v>60.01</v>
          </cell>
          <cell r="AV316">
            <v>60.77</v>
          </cell>
          <cell r="AX316">
            <v>42.11</v>
          </cell>
          <cell r="AY316">
            <v>58.21</v>
          </cell>
          <cell r="AZ316">
            <v>0.17</v>
          </cell>
          <cell r="BA316">
            <v>0.12</v>
          </cell>
          <cell r="BB316" t="str">
            <v>#_NA</v>
          </cell>
          <cell r="BC316" t="str">
            <v>#_NA</v>
          </cell>
          <cell r="BD316" t="str">
            <v>#_NA</v>
          </cell>
          <cell r="BE316" t="str">
            <v>-</v>
          </cell>
          <cell r="BF316" t="str">
            <v>-</v>
          </cell>
          <cell r="BG316">
            <v>5.6820000000000002E-2</v>
          </cell>
          <cell r="BH316">
            <v>0.8276</v>
          </cell>
          <cell r="BI316">
            <v>6.85</v>
          </cell>
          <cell r="BJ316" t="str">
            <v>-</v>
          </cell>
          <cell r="BK316">
            <v>0.83579999999999999</v>
          </cell>
          <cell r="BL316">
            <v>6.52</v>
          </cell>
          <cell r="BM316" t="str">
            <v>-</v>
          </cell>
          <cell r="BN316" t="str">
            <v>NÃO</v>
          </cell>
          <cell r="BO316" t="str">
            <v>NÃO</v>
          </cell>
          <cell r="BP316" t="str">
            <v>MS|S|NACIONAL|Sim|Alimento Funcional</v>
          </cell>
          <cell r="BR316" t="str">
            <v>TBD</v>
          </cell>
          <cell r="BS316">
            <v>0</v>
          </cell>
          <cell r="BT316" t="str">
            <v>#ERRO</v>
          </cell>
          <cell r="BU316">
            <v>6.52</v>
          </cell>
          <cell r="BV316" t="str">
            <v>-</v>
          </cell>
          <cell r="BX316" t="str">
            <v>TBD</v>
          </cell>
          <cell r="BY316" t="str">
            <v>TBD</v>
          </cell>
          <cell r="BZ316" t="str">
            <v>TBD</v>
          </cell>
          <cell r="CA316" t="str">
            <v>#ERRO</v>
          </cell>
          <cell r="CB316" t="str">
            <v>-</v>
          </cell>
        </row>
        <row r="317">
          <cell r="A317" t="str">
            <v>22225-0</v>
          </cell>
          <cell r="B317" t="str">
            <v>22225-0</v>
          </cell>
          <cell r="C317">
            <v>7896714292403</v>
          </cell>
          <cell r="D317" t="str">
            <v>VIT NEO QUIMICA VITD 400UI GT CT FR 10ML</v>
          </cell>
          <cell r="E317" t="str">
            <v>SIM</v>
          </cell>
          <cell r="F317" t="str">
            <v>S</v>
          </cell>
          <cell r="G317" t="str">
            <v>FOCO SMART</v>
          </cell>
          <cell r="H317">
            <v>5</v>
          </cell>
          <cell r="I317">
            <v>24</v>
          </cell>
          <cell r="J317" t="str">
            <v>Liberado</v>
          </cell>
          <cell r="K317" t="str">
            <v>Alimento Funcional</v>
          </cell>
          <cell r="L317" t="str">
            <v>Sim</v>
          </cell>
          <cell r="M317" t="str">
            <v>NACIONAL</v>
          </cell>
          <cell r="N317" t="str">
            <v>NACIONAL</v>
          </cell>
          <cell r="P317">
            <v>42.11</v>
          </cell>
          <cell r="Q317">
            <v>42.11</v>
          </cell>
          <cell r="R317">
            <v>42.62</v>
          </cell>
          <cell r="S317">
            <v>43.15</v>
          </cell>
          <cell r="T317">
            <v>39.71</v>
          </cell>
          <cell r="U317">
            <v>42.36</v>
          </cell>
          <cell r="V317">
            <v>42.36</v>
          </cell>
          <cell r="W317">
            <v>42.62</v>
          </cell>
          <cell r="X317">
            <v>43.69</v>
          </cell>
          <cell r="Y317">
            <v>43.15</v>
          </cell>
          <cell r="Z317">
            <v>43.69</v>
          </cell>
          <cell r="AA317">
            <v>44.24</v>
          </cell>
          <cell r="AB317">
            <v>44.81</v>
          </cell>
          <cell r="AC317">
            <v>43.41</v>
          </cell>
          <cell r="AD317">
            <v>43.41</v>
          </cell>
          <cell r="AE317">
            <v>43.96</v>
          </cell>
          <cell r="AF317">
            <v>0</v>
          </cell>
          <cell r="AG317">
            <v>58.21</v>
          </cell>
          <cell r="AH317">
            <v>58.21</v>
          </cell>
          <cell r="AI317">
            <v>58.92</v>
          </cell>
          <cell r="AJ317">
            <v>59.65</v>
          </cell>
          <cell r="AK317">
            <v>54.9</v>
          </cell>
          <cell r="AL317">
            <v>58.56</v>
          </cell>
          <cell r="AM317">
            <v>58.56</v>
          </cell>
          <cell r="AN317">
            <v>58.92</v>
          </cell>
          <cell r="AO317">
            <v>60.4</v>
          </cell>
          <cell r="AP317">
            <v>59.65</v>
          </cell>
          <cell r="AQ317">
            <v>60.4</v>
          </cell>
          <cell r="AR317">
            <v>61.16</v>
          </cell>
          <cell r="AS317">
            <v>61.95</v>
          </cell>
          <cell r="AT317">
            <v>60.01</v>
          </cell>
          <cell r="AU317">
            <v>60.01</v>
          </cell>
          <cell r="AV317">
            <v>60.77</v>
          </cell>
          <cell r="AX317">
            <v>42.11</v>
          </cell>
          <cell r="AY317">
            <v>58.21</v>
          </cell>
          <cell r="AZ317">
            <v>0.17</v>
          </cell>
          <cell r="BA317">
            <v>0.12</v>
          </cell>
          <cell r="BB317" t="str">
            <v>#_NA</v>
          </cell>
          <cell r="BC317" t="str">
            <v>#_NA</v>
          </cell>
          <cell r="BD317" t="str">
            <v>#_NA</v>
          </cell>
          <cell r="BE317" t="str">
            <v>-</v>
          </cell>
          <cell r="BF317" t="str">
            <v>-</v>
          </cell>
          <cell r="BG317">
            <v>5.6820000000000002E-2</v>
          </cell>
          <cell r="BH317">
            <v>0.84319999999999995</v>
          </cell>
          <cell r="BI317">
            <v>6.23</v>
          </cell>
          <cell r="BJ317" t="str">
            <v>-</v>
          </cell>
          <cell r="BK317">
            <v>0.85060000000000002</v>
          </cell>
          <cell r="BL317">
            <v>5.93</v>
          </cell>
          <cell r="BM317" t="str">
            <v>-</v>
          </cell>
          <cell r="BN317" t="str">
            <v>NÃO</v>
          </cell>
          <cell r="BO317" t="str">
            <v>NÃO</v>
          </cell>
          <cell r="BP317" t="str">
            <v>MS|S|NACIONAL|Sim|Alimento Funcional</v>
          </cell>
          <cell r="BR317" t="str">
            <v>TBD</v>
          </cell>
          <cell r="BS317">
            <v>0</v>
          </cell>
          <cell r="BT317" t="str">
            <v>#ERRO</v>
          </cell>
          <cell r="BU317">
            <v>5.93</v>
          </cell>
          <cell r="BV317" t="str">
            <v>-</v>
          </cell>
          <cell r="BX317" t="str">
            <v>TBD</v>
          </cell>
          <cell r="BY317" t="str">
            <v>TBD</v>
          </cell>
          <cell r="BZ317" t="str">
            <v>TBD</v>
          </cell>
          <cell r="CA317" t="str">
            <v>#ERRO</v>
          </cell>
          <cell r="CB317" t="str">
            <v>-</v>
          </cell>
        </row>
        <row r="318">
          <cell r="A318" t="str">
            <v>22156-0</v>
          </cell>
          <cell r="B318" t="str">
            <v>22156-0</v>
          </cell>
          <cell r="C318">
            <v>7896714292038</v>
          </cell>
          <cell r="D318" t="str">
            <v>DESVENLAFAXINA 100MG C1 30 CPRV LIB PROL</v>
          </cell>
          <cell r="E318" t="str">
            <v>SIM</v>
          </cell>
          <cell r="F318" t="str">
            <v>G</v>
          </cell>
          <cell r="G318" t="str">
            <v>LINHA</v>
          </cell>
          <cell r="H318">
            <v>0</v>
          </cell>
          <cell r="I318">
            <v>24</v>
          </cell>
          <cell r="J318" t="str">
            <v>Monitorado</v>
          </cell>
          <cell r="K318" t="str">
            <v>Positiva</v>
          </cell>
          <cell r="L318" t="str">
            <v>Sim</v>
          </cell>
          <cell r="M318" t="str">
            <v>NACIONAL</v>
          </cell>
          <cell r="N318" t="str">
            <v>NACIONAL</v>
          </cell>
          <cell r="P318">
            <v>90.25</v>
          </cell>
          <cell r="Q318">
            <v>90.25</v>
          </cell>
          <cell r="R318">
            <v>91.35</v>
          </cell>
          <cell r="S318">
            <v>92.48</v>
          </cell>
          <cell r="T318">
            <v>85.13</v>
          </cell>
          <cell r="U318">
            <v>90.8</v>
          </cell>
          <cell r="V318">
            <v>90.8</v>
          </cell>
          <cell r="W318">
            <v>91.35</v>
          </cell>
          <cell r="X318">
            <v>93.64</v>
          </cell>
          <cell r="Y318">
            <v>92.48</v>
          </cell>
          <cell r="Z318">
            <v>93.64</v>
          </cell>
          <cell r="AA318">
            <v>94.82</v>
          </cell>
          <cell r="AB318">
            <v>96.04</v>
          </cell>
          <cell r="AC318">
            <v>93.06</v>
          </cell>
          <cell r="AD318">
            <v>93.06</v>
          </cell>
          <cell r="AE318">
            <v>94.23</v>
          </cell>
          <cell r="AF318">
            <v>0</v>
          </cell>
          <cell r="AG318">
            <v>124.77</v>
          </cell>
          <cell r="AH318">
            <v>124.77</v>
          </cell>
          <cell r="AI318">
            <v>126.29</v>
          </cell>
          <cell r="AJ318">
            <v>127.85</v>
          </cell>
          <cell r="AK318">
            <v>117.69</v>
          </cell>
          <cell r="AL318">
            <v>125.53</v>
          </cell>
          <cell r="AM318">
            <v>125.53</v>
          </cell>
          <cell r="AN318">
            <v>126.29</v>
          </cell>
          <cell r="AO318">
            <v>129.44999999999999</v>
          </cell>
          <cell r="AP318">
            <v>127.85</v>
          </cell>
          <cell r="AQ318">
            <v>129.44999999999999</v>
          </cell>
          <cell r="AR318">
            <v>131.08000000000001</v>
          </cell>
          <cell r="AS318">
            <v>132.77000000000001</v>
          </cell>
          <cell r="AT318">
            <v>128.65</v>
          </cell>
          <cell r="AU318">
            <v>128.65</v>
          </cell>
          <cell r="AV318">
            <v>130.27000000000001</v>
          </cell>
          <cell r="AX318">
            <v>90.25</v>
          </cell>
          <cell r="AY318">
            <v>124.77</v>
          </cell>
          <cell r="AZ318">
            <v>0.17</v>
          </cell>
          <cell r="BA318">
            <v>0.12</v>
          </cell>
          <cell r="BB318" t="str">
            <v>#_NA</v>
          </cell>
          <cell r="BC318" t="str">
            <v>#_NA</v>
          </cell>
          <cell r="BD318" t="str">
            <v>#_NA</v>
          </cell>
          <cell r="BE318" t="str">
            <v>-</v>
          </cell>
          <cell r="BF318" t="str">
            <v>-</v>
          </cell>
          <cell r="BG318">
            <v>5.6820000000000002E-2</v>
          </cell>
          <cell r="BH318">
            <v>0.60640000000000005</v>
          </cell>
          <cell r="BI318">
            <v>33.5</v>
          </cell>
          <cell r="BJ318" t="str">
            <v>-</v>
          </cell>
          <cell r="BK318">
            <v>0.62509999999999999</v>
          </cell>
          <cell r="BL318">
            <v>31.91</v>
          </cell>
          <cell r="BM318" t="str">
            <v>-</v>
          </cell>
          <cell r="BN318" t="str">
            <v>NÃO</v>
          </cell>
          <cell r="BO318" t="str">
            <v>NÃO</v>
          </cell>
          <cell r="BP318" t="str">
            <v>MS|G|NACIONAL|Sim|Positiva</v>
          </cell>
          <cell r="BR318" t="str">
            <v>TBD</v>
          </cell>
          <cell r="BS318">
            <v>0</v>
          </cell>
          <cell r="BT318" t="str">
            <v>#ERRO</v>
          </cell>
          <cell r="BU318">
            <v>31.91</v>
          </cell>
          <cell r="BV318" t="str">
            <v>-</v>
          </cell>
          <cell r="BX318" t="str">
            <v>TBD</v>
          </cell>
          <cell r="BY318" t="str">
            <v>TBD</v>
          </cell>
          <cell r="BZ318" t="str">
            <v>TBD</v>
          </cell>
          <cell r="CA318" t="str">
            <v>#ERRO</v>
          </cell>
          <cell r="CB318" t="str">
            <v>-</v>
          </cell>
        </row>
        <row r="319">
          <cell r="A319" t="str">
            <v>22340-0</v>
          </cell>
          <cell r="B319" t="str">
            <v>22340-0</v>
          </cell>
          <cell r="C319">
            <v>7896714292649</v>
          </cell>
          <cell r="D319" t="str">
            <v>NQ VITAMINA D3 7.000 UI X 4 CAP MOLE</v>
          </cell>
          <cell r="E319" t="str">
            <v>SIM</v>
          </cell>
          <cell r="F319" t="str">
            <v>S</v>
          </cell>
          <cell r="G319" t="str">
            <v>FOCO SMART</v>
          </cell>
          <cell r="H319">
            <v>0</v>
          </cell>
          <cell r="I319">
            <v>45</v>
          </cell>
          <cell r="J319" t="str">
            <v>Monitorado</v>
          </cell>
          <cell r="K319" t="str">
            <v>Negativa</v>
          </cell>
          <cell r="L319" t="str">
            <v>Sim</v>
          </cell>
          <cell r="M319" t="str">
            <v>NACIONAL</v>
          </cell>
          <cell r="N319" t="str">
            <v>NACIONAL</v>
          </cell>
          <cell r="P319">
            <v>11.55</v>
          </cell>
          <cell r="Q319">
            <v>13.27</v>
          </cell>
          <cell r="R319">
            <v>13.46</v>
          </cell>
          <cell r="S319">
            <v>13.65</v>
          </cell>
          <cell r="T319">
            <v>12.41</v>
          </cell>
          <cell r="U319">
            <v>13.36</v>
          </cell>
          <cell r="V319">
            <v>11.62</v>
          </cell>
          <cell r="W319">
            <v>11.69</v>
          </cell>
          <cell r="X319">
            <v>13.85</v>
          </cell>
          <cell r="Y319">
            <v>11.84</v>
          </cell>
          <cell r="Z319">
            <v>11.99</v>
          </cell>
          <cell r="AA319">
            <v>14.05</v>
          </cell>
          <cell r="AB319">
            <v>14.26</v>
          </cell>
          <cell r="AC319">
            <v>13.75</v>
          </cell>
          <cell r="AD319">
            <v>11.91</v>
          </cell>
          <cell r="AE319">
            <v>13.95</v>
          </cell>
          <cell r="AF319">
            <v>0</v>
          </cell>
          <cell r="AG319">
            <v>15.97</v>
          </cell>
          <cell r="AH319">
            <v>17.690000000000001</v>
          </cell>
          <cell r="AI319">
            <v>17.93</v>
          </cell>
          <cell r="AJ319">
            <v>18.18</v>
          </cell>
          <cell r="AK319">
            <v>16.579999999999998</v>
          </cell>
          <cell r="AL319">
            <v>17.8</v>
          </cell>
          <cell r="AM319">
            <v>16.059999999999999</v>
          </cell>
          <cell r="AN319">
            <v>16.16</v>
          </cell>
          <cell r="AO319">
            <v>18.43</v>
          </cell>
          <cell r="AP319">
            <v>16.37</v>
          </cell>
          <cell r="AQ319">
            <v>16.579999999999998</v>
          </cell>
          <cell r="AR319">
            <v>18.690000000000001</v>
          </cell>
          <cell r="AS319">
            <v>18.96</v>
          </cell>
          <cell r="AT319">
            <v>18.309999999999999</v>
          </cell>
          <cell r="AU319">
            <v>16.46</v>
          </cell>
          <cell r="AV319">
            <v>18.559999999999999</v>
          </cell>
          <cell r="AX319">
            <v>13.27</v>
          </cell>
          <cell r="AY319">
            <v>17.690000000000001</v>
          </cell>
          <cell r="AZ319">
            <v>0.17</v>
          </cell>
          <cell r="BA319">
            <v>0.12</v>
          </cell>
          <cell r="BB319" t="str">
            <v>#_NA</v>
          </cell>
          <cell r="BC319" t="str">
            <v>#_NA</v>
          </cell>
          <cell r="BD319" t="str">
            <v>#_NA</v>
          </cell>
          <cell r="BE319" t="str">
            <v>-</v>
          </cell>
          <cell r="BF319" t="str">
            <v>-</v>
          </cell>
          <cell r="BG319">
            <v>5.6820000000000002E-2</v>
          </cell>
          <cell r="BH319">
            <v>0.78979999999999995</v>
          </cell>
          <cell r="BI319">
            <v>2.63</v>
          </cell>
          <cell r="BJ319" t="str">
            <v>-</v>
          </cell>
          <cell r="BK319">
            <v>0.82699999999999996</v>
          </cell>
          <cell r="BL319">
            <v>2.17</v>
          </cell>
          <cell r="BM319" t="str">
            <v>-</v>
          </cell>
          <cell r="BN319" t="str">
            <v>NÃO</v>
          </cell>
          <cell r="BO319" t="str">
            <v>NÃO</v>
          </cell>
          <cell r="BP319" t="str">
            <v>MS|S|NACIONAL|Sim|Negativa</v>
          </cell>
          <cell r="BR319" t="str">
            <v>TBD</v>
          </cell>
          <cell r="BS319">
            <v>0</v>
          </cell>
          <cell r="BT319" t="str">
            <v>#ERRO</v>
          </cell>
          <cell r="BU319">
            <v>2.17</v>
          </cell>
          <cell r="BV319" t="str">
            <v>-</v>
          </cell>
          <cell r="BX319" t="str">
            <v>TBD</v>
          </cell>
          <cell r="BY319" t="str">
            <v>TBD</v>
          </cell>
          <cell r="BZ319" t="str">
            <v>TBD</v>
          </cell>
          <cell r="CA319" t="str">
            <v>#ERRO</v>
          </cell>
          <cell r="CB319" t="str">
            <v>-</v>
          </cell>
        </row>
        <row r="320">
          <cell r="A320" t="str">
            <v>22341-0</v>
          </cell>
          <cell r="B320" t="str">
            <v>22341-0</v>
          </cell>
          <cell r="C320">
            <v>7896714292656</v>
          </cell>
          <cell r="D320" t="str">
            <v>NQ VITAMINA D3 7.000 UI X 10 CAP MOLE</v>
          </cell>
          <cell r="E320" t="str">
            <v>SIM</v>
          </cell>
          <cell r="F320" t="str">
            <v>S</v>
          </cell>
          <cell r="G320" t="str">
            <v>FOCO SMART</v>
          </cell>
          <cell r="H320">
            <v>0</v>
          </cell>
          <cell r="I320">
            <v>45</v>
          </cell>
          <cell r="J320" t="str">
            <v>Monitorado</v>
          </cell>
          <cell r="K320" t="str">
            <v>Negativa</v>
          </cell>
          <cell r="L320" t="str">
            <v>Sim</v>
          </cell>
          <cell r="M320" t="str">
            <v>NACIONAL</v>
          </cell>
          <cell r="N320" t="str">
            <v>NACIONAL</v>
          </cell>
          <cell r="P320">
            <v>22.65</v>
          </cell>
          <cell r="Q320">
            <v>26.02</v>
          </cell>
          <cell r="R320">
            <v>26.39</v>
          </cell>
          <cell r="S320">
            <v>26.77</v>
          </cell>
          <cell r="T320">
            <v>24.34</v>
          </cell>
          <cell r="U320">
            <v>26.21</v>
          </cell>
          <cell r="V320">
            <v>22.79</v>
          </cell>
          <cell r="W320">
            <v>22.93</v>
          </cell>
          <cell r="X320">
            <v>27.15</v>
          </cell>
          <cell r="Y320">
            <v>23.21</v>
          </cell>
          <cell r="Z320">
            <v>23.5</v>
          </cell>
          <cell r="AA320">
            <v>27.55</v>
          </cell>
          <cell r="AB320">
            <v>27.96</v>
          </cell>
          <cell r="AC320">
            <v>26.96</v>
          </cell>
          <cell r="AD320">
            <v>23.36</v>
          </cell>
          <cell r="AE320">
            <v>27.35</v>
          </cell>
          <cell r="AF320">
            <v>0</v>
          </cell>
          <cell r="AG320">
            <v>31.31</v>
          </cell>
          <cell r="AH320">
            <v>34.68</v>
          </cell>
          <cell r="AI320">
            <v>35.159999999999997</v>
          </cell>
          <cell r="AJ320">
            <v>35.65</v>
          </cell>
          <cell r="AK320">
            <v>32.51</v>
          </cell>
          <cell r="AL320">
            <v>34.93</v>
          </cell>
          <cell r="AM320">
            <v>31.51</v>
          </cell>
          <cell r="AN320">
            <v>31.7</v>
          </cell>
          <cell r="AO320">
            <v>36.14</v>
          </cell>
          <cell r="AP320">
            <v>32.090000000000003</v>
          </cell>
          <cell r="AQ320">
            <v>32.49</v>
          </cell>
          <cell r="AR320">
            <v>36.65</v>
          </cell>
          <cell r="AS320">
            <v>37.18</v>
          </cell>
          <cell r="AT320">
            <v>35.89</v>
          </cell>
          <cell r="AU320">
            <v>32.29</v>
          </cell>
          <cell r="AV320">
            <v>36.39</v>
          </cell>
          <cell r="AX320">
            <v>26.02</v>
          </cell>
          <cell r="AY320">
            <v>34.68</v>
          </cell>
          <cell r="AZ320">
            <v>0.17</v>
          </cell>
          <cell r="BA320">
            <v>0.12</v>
          </cell>
          <cell r="BB320" t="str">
            <v>#_NA</v>
          </cell>
          <cell r="BC320" t="str">
            <v>#_NA</v>
          </cell>
          <cell r="BD320" t="str">
            <v>#_NA</v>
          </cell>
          <cell r="BE320" t="str">
            <v>-</v>
          </cell>
          <cell r="BF320" t="str">
            <v>-</v>
          </cell>
          <cell r="BG320">
            <v>5.6820000000000002E-2</v>
          </cell>
          <cell r="BH320">
            <v>0.80230000000000001</v>
          </cell>
          <cell r="BI320">
            <v>4.8499999999999996</v>
          </cell>
          <cell r="BJ320" t="str">
            <v>-</v>
          </cell>
          <cell r="BK320">
            <v>0.83689999999999998</v>
          </cell>
          <cell r="BL320">
            <v>4</v>
          </cell>
          <cell r="BM320" t="str">
            <v>-</v>
          </cell>
          <cell r="BN320" t="str">
            <v>NÃO</v>
          </cell>
          <cell r="BO320" t="str">
            <v>NÃO</v>
          </cell>
          <cell r="BP320" t="str">
            <v>MS|S|NACIONAL|Sim|Negativa</v>
          </cell>
          <cell r="BR320" t="str">
            <v>TBD</v>
          </cell>
          <cell r="BS320">
            <v>0</v>
          </cell>
          <cell r="BT320" t="str">
            <v>#ERRO</v>
          </cell>
          <cell r="BU320">
            <v>4</v>
          </cell>
          <cell r="BV320" t="str">
            <v>-</v>
          </cell>
          <cell r="BX320" t="str">
            <v>TBD</v>
          </cell>
          <cell r="BY320" t="str">
            <v>TBD</v>
          </cell>
          <cell r="BZ320" t="str">
            <v>TBD</v>
          </cell>
          <cell r="CA320" t="str">
            <v>#ERRO</v>
          </cell>
          <cell r="CB320" t="str">
            <v>-</v>
          </cell>
        </row>
        <row r="321">
          <cell r="A321" t="str">
            <v>22342-0</v>
          </cell>
          <cell r="B321" t="str">
            <v>22342-0</v>
          </cell>
          <cell r="C321">
            <v>7896714292663</v>
          </cell>
          <cell r="D321" t="str">
            <v>NQ VITAMINA D3 7.000 UI X 30 CAP MOLE</v>
          </cell>
          <cell r="E321" t="str">
            <v>SIM</v>
          </cell>
          <cell r="F321" t="str">
            <v>S</v>
          </cell>
          <cell r="G321" t="str">
            <v>FOCO SMART</v>
          </cell>
          <cell r="H321">
            <v>0</v>
          </cell>
          <cell r="I321">
            <v>45</v>
          </cell>
          <cell r="J321" t="str">
            <v>Monitorado</v>
          </cell>
          <cell r="K321" t="str">
            <v>Negativa</v>
          </cell>
          <cell r="L321" t="str">
            <v>Sim</v>
          </cell>
          <cell r="M321" t="str">
            <v>NACIONAL</v>
          </cell>
          <cell r="N321" t="str">
            <v>NACIONAL</v>
          </cell>
          <cell r="P321">
            <v>45.76</v>
          </cell>
          <cell r="Q321">
            <v>52.57</v>
          </cell>
          <cell r="R321">
            <v>53.31</v>
          </cell>
          <cell r="S321">
            <v>54.07</v>
          </cell>
          <cell r="T321">
            <v>49.16</v>
          </cell>
          <cell r="U321">
            <v>52.94</v>
          </cell>
          <cell r="V321">
            <v>46.04</v>
          </cell>
          <cell r="W321">
            <v>46.32</v>
          </cell>
          <cell r="X321">
            <v>54.85</v>
          </cell>
          <cell r="Y321">
            <v>46.89</v>
          </cell>
          <cell r="Z321">
            <v>47.48</v>
          </cell>
          <cell r="AA321">
            <v>55.66</v>
          </cell>
          <cell r="AB321">
            <v>56.49</v>
          </cell>
          <cell r="AC321">
            <v>54.46</v>
          </cell>
          <cell r="AD321">
            <v>47.18</v>
          </cell>
          <cell r="AE321">
            <v>55.25</v>
          </cell>
          <cell r="AF321">
            <v>0</v>
          </cell>
          <cell r="AG321">
            <v>63.26</v>
          </cell>
          <cell r="AH321">
            <v>70.069999999999993</v>
          </cell>
          <cell r="AI321">
            <v>71.03</v>
          </cell>
          <cell r="AJ321">
            <v>72</v>
          </cell>
          <cell r="AK321">
            <v>65.67</v>
          </cell>
          <cell r="AL321">
            <v>70.55</v>
          </cell>
          <cell r="AM321">
            <v>63.65</v>
          </cell>
          <cell r="AN321">
            <v>64.03</v>
          </cell>
          <cell r="AO321">
            <v>73.010000000000005</v>
          </cell>
          <cell r="AP321">
            <v>64.819999999999993</v>
          </cell>
          <cell r="AQ321">
            <v>65.64</v>
          </cell>
          <cell r="AR321">
            <v>74.05</v>
          </cell>
          <cell r="AS321">
            <v>75.11</v>
          </cell>
          <cell r="AT321">
            <v>72.510000000000005</v>
          </cell>
          <cell r="AU321">
            <v>65.22</v>
          </cell>
          <cell r="AV321">
            <v>73.52</v>
          </cell>
          <cell r="AX321">
            <v>52.57</v>
          </cell>
          <cell r="AY321">
            <v>70.069999999999993</v>
          </cell>
          <cell r="AZ321">
            <v>0.17</v>
          </cell>
          <cell r="BA321">
            <v>0.12</v>
          </cell>
          <cell r="BB321" t="str">
            <v>#_NA</v>
          </cell>
          <cell r="BC321" t="str">
            <v>#_NA</v>
          </cell>
          <cell r="BD321" t="str">
            <v>#_NA</v>
          </cell>
          <cell r="BE321" t="str">
            <v>-</v>
          </cell>
          <cell r="BF321" t="str">
            <v>-</v>
          </cell>
          <cell r="BG321">
            <v>5.6820000000000002E-2</v>
          </cell>
          <cell r="BH321">
            <v>0.8599</v>
          </cell>
          <cell r="BI321">
            <v>6.95</v>
          </cell>
          <cell r="BJ321" t="str">
            <v>-</v>
          </cell>
          <cell r="BK321">
            <v>0.88449999999999995</v>
          </cell>
          <cell r="BL321">
            <v>5.73</v>
          </cell>
          <cell r="BM321" t="str">
            <v>-</v>
          </cell>
          <cell r="BN321" t="str">
            <v>NÃO</v>
          </cell>
          <cell r="BO321" t="str">
            <v>NÃO</v>
          </cell>
          <cell r="BP321" t="str">
            <v>MS|S|NACIONAL|Sim|Negativa</v>
          </cell>
          <cell r="BR321" t="str">
            <v>TBD</v>
          </cell>
          <cell r="BS321">
            <v>0</v>
          </cell>
          <cell r="BT321" t="str">
            <v>#ERRO</v>
          </cell>
          <cell r="BU321">
            <v>5.73</v>
          </cell>
          <cell r="BV321" t="str">
            <v>-</v>
          </cell>
          <cell r="BX321" t="str">
            <v>TBD</v>
          </cell>
          <cell r="BY321" t="str">
            <v>TBD</v>
          </cell>
          <cell r="BZ321" t="str">
            <v>TBD</v>
          </cell>
          <cell r="CA321" t="str">
            <v>#ERRO</v>
          </cell>
          <cell r="CB321" t="str">
            <v>-</v>
          </cell>
        </row>
        <row r="322">
          <cell r="A322" t="str">
            <v>22343-0</v>
          </cell>
          <cell r="B322" t="str">
            <v>22343-0</v>
          </cell>
          <cell r="C322">
            <v>7896714292670</v>
          </cell>
          <cell r="D322" t="str">
            <v>NQ VITAMINA D3 10.000 UI X 4 CAP MOLE</v>
          </cell>
          <cell r="E322" t="str">
            <v>SIM</v>
          </cell>
          <cell r="F322" t="str">
            <v>S</v>
          </cell>
          <cell r="G322" t="str">
            <v>FOCO SMART</v>
          </cell>
          <cell r="H322">
            <v>0</v>
          </cell>
          <cell r="I322">
            <v>45</v>
          </cell>
          <cell r="J322" t="str">
            <v>Monitorado</v>
          </cell>
          <cell r="K322" t="str">
            <v>Negativa</v>
          </cell>
          <cell r="L322" t="str">
            <v>Sim</v>
          </cell>
          <cell r="M322" t="str">
            <v>NACIONAL</v>
          </cell>
          <cell r="N322" t="str">
            <v>NACIONAL</v>
          </cell>
          <cell r="P322">
            <v>21.92</v>
          </cell>
          <cell r="Q322">
            <v>25.18</v>
          </cell>
          <cell r="R322">
            <v>25.54</v>
          </cell>
          <cell r="S322">
            <v>25.9</v>
          </cell>
          <cell r="T322">
            <v>23.55</v>
          </cell>
          <cell r="U322">
            <v>25.36</v>
          </cell>
          <cell r="V322">
            <v>22.06</v>
          </cell>
          <cell r="W322">
            <v>22.19</v>
          </cell>
          <cell r="X322">
            <v>26.28</v>
          </cell>
          <cell r="Y322">
            <v>22.46</v>
          </cell>
          <cell r="Z322">
            <v>22.75</v>
          </cell>
          <cell r="AA322">
            <v>26.66</v>
          </cell>
          <cell r="AB322">
            <v>27.06</v>
          </cell>
          <cell r="AC322">
            <v>26.09</v>
          </cell>
          <cell r="AD322">
            <v>22.6</v>
          </cell>
          <cell r="AE322">
            <v>26.47</v>
          </cell>
          <cell r="AF322">
            <v>0</v>
          </cell>
          <cell r="AG322">
            <v>30.3</v>
          </cell>
          <cell r="AH322">
            <v>33.56</v>
          </cell>
          <cell r="AI322">
            <v>34.03</v>
          </cell>
          <cell r="AJ322">
            <v>34.49</v>
          </cell>
          <cell r="AK322">
            <v>31.46</v>
          </cell>
          <cell r="AL322">
            <v>33.799999999999997</v>
          </cell>
          <cell r="AM322">
            <v>30.5</v>
          </cell>
          <cell r="AN322">
            <v>30.68</v>
          </cell>
          <cell r="AO322">
            <v>34.979999999999997</v>
          </cell>
          <cell r="AP322">
            <v>31.05</v>
          </cell>
          <cell r="AQ322">
            <v>31.45</v>
          </cell>
          <cell r="AR322">
            <v>35.47</v>
          </cell>
          <cell r="AS322">
            <v>35.979999999999997</v>
          </cell>
          <cell r="AT322">
            <v>34.74</v>
          </cell>
          <cell r="AU322">
            <v>31.24</v>
          </cell>
          <cell r="AV322">
            <v>35.22</v>
          </cell>
          <cell r="AX322">
            <v>25.18</v>
          </cell>
          <cell r="AY322">
            <v>33.56</v>
          </cell>
          <cell r="AZ322">
            <v>0.17</v>
          </cell>
          <cell r="BA322">
            <v>0.12</v>
          </cell>
          <cell r="BB322" t="str">
            <v>#_NA</v>
          </cell>
          <cell r="BC322" t="str">
            <v>#_NA</v>
          </cell>
          <cell r="BD322" t="str">
            <v>#_NA</v>
          </cell>
          <cell r="BE322" t="str">
            <v>-</v>
          </cell>
          <cell r="BF322" t="str">
            <v>-</v>
          </cell>
          <cell r="BG322">
            <v>5.6820000000000002E-2</v>
          </cell>
          <cell r="BH322">
            <v>0.6996</v>
          </cell>
          <cell r="BI322">
            <v>7.13</v>
          </cell>
          <cell r="BJ322" t="str">
            <v>-</v>
          </cell>
          <cell r="BK322">
            <v>0.75209999999999999</v>
          </cell>
          <cell r="BL322">
            <v>5.89</v>
          </cell>
          <cell r="BM322" t="str">
            <v>-</v>
          </cell>
          <cell r="BN322" t="str">
            <v>NÃO</v>
          </cell>
          <cell r="BO322" t="str">
            <v>NÃO</v>
          </cell>
          <cell r="BP322" t="str">
            <v>MS|S|NACIONAL|Sim|Negativa</v>
          </cell>
          <cell r="BR322" t="str">
            <v>TBD</v>
          </cell>
          <cell r="BS322">
            <v>0</v>
          </cell>
          <cell r="BT322" t="str">
            <v>#ERRO</v>
          </cell>
          <cell r="BU322">
            <v>5.89</v>
          </cell>
          <cell r="BV322" t="str">
            <v>-</v>
          </cell>
          <cell r="BX322" t="str">
            <v>TBD</v>
          </cell>
          <cell r="BY322" t="str">
            <v>TBD</v>
          </cell>
          <cell r="BZ322" t="str">
            <v>TBD</v>
          </cell>
          <cell r="CA322" t="str">
            <v>#ERRO</v>
          </cell>
          <cell r="CB322" t="str">
            <v>-</v>
          </cell>
        </row>
        <row r="323">
          <cell r="A323" t="str">
            <v>22344-0</v>
          </cell>
          <cell r="B323" t="str">
            <v>22344-0</v>
          </cell>
          <cell r="C323">
            <v>7896714292687</v>
          </cell>
          <cell r="D323" t="str">
            <v>NQ VITAMINA D3 50.000 UI X 4 CAP MOLE</v>
          </cell>
          <cell r="E323" t="str">
            <v>SIM</v>
          </cell>
          <cell r="F323" t="str">
            <v>S</v>
          </cell>
          <cell r="G323" t="str">
            <v>FOCO SMART</v>
          </cell>
          <cell r="H323">
            <v>0</v>
          </cell>
          <cell r="I323">
            <v>45</v>
          </cell>
          <cell r="J323" t="str">
            <v>Monitorado</v>
          </cell>
          <cell r="K323" t="str">
            <v>Negativa</v>
          </cell>
          <cell r="L323" t="str">
            <v>Sim</v>
          </cell>
          <cell r="M323" t="str">
            <v>NACIONAL</v>
          </cell>
          <cell r="N323" t="str">
            <v>NACIONAL</v>
          </cell>
          <cell r="P323">
            <v>51.59</v>
          </cell>
          <cell r="Q323">
            <v>59.27</v>
          </cell>
          <cell r="R323">
            <v>60.1</v>
          </cell>
          <cell r="S323">
            <v>60.96</v>
          </cell>
          <cell r="T323">
            <v>55.42</v>
          </cell>
          <cell r="U323">
            <v>59.68</v>
          </cell>
          <cell r="V323">
            <v>51.9</v>
          </cell>
          <cell r="W323">
            <v>52.22</v>
          </cell>
          <cell r="X323">
            <v>61.84</v>
          </cell>
          <cell r="Y323">
            <v>52.87</v>
          </cell>
          <cell r="Z323">
            <v>53.53</v>
          </cell>
          <cell r="AA323">
            <v>62.75</v>
          </cell>
          <cell r="AB323">
            <v>63.68</v>
          </cell>
          <cell r="AC323">
            <v>61.39</v>
          </cell>
          <cell r="AD323">
            <v>53.19</v>
          </cell>
          <cell r="AE323">
            <v>62.29</v>
          </cell>
          <cell r="AF323">
            <v>0</v>
          </cell>
          <cell r="AG323">
            <v>71.319999999999993</v>
          </cell>
          <cell r="AH323">
            <v>79</v>
          </cell>
          <cell r="AI323">
            <v>80.069999999999993</v>
          </cell>
          <cell r="AJ323">
            <v>81.180000000000007</v>
          </cell>
          <cell r="AK323">
            <v>74.03</v>
          </cell>
          <cell r="AL323">
            <v>79.53</v>
          </cell>
          <cell r="AM323">
            <v>71.75</v>
          </cell>
          <cell r="AN323">
            <v>72.19</v>
          </cell>
          <cell r="AO323">
            <v>82.31</v>
          </cell>
          <cell r="AP323">
            <v>73.09</v>
          </cell>
          <cell r="AQ323">
            <v>74</v>
          </cell>
          <cell r="AR323">
            <v>83.48</v>
          </cell>
          <cell r="AS323">
            <v>84.67</v>
          </cell>
          <cell r="AT323">
            <v>81.73</v>
          </cell>
          <cell r="AU323">
            <v>73.53</v>
          </cell>
          <cell r="AV323">
            <v>82.89</v>
          </cell>
          <cell r="AX323">
            <v>59.27</v>
          </cell>
          <cell r="AY323">
            <v>79</v>
          </cell>
          <cell r="AZ323">
            <v>0.17</v>
          </cell>
          <cell r="BA323">
            <v>0.12</v>
          </cell>
          <cell r="BB323" t="str">
            <v>#_NA</v>
          </cell>
          <cell r="BC323" t="str">
            <v>#_NA</v>
          </cell>
          <cell r="BD323" t="str">
            <v>#_NA</v>
          </cell>
          <cell r="BE323" t="str">
            <v>-</v>
          </cell>
          <cell r="BF323" t="str">
            <v>-</v>
          </cell>
          <cell r="BG323">
            <v>5.6820000000000002E-2</v>
          </cell>
          <cell r="BH323">
            <v>0.87290000000000001</v>
          </cell>
          <cell r="BI323">
            <v>7.1</v>
          </cell>
          <cell r="BJ323" t="str">
            <v>-</v>
          </cell>
          <cell r="BK323">
            <v>0.89539999999999997</v>
          </cell>
          <cell r="BL323">
            <v>5.85</v>
          </cell>
          <cell r="BM323" t="str">
            <v>-</v>
          </cell>
          <cell r="BN323" t="str">
            <v>NÃO</v>
          </cell>
          <cell r="BO323" t="str">
            <v>NÃO</v>
          </cell>
          <cell r="BP323" t="str">
            <v>MS|S|NACIONAL|Sim|Negativa</v>
          </cell>
          <cell r="BR323" t="str">
            <v>TBD</v>
          </cell>
          <cell r="BS323">
            <v>0</v>
          </cell>
          <cell r="BT323" t="str">
            <v>#ERRO</v>
          </cell>
          <cell r="BU323">
            <v>5.85</v>
          </cell>
          <cell r="BV323" t="str">
            <v>-</v>
          </cell>
          <cell r="BX323" t="str">
            <v>TBD</v>
          </cell>
          <cell r="BY323" t="str">
            <v>TBD</v>
          </cell>
          <cell r="BZ323" t="str">
            <v>TBD</v>
          </cell>
          <cell r="CA323" t="str">
            <v>#ERRO</v>
          </cell>
          <cell r="CB323" t="str">
            <v>-</v>
          </cell>
        </row>
        <row r="324">
          <cell r="A324" t="str">
            <v>22345-0</v>
          </cell>
          <cell r="B324" t="str">
            <v>22345-0</v>
          </cell>
          <cell r="C324">
            <v>7896714292694</v>
          </cell>
          <cell r="D324" t="str">
            <v>NQ VITAMINA D3 50.000 UI X 8 CAP MOLE</v>
          </cell>
          <cell r="E324" t="str">
            <v>SIM</v>
          </cell>
          <cell r="F324" t="str">
            <v>S</v>
          </cell>
          <cell r="G324" t="str">
            <v>FOCO SMART</v>
          </cell>
          <cell r="H324">
            <v>0</v>
          </cell>
          <cell r="I324">
            <v>45</v>
          </cell>
          <cell r="J324" t="str">
            <v>Monitorado</v>
          </cell>
          <cell r="K324" t="str">
            <v>Negativa</v>
          </cell>
          <cell r="L324" t="str">
            <v>Sim</v>
          </cell>
          <cell r="M324" t="str">
            <v>NACIONAL</v>
          </cell>
          <cell r="N324" t="str">
            <v>NACIONAL</v>
          </cell>
          <cell r="P324">
            <v>83.41</v>
          </cell>
          <cell r="Q324">
            <v>95.82</v>
          </cell>
          <cell r="R324">
            <v>97.17</v>
          </cell>
          <cell r="S324">
            <v>98.55</v>
          </cell>
          <cell r="T324">
            <v>89.6</v>
          </cell>
          <cell r="U324">
            <v>96.49</v>
          </cell>
          <cell r="V324">
            <v>83.92</v>
          </cell>
          <cell r="W324">
            <v>84.43</v>
          </cell>
          <cell r="X324">
            <v>99.98</v>
          </cell>
          <cell r="Y324">
            <v>85.47</v>
          </cell>
          <cell r="Z324">
            <v>86.54</v>
          </cell>
          <cell r="AA324">
            <v>101.45</v>
          </cell>
          <cell r="AB324">
            <v>102.96</v>
          </cell>
          <cell r="AC324">
            <v>99.26</v>
          </cell>
          <cell r="AD324">
            <v>86</v>
          </cell>
          <cell r="AE324">
            <v>100.71</v>
          </cell>
          <cell r="AF324">
            <v>0</v>
          </cell>
          <cell r="AG324">
            <v>115.31</v>
          </cell>
          <cell r="AH324">
            <v>127.72</v>
          </cell>
          <cell r="AI324">
            <v>129.46</v>
          </cell>
          <cell r="AJ324">
            <v>131.24</v>
          </cell>
          <cell r="AK324">
            <v>119.69</v>
          </cell>
          <cell r="AL324">
            <v>128.58000000000001</v>
          </cell>
          <cell r="AM324">
            <v>116.01</v>
          </cell>
          <cell r="AN324">
            <v>116.72</v>
          </cell>
          <cell r="AO324">
            <v>133.08000000000001</v>
          </cell>
          <cell r="AP324">
            <v>118.16</v>
          </cell>
          <cell r="AQ324">
            <v>119.64</v>
          </cell>
          <cell r="AR324">
            <v>134.97</v>
          </cell>
          <cell r="AS324">
            <v>136.9</v>
          </cell>
          <cell r="AT324">
            <v>132.15</v>
          </cell>
          <cell r="AU324">
            <v>118.89</v>
          </cell>
          <cell r="AV324">
            <v>134.02000000000001</v>
          </cell>
          <cell r="AX324">
            <v>95.82</v>
          </cell>
          <cell r="AY324">
            <v>127.72</v>
          </cell>
          <cell r="AZ324">
            <v>0.17</v>
          </cell>
          <cell r="BA324">
            <v>0.12</v>
          </cell>
          <cell r="BB324" t="str">
            <v>#_NA</v>
          </cell>
          <cell r="BC324" t="str">
            <v>#_NA</v>
          </cell>
          <cell r="BD324" t="str">
            <v>#_NA</v>
          </cell>
          <cell r="BE324" t="str">
            <v>-</v>
          </cell>
          <cell r="BF324" t="str">
            <v>-</v>
          </cell>
          <cell r="BG324">
            <v>5.6820000000000002E-2</v>
          </cell>
          <cell r="BH324">
            <v>0.88239999999999996</v>
          </cell>
          <cell r="BI324">
            <v>10.63</v>
          </cell>
          <cell r="BJ324" t="str">
            <v>-</v>
          </cell>
          <cell r="BK324">
            <v>0.90300000000000002</v>
          </cell>
          <cell r="BL324">
            <v>8.77</v>
          </cell>
          <cell r="BM324" t="str">
            <v>-</v>
          </cell>
          <cell r="BN324" t="str">
            <v>NÃO</v>
          </cell>
          <cell r="BO324" t="str">
            <v>NÃO</v>
          </cell>
          <cell r="BP324" t="str">
            <v>MS|S|NACIONAL|Sim|Negativa</v>
          </cell>
          <cell r="BR324" t="str">
            <v>TBD</v>
          </cell>
          <cell r="BS324">
            <v>0</v>
          </cell>
          <cell r="BT324" t="str">
            <v>#ERRO</v>
          </cell>
          <cell r="BU324">
            <v>8.77</v>
          </cell>
          <cell r="BV324" t="str">
            <v>-</v>
          </cell>
          <cell r="BX324" t="str">
            <v>TBD</v>
          </cell>
          <cell r="BY324" t="str">
            <v>TBD</v>
          </cell>
          <cell r="BZ324" t="str">
            <v>TBD</v>
          </cell>
          <cell r="CA324" t="str">
            <v>#ERRO</v>
          </cell>
          <cell r="CB324" t="str">
            <v>-</v>
          </cell>
        </row>
        <row r="325">
          <cell r="A325" t="str">
            <v>22238-0</v>
          </cell>
          <cell r="B325" t="str">
            <v>22238-0</v>
          </cell>
          <cell r="C325">
            <v>7896714292502</v>
          </cell>
          <cell r="D325" t="str">
            <v>LEVETIRACETAM 250MG CT BL  X 30 CPRV</v>
          </cell>
          <cell r="E325" t="str">
            <v>SIM</v>
          </cell>
          <cell r="F325" t="str">
            <v>G</v>
          </cell>
          <cell r="G325" t="str">
            <v>LANCAMENTOS GENERICOS</v>
          </cell>
          <cell r="H325">
            <v>2</v>
          </cell>
          <cell r="I325">
            <v>96</v>
          </cell>
          <cell r="J325" t="str">
            <v>Monitorado</v>
          </cell>
          <cell r="K325" t="str">
            <v>Negativa</v>
          </cell>
          <cell r="L325" t="str">
            <v>Não</v>
          </cell>
          <cell r="M325" t="str">
            <v>IMPORTADO</v>
          </cell>
          <cell r="N325" t="str">
            <v>IMPORTADO</v>
          </cell>
          <cell r="P325">
            <v>32.369999999999997</v>
          </cell>
          <cell r="Q325">
            <v>37.18</v>
          </cell>
          <cell r="R325">
            <v>37.71</v>
          </cell>
          <cell r="S325">
            <v>38.24</v>
          </cell>
          <cell r="T325">
            <v>34.770000000000003</v>
          </cell>
          <cell r="U325">
            <v>37.44</v>
          </cell>
          <cell r="V325">
            <v>32.56</v>
          </cell>
          <cell r="W325">
            <v>32.76</v>
          </cell>
          <cell r="X325">
            <v>38.799999999999997</v>
          </cell>
          <cell r="Y325">
            <v>33.17</v>
          </cell>
          <cell r="Z325">
            <v>33.58</v>
          </cell>
          <cell r="AA325">
            <v>39.369999999999997</v>
          </cell>
          <cell r="AB325">
            <v>39.950000000000003</v>
          </cell>
          <cell r="AC325">
            <v>38.520000000000003</v>
          </cell>
          <cell r="AD325">
            <v>33.369999999999997</v>
          </cell>
          <cell r="AE325">
            <v>39.08</v>
          </cell>
          <cell r="AF325">
            <v>0</v>
          </cell>
          <cell r="AG325">
            <v>44.75</v>
          </cell>
          <cell r="AH325">
            <v>49.56</v>
          </cell>
          <cell r="AI325">
            <v>50.24</v>
          </cell>
          <cell r="AJ325">
            <v>50.92</v>
          </cell>
          <cell r="AK325">
            <v>46.45</v>
          </cell>
          <cell r="AL325">
            <v>49.89</v>
          </cell>
          <cell r="AM325">
            <v>45.01</v>
          </cell>
          <cell r="AN325">
            <v>45.29</v>
          </cell>
          <cell r="AO325">
            <v>51.64</v>
          </cell>
          <cell r="AP325">
            <v>45.86</v>
          </cell>
          <cell r="AQ325">
            <v>46.42</v>
          </cell>
          <cell r="AR325">
            <v>52.38</v>
          </cell>
          <cell r="AS325">
            <v>53.12</v>
          </cell>
          <cell r="AT325">
            <v>51.28</v>
          </cell>
          <cell r="AU325">
            <v>46.13</v>
          </cell>
          <cell r="AV325">
            <v>52</v>
          </cell>
          <cell r="AX325">
            <v>37.18</v>
          </cell>
          <cell r="AY325">
            <v>49.56</v>
          </cell>
          <cell r="AZ325">
            <v>0.17</v>
          </cell>
          <cell r="BA325">
            <v>0.04</v>
          </cell>
          <cell r="BB325" t="str">
            <v>#_NA</v>
          </cell>
          <cell r="BC325" t="str">
            <v>#_NA</v>
          </cell>
          <cell r="BD325" t="str">
            <v>#_NA</v>
          </cell>
          <cell r="BE325" t="str">
            <v>-</v>
          </cell>
          <cell r="BF325" t="str">
            <v>-</v>
          </cell>
          <cell r="BG325">
            <v>0.13542000000000001</v>
          </cell>
          <cell r="BH325">
            <v>0.29849999999999999</v>
          </cell>
          <cell r="BI325">
            <v>22.55</v>
          </cell>
          <cell r="BJ325" t="str">
            <v>-</v>
          </cell>
          <cell r="BK325">
            <v>0.42180000000000001</v>
          </cell>
          <cell r="BL325">
            <v>18.59</v>
          </cell>
          <cell r="BM325" t="str">
            <v>-</v>
          </cell>
          <cell r="BN325" t="str">
            <v>SIM</v>
          </cell>
          <cell r="BO325" t="str">
            <v>NÃO</v>
          </cell>
          <cell r="BP325" t="str">
            <v>MS|G|IMPORTADO|Não|Negativa</v>
          </cell>
          <cell r="BR325" t="str">
            <v>TBD</v>
          </cell>
          <cell r="BS325">
            <v>0</v>
          </cell>
          <cell r="BT325" t="str">
            <v>#ERRO</v>
          </cell>
          <cell r="BU325">
            <v>18.59</v>
          </cell>
          <cell r="BV325" t="str">
            <v>-</v>
          </cell>
          <cell r="BX325" t="str">
            <v>TBD</v>
          </cell>
          <cell r="BY325" t="str">
            <v>TBD</v>
          </cell>
          <cell r="BZ325" t="str">
            <v>TBD</v>
          </cell>
          <cell r="CA325" t="str">
            <v>#ERRO</v>
          </cell>
          <cell r="CB325" t="str">
            <v>-</v>
          </cell>
        </row>
        <row r="326">
          <cell r="A326" t="str">
            <v>22239-0</v>
          </cell>
          <cell r="B326" t="str">
            <v>22239-0</v>
          </cell>
          <cell r="C326">
            <v>7896714292519</v>
          </cell>
          <cell r="D326" t="str">
            <v>LEVETIRACETAM 250MG CT BL X 60 CPRV</v>
          </cell>
          <cell r="E326" t="str">
            <v>SIM</v>
          </cell>
          <cell r="F326" t="str">
            <v>G</v>
          </cell>
          <cell r="G326" t="str">
            <v>LANCAMENTOS GENERICOS</v>
          </cell>
          <cell r="H326">
            <v>2</v>
          </cell>
          <cell r="I326">
            <v>64</v>
          </cell>
          <cell r="J326" t="str">
            <v>Monitorado</v>
          </cell>
          <cell r="K326" t="str">
            <v>Negativa</v>
          </cell>
          <cell r="L326" t="str">
            <v>Não</v>
          </cell>
          <cell r="M326" t="str">
            <v>IMPORTADO</v>
          </cell>
          <cell r="N326" t="str">
            <v>IMPORTADO</v>
          </cell>
          <cell r="P326">
            <v>64.77</v>
          </cell>
          <cell r="Q326">
            <v>74.400000000000006</v>
          </cell>
          <cell r="R326">
            <v>75.45</v>
          </cell>
          <cell r="S326">
            <v>76.53</v>
          </cell>
          <cell r="T326">
            <v>69.58</v>
          </cell>
          <cell r="U326">
            <v>74.92</v>
          </cell>
          <cell r="V326">
            <v>65.16</v>
          </cell>
          <cell r="W326">
            <v>65.56</v>
          </cell>
          <cell r="X326">
            <v>77.63</v>
          </cell>
          <cell r="Y326">
            <v>66.37</v>
          </cell>
          <cell r="Z326">
            <v>67.2</v>
          </cell>
          <cell r="AA326">
            <v>78.77</v>
          </cell>
          <cell r="AB326">
            <v>79.95</v>
          </cell>
          <cell r="AC326">
            <v>77.08</v>
          </cell>
          <cell r="AD326">
            <v>66.78</v>
          </cell>
          <cell r="AE326">
            <v>78.2</v>
          </cell>
          <cell r="AF326">
            <v>0</v>
          </cell>
          <cell r="AG326">
            <v>89.54</v>
          </cell>
          <cell r="AH326">
            <v>99.17</v>
          </cell>
          <cell r="AI326">
            <v>100.52</v>
          </cell>
          <cell r="AJ326">
            <v>101.91</v>
          </cell>
          <cell r="AK326">
            <v>92.94</v>
          </cell>
          <cell r="AL326">
            <v>99.84</v>
          </cell>
          <cell r="AM326">
            <v>90.08</v>
          </cell>
          <cell r="AN326">
            <v>90.63</v>
          </cell>
          <cell r="AO326">
            <v>103.33</v>
          </cell>
          <cell r="AP326">
            <v>91.75</v>
          </cell>
          <cell r="AQ326">
            <v>92.9</v>
          </cell>
          <cell r="AR326">
            <v>104.79</v>
          </cell>
          <cell r="AS326">
            <v>106.31</v>
          </cell>
          <cell r="AT326">
            <v>102.62</v>
          </cell>
          <cell r="AU326">
            <v>92.32</v>
          </cell>
          <cell r="AV326">
            <v>104.06</v>
          </cell>
          <cell r="AX326">
            <v>74.400000000000006</v>
          </cell>
          <cell r="AY326">
            <v>99.17</v>
          </cell>
          <cell r="AZ326">
            <v>0.17</v>
          </cell>
          <cell r="BA326">
            <v>0.04</v>
          </cell>
          <cell r="BB326" t="str">
            <v>#_NA</v>
          </cell>
          <cell r="BC326" t="str">
            <v>#_NA</v>
          </cell>
          <cell r="BD326" t="str">
            <v>#_NA</v>
          </cell>
          <cell r="BE326" t="str">
            <v>-</v>
          </cell>
          <cell r="BF326" t="str">
            <v>-</v>
          </cell>
          <cell r="BG326">
            <v>0.13542000000000001</v>
          </cell>
          <cell r="BH326">
            <v>0.3135</v>
          </cell>
          <cell r="BI326">
            <v>44.16</v>
          </cell>
          <cell r="BJ326" t="str">
            <v>-</v>
          </cell>
          <cell r="BK326">
            <v>0.43390000000000001</v>
          </cell>
          <cell r="BL326">
            <v>36.409999999999997</v>
          </cell>
          <cell r="BM326" t="str">
            <v>-</v>
          </cell>
          <cell r="BN326" t="str">
            <v>SIM</v>
          </cell>
          <cell r="BO326" t="str">
            <v>NÃO</v>
          </cell>
          <cell r="BP326" t="str">
            <v>MS|G|IMPORTADO|Não|Negativa</v>
          </cell>
          <cell r="BR326" t="str">
            <v>TBD</v>
          </cell>
          <cell r="BS326">
            <v>0</v>
          </cell>
          <cell r="BT326" t="str">
            <v>#ERRO</v>
          </cell>
          <cell r="BU326">
            <v>36.409999999999997</v>
          </cell>
          <cell r="BV326" t="str">
            <v>-</v>
          </cell>
          <cell r="BX326" t="str">
            <v>TBD</v>
          </cell>
          <cell r="BY326" t="str">
            <v>TBD</v>
          </cell>
          <cell r="BZ326" t="str">
            <v>TBD</v>
          </cell>
          <cell r="CA326" t="str">
            <v>#ERRO</v>
          </cell>
          <cell r="CB326" t="str">
            <v>-</v>
          </cell>
        </row>
        <row r="327">
          <cell r="A327" t="str">
            <v>22237-0</v>
          </cell>
          <cell r="B327" t="str">
            <v>22237-0</v>
          </cell>
          <cell r="C327">
            <v>7896714292496</v>
          </cell>
          <cell r="D327" t="str">
            <v>LEVETIRACETAM 750MG CT BL X 30 CPRV</v>
          </cell>
          <cell r="E327" t="str">
            <v>SIM</v>
          </cell>
          <cell r="F327" t="str">
            <v>G</v>
          </cell>
          <cell r="G327" t="str">
            <v>LANCAMENTOS GENERICOS</v>
          </cell>
          <cell r="H327">
            <v>2</v>
          </cell>
          <cell r="I327">
            <v>60</v>
          </cell>
          <cell r="J327" t="str">
            <v>Monitorado</v>
          </cell>
          <cell r="K327" t="str">
            <v>Negativa</v>
          </cell>
          <cell r="L327" t="str">
            <v>Não</v>
          </cell>
          <cell r="M327" t="str">
            <v>IMPORTADO</v>
          </cell>
          <cell r="N327" t="str">
            <v>IMPORTADO</v>
          </cell>
          <cell r="P327">
            <v>167.96</v>
          </cell>
          <cell r="Q327">
            <v>192.95</v>
          </cell>
          <cell r="R327">
            <v>195.66</v>
          </cell>
          <cell r="S327">
            <v>198.45</v>
          </cell>
          <cell r="T327">
            <v>180.43</v>
          </cell>
          <cell r="U327">
            <v>194.29</v>
          </cell>
          <cell r="V327">
            <v>168.98</v>
          </cell>
          <cell r="W327">
            <v>170.01</v>
          </cell>
          <cell r="X327">
            <v>201.33</v>
          </cell>
          <cell r="Y327">
            <v>172.11</v>
          </cell>
          <cell r="Z327">
            <v>174.26</v>
          </cell>
          <cell r="AA327">
            <v>204.28</v>
          </cell>
          <cell r="AB327">
            <v>207.33</v>
          </cell>
          <cell r="AC327">
            <v>199.88</v>
          </cell>
          <cell r="AD327">
            <v>173.18</v>
          </cell>
          <cell r="AE327">
            <v>202.79</v>
          </cell>
          <cell r="AF327">
            <v>0</v>
          </cell>
          <cell r="AG327">
            <v>232.19</v>
          </cell>
          <cell r="AH327">
            <v>257.19</v>
          </cell>
          <cell r="AI327">
            <v>260.68</v>
          </cell>
          <cell r="AJ327">
            <v>264.27</v>
          </cell>
          <cell r="AK327">
            <v>241.02</v>
          </cell>
          <cell r="AL327">
            <v>258.91000000000003</v>
          </cell>
          <cell r="AM327">
            <v>233.6</v>
          </cell>
          <cell r="AN327">
            <v>235.03</v>
          </cell>
          <cell r="AO327">
            <v>267.98</v>
          </cell>
          <cell r="AP327">
            <v>237.93</v>
          </cell>
          <cell r="AQ327">
            <v>240.9</v>
          </cell>
          <cell r="AR327">
            <v>271.77</v>
          </cell>
          <cell r="AS327">
            <v>275.68</v>
          </cell>
          <cell r="AT327">
            <v>266.11</v>
          </cell>
          <cell r="AU327">
            <v>239.41</v>
          </cell>
          <cell r="AV327">
            <v>269.85000000000002</v>
          </cell>
          <cell r="AX327">
            <v>192.95</v>
          </cell>
          <cell r="AY327">
            <v>257.19</v>
          </cell>
          <cell r="AZ327">
            <v>0.17</v>
          </cell>
          <cell r="BA327">
            <v>0.04</v>
          </cell>
          <cell r="BB327" t="str">
            <v>#_NA</v>
          </cell>
          <cell r="BC327" t="str">
            <v>#_NA</v>
          </cell>
          <cell r="BD327" t="str">
            <v>#_NA</v>
          </cell>
          <cell r="BE327" t="str">
            <v>-</v>
          </cell>
          <cell r="BF327" t="str">
            <v>-</v>
          </cell>
          <cell r="BG327">
            <v>0.13542000000000001</v>
          </cell>
          <cell r="BH327">
            <v>0.72070000000000001</v>
          </cell>
          <cell r="BI327">
            <v>46.59</v>
          </cell>
          <cell r="BJ327" t="str">
            <v>-</v>
          </cell>
          <cell r="BK327">
            <v>0.73399999999999999</v>
          </cell>
          <cell r="BL327">
            <v>44.37</v>
          </cell>
          <cell r="BM327" t="str">
            <v>-</v>
          </cell>
          <cell r="BN327" t="str">
            <v>SIM</v>
          </cell>
          <cell r="BO327" t="str">
            <v>NÃO</v>
          </cell>
          <cell r="BP327" t="str">
            <v>MS|G|IMPORTADO|Não|Negativa</v>
          </cell>
          <cell r="BR327" t="str">
            <v>TBD</v>
          </cell>
          <cell r="BS327">
            <v>0</v>
          </cell>
          <cell r="BT327" t="str">
            <v>#ERRO</v>
          </cell>
          <cell r="BU327">
            <v>44.37</v>
          </cell>
          <cell r="BV327" t="str">
            <v>-</v>
          </cell>
          <cell r="BX327" t="str">
            <v>TBD</v>
          </cell>
          <cell r="BY327" t="str">
            <v>TBD</v>
          </cell>
          <cell r="BZ327" t="str">
            <v>TBD</v>
          </cell>
          <cell r="CA327" t="str">
            <v>#ERRO</v>
          </cell>
          <cell r="CB327" t="str">
            <v>-</v>
          </cell>
        </row>
        <row r="328">
          <cell r="A328" t="str">
            <v>22240-0</v>
          </cell>
          <cell r="B328" t="str">
            <v>22240-0</v>
          </cell>
          <cell r="C328">
            <v>7896714292526</v>
          </cell>
          <cell r="D328" t="str">
            <v>LEVETIRACETAM 750MG CT BL X 60 CPRV</v>
          </cell>
          <cell r="E328" t="str">
            <v>SIM</v>
          </cell>
          <cell r="F328" t="str">
            <v>G</v>
          </cell>
          <cell r="G328" t="str">
            <v>LANCAMENTOS GENERICOS</v>
          </cell>
          <cell r="H328">
            <v>2</v>
          </cell>
          <cell r="I328">
            <v>60</v>
          </cell>
          <cell r="J328" t="str">
            <v>Monitorado</v>
          </cell>
          <cell r="K328" t="str">
            <v>Negativa</v>
          </cell>
          <cell r="L328" t="str">
            <v>Não</v>
          </cell>
          <cell r="M328" t="str">
            <v>IMPORTADO</v>
          </cell>
          <cell r="N328" t="str">
            <v>IMPORTADO</v>
          </cell>
          <cell r="P328">
            <v>335.91</v>
          </cell>
          <cell r="Q328">
            <v>385.87</v>
          </cell>
          <cell r="R328">
            <v>391.3</v>
          </cell>
          <cell r="S328">
            <v>396.88</v>
          </cell>
          <cell r="T328">
            <v>360.84</v>
          </cell>
          <cell r="U328">
            <v>388.56</v>
          </cell>
          <cell r="V328">
            <v>337.94</v>
          </cell>
          <cell r="W328">
            <v>340</v>
          </cell>
          <cell r="X328">
            <v>402.63</v>
          </cell>
          <cell r="Y328">
            <v>344.2</v>
          </cell>
          <cell r="Z328">
            <v>348.5</v>
          </cell>
          <cell r="AA328">
            <v>408.54</v>
          </cell>
          <cell r="AB328">
            <v>414.63</v>
          </cell>
          <cell r="AC328">
            <v>399.73</v>
          </cell>
          <cell r="AD328">
            <v>346.34</v>
          </cell>
          <cell r="AE328">
            <v>405.56</v>
          </cell>
          <cell r="AF328">
            <v>0</v>
          </cell>
          <cell r="AG328">
            <v>464.38</v>
          </cell>
          <cell r="AH328">
            <v>514.34</v>
          </cell>
          <cell r="AI328">
            <v>521.33000000000004</v>
          </cell>
          <cell r="AJ328">
            <v>528.52</v>
          </cell>
          <cell r="AK328">
            <v>482</v>
          </cell>
          <cell r="AL328">
            <v>517.79999999999995</v>
          </cell>
          <cell r="AM328">
            <v>467.18</v>
          </cell>
          <cell r="AN328">
            <v>470.03</v>
          </cell>
          <cell r="AO328">
            <v>535.91</v>
          </cell>
          <cell r="AP328">
            <v>475.84</v>
          </cell>
          <cell r="AQ328">
            <v>481.78</v>
          </cell>
          <cell r="AR328">
            <v>543.51</v>
          </cell>
          <cell r="AS328">
            <v>551.33000000000004</v>
          </cell>
          <cell r="AT328">
            <v>532.17999999999995</v>
          </cell>
          <cell r="AU328">
            <v>478.79</v>
          </cell>
          <cell r="AV328">
            <v>539.67999999999995</v>
          </cell>
          <cell r="AX328">
            <v>385.87</v>
          </cell>
          <cell r="AY328">
            <v>514.34</v>
          </cell>
          <cell r="AZ328">
            <v>0.17</v>
          </cell>
          <cell r="BA328">
            <v>0.04</v>
          </cell>
          <cell r="BB328" t="str">
            <v>#_NA</v>
          </cell>
          <cell r="BC328" t="str">
            <v>#_NA</v>
          </cell>
          <cell r="BD328" t="str">
            <v>#_NA</v>
          </cell>
          <cell r="BE328" t="str">
            <v>-</v>
          </cell>
          <cell r="BF328" t="str">
            <v>-</v>
          </cell>
          <cell r="BG328">
            <v>0.13542000000000001</v>
          </cell>
          <cell r="BH328">
            <v>0.68769999999999998</v>
          </cell>
          <cell r="BI328">
            <v>104.19</v>
          </cell>
          <cell r="BJ328" t="str">
            <v>-</v>
          </cell>
          <cell r="BK328">
            <v>0.7026</v>
          </cell>
          <cell r="BL328">
            <v>99.22</v>
          </cell>
          <cell r="BM328" t="str">
            <v>-</v>
          </cell>
          <cell r="BN328" t="str">
            <v>SIM</v>
          </cell>
          <cell r="BO328" t="str">
            <v>NÃO</v>
          </cell>
          <cell r="BP328" t="str">
            <v>MS|G|IMPORTADO|Não|Negativa</v>
          </cell>
          <cell r="BR328" t="str">
            <v>TBD</v>
          </cell>
          <cell r="BS328">
            <v>0</v>
          </cell>
          <cell r="BT328" t="str">
            <v>#ERRO</v>
          </cell>
          <cell r="BU328">
            <v>99.22</v>
          </cell>
          <cell r="BV328" t="str">
            <v>-</v>
          </cell>
          <cell r="BX328" t="str">
            <v>TBD</v>
          </cell>
          <cell r="BY328" t="str">
            <v>TBD</v>
          </cell>
          <cell r="BZ328" t="str">
            <v>TBD</v>
          </cell>
          <cell r="CA328" t="str">
            <v>#ERRO</v>
          </cell>
          <cell r="CB328" t="str">
            <v>-</v>
          </cell>
        </row>
        <row r="329">
          <cell r="A329" t="str">
            <v>22152-0</v>
          </cell>
          <cell r="B329" t="str">
            <v>22152-0</v>
          </cell>
          <cell r="C329">
            <v>7896714291994</v>
          </cell>
          <cell r="D329" t="str">
            <v>EZETIMIBA+SINVASTATINA 10+10MG CPR 1X30</v>
          </cell>
          <cell r="E329" t="str">
            <v>SIM</v>
          </cell>
          <cell r="F329" t="str">
            <v>G</v>
          </cell>
          <cell r="G329" t="str">
            <v>LANCAMENTOS GENERICOS</v>
          </cell>
          <cell r="H329">
            <v>5</v>
          </cell>
          <cell r="I329">
            <v>30</v>
          </cell>
          <cell r="J329" t="str">
            <v>Monitorado</v>
          </cell>
          <cell r="K329" t="str">
            <v>Positiva</v>
          </cell>
          <cell r="L329" t="str">
            <v>Sim</v>
          </cell>
          <cell r="M329" t="str">
            <v>NACIONAL</v>
          </cell>
          <cell r="N329" t="str">
            <v>NACIONAL</v>
          </cell>
          <cell r="P329">
            <v>69.28</v>
          </cell>
          <cell r="Q329">
            <v>69.28</v>
          </cell>
          <cell r="R329">
            <v>70.12</v>
          </cell>
          <cell r="S329">
            <v>70.989999999999995</v>
          </cell>
          <cell r="T329">
            <v>65.34</v>
          </cell>
          <cell r="U329">
            <v>69.7</v>
          </cell>
          <cell r="V329">
            <v>69.7</v>
          </cell>
          <cell r="W329">
            <v>70.12</v>
          </cell>
          <cell r="X329">
            <v>71.88</v>
          </cell>
          <cell r="Y329">
            <v>70.989999999999995</v>
          </cell>
          <cell r="Z329">
            <v>71.88</v>
          </cell>
          <cell r="AA329">
            <v>72.78</v>
          </cell>
          <cell r="AB329">
            <v>73.72</v>
          </cell>
          <cell r="AC329">
            <v>71.430000000000007</v>
          </cell>
          <cell r="AD329">
            <v>71.430000000000007</v>
          </cell>
          <cell r="AE329">
            <v>72.33</v>
          </cell>
          <cell r="AF329">
            <v>0</v>
          </cell>
          <cell r="AG329">
            <v>95.78</v>
          </cell>
          <cell r="AH329">
            <v>95.78</v>
          </cell>
          <cell r="AI329">
            <v>96.94</v>
          </cell>
          <cell r="AJ329">
            <v>98.14</v>
          </cell>
          <cell r="AK329">
            <v>90.33</v>
          </cell>
          <cell r="AL329">
            <v>96.36</v>
          </cell>
          <cell r="AM329">
            <v>96.36</v>
          </cell>
          <cell r="AN329">
            <v>96.94</v>
          </cell>
          <cell r="AO329">
            <v>99.37</v>
          </cell>
          <cell r="AP329">
            <v>98.14</v>
          </cell>
          <cell r="AQ329">
            <v>99.37</v>
          </cell>
          <cell r="AR329">
            <v>100.61</v>
          </cell>
          <cell r="AS329">
            <v>101.91</v>
          </cell>
          <cell r="AT329">
            <v>98.75</v>
          </cell>
          <cell r="AU329">
            <v>98.75</v>
          </cell>
          <cell r="AV329">
            <v>99.99</v>
          </cell>
          <cell r="AX329">
            <v>69.28</v>
          </cell>
          <cell r="AY329">
            <v>95.78</v>
          </cell>
          <cell r="AZ329">
            <v>0.17</v>
          </cell>
          <cell r="BA329">
            <v>0.12</v>
          </cell>
          <cell r="BB329" t="str">
            <v>#_NA</v>
          </cell>
          <cell r="BC329" t="str">
            <v>#_NA</v>
          </cell>
          <cell r="BD329" t="str">
            <v>#_NA</v>
          </cell>
          <cell r="BE329" t="str">
            <v>-</v>
          </cell>
          <cell r="BF329" t="str">
            <v>-</v>
          </cell>
          <cell r="BG329">
            <v>5.6820000000000002E-2</v>
          </cell>
          <cell r="BH329">
            <v>0.38729999999999998</v>
          </cell>
          <cell r="BI329">
            <v>40.03</v>
          </cell>
          <cell r="BJ329" t="str">
            <v>-</v>
          </cell>
          <cell r="BK329">
            <v>0.4294</v>
          </cell>
          <cell r="BL329">
            <v>37.28</v>
          </cell>
          <cell r="BM329" t="str">
            <v>-</v>
          </cell>
          <cell r="BN329" t="str">
            <v>SIM</v>
          </cell>
          <cell r="BO329" t="str">
            <v>NÃO</v>
          </cell>
          <cell r="BP329" t="str">
            <v>MS|G|NACIONAL|Sim|Positiva</v>
          </cell>
          <cell r="BR329" t="str">
            <v>TBD</v>
          </cell>
          <cell r="BS329">
            <v>0</v>
          </cell>
          <cell r="BT329" t="str">
            <v>#ERRO</v>
          </cell>
          <cell r="BU329">
            <v>37.28</v>
          </cell>
          <cell r="BV329" t="str">
            <v>-</v>
          </cell>
          <cell r="BX329" t="str">
            <v>TBD</v>
          </cell>
          <cell r="BY329" t="str">
            <v>TBD</v>
          </cell>
          <cell r="BZ329" t="str">
            <v>TBD</v>
          </cell>
          <cell r="CA329" t="str">
            <v>#ERRO</v>
          </cell>
          <cell r="CB329" t="str">
            <v>-</v>
          </cell>
        </row>
        <row r="330">
          <cell r="A330" t="str">
            <v>22184-0</v>
          </cell>
          <cell r="B330" t="str">
            <v>22184-0</v>
          </cell>
          <cell r="C330">
            <v>7896714292182</v>
          </cell>
          <cell r="D330" t="str">
            <v>EZETIMIBA+SINVASTATINA 10+20MG CPR 1X30</v>
          </cell>
          <cell r="E330" t="str">
            <v>SIM</v>
          </cell>
          <cell r="F330" t="str">
            <v>G</v>
          </cell>
          <cell r="G330" t="str">
            <v>LANCAMENTOS GENERICOS</v>
          </cell>
          <cell r="H330">
            <v>5</v>
          </cell>
          <cell r="I330">
            <v>30</v>
          </cell>
          <cell r="J330" t="str">
            <v>Monitorado</v>
          </cell>
          <cell r="K330" t="str">
            <v>Positiva</v>
          </cell>
          <cell r="L330" t="str">
            <v>Sim</v>
          </cell>
          <cell r="M330" t="str">
            <v>NACIONAL</v>
          </cell>
          <cell r="N330" t="str">
            <v>NACIONAL</v>
          </cell>
          <cell r="P330">
            <v>69.28</v>
          </cell>
          <cell r="Q330">
            <v>69.28</v>
          </cell>
          <cell r="R330">
            <v>70.12</v>
          </cell>
          <cell r="S330">
            <v>70.989999999999995</v>
          </cell>
          <cell r="T330">
            <v>65.34</v>
          </cell>
          <cell r="U330">
            <v>69.7</v>
          </cell>
          <cell r="V330">
            <v>69.7</v>
          </cell>
          <cell r="W330">
            <v>70.12</v>
          </cell>
          <cell r="X330">
            <v>71.88</v>
          </cell>
          <cell r="Y330">
            <v>70.989999999999995</v>
          </cell>
          <cell r="Z330">
            <v>71.88</v>
          </cell>
          <cell r="AA330">
            <v>72.78</v>
          </cell>
          <cell r="AB330">
            <v>73.72</v>
          </cell>
          <cell r="AC330">
            <v>71.430000000000007</v>
          </cell>
          <cell r="AD330">
            <v>71.430000000000007</v>
          </cell>
          <cell r="AE330">
            <v>72.33</v>
          </cell>
          <cell r="AF330">
            <v>0</v>
          </cell>
          <cell r="AG330">
            <v>95.78</v>
          </cell>
          <cell r="AH330">
            <v>95.78</v>
          </cell>
          <cell r="AI330">
            <v>96.94</v>
          </cell>
          <cell r="AJ330">
            <v>98.14</v>
          </cell>
          <cell r="AK330">
            <v>90.33</v>
          </cell>
          <cell r="AL330">
            <v>96.36</v>
          </cell>
          <cell r="AM330">
            <v>96.36</v>
          </cell>
          <cell r="AN330">
            <v>96.94</v>
          </cell>
          <cell r="AO330">
            <v>99.37</v>
          </cell>
          <cell r="AP330">
            <v>98.14</v>
          </cell>
          <cell r="AQ330">
            <v>99.37</v>
          </cell>
          <cell r="AR330">
            <v>100.61</v>
          </cell>
          <cell r="AS330">
            <v>101.91</v>
          </cell>
          <cell r="AT330">
            <v>98.75</v>
          </cell>
          <cell r="AU330">
            <v>98.75</v>
          </cell>
          <cell r="AV330">
            <v>99.99</v>
          </cell>
          <cell r="AX330">
            <v>69.28</v>
          </cell>
          <cell r="AY330">
            <v>95.78</v>
          </cell>
          <cell r="AZ330">
            <v>0.17</v>
          </cell>
          <cell r="BA330">
            <v>0.12</v>
          </cell>
          <cell r="BB330" t="str">
            <v>#_NA</v>
          </cell>
          <cell r="BC330" t="str">
            <v>#_NA</v>
          </cell>
          <cell r="BD330" t="str">
            <v>#_NA</v>
          </cell>
          <cell r="BE330" t="str">
            <v>-</v>
          </cell>
          <cell r="BF330" t="str">
            <v>-</v>
          </cell>
          <cell r="BG330">
            <v>5.6820000000000002E-2</v>
          </cell>
          <cell r="BH330">
            <v>0.42870000000000003</v>
          </cell>
          <cell r="BI330">
            <v>37.33</v>
          </cell>
          <cell r="BJ330" t="str">
            <v>-</v>
          </cell>
          <cell r="BK330">
            <v>0.46789999999999998</v>
          </cell>
          <cell r="BL330">
            <v>34.770000000000003</v>
          </cell>
          <cell r="BM330" t="str">
            <v>-</v>
          </cell>
          <cell r="BN330" t="str">
            <v>SIM</v>
          </cell>
          <cell r="BO330" t="str">
            <v>NÃO</v>
          </cell>
          <cell r="BP330" t="str">
            <v>MS|G|NACIONAL|Sim|Positiva</v>
          </cell>
          <cell r="BR330" t="str">
            <v>TBD</v>
          </cell>
          <cell r="BS330">
            <v>0</v>
          </cell>
          <cell r="BT330" t="str">
            <v>#ERRO</v>
          </cell>
          <cell r="BU330">
            <v>34.770000000000003</v>
          </cell>
          <cell r="BV330" t="str">
            <v>-</v>
          </cell>
          <cell r="BX330" t="str">
            <v>TBD</v>
          </cell>
          <cell r="BY330" t="str">
            <v>TBD</v>
          </cell>
          <cell r="BZ330" t="str">
            <v>TBD</v>
          </cell>
          <cell r="CA330" t="str">
            <v>#ERRO</v>
          </cell>
          <cell r="CB330" t="str">
            <v>-</v>
          </cell>
        </row>
        <row r="331">
          <cell r="A331" t="str">
            <v>22194-0</v>
          </cell>
          <cell r="B331" t="str">
            <v>22194-0</v>
          </cell>
          <cell r="C331">
            <v>7896714292212</v>
          </cell>
          <cell r="D331" t="str">
            <v>BESILATO DE LEVANLODIPINO 2,5MG 30X CPR</v>
          </cell>
          <cell r="E331" t="str">
            <v>SIM</v>
          </cell>
          <cell r="F331" t="str">
            <v>G</v>
          </cell>
          <cell r="G331" t="str">
            <v>LANCAMENTOS GENERICOS</v>
          </cell>
          <cell r="H331">
            <v>5</v>
          </cell>
          <cell r="I331">
            <v>60</v>
          </cell>
          <cell r="J331" t="str">
            <v>Monitorado</v>
          </cell>
          <cell r="K331" t="str">
            <v>Negativa</v>
          </cell>
          <cell r="L331" t="str">
            <v>Sim</v>
          </cell>
          <cell r="M331" t="str">
            <v>NACIONAL</v>
          </cell>
          <cell r="N331" t="str">
            <v>NACIONAL</v>
          </cell>
          <cell r="P331">
            <v>32.44</v>
          </cell>
          <cell r="Q331">
            <v>37.270000000000003</v>
          </cell>
          <cell r="R331">
            <v>37.79</v>
          </cell>
          <cell r="S331">
            <v>38.33</v>
          </cell>
          <cell r="T331">
            <v>34.85</v>
          </cell>
          <cell r="U331">
            <v>37.53</v>
          </cell>
          <cell r="V331">
            <v>32.64</v>
          </cell>
          <cell r="W331">
            <v>32.840000000000003</v>
          </cell>
          <cell r="X331">
            <v>38.89</v>
          </cell>
          <cell r="Y331">
            <v>33.25</v>
          </cell>
          <cell r="Z331">
            <v>33.659999999999997</v>
          </cell>
          <cell r="AA331">
            <v>39.46</v>
          </cell>
          <cell r="AB331">
            <v>40.049999999999997</v>
          </cell>
          <cell r="AC331">
            <v>38.61</v>
          </cell>
          <cell r="AD331">
            <v>33.450000000000003</v>
          </cell>
          <cell r="AE331">
            <v>39.17</v>
          </cell>
          <cell r="AF331">
            <v>0</v>
          </cell>
          <cell r="AG331">
            <v>44.85</v>
          </cell>
          <cell r="AH331">
            <v>49.68</v>
          </cell>
          <cell r="AI331">
            <v>50.35</v>
          </cell>
          <cell r="AJ331">
            <v>51.04</v>
          </cell>
          <cell r="AK331">
            <v>46.55</v>
          </cell>
          <cell r="AL331">
            <v>50.01</v>
          </cell>
          <cell r="AM331">
            <v>45.12</v>
          </cell>
          <cell r="AN331">
            <v>45.4</v>
          </cell>
          <cell r="AO331">
            <v>51.76</v>
          </cell>
          <cell r="AP331">
            <v>45.97</v>
          </cell>
          <cell r="AQ331">
            <v>46.53</v>
          </cell>
          <cell r="AR331">
            <v>52.5</v>
          </cell>
          <cell r="AS331">
            <v>53.25</v>
          </cell>
          <cell r="AT331">
            <v>51.4</v>
          </cell>
          <cell r="AU331">
            <v>46.24</v>
          </cell>
          <cell r="AV331">
            <v>52.12</v>
          </cell>
          <cell r="AX331">
            <v>37.270000000000003</v>
          </cell>
          <cell r="AY331">
            <v>49.68</v>
          </cell>
          <cell r="AZ331">
            <v>0.17</v>
          </cell>
          <cell r="BA331">
            <v>0.12</v>
          </cell>
          <cell r="BB331" t="str">
            <v>#_NA</v>
          </cell>
          <cell r="BC331" t="str">
            <v>#_NA</v>
          </cell>
          <cell r="BD331" t="str">
            <v>#_NA</v>
          </cell>
          <cell r="BE331" t="str">
            <v>-</v>
          </cell>
          <cell r="BF331" t="str">
            <v>-</v>
          </cell>
          <cell r="BG331">
            <v>5.6820000000000002E-2</v>
          </cell>
          <cell r="BH331">
            <v>0.49690000000000001</v>
          </cell>
          <cell r="BI331">
            <v>17.68</v>
          </cell>
          <cell r="BJ331" t="str">
            <v>-</v>
          </cell>
          <cell r="BK331">
            <v>0.58460000000000001</v>
          </cell>
          <cell r="BL331">
            <v>14.6</v>
          </cell>
          <cell r="BM331" t="str">
            <v>-</v>
          </cell>
          <cell r="BN331" t="str">
            <v>SIM</v>
          </cell>
          <cell r="BO331" t="str">
            <v>NÃO</v>
          </cell>
          <cell r="BP331" t="str">
            <v>MS|G|NACIONAL|Sim|Negativa</v>
          </cell>
          <cell r="BR331" t="str">
            <v>TBD</v>
          </cell>
          <cell r="BS331">
            <v>0</v>
          </cell>
          <cell r="BT331" t="str">
            <v>#ERRO</v>
          </cell>
          <cell r="BU331">
            <v>14.6</v>
          </cell>
          <cell r="BV331" t="str">
            <v>-</v>
          </cell>
          <cell r="BX331" t="str">
            <v>TBD</v>
          </cell>
          <cell r="BY331" t="str">
            <v>TBD</v>
          </cell>
          <cell r="BZ331" t="str">
            <v>TBD</v>
          </cell>
          <cell r="CA331" t="str">
            <v>#ERRO</v>
          </cell>
          <cell r="CB331" t="str">
            <v>-</v>
          </cell>
        </row>
        <row r="332">
          <cell r="A332" t="str">
            <v>22195-0</v>
          </cell>
          <cell r="B332" t="str">
            <v>22195-0</v>
          </cell>
          <cell r="C332">
            <v>7896714292229</v>
          </cell>
          <cell r="D332" t="str">
            <v>BESILATO DE LEVANLODIPINO 2,5MG 2X30 CPR</v>
          </cell>
          <cell r="E332" t="str">
            <v>SIM</v>
          </cell>
          <cell r="F332" t="str">
            <v>G</v>
          </cell>
          <cell r="G332" t="str">
            <v>LANCAMENTOS GENERICOS</v>
          </cell>
          <cell r="H332">
            <v>5</v>
          </cell>
          <cell r="I332">
            <v>60</v>
          </cell>
          <cell r="J332" t="str">
            <v>Monitorado</v>
          </cell>
          <cell r="K332" t="str">
            <v>Negativa</v>
          </cell>
          <cell r="L332" t="str">
            <v>Sim</v>
          </cell>
          <cell r="M332" t="str">
            <v>NACIONAL</v>
          </cell>
          <cell r="N332" t="str">
            <v>NACIONAL</v>
          </cell>
          <cell r="P332">
            <v>60.29</v>
          </cell>
          <cell r="Q332">
            <v>69.260000000000005</v>
          </cell>
          <cell r="R332">
            <v>70.239999999999995</v>
          </cell>
          <cell r="S332">
            <v>71.239999999999995</v>
          </cell>
          <cell r="T332">
            <v>64.77</v>
          </cell>
          <cell r="U332">
            <v>69.75</v>
          </cell>
          <cell r="V332">
            <v>60.66</v>
          </cell>
          <cell r="W332">
            <v>61.03</v>
          </cell>
          <cell r="X332">
            <v>72.27</v>
          </cell>
          <cell r="Y332">
            <v>61.78</v>
          </cell>
          <cell r="Z332">
            <v>62.56</v>
          </cell>
          <cell r="AA332">
            <v>73.33</v>
          </cell>
          <cell r="AB332">
            <v>74.430000000000007</v>
          </cell>
          <cell r="AC332">
            <v>71.75</v>
          </cell>
          <cell r="AD332">
            <v>62.17</v>
          </cell>
          <cell r="AE332">
            <v>72.8</v>
          </cell>
          <cell r="AF332">
            <v>0</v>
          </cell>
          <cell r="AG332">
            <v>83.35</v>
          </cell>
          <cell r="AH332">
            <v>92.32</v>
          </cell>
          <cell r="AI332">
            <v>93.58</v>
          </cell>
          <cell r="AJ332">
            <v>94.87</v>
          </cell>
          <cell r="AK332">
            <v>86.52</v>
          </cell>
          <cell r="AL332">
            <v>92.95</v>
          </cell>
          <cell r="AM332">
            <v>83.86</v>
          </cell>
          <cell r="AN332">
            <v>84.37</v>
          </cell>
          <cell r="AO332">
            <v>96.19</v>
          </cell>
          <cell r="AP332">
            <v>85.41</v>
          </cell>
          <cell r="AQ332">
            <v>86.49</v>
          </cell>
          <cell r="AR332">
            <v>97.56</v>
          </cell>
          <cell r="AS332">
            <v>98.97</v>
          </cell>
          <cell r="AT332">
            <v>95.52</v>
          </cell>
          <cell r="AU332">
            <v>85.95</v>
          </cell>
          <cell r="AV332">
            <v>96.88</v>
          </cell>
          <cell r="AX332">
            <v>69.260000000000005</v>
          </cell>
          <cell r="AY332">
            <v>92.32</v>
          </cell>
          <cell r="AZ332">
            <v>0.17</v>
          </cell>
          <cell r="BA332">
            <v>0.12</v>
          </cell>
          <cell r="BB332" t="str">
            <v>#_NA</v>
          </cell>
          <cell r="BC332" t="str">
            <v>#_NA</v>
          </cell>
          <cell r="BD332" t="str">
            <v>#_NA</v>
          </cell>
          <cell r="BE332" t="str">
            <v>-</v>
          </cell>
          <cell r="BF332" t="str">
            <v>-</v>
          </cell>
          <cell r="BG332">
            <v>5.6820000000000002E-2</v>
          </cell>
          <cell r="BH332">
            <v>0.47349999999999998</v>
          </cell>
          <cell r="BI332">
            <v>34.39</v>
          </cell>
          <cell r="BJ332" t="str">
            <v>-</v>
          </cell>
          <cell r="BK332">
            <v>0.56510000000000005</v>
          </cell>
          <cell r="BL332">
            <v>28.41</v>
          </cell>
          <cell r="BM332" t="str">
            <v>-</v>
          </cell>
          <cell r="BN332" t="str">
            <v>SIM</v>
          </cell>
          <cell r="BO332" t="str">
            <v>NÃO</v>
          </cell>
          <cell r="BP332" t="str">
            <v>MS|G|NACIONAL|Sim|Negativa</v>
          </cell>
          <cell r="BR332" t="str">
            <v>TBD</v>
          </cell>
          <cell r="BS332">
            <v>0</v>
          </cell>
          <cell r="BT332" t="str">
            <v>#ERRO</v>
          </cell>
          <cell r="BU332">
            <v>28.41</v>
          </cell>
          <cell r="BV332" t="str">
            <v>-</v>
          </cell>
          <cell r="BX332" t="str">
            <v>TBD</v>
          </cell>
          <cell r="BY332" t="str">
            <v>TBD</v>
          </cell>
          <cell r="BZ332" t="str">
            <v>TBD</v>
          </cell>
          <cell r="CA332" t="str">
            <v>#ERRO</v>
          </cell>
          <cell r="CB332" t="str">
            <v>-</v>
          </cell>
        </row>
        <row r="333">
          <cell r="A333" t="str">
            <v>22196-0</v>
          </cell>
          <cell r="B333" t="str">
            <v>22196-0</v>
          </cell>
          <cell r="C333">
            <v>7896714292236</v>
          </cell>
          <cell r="D333" t="str">
            <v>BESILATO DE LEVANLODIPINO 5MG 2X15 CPR</v>
          </cell>
          <cell r="E333" t="str">
            <v>SIM</v>
          </cell>
          <cell r="F333" t="str">
            <v>G</v>
          </cell>
          <cell r="G333" t="str">
            <v>LANCAMENTOS GENERICOS</v>
          </cell>
          <cell r="H333">
            <v>5</v>
          </cell>
          <cell r="I333">
            <v>60</v>
          </cell>
          <cell r="J333" t="str">
            <v>Monitorado</v>
          </cell>
          <cell r="K333" t="str">
            <v>Negativa</v>
          </cell>
          <cell r="L333" t="str">
            <v>Sim</v>
          </cell>
          <cell r="M333" t="str">
            <v>NACIONAL</v>
          </cell>
          <cell r="N333" t="str">
            <v>NACIONAL</v>
          </cell>
          <cell r="P333">
            <v>63.03</v>
          </cell>
          <cell r="Q333">
            <v>72.400000000000006</v>
          </cell>
          <cell r="R333">
            <v>73.42</v>
          </cell>
          <cell r="S333">
            <v>74.47</v>
          </cell>
          <cell r="T333">
            <v>67.709999999999994</v>
          </cell>
          <cell r="U333">
            <v>72.91</v>
          </cell>
          <cell r="V333">
            <v>63.41</v>
          </cell>
          <cell r="W333">
            <v>63.8</v>
          </cell>
          <cell r="X333">
            <v>75.55</v>
          </cell>
          <cell r="Y333">
            <v>64.58</v>
          </cell>
          <cell r="Z333">
            <v>65.39</v>
          </cell>
          <cell r="AA333">
            <v>76.66</v>
          </cell>
          <cell r="AB333">
            <v>77.8</v>
          </cell>
          <cell r="AC333">
            <v>75</v>
          </cell>
          <cell r="AD333">
            <v>64.98</v>
          </cell>
          <cell r="AE333">
            <v>76.099999999999994</v>
          </cell>
          <cell r="AF333">
            <v>0</v>
          </cell>
          <cell r="AG333">
            <v>87.14</v>
          </cell>
          <cell r="AH333">
            <v>96.5</v>
          </cell>
          <cell r="AI333">
            <v>97.82</v>
          </cell>
          <cell r="AJ333">
            <v>99.17</v>
          </cell>
          <cell r="AK333">
            <v>90.45</v>
          </cell>
          <cell r="AL333">
            <v>97.16</v>
          </cell>
          <cell r="AM333">
            <v>87.66</v>
          </cell>
          <cell r="AN333">
            <v>88.2</v>
          </cell>
          <cell r="AO333">
            <v>100.56</v>
          </cell>
          <cell r="AP333">
            <v>89.28</v>
          </cell>
          <cell r="AQ333">
            <v>90.4</v>
          </cell>
          <cell r="AR333">
            <v>101.99</v>
          </cell>
          <cell r="AS333">
            <v>103.45</v>
          </cell>
          <cell r="AT333">
            <v>99.85</v>
          </cell>
          <cell r="AU333">
            <v>89.83</v>
          </cell>
          <cell r="AV333">
            <v>101.27</v>
          </cell>
          <cell r="AX333">
            <v>72.400000000000006</v>
          </cell>
          <cell r="AY333">
            <v>96.5</v>
          </cell>
          <cell r="AZ333">
            <v>0.17</v>
          </cell>
          <cell r="BA333">
            <v>0.12</v>
          </cell>
          <cell r="BB333" t="str">
            <v>#_NA</v>
          </cell>
          <cell r="BC333" t="str">
            <v>#_NA</v>
          </cell>
          <cell r="BD333" t="str">
            <v>#_NA</v>
          </cell>
          <cell r="BE333" t="str">
            <v>-</v>
          </cell>
          <cell r="BF333" t="str">
            <v>-</v>
          </cell>
          <cell r="BG333">
            <v>5.6820000000000002E-2</v>
          </cell>
          <cell r="BH333">
            <v>0.48780000000000001</v>
          </cell>
          <cell r="BI333">
            <v>34.979999999999997</v>
          </cell>
          <cell r="BJ333" t="str">
            <v>-</v>
          </cell>
          <cell r="BK333">
            <v>0.57699999999999996</v>
          </cell>
          <cell r="BL333">
            <v>28.89</v>
          </cell>
          <cell r="BM333" t="str">
            <v>-</v>
          </cell>
          <cell r="BN333" t="str">
            <v>SIM</v>
          </cell>
          <cell r="BO333" t="str">
            <v>NÃO</v>
          </cell>
          <cell r="BP333" t="str">
            <v>MS|G|NACIONAL|Sim|Negativa</v>
          </cell>
          <cell r="BR333" t="str">
            <v>TBD</v>
          </cell>
          <cell r="BS333">
            <v>0</v>
          </cell>
          <cell r="BT333" t="str">
            <v>#ERRO</v>
          </cell>
          <cell r="BU333">
            <v>28.89</v>
          </cell>
          <cell r="BV333" t="str">
            <v>-</v>
          </cell>
          <cell r="BX333" t="str">
            <v>TBD</v>
          </cell>
          <cell r="BY333" t="str">
            <v>TBD</v>
          </cell>
          <cell r="BZ333" t="str">
            <v>TBD</v>
          </cell>
          <cell r="CA333" t="str">
            <v>#ERRO</v>
          </cell>
          <cell r="CB333" t="str">
            <v>-</v>
          </cell>
        </row>
        <row r="334">
          <cell r="A334" t="str">
            <v>22589-0</v>
          </cell>
          <cell r="B334" t="str">
            <v>22589-0</v>
          </cell>
          <cell r="C334">
            <v>7896714293387</v>
          </cell>
          <cell r="D334" t="str">
            <v>MAL BRONFE + CL FENIL XPE CT FR X 120ML</v>
          </cell>
          <cell r="E334" t="str">
            <v>SIM</v>
          </cell>
          <cell r="F334" t="str">
            <v>G</v>
          </cell>
          <cell r="G334" t="str">
            <v>LANCAMENTOS GENERICOS</v>
          </cell>
          <cell r="H334">
            <v>5</v>
          </cell>
          <cell r="I334">
            <v>24</v>
          </cell>
          <cell r="J334" t="str">
            <v>Liberado</v>
          </cell>
          <cell r="K334" t="str">
            <v>Negativa</v>
          </cell>
          <cell r="L334" t="str">
            <v>Sim</v>
          </cell>
          <cell r="M334" t="str">
            <v>NACIONAL</v>
          </cell>
          <cell r="N334" t="str">
            <v>NACIONAL</v>
          </cell>
          <cell r="P334">
            <v>13.08</v>
          </cell>
          <cell r="Q334">
            <v>15.03</v>
          </cell>
          <cell r="R334">
            <v>15.24</v>
          </cell>
          <cell r="S334">
            <v>15.46</v>
          </cell>
          <cell r="T334">
            <v>14.05</v>
          </cell>
          <cell r="U334">
            <v>15.13</v>
          </cell>
          <cell r="V334">
            <v>13.16</v>
          </cell>
          <cell r="W334">
            <v>13.24</v>
          </cell>
          <cell r="X334">
            <v>15.68</v>
          </cell>
          <cell r="Y334">
            <v>13.4</v>
          </cell>
          <cell r="Z334">
            <v>13.57</v>
          </cell>
          <cell r="AA334">
            <v>15.91</v>
          </cell>
          <cell r="AB334">
            <v>16.149999999999999</v>
          </cell>
          <cell r="AC334">
            <v>15.57</v>
          </cell>
          <cell r="AD334">
            <v>13.49</v>
          </cell>
          <cell r="AE334">
            <v>15.79</v>
          </cell>
          <cell r="AF334">
            <v>0</v>
          </cell>
          <cell r="AG334">
            <v>18.079999999999998</v>
          </cell>
          <cell r="AH334">
            <v>20.03</v>
          </cell>
          <cell r="AI334">
            <v>20.3</v>
          </cell>
          <cell r="AJ334">
            <v>20.59</v>
          </cell>
          <cell r="AK334">
            <v>18.77</v>
          </cell>
          <cell r="AL334">
            <v>20.16</v>
          </cell>
          <cell r="AM334">
            <v>18.190000000000001</v>
          </cell>
          <cell r="AN334">
            <v>18.3</v>
          </cell>
          <cell r="AO334">
            <v>20.87</v>
          </cell>
          <cell r="AP334">
            <v>18.52</v>
          </cell>
          <cell r="AQ334">
            <v>18.760000000000002</v>
          </cell>
          <cell r="AR334">
            <v>21.17</v>
          </cell>
          <cell r="AS334">
            <v>21.47</v>
          </cell>
          <cell r="AT334">
            <v>20.73</v>
          </cell>
          <cell r="AU334">
            <v>18.649999999999999</v>
          </cell>
          <cell r="AV334">
            <v>21.01</v>
          </cell>
          <cell r="AX334">
            <v>15.03</v>
          </cell>
          <cell r="AY334">
            <v>20.03</v>
          </cell>
          <cell r="AZ334">
            <v>0.17</v>
          </cell>
          <cell r="BA334">
            <v>0.12</v>
          </cell>
          <cell r="BB334" t="str">
            <v>#_NA</v>
          </cell>
          <cell r="BC334" t="str">
            <v>#_NA</v>
          </cell>
          <cell r="BD334" t="str">
            <v>#_NA</v>
          </cell>
          <cell r="BE334" t="str">
            <v>-</v>
          </cell>
          <cell r="BF334" t="str">
            <v>-</v>
          </cell>
          <cell r="BG334">
            <v>5.6820000000000002E-2</v>
          </cell>
          <cell r="BH334">
            <v>0.27239999999999998</v>
          </cell>
          <cell r="BI334">
            <v>10.32</v>
          </cell>
          <cell r="BJ334" t="str">
            <v>-</v>
          </cell>
          <cell r="BK334">
            <v>0.4</v>
          </cell>
          <cell r="BL334">
            <v>8.51</v>
          </cell>
          <cell r="BM334" t="str">
            <v>-</v>
          </cell>
          <cell r="BN334" t="str">
            <v>NÃO</v>
          </cell>
          <cell r="BO334" t="str">
            <v>NÃO</v>
          </cell>
          <cell r="BP334" t="str">
            <v>MS|G|NACIONAL|Sim|Negativa</v>
          </cell>
          <cell r="BR334" t="str">
            <v>TBD</v>
          </cell>
          <cell r="BS334">
            <v>0</v>
          </cell>
          <cell r="BT334" t="str">
            <v>#ERRO</v>
          </cell>
          <cell r="BU334">
            <v>8.51</v>
          </cell>
          <cell r="BV334" t="str">
            <v>-</v>
          </cell>
          <cell r="BX334" t="str">
            <v>TBD</v>
          </cell>
          <cell r="BY334" t="str">
            <v>TBD</v>
          </cell>
          <cell r="BZ334" t="str">
            <v>TBD</v>
          </cell>
          <cell r="CA334" t="str">
            <v>#ERRO</v>
          </cell>
          <cell r="CB334" t="str">
            <v>-</v>
          </cell>
        </row>
        <row r="335">
          <cell r="A335" t="str">
            <v>21949-0</v>
          </cell>
          <cell r="B335" t="str">
            <v>21949-1</v>
          </cell>
          <cell r="C335">
            <v>7896714291192</v>
          </cell>
          <cell r="D335" t="str">
            <v>SULF HIDROXICLOROQUINA 400MG CPRV X30</v>
          </cell>
          <cell r="E335" t="str">
            <v>SIM</v>
          </cell>
          <cell r="F335" t="str">
            <v>G</v>
          </cell>
          <cell r="G335" t="str">
            <v>LINHA</v>
          </cell>
          <cell r="H335">
            <v>3</v>
          </cell>
          <cell r="I335">
            <v>60</v>
          </cell>
          <cell r="J335" t="str">
            <v>Monitorado</v>
          </cell>
          <cell r="K335" t="str">
            <v>Positiva</v>
          </cell>
          <cell r="L335" t="str">
            <v>Sim</v>
          </cell>
          <cell r="M335" t="str">
            <v>NACIONAL</v>
          </cell>
          <cell r="N335" t="str">
            <v>IMPORTADO</v>
          </cell>
          <cell r="P335">
            <v>69.16</v>
          </cell>
          <cell r="Q335">
            <v>69.16</v>
          </cell>
          <cell r="R335">
            <v>70</v>
          </cell>
          <cell r="S335">
            <v>70.86</v>
          </cell>
          <cell r="T335">
            <v>65.23</v>
          </cell>
          <cell r="U335">
            <v>69.58</v>
          </cell>
          <cell r="V335">
            <v>69.58</v>
          </cell>
          <cell r="W335">
            <v>70</v>
          </cell>
          <cell r="X335">
            <v>71.75</v>
          </cell>
          <cell r="Y335">
            <v>70.86</v>
          </cell>
          <cell r="Z335">
            <v>71.75</v>
          </cell>
          <cell r="AA335">
            <v>72.66</v>
          </cell>
          <cell r="AB335">
            <v>73.59</v>
          </cell>
          <cell r="AC335">
            <v>71.3</v>
          </cell>
          <cell r="AD335">
            <v>71.3</v>
          </cell>
          <cell r="AE335">
            <v>72.2</v>
          </cell>
          <cell r="AF335">
            <v>0</v>
          </cell>
          <cell r="AG335">
            <v>95.61</v>
          </cell>
          <cell r="AH335">
            <v>95.61</v>
          </cell>
          <cell r="AI335">
            <v>96.77</v>
          </cell>
          <cell r="AJ335">
            <v>97.96</v>
          </cell>
          <cell r="AK335">
            <v>90.18</v>
          </cell>
          <cell r="AL335">
            <v>96.19</v>
          </cell>
          <cell r="AM335">
            <v>96.19</v>
          </cell>
          <cell r="AN335">
            <v>96.77</v>
          </cell>
          <cell r="AO335">
            <v>99.19</v>
          </cell>
          <cell r="AP335">
            <v>97.96</v>
          </cell>
          <cell r="AQ335">
            <v>99.19</v>
          </cell>
          <cell r="AR335">
            <v>100.45</v>
          </cell>
          <cell r="AS335">
            <v>101.73</v>
          </cell>
          <cell r="AT335">
            <v>98.57</v>
          </cell>
          <cell r="AU335">
            <v>98.57</v>
          </cell>
          <cell r="AV335">
            <v>99.81</v>
          </cell>
          <cell r="AX335">
            <v>69.16</v>
          </cell>
          <cell r="AY335">
            <v>95.61</v>
          </cell>
          <cell r="AZ335">
            <v>0.17</v>
          </cell>
          <cell r="BA335">
            <v>0.04</v>
          </cell>
          <cell r="BB335" t="str">
            <v>#_NA</v>
          </cell>
          <cell r="BC335" t="str">
            <v>#_NA</v>
          </cell>
          <cell r="BD335" t="str">
            <v>#_NA</v>
          </cell>
          <cell r="BE335" t="str">
            <v>-</v>
          </cell>
          <cell r="BF335" t="str">
            <v>-</v>
          </cell>
          <cell r="BG335">
            <v>0.13542000000000001</v>
          </cell>
          <cell r="BH335">
            <v>0.29120000000000001</v>
          </cell>
          <cell r="BI335">
            <v>42.38</v>
          </cell>
          <cell r="BJ335" t="str">
            <v>-</v>
          </cell>
          <cell r="BK335">
            <v>0.32500000000000001</v>
          </cell>
          <cell r="BL335">
            <v>40.36</v>
          </cell>
          <cell r="BM335" t="str">
            <v>-</v>
          </cell>
          <cell r="BN335" t="str">
            <v>SIM</v>
          </cell>
          <cell r="BO335" t="str">
            <v>NÃO</v>
          </cell>
          <cell r="BP335" t="str">
            <v>MS|G|IMPORTADO|Sim|Positiva</v>
          </cell>
          <cell r="BR335" t="str">
            <v>TBD</v>
          </cell>
          <cell r="BS335">
            <v>0</v>
          </cell>
          <cell r="BT335" t="str">
            <v>#ERRO</v>
          </cell>
          <cell r="BU335">
            <v>40.36</v>
          </cell>
          <cell r="BV335" t="str">
            <v>-</v>
          </cell>
          <cell r="BX335" t="str">
            <v>TBD</v>
          </cell>
          <cell r="BY335" t="str">
            <v>TBD</v>
          </cell>
          <cell r="BZ335" t="str">
            <v>TBD</v>
          </cell>
          <cell r="CA335" t="str">
            <v>#ERRO</v>
          </cell>
          <cell r="CB335" t="str">
            <v>-</v>
          </cell>
        </row>
        <row r="336">
          <cell r="A336" t="str">
            <v>22161-0</v>
          </cell>
          <cell r="B336" t="str">
            <v>22161-0</v>
          </cell>
          <cell r="C336">
            <v>7896714292083</v>
          </cell>
          <cell r="D336" t="str">
            <v>ETORICOXIBE 60MG CT BL X 14 CPRV</v>
          </cell>
          <cell r="E336" t="str">
            <v>SIM</v>
          </cell>
          <cell r="F336" t="str">
            <v>G</v>
          </cell>
          <cell r="G336" t="str">
            <v>LANCAMENTOS GENERICOS</v>
          </cell>
          <cell r="H336">
            <v>2</v>
          </cell>
          <cell r="I336">
            <v>64</v>
          </cell>
          <cell r="J336" t="str">
            <v>Monitorado</v>
          </cell>
          <cell r="K336" t="str">
            <v>Positiva</v>
          </cell>
          <cell r="L336" t="str">
            <v>Não</v>
          </cell>
          <cell r="M336" t="str">
            <v>IMPORTADO</v>
          </cell>
          <cell r="N336" t="str">
            <v>IMPORTADO</v>
          </cell>
          <cell r="P336">
            <v>61.98</v>
          </cell>
          <cell r="Q336">
            <v>61.98</v>
          </cell>
          <cell r="R336">
            <v>62.73</v>
          </cell>
          <cell r="S336">
            <v>63.51</v>
          </cell>
          <cell r="T336">
            <v>58.45</v>
          </cell>
          <cell r="U336">
            <v>62.35</v>
          </cell>
          <cell r="V336">
            <v>62.35</v>
          </cell>
          <cell r="W336">
            <v>62.73</v>
          </cell>
          <cell r="X336">
            <v>64.3</v>
          </cell>
          <cell r="Y336">
            <v>63.51</v>
          </cell>
          <cell r="Z336">
            <v>64.3</v>
          </cell>
          <cell r="AA336">
            <v>65.11</v>
          </cell>
          <cell r="AB336">
            <v>65.95</v>
          </cell>
          <cell r="AC336">
            <v>63.9</v>
          </cell>
          <cell r="AD336">
            <v>63.9</v>
          </cell>
          <cell r="AE336">
            <v>64.7</v>
          </cell>
          <cell r="AF336">
            <v>0</v>
          </cell>
          <cell r="AG336">
            <v>85.68</v>
          </cell>
          <cell r="AH336">
            <v>85.68</v>
          </cell>
          <cell r="AI336">
            <v>86.72</v>
          </cell>
          <cell r="AJ336">
            <v>87.8</v>
          </cell>
          <cell r="AK336">
            <v>80.8</v>
          </cell>
          <cell r="AL336">
            <v>86.2</v>
          </cell>
          <cell r="AM336">
            <v>86.2</v>
          </cell>
          <cell r="AN336">
            <v>86.72</v>
          </cell>
          <cell r="AO336">
            <v>88.89</v>
          </cell>
          <cell r="AP336">
            <v>87.8</v>
          </cell>
          <cell r="AQ336">
            <v>88.89</v>
          </cell>
          <cell r="AR336">
            <v>90.01</v>
          </cell>
          <cell r="AS336">
            <v>91.17</v>
          </cell>
          <cell r="AT336">
            <v>88.34</v>
          </cell>
          <cell r="AU336">
            <v>88.34</v>
          </cell>
          <cell r="AV336">
            <v>89.44</v>
          </cell>
          <cell r="AX336">
            <v>61.98</v>
          </cell>
          <cell r="AY336">
            <v>85.68</v>
          </cell>
          <cell r="AZ336">
            <v>0.17</v>
          </cell>
          <cell r="BA336">
            <v>0.04</v>
          </cell>
          <cell r="BB336" t="str">
            <v>#_NA</v>
          </cell>
          <cell r="BC336" t="str">
            <v>#_NA</v>
          </cell>
          <cell r="BD336" t="str">
            <v>#_NA</v>
          </cell>
          <cell r="BE336" t="str">
            <v>-</v>
          </cell>
          <cell r="BF336" t="str">
            <v>-</v>
          </cell>
          <cell r="BG336">
            <v>0.13542000000000001</v>
          </cell>
          <cell r="BH336">
            <v>0.51439999999999997</v>
          </cell>
          <cell r="BI336">
            <v>26.02</v>
          </cell>
          <cell r="BJ336" t="str">
            <v>-</v>
          </cell>
          <cell r="BK336">
            <v>0.53759999999999997</v>
          </cell>
          <cell r="BL336">
            <v>24.78</v>
          </cell>
          <cell r="BM336" t="str">
            <v>-</v>
          </cell>
          <cell r="BN336" t="str">
            <v>SIM</v>
          </cell>
          <cell r="BO336" t="str">
            <v>NÃO</v>
          </cell>
          <cell r="BP336" t="str">
            <v>MS|G|IMPORTADO|Não|Positiva</v>
          </cell>
          <cell r="BR336" t="str">
            <v>TBD</v>
          </cell>
          <cell r="BS336">
            <v>0</v>
          </cell>
          <cell r="BT336" t="str">
            <v>#ERRO</v>
          </cell>
          <cell r="BU336">
            <v>24.78</v>
          </cell>
          <cell r="BV336" t="str">
            <v>-</v>
          </cell>
          <cell r="BX336" t="str">
            <v>TBD</v>
          </cell>
          <cell r="BY336" t="str">
            <v>TBD</v>
          </cell>
          <cell r="BZ336" t="str">
            <v>TBD</v>
          </cell>
          <cell r="CA336" t="str">
            <v>#ERRO</v>
          </cell>
          <cell r="CB336" t="str">
            <v>-</v>
          </cell>
        </row>
        <row r="337">
          <cell r="A337" t="str">
            <v>22162-0</v>
          </cell>
          <cell r="B337" t="str">
            <v>21974-0</v>
          </cell>
          <cell r="C337">
            <v>7896714292090</v>
          </cell>
          <cell r="D337" t="str">
            <v>ETORICOXIBE 90MG CT BL X 14 CPRV C1</v>
          </cell>
          <cell r="E337" t="str">
            <v>SIM</v>
          </cell>
          <cell r="F337" t="str">
            <v>G</v>
          </cell>
          <cell r="G337" t="str">
            <v>LANCAMENTOS GENERICOS</v>
          </cell>
          <cell r="H337">
            <v>2</v>
          </cell>
          <cell r="I337">
            <v>48</v>
          </cell>
          <cell r="J337" t="str">
            <v>Monitorado</v>
          </cell>
          <cell r="K337" t="str">
            <v>Positiva</v>
          </cell>
          <cell r="L337" t="str">
            <v>Não</v>
          </cell>
          <cell r="M337" t="str">
            <v>IMPORTADO</v>
          </cell>
          <cell r="N337" t="str">
            <v>IMPORTADO</v>
          </cell>
          <cell r="P337">
            <v>69.06</v>
          </cell>
          <cell r="Q337">
            <v>69.06</v>
          </cell>
          <cell r="R337">
            <v>69.900000000000006</v>
          </cell>
          <cell r="S337">
            <v>70.77</v>
          </cell>
          <cell r="T337">
            <v>65.14</v>
          </cell>
          <cell r="U337">
            <v>69.48</v>
          </cell>
          <cell r="V337">
            <v>69.48</v>
          </cell>
          <cell r="W337">
            <v>69.900000000000006</v>
          </cell>
          <cell r="X337">
            <v>71.650000000000006</v>
          </cell>
          <cell r="Y337">
            <v>70.77</v>
          </cell>
          <cell r="Z337">
            <v>71.650000000000006</v>
          </cell>
          <cell r="AA337">
            <v>72.56</v>
          </cell>
          <cell r="AB337">
            <v>73.489999999999995</v>
          </cell>
          <cell r="AC337">
            <v>71.2</v>
          </cell>
          <cell r="AD337">
            <v>71.2</v>
          </cell>
          <cell r="AE337">
            <v>72.099999999999994</v>
          </cell>
          <cell r="AF337">
            <v>0</v>
          </cell>
          <cell r="AG337">
            <v>95.47</v>
          </cell>
          <cell r="AH337">
            <v>95.47</v>
          </cell>
          <cell r="AI337">
            <v>96.63</v>
          </cell>
          <cell r="AJ337">
            <v>97.84</v>
          </cell>
          <cell r="AK337">
            <v>90.05</v>
          </cell>
          <cell r="AL337">
            <v>96.05</v>
          </cell>
          <cell r="AM337">
            <v>96.05</v>
          </cell>
          <cell r="AN337">
            <v>96.63</v>
          </cell>
          <cell r="AO337">
            <v>99.05</v>
          </cell>
          <cell r="AP337">
            <v>97.84</v>
          </cell>
          <cell r="AQ337">
            <v>99.05</v>
          </cell>
          <cell r="AR337">
            <v>100.31</v>
          </cell>
          <cell r="AS337">
            <v>101.6</v>
          </cell>
          <cell r="AT337">
            <v>98.43</v>
          </cell>
          <cell r="AU337">
            <v>98.43</v>
          </cell>
          <cell r="AV337">
            <v>99.67</v>
          </cell>
          <cell r="AX337">
            <v>69.06</v>
          </cell>
          <cell r="AY337">
            <v>95.47</v>
          </cell>
          <cell r="AZ337">
            <v>0.17</v>
          </cell>
          <cell r="BA337">
            <v>0.04</v>
          </cell>
          <cell r="BB337" t="str">
            <v>#_NA</v>
          </cell>
          <cell r="BC337" t="str">
            <v>#_NA</v>
          </cell>
          <cell r="BD337" t="str">
            <v>#_NA</v>
          </cell>
          <cell r="BE337" t="str">
            <v>-</v>
          </cell>
          <cell r="BF337" t="str">
            <v>-</v>
          </cell>
          <cell r="BG337">
            <v>0.13542000000000001</v>
          </cell>
          <cell r="BH337">
            <v>0.4294</v>
          </cell>
          <cell r="BI337">
            <v>34.07</v>
          </cell>
          <cell r="BJ337" t="str">
            <v>-</v>
          </cell>
          <cell r="BK337">
            <v>0.45660000000000001</v>
          </cell>
          <cell r="BL337">
            <v>32.450000000000003</v>
          </cell>
          <cell r="BM337" t="str">
            <v>-</v>
          </cell>
          <cell r="BN337" t="str">
            <v>SIM</v>
          </cell>
          <cell r="BO337" t="str">
            <v>NÃO</v>
          </cell>
          <cell r="BP337" t="str">
            <v>MS|G|IMPORTADO|Não|Positiva</v>
          </cell>
          <cell r="BR337" t="str">
            <v>TBD</v>
          </cell>
          <cell r="BS337">
            <v>0</v>
          </cell>
          <cell r="BT337" t="str">
            <v>#ERRO</v>
          </cell>
          <cell r="BU337">
            <v>32.450000000000003</v>
          </cell>
          <cell r="BV337" t="str">
            <v>-</v>
          </cell>
          <cell r="BX337" t="str">
            <v>TBD</v>
          </cell>
          <cell r="BY337" t="str">
            <v>TBD</v>
          </cell>
          <cell r="BZ337" t="str">
            <v>TBD</v>
          </cell>
          <cell r="CA337" t="str">
            <v>#ERRO</v>
          </cell>
          <cell r="CB337" t="str">
            <v>-</v>
          </cell>
        </row>
        <row r="338">
          <cell r="A338" t="str">
            <v>22163-0</v>
          </cell>
          <cell r="B338" t="str">
            <v>21972-0</v>
          </cell>
          <cell r="C338">
            <v>7896714292106</v>
          </cell>
          <cell r="D338" t="str">
            <v>ETORICOXIBE 90MG CT BL X 7 CPRV C1</v>
          </cell>
          <cell r="E338" t="str">
            <v>SIM</v>
          </cell>
          <cell r="F338" t="str">
            <v>G</v>
          </cell>
          <cell r="G338" t="str">
            <v>LANCAMENTOS GENERICOS</v>
          </cell>
          <cell r="H338">
            <v>2</v>
          </cell>
          <cell r="I338">
            <v>48</v>
          </cell>
          <cell r="J338" t="str">
            <v>Monitorado</v>
          </cell>
          <cell r="K338" t="str">
            <v>Positiva</v>
          </cell>
          <cell r="L338" t="str">
            <v>Não</v>
          </cell>
          <cell r="M338" t="str">
            <v>IMPORTADO</v>
          </cell>
          <cell r="N338" t="str">
            <v>IMPORTADO</v>
          </cell>
          <cell r="P338">
            <v>34.869999999999997</v>
          </cell>
          <cell r="Q338">
            <v>34.869999999999997</v>
          </cell>
          <cell r="R338">
            <v>35.29</v>
          </cell>
          <cell r="S338">
            <v>35.729999999999997</v>
          </cell>
          <cell r="T338">
            <v>32.89</v>
          </cell>
          <cell r="U338">
            <v>35.08</v>
          </cell>
          <cell r="V338">
            <v>35.08</v>
          </cell>
          <cell r="W338">
            <v>35.29</v>
          </cell>
          <cell r="X338">
            <v>36.18</v>
          </cell>
          <cell r="Y338">
            <v>35.729999999999997</v>
          </cell>
          <cell r="Z338">
            <v>36.18</v>
          </cell>
          <cell r="AA338">
            <v>36.630000000000003</v>
          </cell>
          <cell r="AB338">
            <v>37.1</v>
          </cell>
          <cell r="AC338">
            <v>35.950000000000003</v>
          </cell>
          <cell r="AD338">
            <v>35.950000000000003</v>
          </cell>
          <cell r="AE338">
            <v>36.4</v>
          </cell>
          <cell r="AF338">
            <v>0</v>
          </cell>
          <cell r="AG338">
            <v>48.21</v>
          </cell>
          <cell r="AH338">
            <v>48.21</v>
          </cell>
          <cell r="AI338">
            <v>48.79</v>
          </cell>
          <cell r="AJ338">
            <v>49.39</v>
          </cell>
          <cell r="AK338">
            <v>45.47</v>
          </cell>
          <cell r="AL338">
            <v>48.5</v>
          </cell>
          <cell r="AM338">
            <v>48.5</v>
          </cell>
          <cell r="AN338">
            <v>48.79</v>
          </cell>
          <cell r="AO338">
            <v>50.02</v>
          </cell>
          <cell r="AP338">
            <v>49.39</v>
          </cell>
          <cell r="AQ338">
            <v>50.02</v>
          </cell>
          <cell r="AR338">
            <v>50.64</v>
          </cell>
          <cell r="AS338">
            <v>51.29</v>
          </cell>
          <cell r="AT338">
            <v>49.7</v>
          </cell>
          <cell r="AU338">
            <v>49.7</v>
          </cell>
          <cell r="AV338">
            <v>50.32</v>
          </cell>
          <cell r="AX338">
            <v>34.869999999999997</v>
          </cell>
          <cell r="AY338">
            <v>48.21</v>
          </cell>
          <cell r="AZ338">
            <v>0.17</v>
          </cell>
          <cell r="BA338">
            <v>0.04</v>
          </cell>
          <cell r="BB338" t="str">
            <v>#_NA</v>
          </cell>
          <cell r="BC338" t="str">
            <v>#_NA</v>
          </cell>
          <cell r="BD338" t="str">
            <v>#_NA</v>
          </cell>
          <cell r="BE338" t="str">
            <v>-</v>
          </cell>
          <cell r="BF338" t="str">
            <v>-</v>
          </cell>
          <cell r="BG338">
            <v>0.13542000000000001</v>
          </cell>
          <cell r="BH338">
            <v>0.42309999999999998</v>
          </cell>
          <cell r="BI338">
            <v>17.39</v>
          </cell>
          <cell r="BJ338" t="str">
            <v>-</v>
          </cell>
          <cell r="BK338">
            <v>0.45069999999999999</v>
          </cell>
          <cell r="BL338">
            <v>16.559999999999999</v>
          </cell>
          <cell r="BM338" t="str">
            <v>-</v>
          </cell>
          <cell r="BN338" t="str">
            <v>SIM</v>
          </cell>
          <cell r="BO338" t="str">
            <v>NÃO</v>
          </cell>
          <cell r="BP338" t="str">
            <v>MS|G|IMPORTADO|Não|Positiva</v>
          </cell>
          <cell r="BR338" t="str">
            <v>TBD</v>
          </cell>
          <cell r="BS338">
            <v>0</v>
          </cell>
          <cell r="BT338" t="str">
            <v>#ERRO</v>
          </cell>
          <cell r="BU338">
            <v>16.559999999999999</v>
          </cell>
          <cell r="BV338" t="str">
            <v>-</v>
          </cell>
          <cell r="BX338" t="str">
            <v>TBD</v>
          </cell>
          <cell r="BY338" t="str">
            <v>TBD</v>
          </cell>
          <cell r="BZ338" t="str">
            <v>TBD</v>
          </cell>
          <cell r="CA338" t="str">
            <v>#ERRO</v>
          </cell>
          <cell r="CB338" t="str">
            <v>-</v>
          </cell>
        </row>
        <row r="339">
          <cell r="A339" t="str">
            <v>22165-0</v>
          </cell>
          <cell r="B339" t="str">
            <v>22165-0</v>
          </cell>
          <cell r="C339">
            <v>7896714292120</v>
          </cell>
          <cell r="D339" t="str">
            <v>ETORICOXIBE 60MG CT BL X 7 CPRV</v>
          </cell>
          <cell r="E339" t="str">
            <v>SIM</v>
          </cell>
          <cell r="F339" t="str">
            <v>G</v>
          </cell>
          <cell r="G339" t="str">
            <v>LANCAMENTOS GENERICOS</v>
          </cell>
          <cell r="H339">
            <v>2</v>
          </cell>
          <cell r="I339">
            <v>72</v>
          </cell>
          <cell r="J339" t="str">
            <v>Monitorado</v>
          </cell>
          <cell r="K339" t="str">
            <v>Positiva</v>
          </cell>
          <cell r="L339" t="str">
            <v>Não</v>
          </cell>
          <cell r="M339" t="str">
            <v>IMPORTADO</v>
          </cell>
          <cell r="N339" t="str">
            <v>IMPORTADO</v>
          </cell>
          <cell r="P339">
            <v>34.450000000000003</v>
          </cell>
          <cell r="Q339">
            <v>34.450000000000003</v>
          </cell>
          <cell r="R339">
            <v>34.869999999999997</v>
          </cell>
          <cell r="S339">
            <v>35.299999999999997</v>
          </cell>
          <cell r="T339">
            <v>32.49</v>
          </cell>
          <cell r="U339">
            <v>34.65</v>
          </cell>
          <cell r="V339">
            <v>34.65</v>
          </cell>
          <cell r="W339">
            <v>34.869999999999997</v>
          </cell>
          <cell r="X339">
            <v>35.74</v>
          </cell>
          <cell r="Y339">
            <v>35.299999999999997</v>
          </cell>
          <cell r="Z339">
            <v>35.74</v>
          </cell>
          <cell r="AA339">
            <v>36.19</v>
          </cell>
          <cell r="AB339">
            <v>36.65</v>
          </cell>
          <cell r="AC339">
            <v>35.520000000000003</v>
          </cell>
          <cell r="AD339">
            <v>35.520000000000003</v>
          </cell>
          <cell r="AE339">
            <v>35.96</v>
          </cell>
          <cell r="AF339">
            <v>0</v>
          </cell>
          <cell r="AG339">
            <v>47.63</v>
          </cell>
          <cell r="AH339">
            <v>47.63</v>
          </cell>
          <cell r="AI339">
            <v>48.21</v>
          </cell>
          <cell r="AJ339">
            <v>48.8</v>
          </cell>
          <cell r="AK339">
            <v>44.92</v>
          </cell>
          <cell r="AL339">
            <v>47.9</v>
          </cell>
          <cell r="AM339">
            <v>47.9</v>
          </cell>
          <cell r="AN339">
            <v>48.21</v>
          </cell>
          <cell r="AO339">
            <v>49.41</v>
          </cell>
          <cell r="AP339">
            <v>48.8</v>
          </cell>
          <cell r="AQ339">
            <v>49.41</v>
          </cell>
          <cell r="AR339">
            <v>50.03</v>
          </cell>
          <cell r="AS339">
            <v>50.67</v>
          </cell>
          <cell r="AT339">
            <v>49.1</v>
          </cell>
          <cell r="AU339">
            <v>49.1</v>
          </cell>
          <cell r="AV339">
            <v>49.71</v>
          </cell>
          <cell r="AX339">
            <v>34.450000000000003</v>
          </cell>
          <cell r="AY339">
            <v>47.63</v>
          </cell>
          <cell r="AZ339">
            <v>0.17</v>
          </cell>
          <cell r="BA339">
            <v>0.04</v>
          </cell>
          <cell r="BB339" t="str">
            <v>#_NA</v>
          </cell>
          <cell r="BC339" t="str">
            <v>#_NA</v>
          </cell>
          <cell r="BD339" t="str">
            <v>#_NA</v>
          </cell>
          <cell r="BE339" t="str">
            <v>-</v>
          </cell>
          <cell r="BF339" t="str">
            <v>-</v>
          </cell>
          <cell r="BG339">
            <v>0.13542000000000001</v>
          </cell>
          <cell r="BH339">
            <v>0.4486</v>
          </cell>
          <cell r="BI339">
            <v>16.420000000000002</v>
          </cell>
          <cell r="BJ339" t="str">
            <v>-</v>
          </cell>
          <cell r="BK339">
            <v>0.4748</v>
          </cell>
          <cell r="BL339">
            <v>15.64</v>
          </cell>
          <cell r="BM339" t="str">
            <v>-</v>
          </cell>
          <cell r="BN339" t="str">
            <v>SIM</v>
          </cell>
          <cell r="BO339" t="str">
            <v>NÃO</v>
          </cell>
          <cell r="BP339" t="str">
            <v>MS|G|IMPORTADO|Não|Positiva</v>
          </cell>
          <cell r="BR339" t="str">
            <v>TBD</v>
          </cell>
          <cell r="BS339">
            <v>0</v>
          </cell>
          <cell r="BT339" t="str">
            <v>#ERRO</v>
          </cell>
          <cell r="BU339">
            <v>15.64</v>
          </cell>
          <cell r="BV339" t="str">
            <v>-</v>
          </cell>
          <cell r="BX339" t="str">
            <v>TBD</v>
          </cell>
          <cell r="BY339" t="str">
            <v>TBD</v>
          </cell>
          <cell r="BZ339" t="str">
            <v>TBD</v>
          </cell>
          <cell r="CA339" t="str">
            <v>#ERRO</v>
          </cell>
          <cell r="CB339" t="str">
            <v>-</v>
          </cell>
        </row>
        <row r="340">
          <cell r="A340" t="str">
            <v>22219-0</v>
          </cell>
          <cell r="B340" t="str">
            <v>22219-0</v>
          </cell>
          <cell r="C340">
            <v>7896714292359</v>
          </cell>
          <cell r="D340" t="str">
            <v>CL DONEPE+CL MEMAN 10MG+20MG 1X30CPRV C1</v>
          </cell>
          <cell r="E340" t="str">
            <v>SIM</v>
          </cell>
          <cell r="F340" t="str">
            <v>G</v>
          </cell>
          <cell r="G340" t="str">
            <v>LANCAMENTOS GENERICOS</v>
          </cell>
          <cell r="H340">
            <v>2</v>
          </cell>
          <cell r="I340">
            <v>60</v>
          </cell>
          <cell r="J340" t="str">
            <v>Monitorado</v>
          </cell>
          <cell r="K340" t="str">
            <v>Negativa</v>
          </cell>
          <cell r="L340" t="str">
            <v>Não</v>
          </cell>
          <cell r="M340" t="str">
            <v>IMPORTADO</v>
          </cell>
          <cell r="N340" t="str">
            <v>IMPORTADO</v>
          </cell>
          <cell r="P340">
            <v>82.82</v>
          </cell>
          <cell r="Q340">
            <v>95.14</v>
          </cell>
          <cell r="R340">
            <v>96.48</v>
          </cell>
          <cell r="S340">
            <v>97.85</v>
          </cell>
          <cell r="T340">
            <v>88.97</v>
          </cell>
          <cell r="U340">
            <v>95.8</v>
          </cell>
          <cell r="V340">
            <v>83.32</v>
          </cell>
          <cell r="W340">
            <v>83.83</v>
          </cell>
          <cell r="X340">
            <v>99.27</v>
          </cell>
          <cell r="Y340">
            <v>84.87</v>
          </cell>
          <cell r="Z340">
            <v>85.93</v>
          </cell>
          <cell r="AA340">
            <v>100.73</v>
          </cell>
          <cell r="AB340">
            <v>102.23</v>
          </cell>
          <cell r="AC340">
            <v>98.56</v>
          </cell>
          <cell r="AD340">
            <v>85.39</v>
          </cell>
          <cell r="AE340">
            <v>99.99</v>
          </cell>
          <cell r="AF340">
            <v>0</v>
          </cell>
          <cell r="AG340">
            <v>114.49</v>
          </cell>
          <cell r="AH340">
            <v>126.81</v>
          </cell>
          <cell r="AI340">
            <v>128.54</v>
          </cell>
          <cell r="AJ340">
            <v>130.30000000000001</v>
          </cell>
          <cell r="AK340">
            <v>118.84</v>
          </cell>
          <cell r="AL340">
            <v>127.66</v>
          </cell>
          <cell r="AM340">
            <v>115.19</v>
          </cell>
          <cell r="AN340">
            <v>115.89</v>
          </cell>
          <cell r="AO340">
            <v>132.13</v>
          </cell>
          <cell r="AP340">
            <v>117.33</v>
          </cell>
          <cell r="AQ340">
            <v>118.79</v>
          </cell>
          <cell r="AR340">
            <v>134.01</v>
          </cell>
          <cell r="AS340">
            <v>135.93</v>
          </cell>
          <cell r="AT340">
            <v>131.22</v>
          </cell>
          <cell r="AU340">
            <v>118.05</v>
          </cell>
          <cell r="AV340">
            <v>133.06</v>
          </cell>
          <cell r="AX340">
            <v>95.14</v>
          </cell>
          <cell r="AY340">
            <v>126.81</v>
          </cell>
          <cell r="AZ340">
            <v>0.17</v>
          </cell>
          <cell r="BA340">
            <v>0.04</v>
          </cell>
          <cell r="BB340" t="str">
            <v>#_NA</v>
          </cell>
          <cell r="BC340" t="str">
            <v>#_NA</v>
          </cell>
          <cell r="BD340" t="str">
            <v>#_NA</v>
          </cell>
          <cell r="BE340" t="str">
            <v>-</v>
          </cell>
          <cell r="BF340" t="str">
            <v>-</v>
          </cell>
          <cell r="BG340">
            <v>0.13542000000000001</v>
          </cell>
          <cell r="BH340">
            <v>0.1663</v>
          </cell>
          <cell r="BI340">
            <v>68.58</v>
          </cell>
          <cell r="BJ340" t="str">
            <v>-</v>
          </cell>
          <cell r="BK340">
            <v>0.31290000000000001</v>
          </cell>
          <cell r="BL340">
            <v>56.52</v>
          </cell>
          <cell r="BM340" t="str">
            <v>-</v>
          </cell>
          <cell r="BN340" t="str">
            <v>SIM</v>
          </cell>
          <cell r="BO340" t="str">
            <v>NÃO</v>
          </cell>
          <cell r="BP340" t="str">
            <v>MS|G|IMPORTADO|Não|Negativa</v>
          </cell>
          <cell r="BR340" t="str">
            <v>TBD</v>
          </cell>
          <cell r="BS340">
            <v>0</v>
          </cell>
          <cell r="BT340" t="str">
            <v>#ERRO</v>
          </cell>
          <cell r="BU340">
            <v>56.52</v>
          </cell>
          <cell r="BV340" t="str">
            <v>-</v>
          </cell>
          <cell r="BX340" t="str">
            <v>TBD</v>
          </cell>
          <cell r="BY340" t="str">
            <v>TBD</v>
          </cell>
          <cell r="BZ340" t="str">
            <v>TBD</v>
          </cell>
          <cell r="CA340" t="str">
            <v>#ERRO</v>
          </cell>
          <cell r="CB340" t="str">
            <v>-</v>
          </cell>
        </row>
        <row r="341">
          <cell r="A341" t="str">
            <v>22567-0</v>
          </cell>
          <cell r="B341" t="str">
            <v>22567-0</v>
          </cell>
          <cell r="C341">
            <v>7896714293356</v>
          </cell>
          <cell r="D341" t="str">
            <v>HEMOVIRTUS PRO POMADA CT BG 1X30G 10 APL</v>
          </cell>
          <cell r="E341" t="str">
            <v>SIM</v>
          </cell>
          <cell r="F341" t="str">
            <v>S</v>
          </cell>
          <cell r="G341" t="str">
            <v>LANCAMENTOS SMART</v>
          </cell>
          <cell r="H341">
            <v>0</v>
          </cell>
          <cell r="I341">
            <v>30</v>
          </cell>
          <cell r="J341" t="str">
            <v>Liberado</v>
          </cell>
          <cell r="K341" t="str">
            <v>Negativa</v>
          </cell>
          <cell r="L341" t="str">
            <v>Não</v>
          </cell>
          <cell r="M341" t="str">
            <v>NACIONAL</v>
          </cell>
          <cell r="N341" t="str">
            <v>NACIONAL</v>
          </cell>
          <cell r="P341">
            <v>28.78</v>
          </cell>
          <cell r="Q341">
            <v>33.06</v>
          </cell>
          <cell r="R341">
            <v>33.520000000000003</v>
          </cell>
          <cell r="S341">
            <v>34</v>
          </cell>
          <cell r="T341">
            <v>30.91</v>
          </cell>
          <cell r="U341">
            <v>33.29</v>
          </cell>
          <cell r="V341">
            <v>28.95</v>
          </cell>
          <cell r="W341">
            <v>29.13</v>
          </cell>
          <cell r="X341">
            <v>34.49</v>
          </cell>
          <cell r="Y341">
            <v>29.49</v>
          </cell>
          <cell r="Z341">
            <v>29.85</v>
          </cell>
          <cell r="AA341">
            <v>35</v>
          </cell>
          <cell r="AB341">
            <v>35.520000000000003</v>
          </cell>
          <cell r="AC341">
            <v>34.24</v>
          </cell>
          <cell r="AD341">
            <v>29.67</v>
          </cell>
          <cell r="AE341">
            <v>34.74</v>
          </cell>
          <cell r="AF341">
            <v>0</v>
          </cell>
          <cell r="AG341">
            <v>39.79</v>
          </cell>
          <cell r="AH341">
            <v>44.07</v>
          </cell>
          <cell r="AI341">
            <v>44.66</v>
          </cell>
          <cell r="AJ341">
            <v>45.28</v>
          </cell>
          <cell r="AK341">
            <v>41.29</v>
          </cell>
          <cell r="AL341">
            <v>44.36</v>
          </cell>
          <cell r="AM341">
            <v>40.020000000000003</v>
          </cell>
          <cell r="AN341">
            <v>40.270000000000003</v>
          </cell>
          <cell r="AO341">
            <v>45.91</v>
          </cell>
          <cell r="AP341">
            <v>40.770000000000003</v>
          </cell>
          <cell r="AQ341">
            <v>41.27</v>
          </cell>
          <cell r="AR341">
            <v>46.56</v>
          </cell>
          <cell r="AS341">
            <v>47.23</v>
          </cell>
          <cell r="AT341">
            <v>45.59</v>
          </cell>
          <cell r="AU341">
            <v>41.02</v>
          </cell>
          <cell r="AV341">
            <v>46.23</v>
          </cell>
          <cell r="AX341">
            <v>33.06</v>
          </cell>
          <cell r="AY341">
            <v>44.07</v>
          </cell>
          <cell r="AZ341">
            <v>0.17</v>
          </cell>
          <cell r="BA341">
            <v>0.12</v>
          </cell>
          <cell r="BB341" t="str">
            <v>#_NA</v>
          </cell>
          <cell r="BC341" t="str">
            <v>#_NA</v>
          </cell>
          <cell r="BD341" t="str">
            <v>#_NA</v>
          </cell>
          <cell r="BE341" t="str">
            <v>-</v>
          </cell>
          <cell r="BF341" t="str">
            <v>-</v>
          </cell>
          <cell r="BG341">
            <v>5.6820000000000002E-2</v>
          </cell>
          <cell r="BH341">
            <v>0.46970000000000001</v>
          </cell>
          <cell r="BI341">
            <v>16.53</v>
          </cell>
          <cell r="BJ341" t="str">
            <v>-</v>
          </cell>
          <cell r="BK341">
            <v>0.56330000000000002</v>
          </cell>
          <cell r="BL341">
            <v>13.62</v>
          </cell>
          <cell r="BM341" t="str">
            <v>-</v>
          </cell>
          <cell r="BN341" t="str">
            <v>SIM</v>
          </cell>
          <cell r="BO341" t="str">
            <v>NÃO</v>
          </cell>
          <cell r="BP341" t="str">
            <v>MS|S|NACIONAL|Não|Negativa</v>
          </cell>
          <cell r="BR341" t="str">
            <v>TBD</v>
          </cell>
          <cell r="BS341">
            <v>0</v>
          </cell>
          <cell r="BT341" t="str">
            <v>#ERRO</v>
          </cell>
          <cell r="BU341">
            <v>13.62</v>
          </cell>
          <cell r="BV341" t="str">
            <v>-</v>
          </cell>
          <cell r="BX341" t="str">
            <v>TBD</v>
          </cell>
          <cell r="BY341" t="str">
            <v>TBD</v>
          </cell>
          <cell r="BZ341" t="str">
            <v>TBD</v>
          </cell>
          <cell r="CA341" t="str">
            <v>#ERRO</v>
          </cell>
          <cell r="CB341" t="str">
            <v>-</v>
          </cell>
        </row>
        <row r="342">
          <cell r="A342" t="str">
            <v>22886-0</v>
          </cell>
          <cell r="B342" t="str">
            <v>22886-0</v>
          </cell>
          <cell r="C342">
            <v>7896714294568</v>
          </cell>
          <cell r="D342" t="str">
            <v>DIPIRONA MONOIDRATADA 1G COMP CT BL X 20</v>
          </cell>
          <cell r="E342" t="str">
            <v>SIM</v>
          </cell>
          <cell r="F342" t="str">
            <v>G</v>
          </cell>
          <cell r="G342" t="str">
            <v>LANCAMENTOS GENERICOS</v>
          </cell>
          <cell r="H342">
            <v>5</v>
          </cell>
          <cell r="I342">
            <v>60</v>
          </cell>
          <cell r="J342" t="str">
            <v>Liberado</v>
          </cell>
          <cell r="K342" t="str">
            <v>Negativa</v>
          </cell>
          <cell r="L342" t="str">
            <v>Sim</v>
          </cell>
          <cell r="M342" t="str">
            <v>NACIONAL</v>
          </cell>
          <cell r="N342" t="str">
            <v>NACIONAL</v>
          </cell>
          <cell r="P342">
            <v>16.22</v>
          </cell>
          <cell r="Q342">
            <v>18.63</v>
          </cell>
          <cell r="R342">
            <v>18.899999999999999</v>
          </cell>
          <cell r="S342">
            <v>19.170000000000002</v>
          </cell>
          <cell r="T342">
            <v>17.43</v>
          </cell>
          <cell r="U342">
            <v>18.760000000000002</v>
          </cell>
          <cell r="V342">
            <v>16.32</v>
          </cell>
          <cell r="W342">
            <v>16.420000000000002</v>
          </cell>
          <cell r="X342">
            <v>19.440000000000001</v>
          </cell>
          <cell r="Y342">
            <v>16.62</v>
          </cell>
          <cell r="Z342">
            <v>16.829999999999998</v>
          </cell>
          <cell r="AA342">
            <v>19.73</v>
          </cell>
          <cell r="AB342">
            <v>20.02</v>
          </cell>
          <cell r="AC342">
            <v>19.3</v>
          </cell>
          <cell r="AD342">
            <v>16.73</v>
          </cell>
          <cell r="AE342">
            <v>19.59</v>
          </cell>
          <cell r="AF342">
            <v>0</v>
          </cell>
          <cell r="AG342">
            <v>22.42</v>
          </cell>
          <cell r="AH342">
            <v>24.83</v>
          </cell>
          <cell r="AI342">
            <v>25.18</v>
          </cell>
          <cell r="AJ342">
            <v>25.53</v>
          </cell>
          <cell r="AK342">
            <v>23.28</v>
          </cell>
          <cell r="AL342">
            <v>25</v>
          </cell>
          <cell r="AM342">
            <v>22.56</v>
          </cell>
          <cell r="AN342">
            <v>22.7</v>
          </cell>
          <cell r="AO342">
            <v>25.88</v>
          </cell>
          <cell r="AP342">
            <v>22.98</v>
          </cell>
          <cell r="AQ342">
            <v>23.27</v>
          </cell>
          <cell r="AR342">
            <v>26.25</v>
          </cell>
          <cell r="AS342">
            <v>26.62</v>
          </cell>
          <cell r="AT342">
            <v>25.7</v>
          </cell>
          <cell r="AU342">
            <v>23.13</v>
          </cell>
          <cell r="AV342">
            <v>26.07</v>
          </cell>
          <cell r="AX342">
            <v>18.63</v>
          </cell>
          <cell r="AY342">
            <v>24.83</v>
          </cell>
          <cell r="AZ342">
            <v>0.17</v>
          </cell>
          <cell r="BA342">
            <v>0.12</v>
          </cell>
          <cell r="BB342" t="str">
            <v>#_NA</v>
          </cell>
          <cell r="BC342" t="str">
            <v>#_NA</v>
          </cell>
          <cell r="BD342" t="str">
            <v>#_NA</v>
          </cell>
          <cell r="BE342" t="str">
            <v>-</v>
          </cell>
          <cell r="BF342" t="str">
            <v>-</v>
          </cell>
          <cell r="BG342">
            <v>5.6820000000000002E-2</v>
          </cell>
          <cell r="BH342">
            <v>0.38529999999999998</v>
          </cell>
          <cell r="BI342">
            <v>10.8</v>
          </cell>
          <cell r="BJ342" t="str">
            <v>-</v>
          </cell>
          <cell r="BK342">
            <v>0.4929</v>
          </cell>
          <cell r="BL342">
            <v>8.91</v>
          </cell>
          <cell r="BM342" t="str">
            <v>-</v>
          </cell>
          <cell r="BN342" t="str">
            <v>SIM</v>
          </cell>
          <cell r="BO342" t="str">
            <v>NÃO</v>
          </cell>
          <cell r="BP342" t="str">
            <v>MS|G|NACIONAL|Sim|Negativa</v>
          </cell>
          <cell r="BR342" t="str">
            <v>TBD</v>
          </cell>
          <cell r="BS342">
            <v>0</v>
          </cell>
          <cell r="BT342" t="str">
            <v>#ERRO</v>
          </cell>
          <cell r="BU342">
            <v>8.91</v>
          </cell>
          <cell r="BV342" t="str">
            <v>-</v>
          </cell>
          <cell r="BX342" t="str">
            <v>TBD</v>
          </cell>
          <cell r="BY342" t="str">
            <v>TBD</v>
          </cell>
          <cell r="BZ342" t="str">
            <v>TBD</v>
          </cell>
          <cell r="CA342" t="str">
            <v>#ERRO</v>
          </cell>
          <cell r="CB342" t="str">
            <v>-</v>
          </cell>
        </row>
        <row r="343">
          <cell r="A343" t="str">
            <v>22247-0</v>
          </cell>
          <cell r="B343" t="str">
            <v>22247-0</v>
          </cell>
          <cell r="C343">
            <v>7896714292533</v>
          </cell>
          <cell r="D343" t="str">
            <v>FLAVONID TOPICO BG 200G</v>
          </cell>
          <cell r="E343" t="str">
            <v>SIM</v>
          </cell>
          <cell r="F343" t="str">
            <v>S</v>
          </cell>
          <cell r="G343" t="str">
            <v>LANCAMENTOS SMART</v>
          </cell>
          <cell r="H343">
            <v>5</v>
          </cell>
          <cell r="I343">
            <v>15</v>
          </cell>
          <cell r="J343" t="str">
            <v>Liberado</v>
          </cell>
          <cell r="K343" t="str">
            <v>Dermocosmético</v>
          </cell>
          <cell r="L343" t="str">
            <v>Sim</v>
          </cell>
          <cell r="M343" t="str">
            <v>NACIONAL</v>
          </cell>
          <cell r="N343" t="str">
            <v>NACIONAL</v>
          </cell>
          <cell r="P343">
            <v>50.64</v>
          </cell>
          <cell r="Q343">
            <v>50.64</v>
          </cell>
          <cell r="R343">
            <v>51.26</v>
          </cell>
          <cell r="S343">
            <v>51.89</v>
          </cell>
          <cell r="T343">
            <v>47.77</v>
          </cell>
          <cell r="U343">
            <v>50.95</v>
          </cell>
          <cell r="V343">
            <v>50.95</v>
          </cell>
          <cell r="W343">
            <v>51.26</v>
          </cell>
          <cell r="X343">
            <v>52.54</v>
          </cell>
          <cell r="Y343">
            <v>51.89</v>
          </cell>
          <cell r="Z343">
            <v>52.54</v>
          </cell>
          <cell r="AA343">
            <v>53.21</v>
          </cell>
          <cell r="AB343">
            <v>53.89</v>
          </cell>
          <cell r="AC343">
            <v>52.22</v>
          </cell>
          <cell r="AD343">
            <v>52.22</v>
          </cell>
          <cell r="AE343">
            <v>52.87</v>
          </cell>
          <cell r="AF343">
            <v>0</v>
          </cell>
          <cell r="AG343">
            <v>70.010000000000005</v>
          </cell>
          <cell r="AH343">
            <v>70.010000000000005</v>
          </cell>
          <cell r="AI343">
            <v>70.86</v>
          </cell>
          <cell r="AJ343">
            <v>71.73</v>
          </cell>
          <cell r="AK343">
            <v>66.040000000000006</v>
          </cell>
          <cell r="AL343">
            <v>70.44</v>
          </cell>
          <cell r="AM343">
            <v>70.44</v>
          </cell>
          <cell r="AN343">
            <v>70.86</v>
          </cell>
          <cell r="AO343">
            <v>72.63</v>
          </cell>
          <cell r="AP343">
            <v>71.73</v>
          </cell>
          <cell r="AQ343">
            <v>72.63</v>
          </cell>
          <cell r="AR343">
            <v>73.56</v>
          </cell>
          <cell r="AS343">
            <v>74.5</v>
          </cell>
          <cell r="AT343">
            <v>72.19</v>
          </cell>
          <cell r="AU343">
            <v>72.19</v>
          </cell>
          <cell r="AV343">
            <v>73.09</v>
          </cell>
          <cell r="AX343">
            <v>52.54</v>
          </cell>
          <cell r="AY343">
            <v>72.63</v>
          </cell>
          <cell r="AZ343">
            <v>0.2</v>
          </cell>
          <cell r="BA343">
            <v>0.12</v>
          </cell>
          <cell r="BB343" t="str">
            <v>#_NA</v>
          </cell>
          <cell r="BC343" t="str">
            <v>#_NA</v>
          </cell>
          <cell r="BD343" t="str">
            <v>#_NA</v>
          </cell>
          <cell r="BE343" t="str">
            <v>-</v>
          </cell>
          <cell r="BF343" t="str">
            <v>-</v>
          </cell>
          <cell r="BG343">
            <v>9.0910000000000005E-2</v>
          </cell>
          <cell r="BH343">
            <v>0.46239999999999998</v>
          </cell>
          <cell r="BI343">
            <v>25.68</v>
          </cell>
          <cell r="BJ343" t="str">
            <v>-</v>
          </cell>
          <cell r="BK343">
            <v>0.49370000000000003</v>
          </cell>
          <cell r="BL343">
            <v>24.18</v>
          </cell>
          <cell r="BM343" t="str">
            <v>-</v>
          </cell>
          <cell r="BN343" t="str">
            <v>SIM</v>
          </cell>
          <cell r="BO343" t="str">
            <v>NÃO</v>
          </cell>
          <cell r="BP343" t="str">
            <v>MS|S|NACIONAL|Sim|Dermocosmético</v>
          </cell>
          <cell r="BR343" t="str">
            <v>TBD</v>
          </cell>
          <cell r="BS343">
            <v>0</v>
          </cell>
          <cell r="BT343" t="str">
            <v>#ERRO</v>
          </cell>
          <cell r="BU343">
            <v>24.18</v>
          </cell>
          <cell r="BV343" t="str">
            <v>-</v>
          </cell>
          <cell r="BX343" t="str">
            <v>TBD</v>
          </cell>
          <cell r="BY343" t="str">
            <v>TBD</v>
          </cell>
          <cell r="BZ343" t="str">
            <v>TBD</v>
          </cell>
          <cell r="CA343" t="str">
            <v>#ERRO</v>
          </cell>
          <cell r="CB343" t="str">
            <v>-</v>
          </cell>
        </row>
        <row r="344">
          <cell r="A344" t="str">
            <v>23082-0</v>
          </cell>
          <cell r="B344" t="str">
            <v>23082-0</v>
          </cell>
          <cell r="C344">
            <v>7896714295565</v>
          </cell>
          <cell r="D344" t="str">
            <v>TELMISARTANA+HCT 40+12,5MG CT BLX30CP</v>
          </cell>
          <cell r="E344" t="str">
            <v>#ERRO</v>
          </cell>
          <cell r="F344" t="str">
            <v>G</v>
          </cell>
          <cell r="G344" t="str">
            <v>LINHA</v>
          </cell>
          <cell r="H344">
            <v>2</v>
          </cell>
          <cell r="I344">
            <v>32</v>
          </cell>
          <cell r="J344" t="str">
            <v>Monitorado</v>
          </cell>
          <cell r="K344" t="str">
            <v>Positiva</v>
          </cell>
          <cell r="L344" t="str">
            <v>Não</v>
          </cell>
          <cell r="M344" t="str">
            <v>IMPORTADO</v>
          </cell>
          <cell r="N344" t="str">
            <v>IMPORTADO</v>
          </cell>
          <cell r="P344">
            <v>73.430000000000007</v>
          </cell>
          <cell r="Q344">
            <v>73.430000000000007</v>
          </cell>
          <cell r="R344">
            <v>74.33</v>
          </cell>
          <cell r="S344">
            <v>75.25</v>
          </cell>
          <cell r="T344">
            <v>69.260000000000005</v>
          </cell>
          <cell r="U344">
            <v>73.88</v>
          </cell>
          <cell r="V344">
            <v>73.88</v>
          </cell>
          <cell r="W344">
            <v>74.33</v>
          </cell>
          <cell r="X344">
            <v>76.19</v>
          </cell>
          <cell r="Y344">
            <v>75.25</v>
          </cell>
          <cell r="Z344">
            <v>76.19</v>
          </cell>
          <cell r="AA344">
            <v>77.150000000000006</v>
          </cell>
          <cell r="AB344">
            <v>78.14</v>
          </cell>
          <cell r="AC344">
            <v>75.709999999999994</v>
          </cell>
          <cell r="AD344">
            <v>75.709999999999994</v>
          </cell>
          <cell r="AE344">
            <v>76.67</v>
          </cell>
          <cell r="AF344">
            <v>0</v>
          </cell>
          <cell r="AG344">
            <v>101.51</v>
          </cell>
          <cell r="AH344">
            <v>101.51</v>
          </cell>
          <cell r="AI344">
            <v>102.76</v>
          </cell>
          <cell r="AJ344">
            <v>104.03</v>
          </cell>
          <cell r="AK344">
            <v>95.75</v>
          </cell>
          <cell r="AL344">
            <v>102.13</v>
          </cell>
          <cell r="AM344">
            <v>102.13</v>
          </cell>
          <cell r="AN344">
            <v>102.76</v>
          </cell>
          <cell r="AO344">
            <v>105.33</v>
          </cell>
          <cell r="AP344">
            <v>104.03</v>
          </cell>
          <cell r="AQ344">
            <v>105.33</v>
          </cell>
          <cell r="AR344">
            <v>106.66</v>
          </cell>
          <cell r="AS344">
            <v>108.02</v>
          </cell>
          <cell r="AT344">
            <v>104.66</v>
          </cell>
          <cell r="AU344">
            <v>104.66</v>
          </cell>
          <cell r="AV344">
            <v>105.99</v>
          </cell>
          <cell r="AX344">
            <v>73.430000000000007</v>
          </cell>
          <cell r="AY344">
            <v>101.51</v>
          </cell>
          <cell r="AZ344">
            <v>0.17</v>
          </cell>
          <cell r="BA344">
            <v>0.04</v>
          </cell>
          <cell r="BB344" t="str">
            <v>#_NA</v>
          </cell>
          <cell r="BC344" t="str">
            <v>#_NA</v>
          </cell>
          <cell r="BD344" t="str">
            <v>#_NA</v>
          </cell>
          <cell r="BE344" t="str">
            <v>-</v>
          </cell>
          <cell r="BF344" t="str">
            <v>-</v>
          </cell>
          <cell r="BG344">
            <v>0.13542000000000001</v>
          </cell>
          <cell r="BH344">
            <v>0.41189999999999999</v>
          </cell>
          <cell r="BI344">
            <v>37.340000000000003</v>
          </cell>
          <cell r="BJ344" t="str">
            <v>-</v>
          </cell>
          <cell r="BK344">
            <v>0.44629999999999997</v>
          </cell>
          <cell r="BL344">
            <v>35.15</v>
          </cell>
          <cell r="BM344" t="str">
            <v>-</v>
          </cell>
          <cell r="BN344" t="str">
            <v>SIM</v>
          </cell>
          <cell r="BO344" t="str">
            <v>NÃO</v>
          </cell>
          <cell r="BP344" t="str">
            <v>MS|G|IMPORTADO|Não|Positiva</v>
          </cell>
          <cell r="BR344" t="str">
            <v>TBD</v>
          </cell>
          <cell r="BS344">
            <v>0</v>
          </cell>
          <cell r="BT344" t="str">
            <v>#ERRO</v>
          </cell>
          <cell r="BU344">
            <v>35.15</v>
          </cell>
          <cell r="BV344" t="str">
            <v>-</v>
          </cell>
          <cell r="BX344" t="str">
            <v>TBD</v>
          </cell>
          <cell r="BY344" t="str">
            <v>TBD</v>
          </cell>
          <cell r="BZ344" t="str">
            <v>TBD</v>
          </cell>
          <cell r="CA344" t="str">
            <v>#ERRO</v>
          </cell>
          <cell r="CB344" t="str">
            <v>-</v>
          </cell>
        </row>
        <row r="345">
          <cell r="A345" t="str">
            <v>23083-0</v>
          </cell>
          <cell r="B345" t="str">
            <v>23083-0</v>
          </cell>
          <cell r="C345">
            <v>7896714295572</v>
          </cell>
          <cell r="D345" t="str">
            <v>TELMISARTANA+HCT 80+12,5MG CT BLX30CP</v>
          </cell>
          <cell r="E345" t="str">
            <v>#ERRO</v>
          </cell>
          <cell r="F345" t="str">
            <v>G</v>
          </cell>
          <cell r="G345" t="str">
            <v>LINHA</v>
          </cell>
          <cell r="H345">
            <v>2</v>
          </cell>
          <cell r="I345">
            <v>32</v>
          </cell>
          <cell r="J345" t="str">
            <v>Monitorado</v>
          </cell>
          <cell r="K345" t="str">
            <v>Positiva</v>
          </cell>
          <cell r="L345" t="str">
            <v>Não</v>
          </cell>
          <cell r="M345" t="str">
            <v>IMPORTADO</v>
          </cell>
          <cell r="N345" t="str">
            <v>IMPORTADO</v>
          </cell>
          <cell r="P345">
            <v>73.430000000000007</v>
          </cell>
          <cell r="Q345">
            <v>73.430000000000007</v>
          </cell>
          <cell r="R345">
            <v>74.33</v>
          </cell>
          <cell r="S345">
            <v>75.25</v>
          </cell>
          <cell r="T345">
            <v>69.260000000000005</v>
          </cell>
          <cell r="U345">
            <v>73.88</v>
          </cell>
          <cell r="V345">
            <v>73.88</v>
          </cell>
          <cell r="W345">
            <v>74.33</v>
          </cell>
          <cell r="X345">
            <v>76.19</v>
          </cell>
          <cell r="Y345">
            <v>75.25</v>
          </cell>
          <cell r="Z345">
            <v>76.19</v>
          </cell>
          <cell r="AA345">
            <v>77.150000000000006</v>
          </cell>
          <cell r="AB345">
            <v>78.14</v>
          </cell>
          <cell r="AC345">
            <v>75.709999999999994</v>
          </cell>
          <cell r="AD345">
            <v>75.709999999999994</v>
          </cell>
          <cell r="AE345">
            <v>76.67</v>
          </cell>
          <cell r="AF345">
            <v>0</v>
          </cell>
          <cell r="AG345">
            <v>101.51</v>
          </cell>
          <cell r="AH345">
            <v>101.51</v>
          </cell>
          <cell r="AI345">
            <v>102.76</v>
          </cell>
          <cell r="AJ345">
            <v>104.03</v>
          </cell>
          <cell r="AK345">
            <v>95.75</v>
          </cell>
          <cell r="AL345">
            <v>102.13</v>
          </cell>
          <cell r="AM345">
            <v>102.13</v>
          </cell>
          <cell r="AN345">
            <v>102.76</v>
          </cell>
          <cell r="AO345">
            <v>105.33</v>
          </cell>
          <cell r="AP345">
            <v>104.03</v>
          </cell>
          <cell r="AQ345">
            <v>105.33</v>
          </cell>
          <cell r="AR345">
            <v>106.66</v>
          </cell>
          <cell r="AS345">
            <v>108.02</v>
          </cell>
          <cell r="AT345">
            <v>104.66</v>
          </cell>
          <cell r="AU345">
            <v>104.66</v>
          </cell>
          <cell r="AV345">
            <v>105.99</v>
          </cell>
          <cell r="AX345">
            <v>73.430000000000007</v>
          </cell>
          <cell r="AY345">
            <v>101.51</v>
          </cell>
          <cell r="AZ345">
            <v>0.17</v>
          </cell>
          <cell r="BA345">
            <v>0.04</v>
          </cell>
          <cell r="BB345" t="str">
            <v>#_NA</v>
          </cell>
          <cell r="BC345" t="str">
            <v>#_NA</v>
          </cell>
          <cell r="BD345" t="str">
            <v>#_NA</v>
          </cell>
          <cell r="BE345" t="str">
            <v>-</v>
          </cell>
          <cell r="BF345" t="str">
            <v>-</v>
          </cell>
          <cell r="BG345">
            <v>0.13542000000000001</v>
          </cell>
          <cell r="BH345">
            <v>0.4365</v>
          </cell>
          <cell r="BI345">
            <v>35.78</v>
          </cell>
          <cell r="BJ345" t="str">
            <v>-</v>
          </cell>
          <cell r="BK345">
            <v>0.46939999999999998</v>
          </cell>
          <cell r="BL345">
            <v>33.69</v>
          </cell>
          <cell r="BM345" t="str">
            <v>-</v>
          </cell>
          <cell r="BN345" t="str">
            <v>SIM</v>
          </cell>
          <cell r="BO345" t="str">
            <v>NÃO</v>
          </cell>
          <cell r="BP345" t="str">
            <v>MS|G|IMPORTADO|Não|Positiva</v>
          </cell>
          <cell r="BR345" t="str">
            <v>TBD</v>
          </cell>
          <cell r="BS345">
            <v>0</v>
          </cell>
          <cell r="BT345" t="str">
            <v>#ERRO</v>
          </cell>
          <cell r="BU345">
            <v>33.69</v>
          </cell>
          <cell r="BV345" t="str">
            <v>-</v>
          </cell>
          <cell r="BX345" t="str">
            <v>TBD</v>
          </cell>
          <cell r="BY345" t="str">
            <v>TBD</v>
          </cell>
          <cell r="BZ345" t="str">
            <v>TBD</v>
          </cell>
          <cell r="CA345" t="str">
            <v>#ERRO</v>
          </cell>
          <cell r="CB345" t="str">
            <v>-</v>
          </cell>
        </row>
        <row r="346">
          <cell r="A346" t="str">
            <v>23084-0</v>
          </cell>
          <cell r="B346" t="str">
            <v>23084-0</v>
          </cell>
          <cell r="C346">
            <v>7896714295589</v>
          </cell>
          <cell r="D346" t="str">
            <v>TELMISARTANA+HCT 80+25MG CT BLX30CP</v>
          </cell>
          <cell r="E346" t="str">
            <v>#ERRO</v>
          </cell>
          <cell r="F346" t="str">
            <v>G</v>
          </cell>
          <cell r="G346" t="str">
            <v>LINHA</v>
          </cell>
          <cell r="H346">
            <v>2</v>
          </cell>
          <cell r="I346">
            <v>32</v>
          </cell>
          <cell r="J346" t="str">
            <v>Monitorado</v>
          </cell>
          <cell r="K346" t="str">
            <v>Positiva</v>
          </cell>
          <cell r="L346" t="str">
            <v>Não</v>
          </cell>
          <cell r="M346" t="str">
            <v>IMPORTADO</v>
          </cell>
          <cell r="N346" t="str">
            <v>IMPORTADO</v>
          </cell>
          <cell r="P346">
            <v>73.430000000000007</v>
          </cell>
          <cell r="Q346">
            <v>73.430000000000007</v>
          </cell>
          <cell r="R346">
            <v>74.33</v>
          </cell>
          <cell r="S346">
            <v>75.25</v>
          </cell>
          <cell r="T346">
            <v>69.260000000000005</v>
          </cell>
          <cell r="U346">
            <v>73.88</v>
          </cell>
          <cell r="V346">
            <v>73.88</v>
          </cell>
          <cell r="W346">
            <v>74.33</v>
          </cell>
          <cell r="X346">
            <v>76.19</v>
          </cell>
          <cell r="Y346">
            <v>75.25</v>
          </cell>
          <cell r="Z346">
            <v>76.19</v>
          </cell>
          <cell r="AA346">
            <v>77.150000000000006</v>
          </cell>
          <cell r="AB346">
            <v>78.14</v>
          </cell>
          <cell r="AC346">
            <v>75.709999999999994</v>
          </cell>
          <cell r="AD346">
            <v>75.709999999999994</v>
          </cell>
          <cell r="AE346">
            <v>76.67</v>
          </cell>
          <cell r="AF346">
            <v>0</v>
          </cell>
          <cell r="AG346">
            <v>101.51</v>
          </cell>
          <cell r="AH346">
            <v>101.51</v>
          </cell>
          <cell r="AI346">
            <v>102.76</v>
          </cell>
          <cell r="AJ346">
            <v>104.03</v>
          </cell>
          <cell r="AK346">
            <v>95.75</v>
          </cell>
          <cell r="AL346">
            <v>102.13</v>
          </cell>
          <cell r="AM346">
            <v>102.13</v>
          </cell>
          <cell r="AN346">
            <v>102.76</v>
          </cell>
          <cell r="AO346">
            <v>105.33</v>
          </cell>
          <cell r="AP346">
            <v>104.03</v>
          </cell>
          <cell r="AQ346">
            <v>105.33</v>
          </cell>
          <cell r="AR346">
            <v>106.66</v>
          </cell>
          <cell r="AS346">
            <v>108.02</v>
          </cell>
          <cell r="AT346">
            <v>104.66</v>
          </cell>
          <cell r="AU346">
            <v>104.66</v>
          </cell>
          <cell r="AV346">
            <v>105.99</v>
          </cell>
          <cell r="AX346">
            <v>73.430000000000007</v>
          </cell>
          <cell r="AY346">
            <v>101.51</v>
          </cell>
          <cell r="AZ346">
            <v>0.17</v>
          </cell>
          <cell r="BA346">
            <v>0.04</v>
          </cell>
          <cell r="BB346" t="str">
            <v>#_NA</v>
          </cell>
          <cell r="BC346" t="str">
            <v>#_NA</v>
          </cell>
          <cell r="BD346" t="str">
            <v>#_NA</v>
          </cell>
          <cell r="BE346" t="str">
            <v>-</v>
          </cell>
          <cell r="BF346" t="str">
            <v>-</v>
          </cell>
          <cell r="BG346">
            <v>0.13542000000000001</v>
          </cell>
          <cell r="BH346">
            <v>0.45800000000000002</v>
          </cell>
          <cell r="BI346">
            <v>34.409999999999997</v>
          </cell>
          <cell r="BJ346" t="str">
            <v>-</v>
          </cell>
          <cell r="BK346">
            <v>0.48970000000000002</v>
          </cell>
          <cell r="BL346">
            <v>32.4</v>
          </cell>
          <cell r="BM346" t="str">
            <v>-</v>
          </cell>
          <cell r="BN346" t="str">
            <v>SIM</v>
          </cell>
          <cell r="BO346" t="str">
            <v>NÃO</v>
          </cell>
          <cell r="BP346" t="str">
            <v>MS|G|IMPORTADO|Não|Positiva</v>
          </cell>
          <cell r="BR346" t="str">
            <v>TBD</v>
          </cell>
          <cell r="BS346">
            <v>0</v>
          </cell>
          <cell r="BT346" t="str">
            <v>#ERRO</v>
          </cell>
          <cell r="BU346">
            <v>32.4</v>
          </cell>
          <cell r="BV346" t="str">
            <v>-</v>
          </cell>
          <cell r="BX346" t="str">
            <v>TBD</v>
          </cell>
          <cell r="BY346" t="str">
            <v>TBD</v>
          </cell>
          <cell r="BZ346" t="str">
            <v>TBD</v>
          </cell>
          <cell r="CA346" t="str">
            <v>#ERRO</v>
          </cell>
          <cell r="CB346" t="str">
            <v>-</v>
          </cell>
        </row>
        <row r="347">
          <cell r="A347" t="str">
            <v>22398-0</v>
          </cell>
          <cell r="B347" t="str">
            <v>22398-0</v>
          </cell>
          <cell r="C347">
            <v>7896714292854</v>
          </cell>
          <cell r="D347" t="str">
            <v>VILDAGLIPTINA NQ 50MG BL X60 CPR</v>
          </cell>
          <cell r="E347" t="str">
            <v>SIM</v>
          </cell>
          <cell r="F347" t="str">
            <v>G</v>
          </cell>
          <cell r="G347" t="str">
            <v>LANCAMENTOS GENERICOS</v>
          </cell>
          <cell r="H347">
            <v>5</v>
          </cell>
          <cell r="I347">
            <v>28</v>
          </cell>
          <cell r="J347" t="str">
            <v>Monitorado</v>
          </cell>
          <cell r="K347" t="str">
            <v>Positiva</v>
          </cell>
          <cell r="L347" t="str">
            <v>Não</v>
          </cell>
          <cell r="M347" t="str">
            <v>NACIONAL</v>
          </cell>
          <cell r="N347" t="str">
            <v>NACIONAL</v>
          </cell>
          <cell r="P347">
            <v>114.11</v>
          </cell>
          <cell r="Q347">
            <v>114.11</v>
          </cell>
          <cell r="R347">
            <v>115.5</v>
          </cell>
          <cell r="S347">
            <v>116.93</v>
          </cell>
          <cell r="T347">
            <v>107.63</v>
          </cell>
          <cell r="U347">
            <v>114.8</v>
          </cell>
          <cell r="V347">
            <v>114.8</v>
          </cell>
          <cell r="W347">
            <v>115.5</v>
          </cell>
          <cell r="X347">
            <v>118.39</v>
          </cell>
          <cell r="Y347">
            <v>116.93</v>
          </cell>
          <cell r="Z347">
            <v>118.39</v>
          </cell>
          <cell r="AA347">
            <v>119.89</v>
          </cell>
          <cell r="AB347">
            <v>121.42</v>
          </cell>
          <cell r="AC347">
            <v>117.65</v>
          </cell>
          <cell r="AD347">
            <v>117.65</v>
          </cell>
          <cell r="AE347">
            <v>119.13</v>
          </cell>
          <cell r="AF347">
            <v>0</v>
          </cell>
          <cell r="AG347">
            <v>157.75</v>
          </cell>
          <cell r="AH347">
            <v>157.75</v>
          </cell>
          <cell r="AI347">
            <v>159.66999999999999</v>
          </cell>
          <cell r="AJ347">
            <v>161.65</v>
          </cell>
          <cell r="AK347">
            <v>148.79</v>
          </cell>
          <cell r="AL347">
            <v>158.69999999999999</v>
          </cell>
          <cell r="AM347">
            <v>158.69999999999999</v>
          </cell>
          <cell r="AN347">
            <v>159.66999999999999</v>
          </cell>
          <cell r="AO347">
            <v>163.66999999999999</v>
          </cell>
          <cell r="AP347">
            <v>161.65</v>
          </cell>
          <cell r="AQ347">
            <v>163.66999999999999</v>
          </cell>
          <cell r="AR347">
            <v>165.74</v>
          </cell>
          <cell r="AS347">
            <v>167.86</v>
          </cell>
          <cell r="AT347">
            <v>162.63999999999999</v>
          </cell>
          <cell r="AU347">
            <v>162.63999999999999</v>
          </cell>
          <cell r="AV347">
            <v>164.69</v>
          </cell>
          <cell r="AX347">
            <v>114.11</v>
          </cell>
          <cell r="AY347">
            <v>157.75</v>
          </cell>
          <cell r="AZ347">
            <v>0.17</v>
          </cell>
          <cell r="BA347">
            <v>0.12</v>
          </cell>
          <cell r="BB347" t="str">
            <v>#_NA</v>
          </cell>
          <cell r="BC347" t="str">
            <v>#_NA</v>
          </cell>
          <cell r="BD347" t="str">
            <v>#_NA</v>
          </cell>
          <cell r="BE347" t="str">
            <v>-</v>
          </cell>
          <cell r="BF347" t="str">
            <v>-</v>
          </cell>
          <cell r="BG347">
            <v>5.6820000000000002E-2</v>
          </cell>
          <cell r="BH347">
            <v>0.48599999999999999</v>
          </cell>
          <cell r="BI347">
            <v>55.32</v>
          </cell>
          <cell r="BJ347" t="str">
            <v>-</v>
          </cell>
          <cell r="BK347">
            <v>0.51590000000000003</v>
          </cell>
          <cell r="BL347">
            <v>52.1</v>
          </cell>
          <cell r="BM347" t="str">
            <v>-</v>
          </cell>
          <cell r="BN347" t="str">
            <v>SIM</v>
          </cell>
          <cell r="BO347" t="str">
            <v>NÃO</v>
          </cell>
          <cell r="BP347" t="str">
            <v>MS|G|NACIONAL|Não|Positiva</v>
          </cell>
          <cell r="BR347" t="str">
            <v>TBD</v>
          </cell>
          <cell r="BS347">
            <v>0</v>
          </cell>
          <cell r="BT347" t="str">
            <v>#ERRO</v>
          </cell>
          <cell r="BU347">
            <v>52.1</v>
          </cell>
          <cell r="BV347" t="str">
            <v>-</v>
          </cell>
          <cell r="BX347" t="str">
            <v>TBD</v>
          </cell>
          <cell r="BY347" t="str">
            <v>TBD</v>
          </cell>
          <cell r="BZ347" t="str">
            <v>TBD</v>
          </cell>
          <cell r="CA347" t="str">
            <v>#ERRO</v>
          </cell>
          <cell r="CB347" t="str">
            <v>-</v>
          </cell>
        </row>
        <row r="348">
          <cell r="A348" t="str">
            <v>22946-0</v>
          </cell>
          <cell r="B348" t="str">
            <v>22946-1</v>
          </cell>
          <cell r="C348">
            <v>7896714295077</v>
          </cell>
          <cell r="D348" t="str">
            <v>MAL BRONF+CL FENILE BL X12 CPRV LIB PROL</v>
          </cell>
          <cell r="E348" t="str">
            <v>SIM</v>
          </cell>
          <cell r="F348" t="str">
            <v>G</v>
          </cell>
          <cell r="G348" t="str">
            <v>LANCAMENTOS GENERICOS</v>
          </cell>
          <cell r="H348">
            <v>5</v>
          </cell>
          <cell r="I348">
            <v>60</v>
          </cell>
          <cell r="J348" t="str">
            <v>Liberado</v>
          </cell>
          <cell r="K348" t="str">
            <v>Negativa</v>
          </cell>
          <cell r="L348" t="str">
            <v>Sim</v>
          </cell>
          <cell r="M348" t="str">
            <v>NACIONAL</v>
          </cell>
          <cell r="N348" t="str">
            <v>NACIONAL</v>
          </cell>
          <cell r="P348">
            <v>15.39</v>
          </cell>
          <cell r="Q348">
            <v>17.68</v>
          </cell>
          <cell r="R348">
            <v>17.93</v>
          </cell>
          <cell r="S348">
            <v>18.190000000000001</v>
          </cell>
          <cell r="T348">
            <v>16.54</v>
          </cell>
          <cell r="U348">
            <v>17.809999999999999</v>
          </cell>
          <cell r="V348">
            <v>15.49</v>
          </cell>
          <cell r="W348">
            <v>15.58</v>
          </cell>
          <cell r="X348">
            <v>18.45</v>
          </cell>
          <cell r="Y348">
            <v>15.77</v>
          </cell>
          <cell r="Z348">
            <v>15.97</v>
          </cell>
          <cell r="AA348">
            <v>18.72</v>
          </cell>
          <cell r="AB348">
            <v>19</v>
          </cell>
          <cell r="AC348">
            <v>18.32</v>
          </cell>
          <cell r="AD348">
            <v>15.87</v>
          </cell>
          <cell r="AE348">
            <v>18.59</v>
          </cell>
          <cell r="AF348">
            <v>0</v>
          </cell>
          <cell r="AG348">
            <v>21.28</v>
          </cell>
          <cell r="AH348">
            <v>23.57</v>
          </cell>
          <cell r="AI348">
            <v>23.89</v>
          </cell>
          <cell r="AJ348">
            <v>24.22</v>
          </cell>
          <cell r="AK348">
            <v>22.09</v>
          </cell>
          <cell r="AL348">
            <v>23.73</v>
          </cell>
          <cell r="AM348">
            <v>21.41</v>
          </cell>
          <cell r="AN348">
            <v>21.54</v>
          </cell>
          <cell r="AO348">
            <v>24.56</v>
          </cell>
          <cell r="AP348">
            <v>21.8</v>
          </cell>
          <cell r="AQ348">
            <v>22.08</v>
          </cell>
          <cell r="AR348">
            <v>24.9</v>
          </cell>
          <cell r="AS348">
            <v>25.26</v>
          </cell>
          <cell r="AT348">
            <v>24.39</v>
          </cell>
          <cell r="AU348">
            <v>21.94</v>
          </cell>
          <cell r="AV348">
            <v>24.74</v>
          </cell>
          <cell r="AX348">
            <v>17.68</v>
          </cell>
          <cell r="AY348">
            <v>23.57</v>
          </cell>
          <cell r="AZ348">
            <v>0.17</v>
          </cell>
          <cell r="BA348">
            <v>0.12</v>
          </cell>
          <cell r="BB348" t="str">
            <v>#_NA</v>
          </cell>
          <cell r="BC348" t="str">
            <v>#_NA</v>
          </cell>
          <cell r="BD348" t="str">
            <v>#_NA</v>
          </cell>
          <cell r="BE348" t="str">
            <v>-</v>
          </cell>
          <cell r="BF348" t="str">
            <v>-</v>
          </cell>
          <cell r="BG348">
            <v>5.6820000000000002E-2</v>
          </cell>
          <cell r="BH348">
            <v>0.3044</v>
          </cell>
          <cell r="BI348">
            <v>11.6</v>
          </cell>
          <cell r="BJ348" t="str">
            <v>-</v>
          </cell>
          <cell r="BK348">
            <v>0.42509999999999998</v>
          </cell>
          <cell r="BL348">
            <v>9.59</v>
          </cell>
          <cell r="BM348" t="str">
            <v>-</v>
          </cell>
          <cell r="BN348" t="str">
            <v>SIM</v>
          </cell>
          <cell r="BO348" t="str">
            <v>NÃO</v>
          </cell>
          <cell r="BP348" t="str">
            <v>MS|G|NACIONAL|Sim|Negativa</v>
          </cell>
          <cell r="BR348" t="str">
            <v>TBD</v>
          </cell>
          <cell r="BS348">
            <v>0</v>
          </cell>
          <cell r="BT348" t="str">
            <v>#ERRO</v>
          </cell>
          <cell r="BU348">
            <v>9.59</v>
          </cell>
          <cell r="BV348" t="str">
            <v>-</v>
          </cell>
          <cell r="BX348" t="str">
            <v>TBD</v>
          </cell>
          <cell r="BY348" t="str">
            <v>TBD</v>
          </cell>
          <cell r="BZ348" t="str">
            <v>TBD</v>
          </cell>
          <cell r="CA348" t="str">
            <v>#ERRO</v>
          </cell>
          <cell r="CB348" t="str">
            <v>-</v>
          </cell>
        </row>
        <row r="349">
          <cell r="A349" t="str">
            <v>22577-0</v>
          </cell>
          <cell r="B349" t="str">
            <v>22577-0</v>
          </cell>
          <cell r="C349">
            <v>7896714293370</v>
          </cell>
          <cell r="D349" t="str">
            <v>MAL BRON+CL FENI 2+2,5MG/ML SOL GTSX20ML</v>
          </cell>
          <cell r="E349" t="str">
            <v>SIM</v>
          </cell>
          <cell r="F349" t="str">
            <v>G</v>
          </cell>
          <cell r="G349" t="str">
            <v>LANCAMENTOS GENERICOS</v>
          </cell>
          <cell r="H349">
            <v>5</v>
          </cell>
          <cell r="I349">
            <v>112</v>
          </cell>
          <cell r="J349" t="str">
            <v>Liberado</v>
          </cell>
          <cell r="K349" t="str">
            <v>Negativa</v>
          </cell>
          <cell r="L349" t="str">
            <v>Sim</v>
          </cell>
          <cell r="M349" t="str">
            <v>NACIONAL</v>
          </cell>
          <cell r="N349" t="str">
            <v>NACIONAL</v>
          </cell>
          <cell r="P349">
            <v>8.9</v>
          </cell>
          <cell r="Q349">
            <v>10.220000000000001</v>
          </cell>
          <cell r="R349">
            <v>10.36</v>
          </cell>
          <cell r="S349">
            <v>10.51</v>
          </cell>
          <cell r="T349">
            <v>9.56</v>
          </cell>
          <cell r="U349">
            <v>10.29</v>
          </cell>
          <cell r="V349">
            <v>8.9499999999999993</v>
          </cell>
          <cell r="W349">
            <v>9</v>
          </cell>
          <cell r="X349">
            <v>10.66</v>
          </cell>
          <cell r="Y349">
            <v>9.1199999999999992</v>
          </cell>
          <cell r="Z349">
            <v>9.23</v>
          </cell>
          <cell r="AA349">
            <v>10.82</v>
          </cell>
          <cell r="AB349">
            <v>10.98</v>
          </cell>
          <cell r="AC349">
            <v>10.59</v>
          </cell>
          <cell r="AD349">
            <v>9.17</v>
          </cell>
          <cell r="AE349">
            <v>10.74</v>
          </cell>
          <cell r="AF349">
            <v>0</v>
          </cell>
          <cell r="AG349">
            <v>12.3</v>
          </cell>
          <cell r="AH349">
            <v>13.62</v>
          </cell>
          <cell r="AI349">
            <v>13.8</v>
          </cell>
          <cell r="AJ349">
            <v>14</v>
          </cell>
          <cell r="AK349">
            <v>12.77</v>
          </cell>
          <cell r="AL349">
            <v>13.71</v>
          </cell>
          <cell r="AM349">
            <v>12.37</v>
          </cell>
          <cell r="AN349">
            <v>12.44</v>
          </cell>
          <cell r="AO349">
            <v>14.19</v>
          </cell>
          <cell r="AP349">
            <v>12.61</v>
          </cell>
          <cell r="AQ349">
            <v>12.76</v>
          </cell>
          <cell r="AR349">
            <v>14.39</v>
          </cell>
          <cell r="AS349">
            <v>14.6</v>
          </cell>
          <cell r="AT349">
            <v>14.1</v>
          </cell>
          <cell r="AU349">
            <v>12.68</v>
          </cell>
          <cell r="AV349">
            <v>14.29</v>
          </cell>
          <cell r="AX349">
            <v>10.220000000000001</v>
          </cell>
          <cell r="AY349">
            <v>13.62</v>
          </cell>
          <cell r="AZ349">
            <v>0.17</v>
          </cell>
          <cell r="BA349">
            <v>0.12</v>
          </cell>
          <cell r="BB349" t="str">
            <v>#_NA</v>
          </cell>
          <cell r="BC349" t="str">
            <v>#_NA</v>
          </cell>
          <cell r="BD349" t="str">
            <v>#_NA</v>
          </cell>
          <cell r="BE349" t="str">
            <v>-</v>
          </cell>
          <cell r="BF349" t="str">
            <v>-</v>
          </cell>
          <cell r="BG349">
            <v>5.6820000000000002E-2</v>
          </cell>
          <cell r="BH349">
            <v>0.30249999999999999</v>
          </cell>
          <cell r="BI349">
            <v>6.72</v>
          </cell>
          <cell r="BJ349" t="str">
            <v>-</v>
          </cell>
          <cell r="BK349">
            <v>0.42530000000000001</v>
          </cell>
          <cell r="BL349">
            <v>5.54</v>
          </cell>
          <cell r="BM349" t="str">
            <v>-</v>
          </cell>
          <cell r="BN349" t="str">
            <v>SIM</v>
          </cell>
          <cell r="BO349" t="str">
            <v>NÃO</v>
          </cell>
          <cell r="BP349" t="str">
            <v>MS|G|NACIONAL|Sim|Negativa</v>
          </cell>
          <cell r="BR349" t="str">
            <v>TBD</v>
          </cell>
          <cell r="BS349">
            <v>0</v>
          </cell>
          <cell r="BT349" t="str">
            <v>#ERRO</v>
          </cell>
          <cell r="BU349">
            <v>5.54</v>
          </cell>
          <cell r="BV349" t="str">
            <v>-</v>
          </cell>
          <cell r="BX349" t="str">
            <v>TBD</v>
          </cell>
          <cell r="BY349" t="str">
            <v>TBD</v>
          </cell>
          <cell r="BZ349" t="str">
            <v>TBD</v>
          </cell>
          <cell r="CA349" t="str">
            <v>#ERRO</v>
          </cell>
          <cell r="CB349" t="str">
            <v>-</v>
          </cell>
        </row>
        <row r="350">
          <cell r="A350" t="str">
            <v>23003-0</v>
          </cell>
          <cell r="B350" t="str">
            <v>23003-0</v>
          </cell>
          <cell r="C350">
            <v>7896714295299</v>
          </cell>
          <cell r="D350" t="str">
            <v>NEOSORO FLUID AV 0,9% PO P SOL 30 SACHES</v>
          </cell>
          <cell r="E350" t="str">
            <v>SIM</v>
          </cell>
          <cell r="F350" t="str">
            <v>S</v>
          </cell>
          <cell r="G350" t="str">
            <v>LANCAMENTOS SMART</v>
          </cell>
          <cell r="H350">
            <v>0</v>
          </cell>
          <cell r="I350">
            <v>15</v>
          </cell>
          <cell r="J350" t="str">
            <v>Liberado</v>
          </cell>
          <cell r="K350" t="str">
            <v>Negativa</v>
          </cell>
          <cell r="L350" t="str">
            <v>Sim</v>
          </cell>
          <cell r="M350" t="str">
            <v>NACIONAL</v>
          </cell>
          <cell r="N350" t="str">
            <v>NACIONAL</v>
          </cell>
          <cell r="P350">
            <v>46.4</v>
          </cell>
          <cell r="Q350">
            <v>53.3</v>
          </cell>
          <cell r="R350">
            <v>54.05</v>
          </cell>
          <cell r="S350">
            <v>54.82</v>
          </cell>
          <cell r="T350">
            <v>49.84</v>
          </cell>
          <cell r="U350">
            <v>53.67</v>
          </cell>
          <cell r="V350">
            <v>46.68</v>
          </cell>
          <cell r="W350">
            <v>46.96</v>
          </cell>
          <cell r="X350">
            <v>55.61</v>
          </cell>
          <cell r="Y350">
            <v>47.54</v>
          </cell>
          <cell r="Z350">
            <v>48.14</v>
          </cell>
          <cell r="AA350">
            <v>56.43</v>
          </cell>
          <cell r="AB350">
            <v>57.27</v>
          </cell>
          <cell r="AC350">
            <v>55.21</v>
          </cell>
          <cell r="AD350">
            <v>47.84</v>
          </cell>
          <cell r="AE350">
            <v>56.02</v>
          </cell>
          <cell r="AF350">
            <v>0</v>
          </cell>
          <cell r="AG350">
            <v>64.150000000000006</v>
          </cell>
          <cell r="AH350">
            <v>71.040000000000006</v>
          </cell>
          <cell r="AI350">
            <v>72.010000000000005</v>
          </cell>
          <cell r="AJ350">
            <v>73</v>
          </cell>
          <cell r="AK350">
            <v>66.58</v>
          </cell>
          <cell r="AL350">
            <v>71.52</v>
          </cell>
          <cell r="AM350">
            <v>64.53</v>
          </cell>
          <cell r="AN350">
            <v>64.92</v>
          </cell>
          <cell r="AO350">
            <v>74.02</v>
          </cell>
          <cell r="AP350">
            <v>65.72</v>
          </cell>
          <cell r="AQ350">
            <v>66.55</v>
          </cell>
          <cell r="AR350">
            <v>75.069999999999993</v>
          </cell>
          <cell r="AS350">
            <v>76.150000000000006</v>
          </cell>
          <cell r="AT350">
            <v>73.5</v>
          </cell>
          <cell r="AU350">
            <v>66.14</v>
          </cell>
          <cell r="AV350">
            <v>74.55</v>
          </cell>
          <cell r="AX350">
            <v>53.3</v>
          </cell>
          <cell r="AY350">
            <v>71.040000000000006</v>
          </cell>
          <cell r="AZ350">
            <v>0.17</v>
          </cell>
          <cell r="BA350">
            <v>0.12</v>
          </cell>
          <cell r="BB350" t="str">
            <v>#_NA</v>
          </cell>
          <cell r="BC350" t="str">
            <v>#_NA</v>
          </cell>
          <cell r="BD350" t="str">
            <v>#_NA</v>
          </cell>
          <cell r="BE350" t="str">
            <v>-</v>
          </cell>
          <cell r="BF350" t="str">
            <v>-</v>
          </cell>
          <cell r="BG350">
            <v>5.6820000000000002E-2</v>
          </cell>
          <cell r="BH350">
            <v>0.51470000000000005</v>
          </cell>
          <cell r="BI350">
            <v>24.4</v>
          </cell>
          <cell r="BJ350" t="str">
            <v>-</v>
          </cell>
          <cell r="BK350">
            <v>0.59919999999999995</v>
          </cell>
          <cell r="BL350">
            <v>20.149999999999999</v>
          </cell>
          <cell r="BM350" t="str">
            <v>-</v>
          </cell>
          <cell r="BN350" t="str">
            <v>SIM</v>
          </cell>
          <cell r="BO350" t="str">
            <v>NÃO</v>
          </cell>
          <cell r="BP350" t="str">
            <v>MS|S|NACIONAL|Sim|Negativa</v>
          </cell>
          <cell r="BR350" t="str">
            <v>TBD</v>
          </cell>
          <cell r="BS350">
            <v>0</v>
          </cell>
          <cell r="BT350" t="str">
            <v>#ERRO</v>
          </cell>
          <cell r="BU350">
            <v>20.149999999999999</v>
          </cell>
          <cell r="BV350" t="str">
            <v>-</v>
          </cell>
          <cell r="BX350" t="str">
            <v>TBD</v>
          </cell>
          <cell r="BY350" t="str">
            <v>TBD</v>
          </cell>
          <cell r="BZ350" t="str">
            <v>TBD</v>
          </cell>
          <cell r="CA350" t="str">
            <v>#ERRO</v>
          </cell>
          <cell r="CB350" t="str">
            <v>-</v>
          </cell>
        </row>
        <row r="351">
          <cell r="A351" t="str">
            <v>23004-0</v>
          </cell>
          <cell r="B351" t="str">
            <v>23004-0</v>
          </cell>
          <cell r="C351">
            <v>7896714295305</v>
          </cell>
          <cell r="D351" t="str">
            <v>NEOSORO FLUID AV 0,9% PO SOL 30 FR240ML</v>
          </cell>
          <cell r="E351" t="str">
            <v>SIM</v>
          </cell>
          <cell r="F351" t="str">
            <v>S</v>
          </cell>
          <cell r="G351" t="str">
            <v>LANCAMENTOS SMART</v>
          </cell>
          <cell r="H351">
            <v>0</v>
          </cell>
          <cell r="I351">
            <v>12</v>
          </cell>
          <cell r="J351" t="str">
            <v>Liberado</v>
          </cell>
          <cell r="K351" t="str">
            <v>Negativa</v>
          </cell>
          <cell r="L351" t="str">
            <v>Sim</v>
          </cell>
          <cell r="M351" t="str">
            <v>NACIONAL</v>
          </cell>
          <cell r="N351" t="str">
            <v>NACIONAL</v>
          </cell>
          <cell r="P351">
            <v>55.73</v>
          </cell>
          <cell r="Q351">
            <v>64.02</v>
          </cell>
          <cell r="R351">
            <v>64.92</v>
          </cell>
          <cell r="S351">
            <v>65.849999999999994</v>
          </cell>
          <cell r="T351">
            <v>59.87</v>
          </cell>
          <cell r="U351">
            <v>64.47</v>
          </cell>
          <cell r="V351">
            <v>56.07</v>
          </cell>
          <cell r="W351">
            <v>56.41</v>
          </cell>
          <cell r="X351">
            <v>66.8</v>
          </cell>
          <cell r="Y351">
            <v>57.11</v>
          </cell>
          <cell r="Z351">
            <v>57.82</v>
          </cell>
          <cell r="AA351">
            <v>67.78</v>
          </cell>
          <cell r="AB351">
            <v>68.8</v>
          </cell>
          <cell r="AC351">
            <v>66.319999999999993</v>
          </cell>
          <cell r="AD351">
            <v>57.46</v>
          </cell>
          <cell r="AE351">
            <v>67.290000000000006</v>
          </cell>
          <cell r="AF351">
            <v>0</v>
          </cell>
          <cell r="AG351">
            <v>77.040000000000006</v>
          </cell>
          <cell r="AH351">
            <v>85.33</v>
          </cell>
          <cell r="AI351">
            <v>86.49</v>
          </cell>
          <cell r="AJ351">
            <v>87.69</v>
          </cell>
          <cell r="AK351">
            <v>79.97</v>
          </cell>
          <cell r="AL351">
            <v>85.91</v>
          </cell>
          <cell r="AM351">
            <v>77.510000000000005</v>
          </cell>
          <cell r="AN351">
            <v>77.98</v>
          </cell>
          <cell r="AO351">
            <v>88.91</v>
          </cell>
          <cell r="AP351">
            <v>78.95</v>
          </cell>
          <cell r="AQ351">
            <v>79.930000000000007</v>
          </cell>
          <cell r="AR351">
            <v>90.17</v>
          </cell>
          <cell r="AS351">
            <v>91.48</v>
          </cell>
          <cell r="AT351">
            <v>88.3</v>
          </cell>
          <cell r="AU351">
            <v>79.44</v>
          </cell>
          <cell r="AV351">
            <v>89.54</v>
          </cell>
          <cell r="AX351">
            <v>64.02</v>
          </cell>
          <cell r="AY351">
            <v>85.33</v>
          </cell>
          <cell r="AZ351">
            <v>0.17</v>
          </cell>
          <cell r="BA351">
            <v>0.12</v>
          </cell>
          <cell r="BB351" t="str">
            <v>#_NA</v>
          </cell>
          <cell r="BC351" t="str">
            <v>#_NA</v>
          </cell>
          <cell r="BD351" t="str">
            <v>#_NA</v>
          </cell>
          <cell r="BE351" t="str">
            <v>-</v>
          </cell>
          <cell r="BF351" t="str">
            <v>-</v>
          </cell>
          <cell r="BG351">
            <v>5.6820000000000002E-2</v>
          </cell>
          <cell r="BH351">
            <v>0.57940000000000003</v>
          </cell>
          <cell r="BI351">
            <v>25.4</v>
          </cell>
          <cell r="BJ351" t="str">
            <v>-</v>
          </cell>
          <cell r="BK351">
            <v>0.59940000000000004</v>
          </cell>
          <cell r="BL351">
            <v>24.19</v>
          </cell>
          <cell r="BM351" t="str">
            <v>-</v>
          </cell>
          <cell r="BN351" t="str">
            <v>SIM</v>
          </cell>
          <cell r="BO351" t="str">
            <v>NÃO</v>
          </cell>
          <cell r="BP351" t="str">
            <v>MS|S|NACIONAL|Sim|Negativa</v>
          </cell>
          <cell r="BR351" t="str">
            <v>TBD</v>
          </cell>
          <cell r="BS351">
            <v>0</v>
          </cell>
          <cell r="BT351" t="str">
            <v>#ERRO</v>
          </cell>
          <cell r="BU351">
            <v>24.19</v>
          </cell>
          <cell r="BV351" t="str">
            <v>-</v>
          </cell>
          <cell r="BX351" t="str">
            <v>TBD</v>
          </cell>
          <cell r="BY351" t="str">
            <v>TBD</v>
          </cell>
          <cell r="BZ351" t="str">
            <v>TBD</v>
          </cell>
          <cell r="CA351" t="str">
            <v>#ERRO</v>
          </cell>
          <cell r="CB351" t="str">
            <v>-</v>
          </cell>
        </row>
        <row r="352">
          <cell r="A352" t="str">
            <v>22835-0</v>
          </cell>
          <cell r="B352" t="str">
            <v>22835-0</v>
          </cell>
          <cell r="C352">
            <v>7896714294315</v>
          </cell>
          <cell r="D352" t="str">
            <v>NEOGERMINA CT 10FLACON 2BI SUSP</v>
          </cell>
          <cell r="E352" t="str">
            <v>SIM</v>
          </cell>
          <cell r="F352" t="str">
            <v>S</v>
          </cell>
          <cell r="G352" t="str">
            <v>LANCAMENTOS SMART</v>
          </cell>
          <cell r="H352">
            <v>1</v>
          </cell>
          <cell r="I352">
            <v>150</v>
          </cell>
          <cell r="J352" t="str">
            <v>Liberado</v>
          </cell>
          <cell r="K352" t="str">
            <v>Alimento Funcional</v>
          </cell>
          <cell r="L352" t="str">
            <v>Não</v>
          </cell>
          <cell r="M352" t="str">
            <v>IMPORTADO</v>
          </cell>
          <cell r="N352" t="str">
            <v>IMPORTADO</v>
          </cell>
          <cell r="P352">
            <v>36.69</v>
          </cell>
          <cell r="Q352">
            <v>36.69</v>
          </cell>
          <cell r="R352">
            <v>37.14</v>
          </cell>
          <cell r="S352">
            <v>37.6</v>
          </cell>
          <cell r="T352">
            <v>34.61</v>
          </cell>
          <cell r="U352">
            <v>36.909999999999997</v>
          </cell>
          <cell r="V352">
            <v>36.909999999999997</v>
          </cell>
          <cell r="W352">
            <v>37.14</v>
          </cell>
          <cell r="X352">
            <v>38.07</v>
          </cell>
          <cell r="Y352">
            <v>37.6</v>
          </cell>
          <cell r="Z352">
            <v>38.07</v>
          </cell>
          <cell r="AA352">
            <v>38.549999999999997</v>
          </cell>
          <cell r="AB352">
            <v>39.04</v>
          </cell>
          <cell r="AC352">
            <v>37.83</v>
          </cell>
          <cell r="AD352">
            <v>37.83</v>
          </cell>
          <cell r="AE352">
            <v>38.31</v>
          </cell>
          <cell r="AF352">
            <v>0</v>
          </cell>
          <cell r="AG352">
            <v>50.72</v>
          </cell>
          <cell r="AH352">
            <v>50.72</v>
          </cell>
          <cell r="AI352">
            <v>51.34</v>
          </cell>
          <cell r="AJ352">
            <v>51.98</v>
          </cell>
          <cell r="AK352">
            <v>47.85</v>
          </cell>
          <cell r="AL352">
            <v>51.03</v>
          </cell>
          <cell r="AM352">
            <v>51.03</v>
          </cell>
          <cell r="AN352">
            <v>51.34</v>
          </cell>
          <cell r="AO352">
            <v>52.63</v>
          </cell>
          <cell r="AP352">
            <v>51.98</v>
          </cell>
          <cell r="AQ352">
            <v>52.63</v>
          </cell>
          <cell r="AR352">
            <v>53.29</v>
          </cell>
          <cell r="AS352">
            <v>53.97</v>
          </cell>
          <cell r="AT352">
            <v>52.3</v>
          </cell>
          <cell r="AU352">
            <v>52.3</v>
          </cell>
          <cell r="AV352">
            <v>52.96</v>
          </cell>
          <cell r="AX352">
            <v>36.69</v>
          </cell>
          <cell r="AY352">
            <v>50.72</v>
          </cell>
          <cell r="AZ352">
            <v>0.17</v>
          </cell>
          <cell r="BA352">
            <v>0.04</v>
          </cell>
          <cell r="BB352" t="str">
            <v>#_NA</v>
          </cell>
          <cell r="BC352" t="str">
            <v>#_NA</v>
          </cell>
          <cell r="BD352" t="str">
            <v>#_NA</v>
          </cell>
          <cell r="BE352" t="str">
            <v>-</v>
          </cell>
          <cell r="BF352" t="str">
            <v>-</v>
          </cell>
          <cell r="BG352">
            <v>0.13542000000000001</v>
          </cell>
          <cell r="BH352">
            <v>0.45610000000000001</v>
          </cell>
          <cell r="BI352">
            <v>17.25</v>
          </cell>
          <cell r="BJ352" t="str">
            <v>-</v>
          </cell>
          <cell r="BK352">
            <v>0.48199999999999998</v>
          </cell>
          <cell r="BL352">
            <v>16.43</v>
          </cell>
          <cell r="BM352" t="str">
            <v>-</v>
          </cell>
          <cell r="BN352" t="str">
            <v>SIM</v>
          </cell>
          <cell r="BO352" t="str">
            <v>NÃO</v>
          </cell>
          <cell r="BP352" t="str">
            <v>MS|S|IMPORTADO|Não|Alimento Funcional</v>
          </cell>
          <cell r="BR352" t="str">
            <v>TBD</v>
          </cell>
          <cell r="BS352">
            <v>0</v>
          </cell>
          <cell r="BT352" t="str">
            <v>#ERRO</v>
          </cell>
          <cell r="BU352">
            <v>16.43</v>
          </cell>
          <cell r="BV352" t="str">
            <v>-</v>
          </cell>
          <cell r="BX352" t="str">
            <v>TBD</v>
          </cell>
          <cell r="BY352" t="str">
            <v>TBD</v>
          </cell>
          <cell r="BZ352" t="str">
            <v>TBD</v>
          </cell>
          <cell r="CA352" t="str">
            <v>#ERRO</v>
          </cell>
          <cell r="CB352" t="str">
            <v>-</v>
          </cell>
        </row>
        <row r="353">
          <cell r="A353" t="str">
            <v>22826-0</v>
          </cell>
          <cell r="B353" t="str">
            <v>22826-0</v>
          </cell>
          <cell r="C353">
            <v>7896714294209</v>
          </cell>
          <cell r="D353" t="str">
            <v>VIT NEO QUIMICA MVM KIDS MOR 60 CP MAST</v>
          </cell>
          <cell r="E353" t="str">
            <v>SIM</v>
          </cell>
          <cell r="F353" t="str">
            <v>S</v>
          </cell>
          <cell r="G353" t="str">
            <v>FOCO SMART</v>
          </cell>
          <cell r="H353">
            <v>5</v>
          </cell>
          <cell r="I353">
            <v>12</v>
          </cell>
          <cell r="J353" t="str">
            <v>Liberado</v>
          </cell>
          <cell r="K353" t="str">
            <v>Alimento Funcional</v>
          </cell>
          <cell r="L353" t="str">
            <v>Sim</v>
          </cell>
          <cell r="M353" t="str">
            <v>NACIONAL</v>
          </cell>
          <cell r="N353" t="str">
            <v>NACIONAL</v>
          </cell>
          <cell r="P353">
            <v>36.85</v>
          </cell>
          <cell r="Q353">
            <v>36.85</v>
          </cell>
          <cell r="R353">
            <v>37.299999999999997</v>
          </cell>
          <cell r="S353">
            <v>37.76</v>
          </cell>
          <cell r="T353">
            <v>34.76</v>
          </cell>
          <cell r="U353">
            <v>37.07</v>
          </cell>
          <cell r="V353">
            <v>37.07</v>
          </cell>
          <cell r="W353">
            <v>37.299999999999997</v>
          </cell>
          <cell r="X353">
            <v>38.229999999999997</v>
          </cell>
          <cell r="Y353">
            <v>37.76</v>
          </cell>
          <cell r="Z353">
            <v>38.229999999999997</v>
          </cell>
          <cell r="AA353">
            <v>38.72</v>
          </cell>
          <cell r="AB353">
            <v>39.21</v>
          </cell>
          <cell r="AC353">
            <v>38</v>
          </cell>
          <cell r="AD353">
            <v>38</v>
          </cell>
          <cell r="AE353">
            <v>38.47</v>
          </cell>
          <cell r="AF353">
            <v>0</v>
          </cell>
          <cell r="AG353">
            <v>50.94</v>
          </cell>
          <cell r="AH353">
            <v>50.94</v>
          </cell>
          <cell r="AI353">
            <v>51.57</v>
          </cell>
          <cell r="AJ353">
            <v>52.2</v>
          </cell>
          <cell r="AK353">
            <v>48.05</v>
          </cell>
          <cell r="AL353">
            <v>51.25</v>
          </cell>
          <cell r="AM353">
            <v>51.25</v>
          </cell>
          <cell r="AN353">
            <v>51.57</v>
          </cell>
          <cell r="AO353">
            <v>52.85</v>
          </cell>
          <cell r="AP353">
            <v>52.2</v>
          </cell>
          <cell r="AQ353">
            <v>52.85</v>
          </cell>
          <cell r="AR353">
            <v>53.53</v>
          </cell>
          <cell r="AS353">
            <v>54.21</v>
          </cell>
          <cell r="AT353">
            <v>52.53</v>
          </cell>
          <cell r="AU353">
            <v>52.53</v>
          </cell>
          <cell r="AV353">
            <v>53.18</v>
          </cell>
          <cell r="AX353">
            <v>36.85</v>
          </cell>
          <cell r="AY353">
            <v>50.94</v>
          </cell>
          <cell r="AZ353">
            <v>0.17</v>
          </cell>
          <cell r="BA353">
            <v>0.12</v>
          </cell>
          <cell r="BB353" t="str">
            <v>#_NA</v>
          </cell>
          <cell r="BC353" t="str">
            <v>#_NA</v>
          </cell>
          <cell r="BD353" t="str">
            <v>#_NA</v>
          </cell>
          <cell r="BE353" t="str">
            <v>-</v>
          </cell>
          <cell r="BF353" t="str">
            <v>-</v>
          </cell>
          <cell r="BG353">
            <v>5.6820000000000002E-2</v>
          </cell>
          <cell r="BH353">
            <v>0.63360000000000005</v>
          </cell>
          <cell r="BI353">
            <v>12.74</v>
          </cell>
          <cell r="BJ353" t="str">
            <v>-</v>
          </cell>
          <cell r="BK353">
            <v>0.65110000000000001</v>
          </cell>
          <cell r="BL353">
            <v>12.13</v>
          </cell>
          <cell r="BM353" t="str">
            <v>-</v>
          </cell>
          <cell r="BN353" t="str">
            <v>SIM</v>
          </cell>
          <cell r="BO353" t="str">
            <v>NÃO</v>
          </cell>
          <cell r="BP353" t="str">
            <v>MS|S|NACIONAL|Sim|Alimento Funcional</v>
          </cell>
          <cell r="BR353" t="str">
            <v>TBD</v>
          </cell>
          <cell r="BS353">
            <v>0</v>
          </cell>
          <cell r="BT353" t="str">
            <v>#ERRO</v>
          </cell>
          <cell r="BU353">
            <v>12.13</v>
          </cell>
          <cell r="BV353" t="str">
            <v>-</v>
          </cell>
          <cell r="BX353" t="str">
            <v>TBD</v>
          </cell>
          <cell r="BY353" t="str">
            <v>TBD</v>
          </cell>
          <cell r="BZ353" t="str">
            <v>TBD</v>
          </cell>
          <cell r="CA353" t="str">
            <v>#ERRO</v>
          </cell>
          <cell r="CB353" t="str">
            <v>-</v>
          </cell>
        </row>
        <row r="354">
          <cell r="A354" t="str">
            <v>23011-0</v>
          </cell>
          <cell r="B354" t="str">
            <v>23011-0</v>
          </cell>
          <cell r="C354">
            <v>7896714295336</v>
          </cell>
          <cell r="D354" t="str">
            <v>LATOLISE 10.000 FCC CT BL 30CAPS</v>
          </cell>
          <cell r="E354" t="str">
            <v>SIM</v>
          </cell>
          <cell r="F354" t="str">
            <v>S</v>
          </cell>
          <cell r="G354" t="str">
            <v>LANCAMENTOS SMART</v>
          </cell>
          <cell r="H354">
            <v>0</v>
          </cell>
          <cell r="I354">
            <v>12</v>
          </cell>
          <cell r="J354" t="str">
            <v>Liberado</v>
          </cell>
          <cell r="K354" t="str">
            <v>Alimento Funcional</v>
          </cell>
          <cell r="L354" t="str">
            <v>Não</v>
          </cell>
          <cell r="M354" t="str">
            <v>NACIONAL</v>
          </cell>
          <cell r="N354" t="str">
            <v>NACIONAL</v>
          </cell>
          <cell r="P354">
            <v>63.16</v>
          </cell>
          <cell r="Q354">
            <v>63.16</v>
          </cell>
          <cell r="R354">
            <v>63.93</v>
          </cell>
          <cell r="S354">
            <v>64.72</v>
          </cell>
          <cell r="T354">
            <v>59.57</v>
          </cell>
          <cell r="U354">
            <v>63.54</v>
          </cell>
          <cell r="V354">
            <v>63.54</v>
          </cell>
          <cell r="W354">
            <v>63.93</v>
          </cell>
          <cell r="X354">
            <v>65.53</v>
          </cell>
          <cell r="Y354">
            <v>64.72</v>
          </cell>
          <cell r="Z354">
            <v>65.53</v>
          </cell>
          <cell r="AA354">
            <v>66.36</v>
          </cell>
          <cell r="AB354">
            <v>67.209999999999994</v>
          </cell>
          <cell r="AC354">
            <v>65.12</v>
          </cell>
          <cell r="AD354">
            <v>65.12</v>
          </cell>
          <cell r="AE354">
            <v>65.94</v>
          </cell>
          <cell r="AF354">
            <v>0</v>
          </cell>
          <cell r="AG354">
            <v>87.31</v>
          </cell>
          <cell r="AH354">
            <v>87.31</v>
          </cell>
          <cell r="AI354">
            <v>88.38</v>
          </cell>
          <cell r="AJ354">
            <v>89.47</v>
          </cell>
          <cell r="AK354">
            <v>82.35</v>
          </cell>
          <cell r="AL354">
            <v>87.84</v>
          </cell>
          <cell r="AM354">
            <v>87.84</v>
          </cell>
          <cell r="AN354">
            <v>88.38</v>
          </cell>
          <cell r="AO354">
            <v>90.59</v>
          </cell>
          <cell r="AP354">
            <v>89.47</v>
          </cell>
          <cell r="AQ354">
            <v>90.59</v>
          </cell>
          <cell r="AR354">
            <v>91.74</v>
          </cell>
          <cell r="AS354">
            <v>92.91</v>
          </cell>
          <cell r="AT354">
            <v>90.02</v>
          </cell>
          <cell r="AU354">
            <v>90.02</v>
          </cell>
          <cell r="AV354">
            <v>91.16</v>
          </cell>
          <cell r="AX354">
            <v>63.16</v>
          </cell>
          <cell r="AY354">
            <v>87.31</v>
          </cell>
          <cell r="AZ354">
            <v>0.17</v>
          </cell>
          <cell r="BA354">
            <v>0.12</v>
          </cell>
          <cell r="BB354" t="str">
            <v>#_NA</v>
          </cell>
          <cell r="BC354" t="str">
            <v>#_NA</v>
          </cell>
          <cell r="BD354" t="str">
            <v>#_NA</v>
          </cell>
          <cell r="BE354" t="str">
            <v>-</v>
          </cell>
          <cell r="BF354" t="str">
            <v>-</v>
          </cell>
          <cell r="BG354">
            <v>5.6820000000000002E-2</v>
          </cell>
          <cell r="BH354">
            <v>0.62719999999999998</v>
          </cell>
          <cell r="BI354">
            <v>22.21</v>
          </cell>
          <cell r="BJ354" t="str">
            <v>-</v>
          </cell>
          <cell r="BK354">
            <v>0.64500000000000002</v>
          </cell>
          <cell r="BL354">
            <v>21.15</v>
          </cell>
          <cell r="BM354" t="str">
            <v>-</v>
          </cell>
          <cell r="BN354" t="str">
            <v>SIM</v>
          </cell>
          <cell r="BO354" t="str">
            <v>NÃO</v>
          </cell>
          <cell r="BP354" t="str">
            <v>MS|S|NACIONAL|Não|Alimento Funcional</v>
          </cell>
          <cell r="BR354" t="str">
            <v>TBD</v>
          </cell>
          <cell r="BS354">
            <v>0</v>
          </cell>
          <cell r="BT354" t="str">
            <v>#ERRO</v>
          </cell>
          <cell r="BU354">
            <v>21.15</v>
          </cell>
          <cell r="BV354" t="str">
            <v>-</v>
          </cell>
          <cell r="BX354" t="str">
            <v>TBD</v>
          </cell>
          <cell r="BY354" t="str">
            <v>TBD</v>
          </cell>
          <cell r="BZ354" t="str">
            <v>TBD</v>
          </cell>
          <cell r="CA354" t="str">
            <v>#ERRO</v>
          </cell>
          <cell r="CB354" t="str">
            <v>-</v>
          </cell>
        </row>
        <row r="355">
          <cell r="A355" t="str">
            <v>23025-0</v>
          </cell>
          <cell r="B355" t="str">
            <v>23025-0</v>
          </cell>
          <cell r="C355">
            <v>7896714295367</v>
          </cell>
          <cell r="D355" t="str">
            <v>PREDNISOLONA 5 MG CT BL X 10 CPRV</v>
          </cell>
          <cell r="E355" t="str">
            <v>SIM</v>
          </cell>
          <cell r="F355" t="str">
            <v>G</v>
          </cell>
          <cell r="G355" t="str">
            <v>LANCAMENTOS GENERICOS</v>
          </cell>
          <cell r="H355">
            <v>5</v>
          </cell>
          <cell r="I355">
            <v>60</v>
          </cell>
          <cell r="J355" t="str">
            <v>Monitorado</v>
          </cell>
          <cell r="K355" t="str">
            <v>Positiva</v>
          </cell>
          <cell r="L355" t="str">
            <v>Sim</v>
          </cell>
          <cell r="M355" t="str">
            <v>NACIONAL</v>
          </cell>
          <cell r="N355" t="str">
            <v>NACIONAL</v>
          </cell>
          <cell r="P355">
            <v>5.61</v>
          </cell>
          <cell r="Q355">
            <v>5.61</v>
          </cell>
          <cell r="R355">
            <v>5.68</v>
          </cell>
          <cell r="S355">
            <v>5.75</v>
          </cell>
          <cell r="T355">
            <v>5.3</v>
          </cell>
          <cell r="U355">
            <v>5.65</v>
          </cell>
          <cell r="V355">
            <v>5.65</v>
          </cell>
          <cell r="W355">
            <v>5.68</v>
          </cell>
          <cell r="X355">
            <v>5.83</v>
          </cell>
          <cell r="Y355">
            <v>5.75</v>
          </cell>
          <cell r="Z355">
            <v>5.83</v>
          </cell>
          <cell r="AA355">
            <v>5.9</v>
          </cell>
          <cell r="AB355">
            <v>5.97</v>
          </cell>
          <cell r="AC355">
            <v>5.79</v>
          </cell>
          <cell r="AD355">
            <v>5.79</v>
          </cell>
          <cell r="AE355">
            <v>5.86</v>
          </cell>
          <cell r="AF355">
            <v>0</v>
          </cell>
          <cell r="AG355">
            <v>7.76</v>
          </cell>
          <cell r="AH355">
            <v>7.76</v>
          </cell>
          <cell r="AI355">
            <v>7.85</v>
          </cell>
          <cell r="AJ355">
            <v>7.95</v>
          </cell>
          <cell r="AK355">
            <v>7.33</v>
          </cell>
          <cell r="AL355">
            <v>7.81</v>
          </cell>
          <cell r="AM355">
            <v>7.81</v>
          </cell>
          <cell r="AN355">
            <v>7.85</v>
          </cell>
          <cell r="AO355">
            <v>8.06</v>
          </cell>
          <cell r="AP355">
            <v>7.95</v>
          </cell>
          <cell r="AQ355">
            <v>8.06</v>
          </cell>
          <cell r="AR355">
            <v>8.16</v>
          </cell>
          <cell r="AS355">
            <v>8.25</v>
          </cell>
          <cell r="AT355">
            <v>8</v>
          </cell>
          <cell r="AU355">
            <v>8</v>
          </cell>
          <cell r="AV355">
            <v>8.1</v>
          </cell>
          <cell r="AX355">
            <v>5.61</v>
          </cell>
          <cell r="AY355">
            <v>7.76</v>
          </cell>
          <cell r="AZ355">
            <v>0.17</v>
          </cell>
          <cell r="BA355">
            <v>0.12</v>
          </cell>
          <cell r="BB355" t="str">
            <v>#_NA</v>
          </cell>
          <cell r="BC355" t="str">
            <v>#_NA</v>
          </cell>
          <cell r="BD355" t="str">
            <v>#_NA</v>
          </cell>
          <cell r="BE355" t="str">
            <v>-</v>
          </cell>
          <cell r="BF355" t="str">
            <v>-</v>
          </cell>
          <cell r="BG355">
            <v>5.6820000000000002E-2</v>
          </cell>
          <cell r="BH355">
            <v>0.5494</v>
          </cell>
          <cell r="BI355">
            <v>2.38</v>
          </cell>
          <cell r="BJ355" t="str">
            <v>-</v>
          </cell>
          <cell r="BK355">
            <v>0.57089999999999996</v>
          </cell>
          <cell r="BL355">
            <v>2.27</v>
          </cell>
          <cell r="BM355" t="str">
            <v>-</v>
          </cell>
          <cell r="BN355" t="str">
            <v>SIM</v>
          </cell>
          <cell r="BO355" t="str">
            <v>NÃO</v>
          </cell>
          <cell r="BP355" t="str">
            <v>MS|G|NACIONAL|Sim|Positiva</v>
          </cell>
          <cell r="BR355" t="str">
            <v>TBD</v>
          </cell>
          <cell r="BS355">
            <v>0</v>
          </cell>
          <cell r="BT355" t="str">
            <v>#ERRO</v>
          </cell>
          <cell r="BU355">
            <v>2.27</v>
          </cell>
          <cell r="BV355" t="str">
            <v>-</v>
          </cell>
          <cell r="BX355" t="str">
            <v>TBD</v>
          </cell>
          <cell r="BY355" t="str">
            <v>TBD</v>
          </cell>
          <cell r="BZ355" t="str">
            <v>TBD</v>
          </cell>
          <cell r="CA355" t="str">
            <v>#ERRO</v>
          </cell>
          <cell r="CB355" t="str">
            <v>-</v>
          </cell>
        </row>
        <row r="356">
          <cell r="A356" t="str">
            <v>23026-0</v>
          </cell>
          <cell r="B356" t="str">
            <v>23026-0</v>
          </cell>
          <cell r="C356">
            <v>7896714295374</v>
          </cell>
          <cell r="D356" t="str">
            <v>PREDNISOLONA 5 MG CT BL X 20 CPRV</v>
          </cell>
          <cell r="E356" t="str">
            <v>SIM</v>
          </cell>
          <cell r="F356" t="str">
            <v>G</v>
          </cell>
          <cell r="G356" t="str">
            <v>LANCAMENTOS GENERICOS</v>
          </cell>
          <cell r="H356">
            <v>5</v>
          </cell>
          <cell r="I356">
            <v>60</v>
          </cell>
          <cell r="J356" t="str">
            <v>Monitorado</v>
          </cell>
          <cell r="K356" t="str">
            <v>Positiva</v>
          </cell>
          <cell r="L356" t="str">
            <v>Sim</v>
          </cell>
          <cell r="M356" t="str">
            <v>NACIONAL</v>
          </cell>
          <cell r="N356" t="str">
            <v>NACIONAL</v>
          </cell>
          <cell r="P356">
            <v>11.29</v>
          </cell>
          <cell r="Q356">
            <v>11.29</v>
          </cell>
          <cell r="R356">
            <v>11.43</v>
          </cell>
          <cell r="S356">
            <v>11.57</v>
          </cell>
          <cell r="T356">
            <v>10.65</v>
          </cell>
          <cell r="U356">
            <v>11.36</v>
          </cell>
          <cell r="V356">
            <v>11.36</v>
          </cell>
          <cell r="W356">
            <v>11.43</v>
          </cell>
          <cell r="X356">
            <v>11.71</v>
          </cell>
          <cell r="Y356">
            <v>11.57</v>
          </cell>
          <cell r="Z356">
            <v>11.71</v>
          </cell>
          <cell r="AA356">
            <v>11.86</v>
          </cell>
          <cell r="AB356">
            <v>12.01</v>
          </cell>
          <cell r="AC356">
            <v>11.64</v>
          </cell>
          <cell r="AD356">
            <v>11.64</v>
          </cell>
          <cell r="AE356">
            <v>11.79</v>
          </cell>
          <cell r="AF356">
            <v>0</v>
          </cell>
          <cell r="AG356">
            <v>15.61</v>
          </cell>
          <cell r="AH356">
            <v>15.61</v>
          </cell>
          <cell r="AI356">
            <v>15.8</v>
          </cell>
          <cell r="AJ356">
            <v>15.99</v>
          </cell>
          <cell r="AK356">
            <v>14.72</v>
          </cell>
          <cell r="AL356">
            <v>15.7</v>
          </cell>
          <cell r="AM356">
            <v>15.7</v>
          </cell>
          <cell r="AN356">
            <v>15.8</v>
          </cell>
          <cell r="AO356">
            <v>16.190000000000001</v>
          </cell>
          <cell r="AP356">
            <v>15.99</v>
          </cell>
          <cell r="AQ356">
            <v>16.190000000000001</v>
          </cell>
          <cell r="AR356">
            <v>16.399999999999999</v>
          </cell>
          <cell r="AS356">
            <v>16.600000000000001</v>
          </cell>
          <cell r="AT356">
            <v>16.09</v>
          </cell>
          <cell r="AU356">
            <v>16.09</v>
          </cell>
          <cell r="AV356">
            <v>16.3</v>
          </cell>
          <cell r="AX356">
            <v>11.29</v>
          </cell>
          <cell r="AY356">
            <v>15.61</v>
          </cell>
          <cell r="AZ356">
            <v>0.17</v>
          </cell>
          <cell r="BA356">
            <v>0.12</v>
          </cell>
          <cell r="BB356" t="str">
            <v>#_NA</v>
          </cell>
          <cell r="BC356" t="str">
            <v>#_NA</v>
          </cell>
          <cell r="BD356" t="str">
            <v>#_NA</v>
          </cell>
          <cell r="BE356" t="str">
            <v>-</v>
          </cell>
          <cell r="BF356" t="str">
            <v>-</v>
          </cell>
          <cell r="BG356">
            <v>5.6820000000000002E-2</v>
          </cell>
          <cell r="BH356">
            <v>0.63029999999999997</v>
          </cell>
          <cell r="BI356">
            <v>3.94</v>
          </cell>
          <cell r="BJ356" t="str">
            <v>-</v>
          </cell>
          <cell r="BK356">
            <v>0.64790000000000003</v>
          </cell>
          <cell r="BL356">
            <v>3.75</v>
          </cell>
          <cell r="BM356" t="str">
            <v>-</v>
          </cell>
          <cell r="BN356" t="str">
            <v>SIM</v>
          </cell>
          <cell r="BO356" t="str">
            <v>NÃO</v>
          </cell>
          <cell r="BP356" t="str">
            <v>MS|G|NACIONAL|Sim|Positiva</v>
          </cell>
          <cell r="BR356" t="str">
            <v>TBD</v>
          </cell>
          <cell r="BS356">
            <v>0</v>
          </cell>
          <cell r="BT356" t="str">
            <v>#ERRO</v>
          </cell>
          <cell r="BU356">
            <v>3.75</v>
          </cell>
          <cell r="BV356" t="str">
            <v>-</v>
          </cell>
          <cell r="BX356" t="str">
            <v>TBD</v>
          </cell>
          <cell r="BY356" t="str">
            <v>TBD</v>
          </cell>
          <cell r="BZ356" t="str">
            <v>TBD</v>
          </cell>
          <cell r="CA356" t="str">
            <v>#ERRO</v>
          </cell>
          <cell r="CB356" t="str">
            <v>-</v>
          </cell>
        </row>
        <row r="357">
          <cell r="A357" t="str">
            <v>23027-0</v>
          </cell>
          <cell r="B357" t="str">
            <v>23027-0</v>
          </cell>
          <cell r="C357">
            <v>7896714295381</v>
          </cell>
          <cell r="D357" t="str">
            <v>PREDNISOLONA 20 MG CT BL X 10 CPRV</v>
          </cell>
          <cell r="E357" t="str">
            <v>SIM</v>
          </cell>
          <cell r="F357" t="str">
            <v>G</v>
          </cell>
          <cell r="G357" t="str">
            <v>LANCAMENTOS GENERICOS</v>
          </cell>
          <cell r="H357">
            <v>5</v>
          </cell>
          <cell r="I357">
            <v>60</v>
          </cell>
          <cell r="J357" t="str">
            <v>Monitorado</v>
          </cell>
          <cell r="K357" t="str">
            <v>Positiva</v>
          </cell>
          <cell r="L357" t="str">
            <v>Sim</v>
          </cell>
          <cell r="M357" t="str">
            <v>NACIONAL</v>
          </cell>
          <cell r="N357" t="str">
            <v>NACIONAL</v>
          </cell>
          <cell r="P357">
            <v>16.41</v>
          </cell>
          <cell r="Q357">
            <v>16.41</v>
          </cell>
          <cell r="R357">
            <v>16.61</v>
          </cell>
          <cell r="S357">
            <v>16.809999999999999</v>
          </cell>
          <cell r="T357">
            <v>15.48</v>
          </cell>
          <cell r="U357">
            <v>16.510000000000002</v>
          </cell>
          <cell r="V357">
            <v>16.510000000000002</v>
          </cell>
          <cell r="W357">
            <v>16.61</v>
          </cell>
          <cell r="X357">
            <v>17.03</v>
          </cell>
          <cell r="Y357">
            <v>16.809999999999999</v>
          </cell>
          <cell r="Z357">
            <v>17.03</v>
          </cell>
          <cell r="AA357">
            <v>17.239999999999998</v>
          </cell>
          <cell r="AB357">
            <v>17.46</v>
          </cell>
          <cell r="AC357">
            <v>16.920000000000002</v>
          </cell>
          <cell r="AD357">
            <v>16.920000000000002</v>
          </cell>
          <cell r="AE357">
            <v>17.13</v>
          </cell>
          <cell r="AF357">
            <v>0</v>
          </cell>
          <cell r="AG357">
            <v>22.69</v>
          </cell>
          <cell r="AH357">
            <v>22.69</v>
          </cell>
          <cell r="AI357">
            <v>22.96</v>
          </cell>
          <cell r="AJ357">
            <v>23.24</v>
          </cell>
          <cell r="AK357">
            <v>21.4</v>
          </cell>
          <cell r="AL357">
            <v>22.82</v>
          </cell>
          <cell r="AM357">
            <v>22.82</v>
          </cell>
          <cell r="AN357">
            <v>22.96</v>
          </cell>
          <cell r="AO357">
            <v>23.54</v>
          </cell>
          <cell r="AP357">
            <v>23.24</v>
          </cell>
          <cell r="AQ357">
            <v>23.54</v>
          </cell>
          <cell r="AR357">
            <v>23.83</v>
          </cell>
          <cell r="AS357">
            <v>24.14</v>
          </cell>
          <cell r="AT357">
            <v>23.39</v>
          </cell>
          <cell r="AU357">
            <v>23.39</v>
          </cell>
          <cell r="AV357">
            <v>23.68</v>
          </cell>
          <cell r="AX357">
            <v>16.41</v>
          </cell>
          <cell r="AY357">
            <v>22.69</v>
          </cell>
          <cell r="AZ357">
            <v>0.17</v>
          </cell>
          <cell r="BA357">
            <v>0.12</v>
          </cell>
          <cell r="BB357" t="str">
            <v>#_NA</v>
          </cell>
          <cell r="BC357" t="str">
            <v>#_NA</v>
          </cell>
          <cell r="BD357" t="str">
            <v>#_NA</v>
          </cell>
          <cell r="BE357" t="str">
            <v>-</v>
          </cell>
          <cell r="BF357" t="str">
            <v>-</v>
          </cell>
          <cell r="BG357">
            <v>5.6820000000000002E-2</v>
          </cell>
          <cell r="BH357">
            <v>0.7097</v>
          </cell>
          <cell r="BI357">
            <v>4.49</v>
          </cell>
          <cell r="BJ357" t="str">
            <v>-</v>
          </cell>
          <cell r="BK357">
            <v>0.72419999999999995</v>
          </cell>
          <cell r="BL357">
            <v>4.2699999999999996</v>
          </cell>
          <cell r="BM357" t="str">
            <v>-</v>
          </cell>
          <cell r="BN357" t="str">
            <v>SIM</v>
          </cell>
          <cell r="BO357" t="str">
            <v>NÃO</v>
          </cell>
          <cell r="BP357" t="str">
            <v>MS|G|NACIONAL|Sim|Positiva</v>
          </cell>
          <cell r="BR357" t="str">
            <v>TBD</v>
          </cell>
          <cell r="BS357">
            <v>0</v>
          </cell>
          <cell r="BT357" t="str">
            <v>#ERRO</v>
          </cell>
          <cell r="BU357">
            <v>4.2699999999999996</v>
          </cell>
          <cell r="BV357" t="str">
            <v>-</v>
          </cell>
          <cell r="BX357" t="str">
            <v>TBD</v>
          </cell>
          <cell r="BY357" t="str">
            <v>TBD</v>
          </cell>
          <cell r="BZ357" t="str">
            <v>TBD</v>
          </cell>
          <cell r="CA357" t="str">
            <v>#ERRO</v>
          </cell>
          <cell r="CB357" t="str">
            <v>-</v>
          </cell>
        </row>
        <row r="358">
          <cell r="A358" t="str">
            <v>23028-0</v>
          </cell>
          <cell r="B358" t="str">
            <v>23028-0</v>
          </cell>
          <cell r="C358">
            <v>7896714295398</v>
          </cell>
          <cell r="D358" t="str">
            <v>PREDNISOLONA 20 MG CT BL X 20 CPRV</v>
          </cell>
          <cell r="E358" t="str">
            <v>SIM</v>
          </cell>
          <cell r="F358" t="str">
            <v>G</v>
          </cell>
          <cell r="G358" t="str">
            <v>LANCAMENTOS GENERICOS</v>
          </cell>
          <cell r="H358">
            <v>5</v>
          </cell>
          <cell r="I358">
            <v>60</v>
          </cell>
          <cell r="J358" t="str">
            <v>Monitorado</v>
          </cell>
          <cell r="K358" t="str">
            <v>Positiva</v>
          </cell>
          <cell r="L358" t="str">
            <v>Sim</v>
          </cell>
          <cell r="M358" t="str">
            <v>NACIONAL</v>
          </cell>
          <cell r="N358" t="str">
            <v>NACIONAL</v>
          </cell>
          <cell r="P358">
            <v>30.14</v>
          </cell>
          <cell r="Q358">
            <v>30.14</v>
          </cell>
          <cell r="R358">
            <v>30.51</v>
          </cell>
          <cell r="S358">
            <v>30.89</v>
          </cell>
          <cell r="T358">
            <v>28.43</v>
          </cell>
          <cell r="U358">
            <v>30.33</v>
          </cell>
          <cell r="V358">
            <v>30.33</v>
          </cell>
          <cell r="W358">
            <v>30.51</v>
          </cell>
          <cell r="X358">
            <v>31.28</v>
          </cell>
          <cell r="Y358">
            <v>30.89</v>
          </cell>
          <cell r="Z358">
            <v>31.28</v>
          </cell>
          <cell r="AA358">
            <v>31.67</v>
          </cell>
          <cell r="AB358">
            <v>32.08</v>
          </cell>
          <cell r="AC358">
            <v>31.08</v>
          </cell>
          <cell r="AD358">
            <v>31.08</v>
          </cell>
          <cell r="AE358">
            <v>31.47</v>
          </cell>
          <cell r="AF358">
            <v>0</v>
          </cell>
          <cell r="AG358">
            <v>41.67</v>
          </cell>
          <cell r="AH358">
            <v>41.67</v>
          </cell>
          <cell r="AI358">
            <v>42.18</v>
          </cell>
          <cell r="AJ358">
            <v>42.7</v>
          </cell>
          <cell r="AK358">
            <v>39.299999999999997</v>
          </cell>
          <cell r="AL358">
            <v>41.93</v>
          </cell>
          <cell r="AM358">
            <v>41.93</v>
          </cell>
          <cell r="AN358">
            <v>42.18</v>
          </cell>
          <cell r="AO358">
            <v>43.24</v>
          </cell>
          <cell r="AP358">
            <v>42.7</v>
          </cell>
          <cell r="AQ358">
            <v>43.24</v>
          </cell>
          <cell r="AR358">
            <v>43.78</v>
          </cell>
          <cell r="AS358">
            <v>44.35</v>
          </cell>
          <cell r="AT358">
            <v>42.97</v>
          </cell>
          <cell r="AU358">
            <v>42.97</v>
          </cell>
          <cell r="AV358">
            <v>43.51</v>
          </cell>
          <cell r="AX358">
            <v>30.14</v>
          </cell>
          <cell r="AY358">
            <v>41.67</v>
          </cell>
          <cell r="AZ358">
            <v>0.17</v>
          </cell>
          <cell r="BA358">
            <v>0.12</v>
          </cell>
          <cell r="BB358" t="str">
            <v>#_NA</v>
          </cell>
          <cell r="BC358" t="str">
            <v>#_NA</v>
          </cell>
          <cell r="BD358" t="str">
            <v>#_NA</v>
          </cell>
          <cell r="BE358" t="str">
            <v>-</v>
          </cell>
          <cell r="BF358" t="str">
            <v>-</v>
          </cell>
          <cell r="BG358">
            <v>5.6820000000000002E-2</v>
          </cell>
          <cell r="BH358">
            <v>0.51729999999999998</v>
          </cell>
          <cell r="BI358">
            <v>13.72</v>
          </cell>
          <cell r="BJ358" t="str">
            <v>-</v>
          </cell>
          <cell r="BK358">
            <v>0.5403</v>
          </cell>
          <cell r="BL358">
            <v>13.07</v>
          </cell>
          <cell r="BM358" t="str">
            <v>-</v>
          </cell>
          <cell r="BN358" t="str">
            <v>SIM</v>
          </cell>
          <cell r="BO358" t="str">
            <v>NÃO</v>
          </cell>
          <cell r="BP358" t="str">
            <v>MS|G|NACIONAL|Sim|Positiva</v>
          </cell>
          <cell r="BR358" t="str">
            <v>TBD</v>
          </cell>
          <cell r="BS358">
            <v>0</v>
          </cell>
          <cell r="BT358" t="str">
            <v>#ERRO</v>
          </cell>
          <cell r="BU358">
            <v>13.07</v>
          </cell>
          <cell r="BV358" t="str">
            <v>-</v>
          </cell>
          <cell r="BX358" t="str">
            <v>TBD</v>
          </cell>
          <cell r="BY358" t="str">
            <v>TBD</v>
          </cell>
          <cell r="BZ358" t="str">
            <v>TBD</v>
          </cell>
          <cell r="CA358" t="str">
            <v>#ERRO</v>
          </cell>
          <cell r="CB358" t="str">
            <v>-</v>
          </cell>
        </row>
        <row r="359">
          <cell r="A359" t="str">
            <v>23029-0</v>
          </cell>
          <cell r="B359" t="str">
            <v>23029-0</v>
          </cell>
          <cell r="C359">
            <v>7896714295404</v>
          </cell>
          <cell r="D359" t="str">
            <v>PREDNISOLONA 40 MG CT BL X 7 CPRV</v>
          </cell>
          <cell r="E359" t="str">
            <v>SIM</v>
          </cell>
          <cell r="F359" t="str">
            <v>G</v>
          </cell>
          <cell r="G359" t="str">
            <v>LANCAMENTOS GENERICOS</v>
          </cell>
          <cell r="H359">
            <v>5</v>
          </cell>
          <cell r="I359">
            <v>60</v>
          </cell>
          <cell r="J359" t="str">
            <v>Monitorado</v>
          </cell>
          <cell r="K359" t="str">
            <v>Positiva</v>
          </cell>
          <cell r="L359" t="str">
            <v>Sim</v>
          </cell>
          <cell r="M359" t="str">
            <v>NACIONAL</v>
          </cell>
          <cell r="N359" t="str">
            <v>NACIONAL</v>
          </cell>
          <cell r="P359">
            <v>28.64</v>
          </cell>
          <cell r="Q359">
            <v>28.64</v>
          </cell>
          <cell r="R359">
            <v>28.99</v>
          </cell>
          <cell r="S359">
            <v>29.35</v>
          </cell>
          <cell r="T359">
            <v>27.01</v>
          </cell>
          <cell r="U359">
            <v>28.81</v>
          </cell>
          <cell r="V359">
            <v>28.81</v>
          </cell>
          <cell r="W359">
            <v>28.99</v>
          </cell>
          <cell r="X359">
            <v>29.71</v>
          </cell>
          <cell r="Y359">
            <v>29.35</v>
          </cell>
          <cell r="Z359">
            <v>29.71</v>
          </cell>
          <cell r="AA359">
            <v>30.09</v>
          </cell>
          <cell r="AB359">
            <v>30.47</v>
          </cell>
          <cell r="AC359">
            <v>29.53</v>
          </cell>
          <cell r="AD359">
            <v>29.53</v>
          </cell>
          <cell r="AE359">
            <v>29.9</v>
          </cell>
          <cell r="AF359">
            <v>0</v>
          </cell>
          <cell r="AG359">
            <v>39.590000000000003</v>
          </cell>
          <cell r="AH359">
            <v>39.590000000000003</v>
          </cell>
          <cell r="AI359">
            <v>40.08</v>
          </cell>
          <cell r="AJ359">
            <v>40.57</v>
          </cell>
          <cell r="AK359">
            <v>37.340000000000003</v>
          </cell>
          <cell r="AL359">
            <v>39.83</v>
          </cell>
          <cell r="AM359">
            <v>39.83</v>
          </cell>
          <cell r="AN359">
            <v>40.08</v>
          </cell>
          <cell r="AO359">
            <v>41.07</v>
          </cell>
          <cell r="AP359">
            <v>40.57</v>
          </cell>
          <cell r="AQ359">
            <v>41.07</v>
          </cell>
          <cell r="AR359">
            <v>41.6</v>
          </cell>
          <cell r="AS359">
            <v>42.12</v>
          </cell>
          <cell r="AT359">
            <v>40.82</v>
          </cell>
          <cell r="AU359">
            <v>40.82</v>
          </cell>
          <cell r="AV359">
            <v>41.33</v>
          </cell>
          <cell r="AX359">
            <v>28.64</v>
          </cell>
          <cell r="AY359">
            <v>39.590000000000003</v>
          </cell>
          <cell r="AZ359">
            <v>0.17</v>
          </cell>
          <cell r="BA359">
            <v>0.12</v>
          </cell>
          <cell r="BB359" t="str">
            <v>#_NA</v>
          </cell>
          <cell r="BC359" t="str">
            <v>#_NA</v>
          </cell>
          <cell r="BD359" t="str">
            <v>#_NA</v>
          </cell>
          <cell r="BE359" t="str">
            <v>-</v>
          </cell>
          <cell r="BF359" t="str">
            <v>-</v>
          </cell>
          <cell r="BG359">
            <v>5.6820000000000002E-2</v>
          </cell>
          <cell r="BH359">
            <v>0.6925</v>
          </cell>
          <cell r="BI359">
            <v>8.31</v>
          </cell>
          <cell r="BJ359" t="str">
            <v>-</v>
          </cell>
          <cell r="BK359">
            <v>0.70730000000000004</v>
          </cell>
          <cell r="BL359">
            <v>7.91</v>
          </cell>
          <cell r="BM359" t="str">
            <v>-</v>
          </cell>
          <cell r="BN359" t="str">
            <v>SIM</v>
          </cell>
          <cell r="BO359" t="str">
            <v>NÃO</v>
          </cell>
          <cell r="BP359" t="str">
            <v>MS|G|NACIONAL|Sim|Positiva</v>
          </cell>
          <cell r="BR359" t="str">
            <v>TBD</v>
          </cell>
          <cell r="BS359">
            <v>0</v>
          </cell>
          <cell r="BT359" t="str">
            <v>#ERRO</v>
          </cell>
          <cell r="BU359">
            <v>7.91</v>
          </cell>
          <cell r="BV359" t="str">
            <v>-</v>
          </cell>
          <cell r="BX359" t="str">
            <v>TBD</v>
          </cell>
          <cell r="BY359" t="str">
            <v>TBD</v>
          </cell>
          <cell r="BZ359" t="str">
            <v>TBD</v>
          </cell>
          <cell r="CA359" t="str">
            <v>#ERRO</v>
          </cell>
          <cell r="CB359" t="str">
            <v>-</v>
          </cell>
        </row>
        <row r="360">
          <cell r="A360" t="str">
            <v>23030-0</v>
          </cell>
          <cell r="B360" t="str">
            <v>23030-0</v>
          </cell>
          <cell r="C360">
            <v>7896714295411</v>
          </cell>
          <cell r="D360" t="str">
            <v>PREDNISOLONA 40 MG CT BL X 10 CPRV</v>
          </cell>
          <cell r="E360" t="str">
            <v>SIM</v>
          </cell>
          <cell r="F360" t="str">
            <v>G</v>
          </cell>
          <cell r="G360" t="str">
            <v>LANCAMENTOS GENERICOS</v>
          </cell>
          <cell r="H360">
            <v>5</v>
          </cell>
          <cell r="I360">
            <v>60</v>
          </cell>
          <cell r="J360" t="str">
            <v>Monitorado</v>
          </cell>
          <cell r="K360" t="str">
            <v>Positiva</v>
          </cell>
          <cell r="L360" t="str">
            <v>Sim</v>
          </cell>
          <cell r="M360" t="str">
            <v>NACIONAL</v>
          </cell>
          <cell r="N360" t="str">
            <v>NACIONAL</v>
          </cell>
          <cell r="P360">
            <v>37.61</v>
          </cell>
          <cell r="Q360">
            <v>37.61</v>
          </cell>
          <cell r="R360">
            <v>38.07</v>
          </cell>
          <cell r="S360">
            <v>38.54</v>
          </cell>
          <cell r="T360">
            <v>35.479999999999997</v>
          </cell>
          <cell r="U360">
            <v>37.840000000000003</v>
          </cell>
          <cell r="V360">
            <v>37.840000000000003</v>
          </cell>
          <cell r="W360">
            <v>38.07</v>
          </cell>
          <cell r="X360">
            <v>39.03</v>
          </cell>
          <cell r="Y360">
            <v>38.54</v>
          </cell>
          <cell r="Z360">
            <v>39.03</v>
          </cell>
          <cell r="AA360">
            <v>39.520000000000003</v>
          </cell>
          <cell r="AB360">
            <v>40.03</v>
          </cell>
          <cell r="AC360">
            <v>38.78</v>
          </cell>
          <cell r="AD360">
            <v>38.78</v>
          </cell>
          <cell r="AE360">
            <v>39.270000000000003</v>
          </cell>
          <cell r="AF360">
            <v>0</v>
          </cell>
          <cell r="AG360">
            <v>51.99</v>
          </cell>
          <cell r="AH360">
            <v>51.99</v>
          </cell>
          <cell r="AI360">
            <v>52.63</v>
          </cell>
          <cell r="AJ360">
            <v>53.28</v>
          </cell>
          <cell r="AK360">
            <v>49.05</v>
          </cell>
          <cell r="AL360">
            <v>52.31</v>
          </cell>
          <cell r="AM360">
            <v>52.31</v>
          </cell>
          <cell r="AN360">
            <v>52.63</v>
          </cell>
          <cell r="AO360">
            <v>53.96</v>
          </cell>
          <cell r="AP360">
            <v>53.28</v>
          </cell>
          <cell r="AQ360">
            <v>53.96</v>
          </cell>
          <cell r="AR360">
            <v>54.63</v>
          </cell>
          <cell r="AS360">
            <v>55.34</v>
          </cell>
          <cell r="AT360">
            <v>53.61</v>
          </cell>
          <cell r="AU360">
            <v>53.61</v>
          </cell>
          <cell r="AV360">
            <v>54.29</v>
          </cell>
          <cell r="AX360">
            <v>37.61</v>
          </cell>
          <cell r="AY360">
            <v>51.99</v>
          </cell>
          <cell r="AZ360">
            <v>0.17</v>
          </cell>
          <cell r="BA360">
            <v>0.12</v>
          </cell>
          <cell r="BB360" t="str">
            <v>#_NA</v>
          </cell>
          <cell r="BC360" t="str">
            <v>#_NA</v>
          </cell>
          <cell r="BD360" t="str">
            <v>#_NA</v>
          </cell>
          <cell r="BE360" t="str">
            <v>-</v>
          </cell>
          <cell r="BF360" t="str">
            <v>-</v>
          </cell>
          <cell r="BG360">
            <v>5.6820000000000002E-2</v>
          </cell>
          <cell r="BH360">
            <v>0.69040000000000001</v>
          </cell>
          <cell r="BI360">
            <v>10.98</v>
          </cell>
          <cell r="BJ360" t="str">
            <v>-</v>
          </cell>
          <cell r="BK360">
            <v>0.70509999999999995</v>
          </cell>
          <cell r="BL360">
            <v>10.46</v>
          </cell>
          <cell r="BM360" t="str">
            <v>-</v>
          </cell>
          <cell r="BN360" t="str">
            <v>SIM</v>
          </cell>
          <cell r="BO360" t="str">
            <v>NÃO</v>
          </cell>
          <cell r="BP360" t="str">
            <v>MS|G|NACIONAL|Sim|Positiva</v>
          </cell>
          <cell r="BR360" t="str">
            <v>TBD</v>
          </cell>
          <cell r="BS360">
            <v>0</v>
          </cell>
          <cell r="BT360" t="str">
            <v>#ERRO</v>
          </cell>
          <cell r="BU360">
            <v>10.46</v>
          </cell>
          <cell r="BV360" t="str">
            <v>-</v>
          </cell>
          <cell r="BX360" t="str">
            <v>TBD</v>
          </cell>
          <cell r="BY360" t="str">
            <v>TBD</v>
          </cell>
          <cell r="BZ360" t="str">
            <v>TBD</v>
          </cell>
          <cell r="CA360" t="str">
            <v>#ERRO</v>
          </cell>
          <cell r="CB360" t="str">
            <v>-</v>
          </cell>
        </row>
        <row r="361">
          <cell r="A361" t="str">
            <v>22978-0</v>
          </cell>
          <cell r="B361" t="str">
            <v>22978-1</v>
          </cell>
          <cell r="C361">
            <v>7896714295152</v>
          </cell>
          <cell r="D361" t="str">
            <v>HISCONGEX CT BL X 12 CPRV LIB PROL</v>
          </cell>
          <cell r="E361" t="str">
            <v>SIM</v>
          </cell>
          <cell r="F361" t="str">
            <v>S</v>
          </cell>
          <cell r="G361" t="str">
            <v>LANCAMENTOS SMART</v>
          </cell>
          <cell r="H361">
            <v>5</v>
          </cell>
          <cell r="I361">
            <v>60</v>
          </cell>
          <cell r="J361" t="str">
            <v>Liberado</v>
          </cell>
          <cell r="K361" t="str">
            <v>Negativa</v>
          </cell>
          <cell r="L361" t="str">
            <v>Sim</v>
          </cell>
          <cell r="M361" t="str">
            <v>NACIONAL</v>
          </cell>
          <cell r="N361" t="str">
            <v>NACIONAL</v>
          </cell>
          <cell r="P361">
            <v>21.41</v>
          </cell>
          <cell r="Q361">
            <v>24.59</v>
          </cell>
          <cell r="R361">
            <v>24.94</v>
          </cell>
          <cell r="S361">
            <v>25.29</v>
          </cell>
          <cell r="T361">
            <v>23</v>
          </cell>
          <cell r="U361">
            <v>24.76</v>
          </cell>
          <cell r="V361">
            <v>21.54</v>
          </cell>
          <cell r="W361">
            <v>21.67</v>
          </cell>
          <cell r="X361">
            <v>25.66</v>
          </cell>
          <cell r="Y361">
            <v>21.94</v>
          </cell>
          <cell r="Z361">
            <v>22.21</v>
          </cell>
          <cell r="AA361">
            <v>26.04</v>
          </cell>
          <cell r="AB361">
            <v>26.42</v>
          </cell>
          <cell r="AC361">
            <v>25.47</v>
          </cell>
          <cell r="AD361">
            <v>22.07</v>
          </cell>
          <cell r="AE361">
            <v>25.85</v>
          </cell>
          <cell r="AF361">
            <v>0</v>
          </cell>
          <cell r="AG361">
            <v>29.6</v>
          </cell>
          <cell r="AH361">
            <v>32.78</v>
          </cell>
          <cell r="AI361">
            <v>33.229999999999997</v>
          </cell>
          <cell r="AJ361">
            <v>33.68</v>
          </cell>
          <cell r="AK361">
            <v>30.72</v>
          </cell>
          <cell r="AL361">
            <v>33</v>
          </cell>
          <cell r="AM361">
            <v>29.78</v>
          </cell>
          <cell r="AN361">
            <v>29.96</v>
          </cell>
          <cell r="AO361">
            <v>34.15</v>
          </cell>
          <cell r="AP361">
            <v>30.33</v>
          </cell>
          <cell r="AQ361">
            <v>30.7</v>
          </cell>
          <cell r="AR361">
            <v>34.64</v>
          </cell>
          <cell r="AS361">
            <v>35.130000000000003</v>
          </cell>
          <cell r="AT361">
            <v>33.909999999999997</v>
          </cell>
          <cell r="AU361">
            <v>30.51</v>
          </cell>
          <cell r="AV361">
            <v>34.4</v>
          </cell>
          <cell r="AX361">
            <v>24.59</v>
          </cell>
          <cell r="AY361">
            <v>32.78</v>
          </cell>
          <cell r="AZ361">
            <v>0.17</v>
          </cell>
          <cell r="BA361">
            <v>0.12</v>
          </cell>
          <cell r="BB361" t="str">
            <v>#_NA</v>
          </cell>
          <cell r="BC361" t="str">
            <v>#_NA</v>
          </cell>
          <cell r="BD361" t="str">
            <v>#_NA</v>
          </cell>
          <cell r="BE361" t="str">
            <v>-</v>
          </cell>
          <cell r="BF361" t="str">
            <v>-</v>
          </cell>
          <cell r="BG361">
            <v>5.6820000000000002E-2</v>
          </cell>
          <cell r="BH361">
            <v>0.49980000000000002</v>
          </cell>
          <cell r="BI361">
            <v>11.6</v>
          </cell>
          <cell r="BJ361" t="str">
            <v>-</v>
          </cell>
          <cell r="BK361">
            <v>0.58650000000000002</v>
          </cell>
          <cell r="BL361">
            <v>9.59</v>
          </cell>
          <cell r="BM361" t="str">
            <v>-</v>
          </cell>
          <cell r="BN361" t="str">
            <v>SIM</v>
          </cell>
          <cell r="BO361" t="str">
            <v>NÃO</v>
          </cell>
          <cell r="BP361" t="str">
            <v>MS|S|NACIONAL|Sim|Negativa</v>
          </cell>
          <cell r="BR361" t="str">
            <v>TBD</v>
          </cell>
          <cell r="BS361">
            <v>0</v>
          </cell>
          <cell r="BT361" t="str">
            <v>#ERRO</v>
          </cell>
          <cell r="BU361">
            <v>9.59</v>
          </cell>
          <cell r="BV361" t="str">
            <v>-</v>
          </cell>
          <cell r="BX361" t="str">
            <v>TBD</v>
          </cell>
          <cell r="BY361" t="str">
            <v>TBD</v>
          </cell>
          <cell r="BZ361" t="str">
            <v>TBD</v>
          </cell>
          <cell r="CA361" t="str">
            <v>#ERRO</v>
          </cell>
          <cell r="CB361" t="str">
            <v>-</v>
          </cell>
        </row>
        <row r="362">
          <cell r="A362" t="str">
            <v>21928-0</v>
          </cell>
          <cell r="B362" t="str">
            <v>21928-0</v>
          </cell>
          <cell r="C362">
            <v>7896714291024</v>
          </cell>
          <cell r="D362" t="str">
            <v>DORALGINA CPRV CT BL 2X10</v>
          </cell>
          <cell r="E362" t="str">
            <v>SIM</v>
          </cell>
          <cell r="F362" t="str">
            <v>S</v>
          </cell>
          <cell r="G362" t="str">
            <v>PRIORITARIO SMART</v>
          </cell>
          <cell r="H362">
            <v>5</v>
          </cell>
          <cell r="I362">
            <v>60</v>
          </cell>
          <cell r="J362" t="str">
            <v>Liberado</v>
          </cell>
          <cell r="K362" t="str">
            <v>Negativa</v>
          </cell>
          <cell r="L362" t="str">
            <v>Sim</v>
          </cell>
          <cell r="M362" t="str">
            <v>NACIONAL</v>
          </cell>
          <cell r="N362" t="str">
            <v>NACIONAL</v>
          </cell>
          <cell r="P362">
            <v>19.28</v>
          </cell>
          <cell r="Q362">
            <v>22.14</v>
          </cell>
          <cell r="R362">
            <v>22.46</v>
          </cell>
          <cell r="S362">
            <v>22.78</v>
          </cell>
          <cell r="T362">
            <v>20.71</v>
          </cell>
          <cell r="U362">
            <v>22.3</v>
          </cell>
          <cell r="V362">
            <v>19.39</v>
          </cell>
          <cell r="W362">
            <v>19.510000000000002</v>
          </cell>
          <cell r="X362">
            <v>23.11</v>
          </cell>
          <cell r="Y362">
            <v>19.75</v>
          </cell>
          <cell r="Z362">
            <v>20</v>
          </cell>
          <cell r="AA362">
            <v>23.45</v>
          </cell>
          <cell r="AB362">
            <v>23.79</v>
          </cell>
          <cell r="AC362">
            <v>22.94</v>
          </cell>
          <cell r="AD362">
            <v>19.88</v>
          </cell>
          <cell r="AE362">
            <v>23.27</v>
          </cell>
          <cell r="AF362">
            <v>0</v>
          </cell>
          <cell r="AG362">
            <v>26.65</v>
          </cell>
          <cell r="AH362">
            <v>29.51</v>
          </cell>
          <cell r="AI362">
            <v>29.92</v>
          </cell>
          <cell r="AJ362">
            <v>30.34</v>
          </cell>
          <cell r="AK362">
            <v>27.66</v>
          </cell>
          <cell r="AL362">
            <v>29.72</v>
          </cell>
          <cell r="AM362">
            <v>26.81</v>
          </cell>
          <cell r="AN362">
            <v>26.97</v>
          </cell>
          <cell r="AO362">
            <v>30.76</v>
          </cell>
          <cell r="AP362">
            <v>27.3</v>
          </cell>
          <cell r="AQ362">
            <v>27.65</v>
          </cell>
          <cell r="AR362">
            <v>31.2</v>
          </cell>
          <cell r="AS362">
            <v>31.63</v>
          </cell>
          <cell r="AT362">
            <v>30.54</v>
          </cell>
          <cell r="AU362">
            <v>27.48</v>
          </cell>
          <cell r="AV362">
            <v>30.97</v>
          </cell>
          <cell r="AX362">
            <v>22.14</v>
          </cell>
          <cell r="AY362">
            <v>29.51</v>
          </cell>
          <cell r="AZ362">
            <v>0.17</v>
          </cell>
          <cell r="BA362">
            <v>0.12</v>
          </cell>
          <cell r="BB362" t="str">
            <v>#_NA</v>
          </cell>
          <cell r="BC362" t="str">
            <v>#_NA</v>
          </cell>
          <cell r="BD362" t="str">
            <v>#_NA</v>
          </cell>
          <cell r="BE362" t="str">
            <v>-</v>
          </cell>
          <cell r="BF362" t="str">
            <v>-</v>
          </cell>
          <cell r="BG362">
            <v>5.6820000000000002E-2</v>
          </cell>
          <cell r="BH362">
            <v>0.66439999999999999</v>
          </cell>
          <cell r="BI362">
            <v>7.01</v>
          </cell>
          <cell r="BJ362" t="str">
            <v>-</v>
          </cell>
          <cell r="BK362">
            <v>0.72340000000000004</v>
          </cell>
          <cell r="BL362">
            <v>5.78</v>
          </cell>
          <cell r="BM362" t="str">
            <v>-</v>
          </cell>
          <cell r="BN362" t="str">
            <v>NÃO</v>
          </cell>
          <cell r="BO362" t="str">
            <v>NÃO</v>
          </cell>
          <cell r="BP362" t="str">
            <v>MS|S|NACIONAL|Sim|Negativa</v>
          </cell>
          <cell r="BR362" t="str">
            <v>TBD</v>
          </cell>
          <cell r="BS362">
            <v>0</v>
          </cell>
          <cell r="BT362" t="str">
            <v>#ERRO</v>
          </cell>
          <cell r="BU362">
            <v>5.78</v>
          </cell>
          <cell r="BV362" t="str">
            <v>-</v>
          </cell>
          <cell r="BX362" t="str">
            <v>TBD</v>
          </cell>
          <cell r="BY362" t="str">
            <v>TBD</v>
          </cell>
          <cell r="BZ362" t="str">
            <v>TBD</v>
          </cell>
          <cell r="CA362" t="str">
            <v>#ERRO</v>
          </cell>
          <cell r="CB362" t="str">
            <v>-</v>
          </cell>
        </row>
        <row r="363">
          <cell r="A363" t="str">
            <v>21922-0</v>
          </cell>
          <cell r="B363" t="str">
            <v>21922-0</v>
          </cell>
          <cell r="C363">
            <v>7896714291017</v>
          </cell>
          <cell r="D363" t="str">
            <v>DORALGINA CPRV DISPL EMB MULT 25X4</v>
          </cell>
          <cell r="E363" t="str">
            <v>SIM</v>
          </cell>
          <cell r="F363" t="str">
            <v>S</v>
          </cell>
          <cell r="G363" t="str">
            <v>PRIORITARIO SMART</v>
          </cell>
          <cell r="H363">
            <v>5</v>
          </cell>
          <cell r="I363">
            <v>12</v>
          </cell>
          <cell r="J363" t="str">
            <v>Liberado</v>
          </cell>
          <cell r="K363" t="str">
            <v>Negativa</v>
          </cell>
          <cell r="L363" t="str">
            <v>Sim</v>
          </cell>
          <cell r="M363" t="str">
            <v>NACIONAL</v>
          </cell>
          <cell r="N363" t="str">
            <v>NACIONAL</v>
          </cell>
          <cell r="P363">
            <v>119.36</v>
          </cell>
          <cell r="Q363">
            <v>137.12</v>
          </cell>
          <cell r="R363">
            <v>139.05000000000001</v>
          </cell>
          <cell r="S363">
            <v>141.03</v>
          </cell>
          <cell r="T363">
            <v>128.22</v>
          </cell>
          <cell r="U363">
            <v>138.07</v>
          </cell>
          <cell r="V363">
            <v>120.09</v>
          </cell>
          <cell r="W363">
            <v>120.82</v>
          </cell>
          <cell r="X363">
            <v>143.07</v>
          </cell>
          <cell r="Y363">
            <v>122.31</v>
          </cell>
          <cell r="Z363">
            <v>123.84</v>
          </cell>
          <cell r="AA363">
            <v>145.16999999999999</v>
          </cell>
          <cell r="AB363">
            <v>147.34</v>
          </cell>
          <cell r="AC363">
            <v>142.04</v>
          </cell>
          <cell r="AD363">
            <v>123.07</v>
          </cell>
          <cell r="AE363">
            <v>144.11000000000001</v>
          </cell>
          <cell r="AF363">
            <v>0</v>
          </cell>
          <cell r="AG363">
            <v>165.01</v>
          </cell>
          <cell r="AH363">
            <v>182.77</v>
          </cell>
          <cell r="AI363">
            <v>185.26</v>
          </cell>
          <cell r="AJ363">
            <v>187.81</v>
          </cell>
          <cell r="AK363">
            <v>171.27</v>
          </cell>
          <cell r="AL363">
            <v>183.99</v>
          </cell>
          <cell r="AM363">
            <v>166.02</v>
          </cell>
          <cell r="AN363">
            <v>167.03</v>
          </cell>
          <cell r="AO363">
            <v>190.43</v>
          </cell>
          <cell r="AP363">
            <v>169.09</v>
          </cell>
          <cell r="AQ363">
            <v>171.2</v>
          </cell>
          <cell r="AR363">
            <v>193.13</v>
          </cell>
          <cell r="AS363">
            <v>195.92</v>
          </cell>
          <cell r="AT363">
            <v>189.11</v>
          </cell>
          <cell r="AU363">
            <v>170.14</v>
          </cell>
          <cell r="AV363">
            <v>191.77</v>
          </cell>
          <cell r="AX363">
            <v>137.12</v>
          </cell>
          <cell r="AY363">
            <v>182.77</v>
          </cell>
          <cell r="AZ363">
            <v>0.17</v>
          </cell>
          <cell r="BA363">
            <v>0.12</v>
          </cell>
          <cell r="BB363" t="str">
            <v>#_NA</v>
          </cell>
          <cell r="BC363" t="str">
            <v>#_NA</v>
          </cell>
          <cell r="BD363" t="str">
            <v>#_NA</v>
          </cell>
          <cell r="BE363" t="str">
            <v>-</v>
          </cell>
          <cell r="BF363" t="str">
            <v>-</v>
          </cell>
          <cell r="BG363">
            <v>5.6820000000000002E-2</v>
          </cell>
          <cell r="BH363">
            <v>0.70530000000000004</v>
          </cell>
          <cell r="BI363">
            <v>38.11</v>
          </cell>
          <cell r="BJ363" t="str">
            <v>-</v>
          </cell>
          <cell r="BK363">
            <v>0.7571</v>
          </cell>
          <cell r="BL363">
            <v>31.41</v>
          </cell>
          <cell r="BM363" t="str">
            <v>-</v>
          </cell>
          <cell r="BN363" t="str">
            <v>NÃO</v>
          </cell>
          <cell r="BO363" t="str">
            <v>NÃO</v>
          </cell>
          <cell r="BP363" t="str">
            <v>MS|S|NACIONAL|Sim|Negativa</v>
          </cell>
          <cell r="BR363" t="str">
            <v>TBD</v>
          </cell>
          <cell r="BS363">
            <v>0</v>
          </cell>
          <cell r="BT363" t="str">
            <v>#ERRO</v>
          </cell>
          <cell r="BU363">
            <v>31.41</v>
          </cell>
          <cell r="BV363" t="str">
            <v>-</v>
          </cell>
          <cell r="BX363" t="str">
            <v>TBD</v>
          </cell>
          <cell r="BY363" t="str">
            <v>TBD</v>
          </cell>
          <cell r="BZ363" t="str">
            <v>TBD</v>
          </cell>
          <cell r="CA363" t="str">
            <v>#ERRO</v>
          </cell>
          <cell r="CB363" t="str">
            <v>-</v>
          </cell>
        </row>
        <row r="364">
          <cell r="A364" t="str">
            <v>21921-0</v>
          </cell>
          <cell r="B364" t="str">
            <v>21921-0</v>
          </cell>
          <cell r="C364">
            <v>7896714291000</v>
          </cell>
          <cell r="D364" t="str">
            <v>DORALGINA CPRV DISPL EMB MULT 10X10</v>
          </cell>
          <cell r="E364" t="str">
            <v>SIM</v>
          </cell>
          <cell r="F364" t="str">
            <v>S</v>
          </cell>
          <cell r="G364" t="str">
            <v>PRIORITARIO SMART</v>
          </cell>
          <cell r="H364">
            <v>0</v>
          </cell>
          <cell r="I364">
            <v>12</v>
          </cell>
          <cell r="J364" t="str">
            <v>Liberado</v>
          </cell>
          <cell r="K364" t="str">
            <v>Negativa</v>
          </cell>
          <cell r="L364" t="str">
            <v>Sim</v>
          </cell>
          <cell r="M364" t="str">
            <v>NACIONAL</v>
          </cell>
          <cell r="N364" t="str">
            <v>NACIONAL</v>
          </cell>
          <cell r="P364">
            <v>75.67</v>
          </cell>
          <cell r="Q364">
            <v>86.92</v>
          </cell>
          <cell r="R364">
            <v>88.14</v>
          </cell>
          <cell r="S364">
            <v>89.4</v>
          </cell>
          <cell r="T364">
            <v>81.28</v>
          </cell>
          <cell r="U364">
            <v>87.53</v>
          </cell>
          <cell r="V364">
            <v>76.13</v>
          </cell>
          <cell r="W364">
            <v>76.59</v>
          </cell>
          <cell r="X364">
            <v>90.7</v>
          </cell>
          <cell r="Y364">
            <v>77.540000000000006</v>
          </cell>
          <cell r="Z364">
            <v>78.5</v>
          </cell>
          <cell r="AA364">
            <v>92.03</v>
          </cell>
          <cell r="AB364">
            <v>93.4</v>
          </cell>
          <cell r="AC364">
            <v>90.04</v>
          </cell>
          <cell r="AD364">
            <v>78.02</v>
          </cell>
          <cell r="AE364">
            <v>91.36</v>
          </cell>
          <cell r="AF364">
            <v>0</v>
          </cell>
          <cell r="AG364">
            <v>104.61</v>
          </cell>
          <cell r="AH364">
            <v>115.86</v>
          </cell>
          <cell r="AI364">
            <v>117.43</v>
          </cell>
          <cell r="AJ364">
            <v>119.05</v>
          </cell>
          <cell r="AK364">
            <v>108.57</v>
          </cell>
          <cell r="AL364">
            <v>116.64</v>
          </cell>
          <cell r="AM364">
            <v>105.25</v>
          </cell>
          <cell r="AN364">
            <v>105.88</v>
          </cell>
          <cell r="AO364">
            <v>120.72</v>
          </cell>
          <cell r="AP364">
            <v>107.19</v>
          </cell>
          <cell r="AQ364">
            <v>108.52</v>
          </cell>
          <cell r="AR364">
            <v>122.43</v>
          </cell>
          <cell r="AS364">
            <v>124.19</v>
          </cell>
          <cell r="AT364">
            <v>119.88</v>
          </cell>
          <cell r="AU364">
            <v>107.86</v>
          </cell>
          <cell r="AV364">
            <v>121.57</v>
          </cell>
          <cell r="AX364">
            <v>86.92</v>
          </cell>
          <cell r="AY364">
            <v>115.86</v>
          </cell>
          <cell r="AZ364">
            <v>0.17</v>
          </cell>
          <cell r="BA364">
            <v>0.12</v>
          </cell>
          <cell r="BB364" t="str">
            <v>#_NA</v>
          </cell>
          <cell r="BC364" t="str">
            <v>#_NA</v>
          </cell>
          <cell r="BD364" t="str">
            <v>#_NA</v>
          </cell>
          <cell r="BE364" t="str">
            <v>-</v>
          </cell>
          <cell r="BF364" t="str">
            <v>-</v>
          </cell>
          <cell r="BG364">
            <v>5.6820000000000002E-2</v>
          </cell>
          <cell r="BH364">
            <v>0.5353</v>
          </cell>
          <cell r="BI364">
            <v>38.1</v>
          </cell>
          <cell r="BJ364" t="str">
            <v>-</v>
          </cell>
          <cell r="BK364">
            <v>0.61709999999999998</v>
          </cell>
          <cell r="BL364">
            <v>31.39</v>
          </cell>
          <cell r="BM364" t="str">
            <v>-</v>
          </cell>
          <cell r="BN364" t="str">
            <v>NÃO</v>
          </cell>
          <cell r="BO364" t="str">
            <v>NÃO</v>
          </cell>
          <cell r="BP364" t="str">
            <v>MS|S|NACIONAL|Sim|Negativa</v>
          </cell>
          <cell r="BR364" t="str">
            <v>TBD</v>
          </cell>
          <cell r="BS364">
            <v>0</v>
          </cell>
          <cell r="BT364" t="str">
            <v>#ERRO</v>
          </cell>
          <cell r="BU364">
            <v>31.39</v>
          </cell>
          <cell r="BV364" t="str">
            <v>-</v>
          </cell>
          <cell r="BX364" t="str">
            <v>TBD</v>
          </cell>
          <cell r="BY364" t="str">
            <v>TBD</v>
          </cell>
          <cell r="BZ364" t="str">
            <v>TBD</v>
          </cell>
          <cell r="CA364" t="str">
            <v>#ERRO</v>
          </cell>
          <cell r="CB364" t="str">
            <v>-</v>
          </cell>
        </row>
        <row r="365">
          <cell r="A365" t="str">
            <v>12414-0</v>
          </cell>
          <cell r="B365" t="str">
            <v>12414-1</v>
          </cell>
          <cell r="C365">
            <v>7896714204185</v>
          </cell>
          <cell r="D365" t="str">
            <v>PARACETAMOL 200MG/ML GTS FR PL 1X15ML</v>
          </cell>
          <cell r="E365" t="str">
            <v>SIM</v>
          </cell>
          <cell r="F365" t="str">
            <v>G</v>
          </cell>
          <cell r="G365" t="str">
            <v>LINHA</v>
          </cell>
          <cell r="H365">
            <v>5</v>
          </cell>
          <cell r="I365">
            <v>100</v>
          </cell>
          <cell r="J365" t="str">
            <v>Liberado</v>
          </cell>
          <cell r="K365" t="str">
            <v>Negativa</v>
          </cell>
          <cell r="L365" t="str">
            <v>Sim</v>
          </cell>
          <cell r="M365" t="str">
            <v>NACIONAL</v>
          </cell>
          <cell r="N365" t="str">
            <v>NACIONAL</v>
          </cell>
          <cell r="P365">
            <v>10.33</v>
          </cell>
          <cell r="Q365">
            <v>11.86</v>
          </cell>
          <cell r="R365">
            <v>12.03</v>
          </cell>
          <cell r="S365">
            <v>12.2</v>
          </cell>
          <cell r="T365">
            <v>11.09</v>
          </cell>
          <cell r="U365">
            <v>11.95</v>
          </cell>
          <cell r="V365">
            <v>10.39</v>
          </cell>
          <cell r="W365">
            <v>10.45</v>
          </cell>
          <cell r="X365">
            <v>12.38</v>
          </cell>
          <cell r="Y365">
            <v>10.58</v>
          </cell>
          <cell r="Z365">
            <v>10.71</v>
          </cell>
          <cell r="AA365">
            <v>12.56</v>
          </cell>
          <cell r="AB365">
            <v>12.75</v>
          </cell>
          <cell r="AC365">
            <v>12.29</v>
          </cell>
          <cell r="AD365">
            <v>10.65</v>
          </cell>
          <cell r="AE365">
            <v>12.47</v>
          </cell>
          <cell r="AF365">
            <v>0</v>
          </cell>
          <cell r="AG365">
            <v>14.28</v>
          </cell>
          <cell r="AH365">
            <v>15.81</v>
          </cell>
          <cell r="AI365">
            <v>16.03</v>
          </cell>
          <cell r="AJ365">
            <v>16.25</v>
          </cell>
          <cell r="AK365">
            <v>14.81</v>
          </cell>
          <cell r="AL365">
            <v>15.92</v>
          </cell>
          <cell r="AM365">
            <v>14.36</v>
          </cell>
          <cell r="AN365">
            <v>14.45</v>
          </cell>
          <cell r="AO365">
            <v>16.48</v>
          </cell>
          <cell r="AP365">
            <v>14.63</v>
          </cell>
          <cell r="AQ365">
            <v>14.81</v>
          </cell>
          <cell r="AR365">
            <v>16.71</v>
          </cell>
          <cell r="AS365">
            <v>16.95</v>
          </cell>
          <cell r="AT365">
            <v>16.36</v>
          </cell>
          <cell r="AU365">
            <v>14.72</v>
          </cell>
          <cell r="AV365">
            <v>16.59</v>
          </cell>
          <cell r="AX365">
            <v>11.86</v>
          </cell>
          <cell r="AY365">
            <v>15.81</v>
          </cell>
          <cell r="AZ365">
            <v>0.17</v>
          </cell>
          <cell r="BA365">
            <v>0.12</v>
          </cell>
          <cell r="BB365" t="str">
            <v>#_NA</v>
          </cell>
          <cell r="BC365" t="str">
            <v>#_NA</v>
          </cell>
          <cell r="BD365" t="str">
            <v>#_NA</v>
          </cell>
          <cell r="BE365" t="str">
            <v>-</v>
          </cell>
          <cell r="BF365" t="str">
            <v>-</v>
          </cell>
          <cell r="BG365">
            <v>5.6820000000000002E-2</v>
          </cell>
          <cell r="BH365">
            <v>0.50260000000000005</v>
          </cell>
          <cell r="BI365">
            <v>5.57</v>
          </cell>
          <cell r="BJ365" t="str">
            <v>-</v>
          </cell>
          <cell r="BK365">
            <v>0.59050000000000002</v>
          </cell>
          <cell r="BL365">
            <v>4.58</v>
          </cell>
          <cell r="BM365" t="str">
            <v>-</v>
          </cell>
          <cell r="BN365" t="str">
            <v>NÃO</v>
          </cell>
          <cell r="BO365" t="str">
            <v>NÃO</v>
          </cell>
          <cell r="BP365" t="str">
            <v>MS|G|NACIONAL|Sim|Negativa</v>
          </cell>
          <cell r="BR365" t="str">
            <v>TBD</v>
          </cell>
          <cell r="BS365">
            <v>0</v>
          </cell>
          <cell r="BT365" t="str">
            <v>#ERRO</v>
          </cell>
          <cell r="BU365">
            <v>4.58</v>
          </cell>
          <cell r="BV365" t="str">
            <v>-</v>
          </cell>
          <cell r="BX365" t="str">
            <v>TBD</v>
          </cell>
          <cell r="BY365" t="str">
            <v>TBD</v>
          </cell>
          <cell r="BZ365" t="str">
            <v>TBD</v>
          </cell>
          <cell r="CA365" t="str">
            <v>#ERRO</v>
          </cell>
          <cell r="CB365" t="str">
            <v>-</v>
          </cell>
        </row>
        <row r="366">
          <cell r="A366" t="str">
            <v>17457-0</v>
          </cell>
          <cell r="B366" t="str">
            <v>17457-0</v>
          </cell>
          <cell r="C366">
            <v>7896714238548</v>
          </cell>
          <cell r="D366" t="str">
            <v>LIPOXEN 120MG CAP CT BL 6X14</v>
          </cell>
          <cell r="E366" t="str">
            <v>SIM</v>
          </cell>
          <cell r="F366" t="str">
            <v>S</v>
          </cell>
          <cell r="G366" t="str">
            <v>Linha</v>
          </cell>
          <cell r="H366">
            <v>0</v>
          </cell>
          <cell r="I366">
            <v>12</v>
          </cell>
          <cell r="J366" t="str">
            <v>Monitorado</v>
          </cell>
          <cell r="K366" t="str">
            <v>Negativa</v>
          </cell>
          <cell r="L366" t="str">
            <v>Sim</v>
          </cell>
          <cell r="M366" t="str">
            <v>NACIONAL</v>
          </cell>
          <cell r="N366" t="str">
            <v>NACIONAL</v>
          </cell>
          <cell r="P366">
            <v>162.94999999999999</v>
          </cell>
          <cell r="Q366">
            <v>187.19</v>
          </cell>
          <cell r="R366">
            <v>189.82</v>
          </cell>
          <cell r="S366">
            <v>192.53</v>
          </cell>
          <cell r="T366">
            <v>175.05</v>
          </cell>
          <cell r="U366">
            <v>188.5</v>
          </cell>
          <cell r="V366">
            <v>163.94</v>
          </cell>
          <cell r="W366">
            <v>164.94</v>
          </cell>
          <cell r="X366">
            <v>195.32</v>
          </cell>
          <cell r="Y366">
            <v>166.98</v>
          </cell>
          <cell r="Z366">
            <v>169.06</v>
          </cell>
          <cell r="AA366">
            <v>198.19</v>
          </cell>
          <cell r="AB366">
            <v>201.14</v>
          </cell>
          <cell r="AC366">
            <v>193.91</v>
          </cell>
          <cell r="AD366">
            <v>168.01</v>
          </cell>
          <cell r="AE366">
            <v>196.74</v>
          </cell>
          <cell r="AF366">
            <v>0</v>
          </cell>
          <cell r="AG366">
            <v>225.27</v>
          </cell>
          <cell r="AH366">
            <v>249.51</v>
          </cell>
          <cell r="AI366">
            <v>252.9</v>
          </cell>
          <cell r="AJ366">
            <v>256.39</v>
          </cell>
          <cell r="AK366">
            <v>233.83</v>
          </cell>
          <cell r="AL366">
            <v>251.2</v>
          </cell>
          <cell r="AM366">
            <v>226.64</v>
          </cell>
          <cell r="AN366">
            <v>228.02</v>
          </cell>
          <cell r="AO366">
            <v>259.98</v>
          </cell>
          <cell r="AP366">
            <v>230.84</v>
          </cell>
          <cell r="AQ366">
            <v>233.72</v>
          </cell>
          <cell r="AR366">
            <v>263.67</v>
          </cell>
          <cell r="AS366">
            <v>267.45</v>
          </cell>
          <cell r="AT366">
            <v>258.16000000000003</v>
          </cell>
          <cell r="AU366">
            <v>232.26</v>
          </cell>
          <cell r="AV366">
            <v>261.8</v>
          </cell>
          <cell r="AX366">
            <v>187.19</v>
          </cell>
          <cell r="AY366">
            <v>249.51</v>
          </cell>
          <cell r="AZ366">
            <v>0.17</v>
          </cell>
          <cell r="BA366">
            <v>0.12</v>
          </cell>
          <cell r="BB366" t="str">
            <v>#_NA</v>
          </cell>
          <cell r="BC366" t="str">
            <v>#_NA</v>
          </cell>
          <cell r="BD366" t="str">
            <v>#_NA</v>
          </cell>
          <cell r="BE366" t="str">
            <v>-</v>
          </cell>
          <cell r="BF366" t="str">
            <v>-</v>
          </cell>
          <cell r="BG366">
            <v>5.6820000000000002E-2</v>
          </cell>
          <cell r="BH366">
            <v>0.1993</v>
          </cell>
          <cell r="BI366">
            <v>141.36000000000001</v>
          </cell>
          <cell r="BJ366" t="str">
            <v>-</v>
          </cell>
          <cell r="BK366">
            <v>0.33989999999999998</v>
          </cell>
          <cell r="BL366">
            <v>116.54</v>
          </cell>
          <cell r="BM366" t="str">
            <v>-</v>
          </cell>
          <cell r="BN366" t="str">
            <v>NÃO</v>
          </cell>
          <cell r="BO366" t="str">
            <v>NÃO</v>
          </cell>
          <cell r="BP366" t="str">
            <v>MS|S|NACIONAL|Sim|Negativa</v>
          </cell>
          <cell r="BR366" t="str">
            <v>TBD</v>
          </cell>
          <cell r="BS366">
            <v>0</v>
          </cell>
          <cell r="BT366" t="str">
            <v>#ERRO</v>
          </cell>
          <cell r="BU366">
            <v>116.54</v>
          </cell>
          <cell r="BV366" t="str">
            <v>-</v>
          </cell>
          <cell r="BX366" t="str">
            <v>TBD</v>
          </cell>
          <cell r="BY366" t="str">
            <v>TBD</v>
          </cell>
          <cell r="BZ366" t="str">
            <v>TBD</v>
          </cell>
          <cell r="CA366" t="str">
            <v>#ERRO</v>
          </cell>
          <cell r="CB366" t="str">
            <v>-</v>
          </cell>
        </row>
        <row r="367">
          <cell r="A367" t="str">
            <v>22392-0</v>
          </cell>
          <cell r="B367" t="str">
            <v>22392-0</v>
          </cell>
          <cell r="C367">
            <v>7896714292830</v>
          </cell>
          <cell r="D367" t="str">
            <v>NQ MELATONINA MARAC FR X 150 CPR ORODIS</v>
          </cell>
          <cell r="E367" t="str">
            <v>SIM</v>
          </cell>
          <cell r="F367" t="str">
            <v>S</v>
          </cell>
          <cell r="G367" t="str">
            <v>FOCO SMART</v>
          </cell>
          <cell r="H367">
            <v>5</v>
          </cell>
          <cell r="I367">
            <v>24</v>
          </cell>
          <cell r="J367" t="str">
            <v>Liberado</v>
          </cell>
          <cell r="K367" t="str">
            <v>Alimento Funcional</v>
          </cell>
          <cell r="L367" t="str">
            <v>Sim</v>
          </cell>
          <cell r="M367" t="str">
            <v>NACIONAL</v>
          </cell>
          <cell r="N367" t="str">
            <v>NACIONAL</v>
          </cell>
          <cell r="P367">
            <v>93.24</v>
          </cell>
          <cell r="Q367">
            <v>93.24</v>
          </cell>
          <cell r="R367">
            <v>94.38</v>
          </cell>
          <cell r="S367">
            <v>95.55</v>
          </cell>
          <cell r="T367">
            <v>87.95</v>
          </cell>
          <cell r="U367">
            <v>93.81</v>
          </cell>
          <cell r="V367">
            <v>93.81</v>
          </cell>
          <cell r="W367">
            <v>94.38</v>
          </cell>
          <cell r="X367">
            <v>96.74</v>
          </cell>
          <cell r="Y367">
            <v>95.55</v>
          </cell>
          <cell r="Z367">
            <v>96.74</v>
          </cell>
          <cell r="AA367">
            <v>97.96</v>
          </cell>
          <cell r="AB367">
            <v>99.22</v>
          </cell>
          <cell r="AC367">
            <v>96.14</v>
          </cell>
          <cell r="AD367">
            <v>96.14</v>
          </cell>
          <cell r="AE367">
            <v>97.35</v>
          </cell>
          <cell r="AF367">
            <v>0</v>
          </cell>
          <cell r="AG367">
            <v>128.9</v>
          </cell>
          <cell r="AH367">
            <v>128.9</v>
          </cell>
          <cell r="AI367">
            <v>130.47</v>
          </cell>
          <cell r="AJ367">
            <v>132.09</v>
          </cell>
          <cell r="AK367">
            <v>121.59</v>
          </cell>
          <cell r="AL367">
            <v>129.69</v>
          </cell>
          <cell r="AM367">
            <v>129.69</v>
          </cell>
          <cell r="AN367">
            <v>130.47</v>
          </cell>
          <cell r="AO367">
            <v>133.74</v>
          </cell>
          <cell r="AP367">
            <v>132.09</v>
          </cell>
          <cell r="AQ367">
            <v>133.74</v>
          </cell>
          <cell r="AR367">
            <v>135.41999999999999</v>
          </cell>
          <cell r="AS367">
            <v>137.16999999999999</v>
          </cell>
          <cell r="AT367">
            <v>132.91</v>
          </cell>
          <cell r="AU367">
            <v>132.91</v>
          </cell>
          <cell r="AV367">
            <v>134.58000000000001</v>
          </cell>
          <cell r="AX367">
            <v>93.24</v>
          </cell>
          <cell r="AY367">
            <v>128.9</v>
          </cell>
          <cell r="AZ367">
            <v>0.17</v>
          </cell>
          <cell r="BA367">
            <v>0.12</v>
          </cell>
          <cell r="BB367" t="str">
            <v>#_NA</v>
          </cell>
          <cell r="BC367" t="str">
            <v>#_NA</v>
          </cell>
          <cell r="BD367" t="str">
            <v>#_NA</v>
          </cell>
          <cell r="BE367" t="str">
            <v>-</v>
          </cell>
          <cell r="BF367" t="str">
            <v>-</v>
          </cell>
          <cell r="BG367">
            <v>5.6820000000000002E-2</v>
          </cell>
          <cell r="BH367">
            <v>0.80700000000000005</v>
          </cell>
          <cell r="BI367">
            <v>16.97</v>
          </cell>
          <cell r="BJ367" t="str">
            <v>-</v>
          </cell>
          <cell r="BK367">
            <v>0.81610000000000005</v>
          </cell>
          <cell r="BL367">
            <v>16.170000000000002</v>
          </cell>
          <cell r="BM367" t="str">
            <v>-</v>
          </cell>
          <cell r="BN367" t="str">
            <v>SIM</v>
          </cell>
          <cell r="BO367" t="str">
            <v>NÃO</v>
          </cell>
          <cell r="BP367" t="str">
            <v>MS|S|NACIONAL|Sim|Alimento Funcional</v>
          </cell>
          <cell r="BR367" t="str">
            <v>TBD</v>
          </cell>
          <cell r="BS367">
            <v>0</v>
          </cell>
          <cell r="BT367" t="str">
            <v>#ERRO</v>
          </cell>
          <cell r="BU367">
            <v>16.170000000000002</v>
          </cell>
          <cell r="BV367" t="str">
            <v>-</v>
          </cell>
          <cell r="BX367" t="str">
            <v>TBD</v>
          </cell>
          <cell r="BY367" t="str">
            <v>TBD</v>
          </cell>
          <cell r="BZ367" t="str">
            <v>TBD</v>
          </cell>
          <cell r="CA367" t="str">
            <v>#ERRO</v>
          </cell>
          <cell r="CB367" t="str">
            <v>-</v>
          </cell>
        </row>
        <row r="368">
          <cell r="A368" t="str">
            <v>21781-1</v>
          </cell>
          <cell r="B368" t="str">
            <v>21781-1</v>
          </cell>
          <cell r="C368">
            <v>7896714290553</v>
          </cell>
          <cell r="D368" t="str">
            <v>NQ MELATONINA MARAC FR X 90 CPR ORODIS</v>
          </cell>
          <cell r="E368" t="str">
            <v>SIM</v>
          </cell>
          <cell r="F368" t="str">
            <v>S</v>
          </cell>
          <cell r="G368" t="str">
            <v>FOCO SMART</v>
          </cell>
          <cell r="H368">
            <v>5</v>
          </cell>
          <cell r="I368">
            <v>24</v>
          </cell>
          <cell r="J368" t="str">
            <v>Liberado</v>
          </cell>
          <cell r="K368" t="str">
            <v>Alimento Funcional</v>
          </cell>
          <cell r="L368" t="str">
            <v>Sim</v>
          </cell>
          <cell r="M368" t="str">
            <v>NACIONAL</v>
          </cell>
          <cell r="N368" t="str">
            <v>NACIONAL</v>
          </cell>
          <cell r="P368">
            <v>69.930000000000007</v>
          </cell>
          <cell r="Q368">
            <v>69.930000000000007</v>
          </cell>
          <cell r="R368">
            <v>70.78</v>
          </cell>
          <cell r="S368">
            <v>71.650000000000006</v>
          </cell>
          <cell r="T368">
            <v>65.95</v>
          </cell>
          <cell r="U368">
            <v>70.349999999999994</v>
          </cell>
          <cell r="V368">
            <v>70.349999999999994</v>
          </cell>
          <cell r="W368">
            <v>70.78</v>
          </cell>
          <cell r="X368">
            <v>72.55</v>
          </cell>
          <cell r="Y368">
            <v>71.650000000000006</v>
          </cell>
          <cell r="Z368">
            <v>72.55</v>
          </cell>
          <cell r="AA368">
            <v>73.47</v>
          </cell>
          <cell r="AB368">
            <v>74.41</v>
          </cell>
          <cell r="AC368">
            <v>72.099999999999994</v>
          </cell>
          <cell r="AD368">
            <v>72.099999999999994</v>
          </cell>
          <cell r="AE368">
            <v>73.010000000000005</v>
          </cell>
          <cell r="AF368">
            <v>0</v>
          </cell>
          <cell r="AG368">
            <v>96.67</v>
          </cell>
          <cell r="AH368">
            <v>96.67</v>
          </cell>
          <cell r="AI368">
            <v>97.85</v>
          </cell>
          <cell r="AJ368">
            <v>99.05</v>
          </cell>
          <cell r="AK368">
            <v>91.17</v>
          </cell>
          <cell r="AL368">
            <v>97.25</v>
          </cell>
          <cell r="AM368">
            <v>97.25</v>
          </cell>
          <cell r="AN368">
            <v>97.85</v>
          </cell>
          <cell r="AO368">
            <v>100.3</v>
          </cell>
          <cell r="AP368">
            <v>99.05</v>
          </cell>
          <cell r="AQ368">
            <v>100.3</v>
          </cell>
          <cell r="AR368">
            <v>101.57</v>
          </cell>
          <cell r="AS368">
            <v>102.87</v>
          </cell>
          <cell r="AT368">
            <v>99.67</v>
          </cell>
          <cell r="AU368">
            <v>99.67</v>
          </cell>
          <cell r="AV368">
            <v>100.93</v>
          </cell>
          <cell r="AX368">
            <v>69.930000000000007</v>
          </cell>
          <cell r="AY368">
            <v>96.67</v>
          </cell>
          <cell r="AZ368">
            <v>0.17</v>
          </cell>
          <cell r="BA368">
            <v>0.12</v>
          </cell>
          <cell r="BB368" t="str">
            <v>#_NA</v>
          </cell>
          <cell r="BC368" t="str">
            <v>#_NA</v>
          </cell>
          <cell r="BD368" t="str">
            <v>#_NA</v>
          </cell>
          <cell r="BE368" t="str">
            <v>-</v>
          </cell>
          <cell r="BF368" t="str">
            <v>-</v>
          </cell>
          <cell r="BG368">
            <v>5.6820000000000002E-2</v>
          </cell>
          <cell r="BH368">
            <v>0.8024</v>
          </cell>
          <cell r="BI368">
            <v>13.03</v>
          </cell>
          <cell r="BJ368" t="str">
            <v>-</v>
          </cell>
          <cell r="BK368">
            <v>0.81610000000000005</v>
          </cell>
          <cell r="BL368">
            <v>12.13</v>
          </cell>
          <cell r="BM368" t="str">
            <v>-</v>
          </cell>
          <cell r="BN368" t="str">
            <v>SIM</v>
          </cell>
          <cell r="BO368" t="str">
            <v>NÃO</v>
          </cell>
          <cell r="BP368" t="str">
            <v>MS|S|NACIONAL|Sim|Alimento Funcional</v>
          </cell>
          <cell r="BR368" t="str">
            <v>TBD</v>
          </cell>
          <cell r="BS368">
            <v>0</v>
          </cell>
          <cell r="BT368" t="str">
            <v>#ERRO</v>
          </cell>
          <cell r="BU368">
            <v>12.13</v>
          </cell>
          <cell r="BV368" t="str">
            <v>-</v>
          </cell>
          <cell r="BX368" t="str">
            <v>TBD</v>
          </cell>
          <cell r="BY368" t="str">
            <v>TBD</v>
          </cell>
          <cell r="BZ368" t="str">
            <v>TBD</v>
          </cell>
          <cell r="CA368" t="str">
            <v>#ERRO</v>
          </cell>
          <cell r="CB368" t="str">
            <v>-</v>
          </cell>
        </row>
        <row r="369">
          <cell r="A369" t="str">
            <v>21616-1</v>
          </cell>
          <cell r="B369" t="str">
            <v>21616-1</v>
          </cell>
          <cell r="C369">
            <v>7896714269870</v>
          </cell>
          <cell r="D369" t="str">
            <v>VIT NEO QUIMICA AZ FR 60 CPRV</v>
          </cell>
          <cell r="E369" t="str">
            <v>SIM</v>
          </cell>
          <cell r="F369" t="str">
            <v>S</v>
          </cell>
          <cell r="G369" t="str">
            <v>FOCO SMART</v>
          </cell>
          <cell r="H369">
            <v>5</v>
          </cell>
          <cell r="I369">
            <v>24</v>
          </cell>
          <cell r="J369" t="str">
            <v>Liberado</v>
          </cell>
          <cell r="K369" t="str">
            <v>Alimento Funcional</v>
          </cell>
          <cell r="L369" t="str">
            <v>Sim</v>
          </cell>
          <cell r="M369" t="str">
            <v>NACIONAL</v>
          </cell>
          <cell r="N369" t="str">
            <v>NACIONAL</v>
          </cell>
          <cell r="P369">
            <v>59.93</v>
          </cell>
          <cell r="Q369">
            <v>59.93</v>
          </cell>
          <cell r="R369">
            <v>60.66</v>
          </cell>
          <cell r="S369">
            <v>61.41</v>
          </cell>
          <cell r="T369">
            <v>56.52</v>
          </cell>
          <cell r="U369">
            <v>60.29</v>
          </cell>
          <cell r="V369">
            <v>60.29</v>
          </cell>
          <cell r="W369">
            <v>60.66</v>
          </cell>
          <cell r="X369">
            <v>62.18</v>
          </cell>
          <cell r="Y369">
            <v>61.41</v>
          </cell>
          <cell r="Z369">
            <v>62.18</v>
          </cell>
          <cell r="AA369">
            <v>62.96</v>
          </cell>
          <cell r="AB369">
            <v>63.77</v>
          </cell>
          <cell r="AC369">
            <v>61.79</v>
          </cell>
          <cell r="AD369">
            <v>61.79</v>
          </cell>
          <cell r="AE369">
            <v>62.57</v>
          </cell>
          <cell r="AF369">
            <v>0</v>
          </cell>
          <cell r="AG369">
            <v>82.85</v>
          </cell>
          <cell r="AH369">
            <v>82.85</v>
          </cell>
          <cell r="AI369">
            <v>83.86</v>
          </cell>
          <cell r="AJ369">
            <v>84.9</v>
          </cell>
          <cell r="AK369">
            <v>78.14</v>
          </cell>
          <cell r="AL369">
            <v>83.35</v>
          </cell>
          <cell r="AM369">
            <v>83.35</v>
          </cell>
          <cell r="AN369">
            <v>83.86</v>
          </cell>
          <cell r="AO369">
            <v>85.96</v>
          </cell>
          <cell r="AP369">
            <v>84.9</v>
          </cell>
          <cell r="AQ369">
            <v>85.96</v>
          </cell>
          <cell r="AR369">
            <v>87.04</v>
          </cell>
          <cell r="AS369">
            <v>88.16</v>
          </cell>
          <cell r="AT369">
            <v>85.42</v>
          </cell>
          <cell r="AU369">
            <v>85.42</v>
          </cell>
          <cell r="AV369">
            <v>86.5</v>
          </cell>
          <cell r="AX369">
            <v>59.93</v>
          </cell>
          <cell r="AY369">
            <v>82.85</v>
          </cell>
          <cell r="AZ369">
            <v>0.17</v>
          </cell>
          <cell r="BA369">
            <v>0.12</v>
          </cell>
          <cell r="BB369" t="str">
            <v>#_NA</v>
          </cell>
          <cell r="BC369" t="str">
            <v>#_NA</v>
          </cell>
          <cell r="BD369" t="str">
            <v>#_NA</v>
          </cell>
          <cell r="BE369" t="str">
            <v>-</v>
          </cell>
          <cell r="BF369" t="str">
            <v>-</v>
          </cell>
          <cell r="BG369">
            <v>5.6820000000000002E-2</v>
          </cell>
          <cell r="BH369">
            <v>0.77470000000000006</v>
          </cell>
          <cell r="BI369">
            <v>12.73</v>
          </cell>
          <cell r="BJ369" t="str">
            <v>-</v>
          </cell>
          <cell r="BK369">
            <v>0.78539999999999999</v>
          </cell>
          <cell r="BL369">
            <v>12.13</v>
          </cell>
          <cell r="BM369" t="str">
            <v>-</v>
          </cell>
          <cell r="BN369" t="str">
            <v>SIM</v>
          </cell>
          <cell r="BO369" t="str">
            <v>NÃO</v>
          </cell>
          <cell r="BP369" t="str">
            <v>MS|S|NACIONAL|Sim|Alimento Funcional</v>
          </cell>
          <cell r="BR369" t="str">
            <v>TBD</v>
          </cell>
          <cell r="BS369">
            <v>0</v>
          </cell>
          <cell r="BT369" t="str">
            <v>#ERRO</v>
          </cell>
          <cell r="BU369">
            <v>12.13</v>
          </cell>
          <cell r="BV369" t="str">
            <v>-</v>
          </cell>
          <cell r="BX369" t="str">
            <v>TBD</v>
          </cell>
          <cell r="BY369" t="str">
            <v>TBD</v>
          </cell>
          <cell r="BZ369" t="str">
            <v>TBD</v>
          </cell>
          <cell r="CA369" t="str">
            <v>#ERRO</v>
          </cell>
          <cell r="CB369" t="str">
            <v>-</v>
          </cell>
        </row>
        <row r="370">
          <cell r="A370" t="str">
            <v>21625-1</v>
          </cell>
          <cell r="B370" t="str">
            <v>21625-1</v>
          </cell>
          <cell r="C370">
            <v>7896714275307</v>
          </cell>
          <cell r="D370" t="str">
            <v>VIT NEO QUIMICA AZ FR 90 CPRV</v>
          </cell>
          <cell r="E370" t="str">
            <v>SIM</v>
          </cell>
          <cell r="F370" t="str">
            <v>S</v>
          </cell>
          <cell r="G370" t="str">
            <v>FOCO SMART</v>
          </cell>
          <cell r="H370">
            <v>5</v>
          </cell>
          <cell r="I370">
            <v>24</v>
          </cell>
          <cell r="J370" t="str">
            <v>Liberado</v>
          </cell>
          <cell r="K370" t="str">
            <v>Alimento Funcional</v>
          </cell>
          <cell r="L370" t="str">
            <v>Sim</v>
          </cell>
          <cell r="M370" t="str">
            <v>NACIONAL</v>
          </cell>
          <cell r="N370" t="str">
            <v>NACIONAL</v>
          </cell>
          <cell r="P370">
            <v>69.930000000000007</v>
          </cell>
          <cell r="Q370">
            <v>69.930000000000007</v>
          </cell>
          <cell r="R370">
            <v>70.78</v>
          </cell>
          <cell r="S370">
            <v>71.650000000000006</v>
          </cell>
          <cell r="T370">
            <v>65.95</v>
          </cell>
          <cell r="U370">
            <v>70.349999999999994</v>
          </cell>
          <cell r="V370">
            <v>70.349999999999994</v>
          </cell>
          <cell r="W370">
            <v>70.78</v>
          </cell>
          <cell r="X370">
            <v>72.55</v>
          </cell>
          <cell r="Y370">
            <v>71.650000000000006</v>
          </cell>
          <cell r="Z370">
            <v>72.55</v>
          </cell>
          <cell r="AA370">
            <v>73.47</v>
          </cell>
          <cell r="AB370">
            <v>74.41</v>
          </cell>
          <cell r="AC370">
            <v>72.099999999999994</v>
          </cell>
          <cell r="AD370">
            <v>72.099999999999994</v>
          </cell>
          <cell r="AE370">
            <v>73.010000000000005</v>
          </cell>
          <cell r="AF370">
            <v>0</v>
          </cell>
          <cell r="AG370">
            <v>96.67</v>
          </cell>
          <cell r="AH370">
            <v>96.67</v>
          </cell>
          <cell r="AI370">
            <v>97.85</v>
          </cell>
          <cell r="AJ370">
            <v>99.05</v>
          </cell>
          <cell r="AK370">
            <v>91.17</v>
          </cell>
          <cell r="AL370">
            <v>97.25</v>
          </cell>
          <cell r="AM370">
            <v>97.25</v>
          </cell>
          <cell r="AN370">
            <v>97.85</v>
          </cell>
          <cell r="AO370">
            <v>100.3</v>
          </cell>
          <cell r="AP370">
            <v>99.05</v>
          </cell>
          <cell r="AQ370">
            <v>100.3</v>
          </cell>
          <cell r="AR370">
            <v>101.57</v>
          </cell>
          <cell r="AS370">
            <v>102.87</v>
          </cell>
          <cell r="AT370">
            <v>99.67</v>
          </cell>
          <cell r="AU370">
            <v>99.67</v>
          </cell>
          <cell r="AV370">
            <v>100.93</v>
          </cell>
          <cell r="AX370">
            <v>69.930000000000007</v>
          </cell>
          <cell r="AY370">
            <v>96.67</v>
          </cell>
          <cell r="AZ370">
            <v>0.17</v>
          </cell>
          <cell r="BA370">
            <v>0.12</v>
          </cell>
          <cell r="BB370" t="str">
            <v>#_NA</v>
          </cell>
          <cell r="BC370" t="str">
            <v>#_NA</v>
          </cell>
          <cell r="BD370" t="str">
            <v>#_NA</v>
          </cell>
          <cell r="BE370" t="str">
            <v>-</v>
          </cell>
          <cell r="BF370" t="str">
            <v>-</v>
          </cell>
          <cell r="BG370">
            <v>5.6820000000000002E-2</v>
          </cell>
          <cell r="BH370">
            <v>0.73170000000000002</v>
          </cell>
          <cell r="BI370">
            <v>17.7</v>
          </cell>
          <cell r="BJ370" t="str">
            <v>-</v>
          </cell>
          <cell r="BK370">
            <v>0.74450000000000005</v>
          </cell>
          <cell r="BL370">
            <v>16.850000000000001</v>
          </cell>
          <cell r="BM370" t="str">
            <v>-</v>
          </cell>
          <cell r="BN370" t="str">
            <v>SIM</v>
          </cell>
          <cell r="BO370" t="str">
            <v>NÃO</v>
          </cell>
          <cell r="BP370" t="str">
            <v>MS|S|NACIONAL|Sim|Alimento Funcional</v>
          </cell>
          <cell r="BR370" t="str">
            <v>TBD</v>
          </cell>
          <cell r="BS370">
            <v>0</v>
          </cell>
          <cell r="BT370" t="str">
            <v>#ERRO</v>
          </cell>
          <cell r="BU370">
            <v>16.850000000000001</v>
          </cell>
          <cell r="BV370" t="str">
            <v>-</v>
          </cell>
          <cell r="BX370" t="str">
            <v>TBD</v>
          </cell>
          <cell r="BY370" t="str">
            <v>TBD</v>
          </cell>
          <cell r="BZ370" t="str">
            <v>TBD</v>
          </cell>
          <cell r="CA370" t="str">
            <v>#ERRO</v>
          </cell>
          <cell r="CB370" t="str">
            <v>-</v>
          </cell>
        </row>
        <row r="371">
          <cell r="A371" t="str">
            <v>21959-0</v>
          </cell>
          <cell r="B371" t="str">
            <v>21959-0</v>
          </cell>
          <cell r="C371">
            <v>7896714291246</v>
          </cell>
          <cell r="D371" t="str">
            <v>VIT NEO QUIMICA CAB E UNHAS FR 60 CAP</v>
          </cell>
          <cell r="E371" t="str">
            <v>SIM</v>
          </cell>
          <cell r="F371" t="str">
            <v>S</v>
          </cell>
          <cell r="G371" t="str">
            <v>FOCO SMART</v>
          </cell>
          <cell r="H371">
            <v>0</v>
          </cell>
          <cell r="I371">
            <v>24</v>
          </cell>
          <cell r="J371" t="str">
            <v>Liberado</v>
          </cell>
          <cell r="K371" t="str">
            <v>Alimento Funcional</v>
          </cell>
          <cell r="L371" t="str">
            <v>Sim</v>
          </cell>
          <cell r="M371" t="str">
            <v>NACIONAL</v>
          </cell>
          <cell r="N371" t="str">
            <v>NACIONAL</v>
          </cell>
          <cell r="P371">
            <v>78.22</v>
          </cell>
          <cell r="Q371">
            <v>78.22</v>
          </cell>
          <cell r="R371">
            <v>79.17</v>
          </cell>
          <cell r="S371">
            <v>80.150000000000006</v>
          </cell>
          <cell r="T371">
            <v>73.77</v>
          </cell>
          <cell r="U371">
            <v>78.69</v>
          </cell>
          <cell r="V371">
            <v>78.69</v>
          </cell>
          <cell r="W371">
            <v>79.17</v>
          </cell>
          <cell r="X371">
            <v>81.150000000000006</v>
          </cell>
          <cell r="Y371">
            <v>80.150000000000006</v>
          </cell>
          <cell r="Z371">
            <v>81.150000000000006</v>
          </cell>
          <cell r="AA371">
            <v>82.18</v>
          </cell>
          <cell r="AB371">
            <v>83.23</v>
          </cell>
          <cell r="AC371">
            <v>80.650000000000006</v>
          </cell>
          <cell r="AD371">
            <v>80.650000000000006</v>
          </cell>
          <cell r="AE371">
            <v>81.66</v>
          </cell>
          <cell r="AF371">
            <v>0</v>
          </cell>
          <cell r="AG371">
            <v>108.13</v>
          </cell>
          <cell r="AH371">
            <v>108.13</v>
          </cell>
          <cell r="AI371">
            <v>109.45</v>
          </cell>
          <cell r="AJ371">
            <v>110.8</v>
          </cell>
          <cell r="AK371">
            <v>101.98</v>
          </cell>
          <cell r="AL371">
            <v>108.78</v>
          </cell>
          <cell r="AM371">
            <v>108.78</v>
          </cell>
          <cell r="AN371">
            <v>109.45</v>
          </cell>
          <cell r="AO371">
            <v>112.19</v>
          </cell>
          <cell r="AP371">
            <v>110.8</v>
          </cell>
          <cell r="AQ371">
            <v>112.19</v>
          </cell>
          <cell r="AR371">
            <v>113.61</v>
          </cell>
          <cell r="AS371">
            <v>115.06</v>
          </cell>
          <cell r="AT371">
            <v>111.49</v>
          </cell>
          <cell r="AU371">
            <v>111.49</v>
          </cell>
          <cell r="AV371">
            <v>112.89</v>
          </cell>
          <cell r="AX371">
            <v>78.22</v>
          </cell>
          <cell r="AY371">
            <v>108.13</v>
          </cell>
          <cell r="AZ371">
            <v>0.17</v>
          </cell>
          <cell r="BA371">
            <v>0.12</v>
          </cell>
          <cell r="BB371" t="str">
            <v>#_NA</v>
          </cell>
          <cell r="BC371" t="str">
            <v>#_NA</v>
          </cell>
          <cell r="BD371" t="str">
            <v>#_NA</v>
          </cell>
          <cell r="BE371" t="str">
            <v>-</v>
          </cell>
          <cell r="BF371" t="str">
            <v>-</v>
          </cell>
          <cell r="BG371">
            <v>5.6820000000000002E-2</v>
          </cell>
          <cell r="BH371">
            <v>0.82350000000000001</v>
          </cell>
          <cell r="BI371">
            <v>13.02</v>
          </cell>
          <cell r="BJ371" t="str">
            <v>-</v>
          </cell>
          <cell r="BK371">
            <v>0.83560000000000001</v>
          </cell>
          <cell r="BL371">
            <v>12.13</v>
          </cell>
          <cell r="BM371" t="str">
            <v>-</v>
          </cell>
          <cell r="BN371" t="str">
            <v>SIM</v>
          </cell>
          <cell r="BO371" t="str">
            <v>NÃO</v>
          </cell>
          <cell r="BP371" t="str">
            <v>MS|S|NACIONAL|Sim|Alimento Funcional</v>
          </cell>
          <cell r="BR371" t="str">
            <v>TBD</v>
          </cell>
          <cell r="BS371">
            <v>0</v>
          </cell>
          <cell r="BT371" t="str">
            <v>#ERRO</v>
          </cell>
          <cell r="BU371">
            <v>12.13</v>
          </cell>
          <cell r="BV371" t="str">
            <v>-</v>
          </cell>
          <cell r="BX371" t="str">
            <v>TBD</v>
          </cell>
          <cell r="BY371" t="str">
            <v>TBD</v>
          </cell>
          <cell r="BZ371" t="str">
            <v>TBD</v>
          </cell>
          <cell r="CA371" t="str">
            <v>#ERRO</v>
          </cell>
          <cell r="CB371" t="str">
            <v>-</v>
          </cell>
        </row>
        <row r="372">
          <cell r="A372" t="str">
            <v>21925-0</v>
          </cell>
          <cell r="B372" t="str">
            <v>21925-0</v>
          </cell>
          <cell r="C372">
            <v>7896094917774</v>
          </cell>
          <cell r="D372" t="str">
            <v>VIT NEO QUIMICA CALCIO + VIT D FR 60 COM</v>
          </cell>
          <cell r="E372" t="str">
            <v>SIM</v>
          </cell>
          <cell r="F372" t="str">
            <v>S</v>
          </cell>
          <cell r="G372" t="str">
            <v>FOCO SMART</v>
          </cell>
          <cell r="H372">
            <v>5</v>
          </cell>
          <cell r="I372">
            <v>24</v>
          </cell>
          <cell r="J372" t="str">
            <v>Liberado</v>
          </cell>
          <cell r="K372" t="str">
            <v>Alimento Funcional</v>
          </cell>
          <cell r="L372" t="str">
            <v>Sim</v>
          </cell>
          <cell r="M372" t="str">
            <v>NACIONAL</v>
          </cell>
          <cell r="N372" t="str">
            <v>NACIONAL</v>
          </cell>
          <cell r="P372">
            <v>96.3</v>
          </cell>
          <cell r="Q372">
            <v>96.3</v>
          </cell>
          <cell r="R372">
            <v>97.47</v>
          </cell>
          <cell r="S372">
            <v>98.67</v>
          </cell>
          <cell r="T372">
            <v>90.82</v>
          </cell>
          <cell r="U372">
            <v>96.88</v>
          </cell>
          <cell r="V372">
            <v>96.88</v>
          </cell>
          <cell r="W372">
            <v>97.47</v>
          </cell>
          <cell r="X372">
            <v>99.91</v>
          </cell>
          <cell r="Y372">
            <v>98.67</v>
          </cell>
          <cell r="Z372">
            <v>99.91</v>
          </cell>
          <cell r="AA372">
            <v>101.17</v>
          </cell>
          <cell r="AB372">
            <v>102.47</v>
          </cell>
          <cell r="AC372">
            <v>99.29</v>
          </cell>
          <cell r="AD372">
            <v>99.29</v>
          </cell>
          <cell r="AE372">
            <v>100.54</v>
          </cell>
          <cell r="AF372">
            <v>0</v>
          </cell>
          <cell r="AG372">
            <v>133.13</v>
          </cell>
          <cell r="AH372">
            <v>133.13</v>
          </cell>
          <cell r="AI372">
            <v>134.75</v>
          </cell>
          <cell r="AJ372">
            <v>136.41</v>
          </cell>
          <cell r="AK372">
            <v>125.55</v>
          </cell>
          <cell r="AL372">
            <v>133.93</v>
          </cell>
          <cell r="AM372">
            <v>133.93</v>
          </cell>
          <cell r="AN372">
            <v>134.75</v>
          </cell>
          <cell r="AO372">
            <v>138.12</v>
          </cell>
          <cell r="AP372">
            <v>136.41</v>
          </cell>
          <cell r="AQ372">
            <v>138.12</v>
          </cell>
          <cell r="AR372">
            <v>139.86000000000001</v>
          </cell>
          <cell r="AS372">
            <v>141.66</v>
          </cell>
          <cell r="AT372">
            <v>137.26</v>
          </cell>
          <cell r="AU372">
            <v>137.26</v>
          </cell>
          <cell r="AV372">
            <v>138.99</v>
          </cell>
          <cell r="AX372">
            <v>96.3</v>
          </cell>
          <cell r="AY372">
            <v>133.13</v>
          </cell>
          <cell r="AZ372">
            <v>0.17</v>
          </cell>
          <cell r="BA372">
            <v>0.12</v>
          </cell>
          <cell r="BB372" t="str">
            <v>#_NA</v>
          </cell>
          <cell r="BC372" t="str">
            <v>#_NA</v>
          </cell>
          <cell r="BD372" t="str">
            <v>#_NA</v>
          </cell>
          <cell r="BE372" t="str">
            <v>-</v>
          </cell>
          <cell r="BF372" t="str">
            <v>-</v>
          </cell>
          <cell r="BG372">
            <v>5.6820000000000002E-2</v>
          </cell>
          <cell r="BH372">
            <v>0.85650000000000004</v>
          </cell>
          <cell r="BI372">
            <v>13.03</v>
          </cell>
          <cell r="BJ372" t="str">
            <v>-</v>
          </cell>
          <cell r="BK372">
            <v>0.86650000000000005</v>
          </cell>
          <cell r="BL372">
            <v>12.13</v>
          </cell>
          <cell r="BM372" t="str">
            <v>-</v>
          </cell>
          <cell r="BN372" t="str">
            <v>SIM</v>
          </cell>
          <cell r="BO372" t="str">
            <v>NÃO</v>
          </cell>
          <cell r="BP372" t="str">
            <v>MS|S|NACIONAL|Sim|Alimento Funcional</v>
          </cell>
          <cell r="BR372" t="str">
            <v>TBD</v>
          </cell>
          <cell r="BS372">
            <v>0</v>
          </cell>
          <cell r="BT372" t="str">
            <v>#ERRO</v>
          </cell>
          <cell r="BU372">
            <v>12.13</v>
          </cell>
          <cell r="BV372" t="str">
            <v>-</v>
          </cell>
          <cell r="BX372" t="str">
            <v>TBD</v>
          </cell>
          <cell r="BY372" t="str">
            <v>TBD</v>
          </cell>
          <cell r="BZ372" t="str">
            <v>TBD</v>
          </cell>
          <cell r="CA372" t="str">
            <v>#ERRO</v>
          </cell>
          <cell r="CB372" t="str">
            <v>-</v>
          </cell>
        </row>
        <row r="373">
          <cell r="A373" t="str">
            <v>21617-1</v>
          </cell>
          <cell r="B373" t="str">
            <v>21617-1</v>
          </cell>
          <cell r="C373">
            <v>7896714273471</v>
          </cell>
          <cell r="D373" t="str">
            <v>VIT NEO QUIMICA HOMEM FR 60 CPRV</v>
          </cell>
          <cell r="E373" t="str">
            <v>SIM</v>
          </cell>
          <cell r="F373" t="str">
            <v>S</v>
          </cell>
          <cell r="G373" t="str">
            <v>FOCO SMART</v>
          </cell>
          <cell r="H373">
            <v>5</v>
          </cell>
          <cell r="I373">
            <v>24</v>
          </cell>
          <cell r="J373" t="str">
            <v>Liberado</v>
          </cell>
          <cell r="K373" t="str">
            <v>Alimento Funcional</v>
          </cell>
          <cell r="L373" t="str">
            <v>Sim</v>
          </cell>
          <cell r="M373" t="str">
            <v>NACIONAL</v>
          </cell>
          <cell r="N373" t="str">
            <v>NACIONAL</v>
          </cell>
          <cell r="P373">
            <v>59.93</v>
          </cell>
          <cell r="Q373">
            <v>59.93</v>
          </cell>
          <cell r="R373">
            <v>60.66</v>
          </cell>
          <cell r="S373">
            <v>61.41</v>
          </cell>
          <cell r="T373">
            <v>56.52</v>
          </cell>
          <cell r="U373">
            <v>60.29</v>
          </cell>
          <cell r="V373">
            <v>60.29</v>
          </cell>
          <cell r="W373">
            <v>60.66</v>
          </cell>
          <cell r="X373">
            <v>62.18</v>
          </cell>
          <cell r="Y373">
            <v>61.41</v>
          </cell>
          <cell r="Z373">
            <v>62.18</v>
          </cell>
          <cell r="AA373">
            <v>62.96</v>
          </cell>
          <cell r="AB373">
            <v>63.77</v>
          </cell>
          <cell r="AC373">
            <v>61.79</v>
          </cell>
          <cell r="AD373">
            <v>61.79</v>
          </cell>
          <cell r="AE373">
            <v>62.57</v>
          </cell>
          <cell r="AF373">
            <v>0</v>
          </cell>
          <cell r="AG373">
            <v>82.85</v>
          </cell>
          <cell r="AH373">
            <v>82.85</v>
          </cell>
          <cell r="AI373">
            <v>83.86</v>
          </cell>
          <cell r="AJ373">
            <v>84.9</v>
          </cell>
          <cell r="AK373">
            <v>78.14</v>
          </cell>
          <cell r="AL373">
            <v>83.35</v>
          </cell>
          <cell r="AM373">
            <v>83.35</v>
          </cell>
          <cell r="AN373">
            <v>83.86</v>
          </cell>
          <cell r="AO373">
            <v>85.96</v>
          </cell>
          <cell r="AP373">
            <v>84.9</v>
          </cell>
          <cell r="AQ373">
            <v>85.96</v>
          </cell>
          <cell r="AR373">
            <v>87.04</v>
          </cell>
          <cell r="AS373">
            <v>88.16</v>
          </cell>
          <cell r="AT373">
            <v>85.42</v>
          </cell>
          <cell r="AU373">
            <v>85.42</v>
          </cell>
          <cell r="AV373">
            <v>86.5</v>
          </cell>
          <cell r="AX373">
            <v>59.93</v>
          </cell>
          <cell r="AY373">
            <v>82.85</v>
          </cell>
          <cell r="AZ373">
            <v>0.17</v>
          </cell>
          <cell r="BA373">
            <v>0.12</v>
          </cell>
          <cell r="BB373" t="str">
            <v>#_NA</v>
          </cell>
          <cell r="BC373" t="str">
            <v>#_NA</v>
          </cell>
          <cell r="BD373" t="str">
            <v>#_NA</v>
          </cell>
          <cell r="BE373" t="str">
            <v>-</v>
          </cell>
          <cell r="BF373" t="str">
            <v>-</v>
          </cell>
          <cell r="BG373">
            <v>5.6820000000000002E-2</v>
          </cell>
          <cell r="BH373">
            <v>0.76949999999999996</v>
          </cell>
          <cell r="BI373">
            <v>13.03</v>
          </cell>
          <cell r="BJ373" t="str">
            <v>-</v>
          </cell>
          <cell r="BK373">
            <v>0.78539999999999999</v>
          </cell>
          <cell r="BL373">
            <v>12.13</v>
          </cell>
          <cell r="BM373" t="str">
            <v>-</v>
          </cell>
          <cell r="BN373" t="str">
            <v>SIM</v>
          </cell>
          <cell r="BO373" t="str">
            <v>NÃO</v>
          </cell>
          <cell r="BP373" t="str">
            <v>MS|S|NACIONAL|Sim|Alimento Funcional</v>
          </cell>
          <cell r="BR373" t="str">
            <v>TBD</v>
          </cell>
          <cell r="BS373">
            <v>0</v>
          </cell>
          <cell r="BT373" t="str">
            <v>#ERRO</v>
          </cell>
          <cell r="BU373">
            <v>12.13</v>
          </cell>
          <cell r="BV373" t="str">
            <v>-</v>
          </cell>
          <cell r="BX373" t="str">
            <v>TBD</v>
          </cell>
          <cell r="BY373" t="str">
            <v>TBD</v>
          </cell>
          <cell r="BZ373" t="str">
            <v>TBD</v>
          </cell>
          <cell r="CA373" t="str">
            <v>#ERRO</v>
          </cell>
          <cell r="CB373" t="str">
            <v>-</v>
          </cell>
        </row>
        <row r="374">
          <cell r="A374" t="str">
            <v>21628-1</v>
          </cell>
          <cell r="B374" t="str">
            <v>21628-1</v>
          </cell>
          <cell r="C374">
            <v>7896714275321</v>
          </cell>
          <cell r="D374" t="str">
            <v>VIT NEO QUIMICA IMUNE FR 30 CPRV</v>
          </cell>
          <cell r="E374" t="str">
            <v>SIM</v>
          </cell>
          <cell r="F374" t="str">
            <v>S</v>
          </cell>
          <cell r="G374" t="str">
            <v>FOCO SMART</v>
          </cell>
          <cell r="H374">
            <v>3</v>
          </cell>
          <cell r="I374">
            <v>24</v>
          </cell>
          <cell r="J374" t="str">
            <v>Liberado</v>
          </cell>
          <cell r="K374" t="str">
            <v>Alimento Funcional</v>
          </cell>
          <cell r="L374" t="str">
            <v>Sim</v>
          </cell>
          <cell r="M374" t="str">
            <v>NACIONAL</v>
          </cell>
          <cell r="N374" t="str">
            <v>IMPORTADO</v>
          </cell>
          <cell r="P374">
            <v>45.89</v>
          </cell>
          <cell r="Q374">
            <v>45.89</v>
          </cell>
          <cell r="R374">
            <v>46.45</v>
          </cell>
          <cell r="S374">
            <v>47.02</v>
          </cell>
          <cell r="T374">
            <v>43.28</v>
          </cell>
          <cell r="U374">
            <v>46.17</v>
          </cell>
          <cell r="V374">
            <v>46.17</v>
          </cell>
          <cell r="W374">
            <v>46.45</v>
          </cell>
          <cell r="X374">
            <v>47.61</v>
          </cell>
          <cell r="Y374">
            <v>47.02</v>
          </cell>
          <cell r="Z374">
            <v>47.61</v>
          </cell>
          <cell r="AA374">
            <v>48.21</v>
          </cell>
          <cell r="AB374">
            <v>48.83</v>
          </cell>
          <cell r="AC374">
            <v>47.32</v>
          </cell>
          <cell r="AD374">
            <v>47.32</v>
          </cell>
          <cell r="AE374">
            <v>47.91</v>
          </cell>
          <cell r="AF374">
            <v>0</v>
          </cell>
          <cell r="AG374">
            <v>63.44</v>
          </cell>
          <cell r="AH374">
            <v>63.44</v>
          </cell>
          <cell r="AI374">
            <v>64.209999999999994</v>
          </cell>
          <cell r="AJ374">
            <v>65</v>
          </cell>
          <cell r="AK374">
            <v>59.83</v>
          </cell>
          <cell r="AL374">
            <v>63.83</v>
          </cell>
          <cell r="AM374">
            <v>63.83</v>
          </cell>
          <cell r="AN374">
            <v>64.209999999999994</v>
          </cell>
          <cell r="AO374">
            <v>65.819999999999993</v>
          </cell>
          <cell r="AP374">
            <v>65</v>
          </cell>
          <cell r="AQ374">
            <v>65.819999999999993</v>
          </cell>
          <cell r="AR374">
            <v>66.650000000000006</v>
          </cell>
          <cell r="AS374">
            <v>67.5</v>
          </cell>
          <cell r="AT374">
            <v>65.42</v>
          </cell>
          <cell r="AU374">
            <v>65.42</v>
          </cell>
          <cell r="AV374">
            <v>66.23</v>
          </cell>
          <cell r="AX374">
            <v>45.89</v>
          </cell>
          <cell r="AY374">
            <v>63.44</v>
          </cell>
          <cell r="AZ374">
            <v>0.17</v>
          </cell>
          <cell r="BA374">
            <v>0.04</v>
          </cell>
          <cell r="BB374" t="str">
            <v>#_NA</v>
          </cell>
          <cell r="BC374" t="str">
            <v>#_NA</v>
          </cell>
          <cell r="BD374" t="str">
            <v>#_NA</v>
          </cell>
          <cell r="BE374" t="str">
            <v>-</v>
          </cell>
          <cell r="BF374" t="str">
            <v>-</v>
          </cell>
          <cell r="BG374">
            <v>0.13542000000000001</v>
          </cell>
          <cell r="BH374">
            <v>0.70569999999999999</v>
          </cell>
          <cell r="BI374">
            <v>11.68</v>
          </cell>
          <cell r="BJ374" t="str">
            <v>-</v>
          </cell>
          <cell r="BK374">
            <v>0.7198</v>
          </cell>
          <cell r="BL374">
            <v>11.12</v>
          </cell>
          <cell r="BM374" t="str">
            <v>-</v>
          </cell>
          <cell r="BN374" t="str">
            <v>SIM</v>
          </cell>
          <cell r="BO374" t="str">
            <v>NÃO</v>
          </cell>
          <cell r="BP374" t="str">
            <v>MS|S|IMPORTADO|Sim|Alimento Funcional</v>
          </cell>
          <cell r="BR374" t="str">
            <v>TBD</v>
          </cell>
          <cell r="BS374">
            <v>0</v>
          </cell>
          <cell r="BT374" t="str">
            <v>#ERRO</v>
          </cell>
          <cell r="BU374">
            <v>11.12</v>
          </cell>
          <cell r="BV374" t="str">
            <v>-</v>
          </cell>
          <cell r="BX374" t="str">
            <v>TBD</v>
          </cell>
          <cell r="BY374" t="str">
            <v>TBD</v>
          </cell>
          <cell r="BZ374" t="str">
            <v>TBD</v>
          </cell>
          <cell r="CA374" t="str">
            <v>#ERRO</v>
          </cell>
          <cell r="CB374" t="str">
            <v>-</v>
          </cell>
        </row>
        <row r="375">
          <cell r="A375" t="str">
            <v>21627-1</v>
          </cell>
          <cell r="B375" t="str">
            <v>21627-2</v>
          </cell>
          <cell r="C375">
            <v>7896714275352</v>
          </cell>
          <cell r="D375" t="str">
            <v>VIT NEO QUIMICA MULHER FR 90 CPRV</v>
          </cell>
          <cell r="E375" t="str">
            <v>SIM</v>
          </cell>
          <cell r="F375" t="str">
            <v>S</v>
          </cell>
          <cell r="G375" t="str">
            <v>FOCO SMART</v>
          </cell>
          <cell r="H375">
            <v>3</v>
          </cell>
          <cell r="I375">
            <v>24</v>
          </cell>
          <cell r="J375" t="str">
            <v>Liberado</v>
          </cell>
          <cell r="K375" t="str">
            <v>Alimento Funcional</v>
          </cell>
          <cell r="L375" t="str">
            <v>Sim</v>
          </cell>
          <cell r="M375" t="str">
            <v>NACIONAL</v>
          </cell>
          <cell r="N375" t="str">
            <v>IMPORTADO</v>
          </cell>
          <cell r="P375">
            <v>69.930000000000007</v>
          </cell>
          <cell r="Q375">
            <v>69.930000000000007</v>
          </cell>
          <cell r="R375">
            <v>70.78</v>
          </cell>
          <cell r="S375">
            <v>71.650000000000006</v>
          </cell>
          <cell r="T375">
            <v>65.95</v>
          </cell>
          <cell r="U375">
            <v>70.349999999999994</v>
          </cell>
          <cell r="V375">
            <v>70.349999999999994</v>
          </cell>
          <cell r="W375">
            <v>70.78</v>
          </cell>
          <cell r="X375">
            <v>72.55</v>
          </cell>
          <cell r="Y375">
            <v>71.650000000000006</v>
          </cell>
          <cell r="Z375">
            <v>72.55</v>
          </cell>
          <cell r="AA375">
            <v>73.47</v>
          </cell>
          <cell r="AB375">
            <v>74.41</v>
          </cell>
          <cell r="AC375">
            <v>72.099999999999994</v>
          </cell>
          <cell r="AD375">
            <v>72.099999999999994</v>
          </cell>
          <cell r="AE375">
            <v>73.010000000000005</v>
          </cell>
          <cell r="AF375">
            <v>0</v>
          </cell>
          <cell r="AG375">
            <v>96.67</v>
          </cell>
          <cell r="AH375">
            <v>96.67</v>
          </cell>
          <cell r="AI375">
            <v>97.85</v>
          </cell>
          <cell r="AJ375">
            <v>99.05</v>
          </cell>
          <cell r="AK375">
            <v>91.17</v>
          </cell>
          <cell r="AL375">
            <v>97.25</v>
          </cell>
          <cell r="AM375">
            <v>97.25</v>
          </cell>
          <cell r="AN375">
            <v>97.85</v>
          </cell>
          <cell r="AO375">
            <v>100.3</v>
          </cell>
          <cell r="AP375">
            <v>99.05</v>
          </cell>
          <cell r="AQ375">
            <v>100.3</v>
          </cell>
          <cell r="AR375">
            <v>101.57</v>
          </cell>
          <cell r="AS375">
            <v>102.87</v>
          </cell>
          <cell r="AT375">
            <v>99.67</v>
          </cell>
          <cell r="AU375">
            <v>99.67</v>
          </cell>
          <cell r="AV375">
            <v>100.93</v>
          </cell>
          <cell r="AX375">
            <v>69.930000000000007</v>
          </cell>
          <cell r="AY375">
            <v>96.67</v>
          </cell>
          <cell r="AZ375">
            <v>0.17</v>
          </cell>
          <cell r="BA375">
            <v>0.04</v>
          </cell>
          <cell r="BB375" t="str">
            <v>#_NA</v>
          </cell>
          <cell r="BC375" t="str">
            <v>#_NA</v>
          </cell>
          <cell r="BD375" t="str">
            <v>#_NA</v>
          </cell>
          <cell r="BE375" t="str">
            <v>-</v>
          </cell>
          <cell r="BF375" t="str">
            <v>-</v>
          </cell>
          <cell r="BG375">
            <v>0.13542000000000001</v>
          </cell>
          <cell r="BH375">
            <v>0.73170000000000002</v>
          </cell>
          <cell r="BI375">
            <v>16.22</v>
          </cell>
          <cell r="BJ375" t="str">
            <v>-</v>
          </cell>
          <cell r="BK375">
            <v>0.74450000000000005</v>
          </cell>
          <cell r="BL375">
            <v>15.45</v>
          </cell>
          <cell r="BM375" t="str">
            <v>-</v>
          </cell>
          <cell r="BN375" t="str">
            <v>SIM</v>
          </cell>
          <cell r="BO375" t="str">
            <v>NÃO</v>
          </cell>
          <cell r="BP375" t="str">
            <v>MS|S|IMPORTADO|Sim|Alimento Funcional</v>
          </cell>
          <cell r="BR375" t="str">
            <v>TBD</v>
          </cell>
          <cell r="BS375">
            <v>0</v>
          </cell>
          <cell r="BT375" t="str">
            <v>#ERRO</v>
          </cell>
          <cell r="BU375">
            <v>15.45</v>
          </cell>
          <cell r="BV375" t="str">
            <v>-</v>
          </cell>
          <cell r="BX375" t="str">
            <v>TBD</v>
          </cell>
          <cell r="BY375" t="str">
            <v>TBD</v>
          </cell>
          <cell r="BZ375" t="str">
            <v>TBD</v>
          </cell>
          <cell r="CA375" t="str">
            <v>#ERRO</v>
          </cell>
          <cell r="CB375" t="str">
            <v>-</v>
          </cell>
        </row>
        <row r="376">
          <cell r="A376" t="str">
            <v>21618-1</v>
          </cell>
          <cell r="B376" t="str">
            <v>21840-1</v>
          </cell>
          <cell r="C376">
            <v>7896714269887</v>
          </cell>
          <cell r="D376" t="str">
            <v>VIT NEO QUIMICA A-Z SENIOR FR 60 CPRV</v>
          </cell>
          <cell r="E376" t="str">
            <v>SIM</v>
          </cell>
          <cell r="F376" t="str">
            <v>S</v>
          </cell>
          <cell r="G376" t="str">
            <v>FOCO SMART</v>
          </cell>
          <cell r="H376">
            <v>5</v>
          </cell>
          <cell r="I376">
            <v>24</v>
          </cell>
          <cell r="J376" t="str">
            <v>Liberado</v>
          </cell>
          <cell r="K376" t="str">
            <v>Alimento Funcional</v>
          </cell>
          <cell r="L376" t="str">
            <v>Sim</v>
          </cell>
          <cell r="M376" t="str">
            <v>NACIONAL</v>
          </cell>
          <cell r="N376" t="str">
            <v>NACIONAL</v>
          </cell>
          <cell r="P376">
            <v>59.93</v>
          </cell>
          <cell r="Q376">
            <v>59.93</v>
          </cell>
          <cell r="R376">
            <v>60.66</v>
          </cell>
          <cell r="S376">
            <v>61.41</v>
          </cell>
          <cell r="T376">
            <v>56.52</v>
          </cell>
          <cell r="U376">
            <v>60.29</v>
          </cell>
          <cell r="V376">
            <v>60.29</v>
          </cell>
          <cell r="W376">
            <v>60.66</v>
          </cell>
          <cell r="X376">
            <v>62.18</v>
          </cell>
          <cell r="Y376">
            <v>61.41</v>
          </cell>
          <cell r="Z376">
            <v>62.18</v>
          </cell>
          <cell r="AA376">
            <v>62.96</v>
          </cell>
          <cell r="AB376">
            <v>63.77</v>
          </cell>
          <cell r="AC376">
            <v>61.79</v>
          </cell>
          <cell r="AD376">
            <v>61.79</v>
          </cell>
          <cell r="AE376">
            <v>62.57</v>
          </cell>
          <cell r="AF376">
            <v>0</v>
          </cell>
          <cell r="AG376">
            <v>82.85</v>
          </cell>
          <cell r="AH376">
            <v>82.85</v>
          </cell>
          <cell r="AI376">
            <v>83.86</v>
          </cell>
          <cell r="AJ376">
            <v>84.9</v>
          </cell>
          <cell r="AK376">
            <v>78.14</v>
          </cell>
          <cell r="AL376">
            <v>83.35</v>
          </cell>
          <cell r="AM376">
            <v>83.35</v>
          </cell>
          <cell r="AN376">
            <v>83.86</v>
          </cell>
          <cell r="AO376">
            <v>85.96</v>
          </cell>
          <cell r="AP376">
            <v>84.9</v>
          </cell>
          <cell r="AQ376">
            <v>85.96</v>
          </cell>
          <cell r="AR376">
            <v>87.04</v>
          </cell>
          <cell r="AS376">
            <v>88.16</v>
          </cell>
          <cell r="AT376">
            <v>85.42</v>
          </cell>
          <cell r="AU376">
            <v>85.42</v>
          </cell>
          <cell r="AV376">
            <v>86.5</v>
          </cell>
          <cell r="AX376">
            <v>59.93</v>
          </cell>
          <cell r="AY376">
            <v>82.85</v>
          </cell>
          <cell r="AZ376">
            <v>0.17</v>
          </cell>
          <cell r="BA376">
            <v>0.12</v>
          </cell>
          <cell r="BB376" t="str">
            <v>#_NA</v>
          </cell>
          <cell r="BC376" t="str">
            <v>#_NA</v>
          </cell>
          <cell r="BD376" t="str">
            <v>#_NA</v>
          </cell>
          <cell r="BE376" t="str">
            <v>-</v>
          </cell>
          <cell r="BF376" t="str">
            <v>-</v>
          </cell>
          <cell r="BG376">
            <v>5.6820000000000002E-2</v>
          </cell>
          <cell r="BH376">
            <v>0.77470000000000006</v>
          </cell>
          <cell r="BI376">
            <v>12.73</v>
          </cell>
          <cell r="BJ376" t="str">
            <v>-</v>
          </cell>
          <cell r="BK376">
            <v>0.78539999999999999</v>
          </cell>
          <cell r="BL376">
            <v>12.13</v>
          </cell>
          <cell r="BM376" t="str">
            <v>-</v>
          </cell>
          <cell r="BN376" t="str">
            <v>SIM</v>
          </cell>
          <cell r="BO376" t="str">
            <v>NÃO</v>
          </cell>
          <cell r="BP376" t="str">
            <v>MS|S|NACIONAL|Sim|Alimento Funcional</v>
          </cell>
          <cell r="BR376" t="str">
            <v>TBD</v>
          </cell>
          <cell r="BS376">
            <v>0</v>
          </cell>
          <cell r="BT376" t="str">
            <v>#ERRO</v>
          </cell>
          <cell r="BU376">
            <v>12.13</v>
          </cell>
          <cell r="BV376" t="str">
            <v>-</v>
          </cell>
          <cell r="BX376" t="str">
            <v>TBD</v>
          </cell>
          <cell r="BY376" t="str">
            <v>TBD</v>
          </cell>
          <cell r="BZ376" t="str">
            <v>TBD</v>
          </cell>
          <cell r="CA376" t="str">
            <v>#ERRO</v>
          </cell>
          <cell r="CB376" t="str">
            <v>-</v>
          </cell>
        </row>
        <row r="377">
          <cell r="A377" t="str">
            <v>21957-0</v>
          </cell>
          <cell r="B377" t="str">
            <v>23042-0</v>
          </cell>
          <cell r="C377">
            <v>7896714291222</v>
          </cell>
          <cell r="D377" t="str">
            <v>VIT NEO QUIMICA VIT C CT TB 10EF</v>
          </cell>
          <cell r="E377" t="str">
            <v>SIM</v>
          </cell>
          <cell r="F377" t="str">
            <v>S</v>
          </cell>
          <cell r="G377" t="str">
            <v>FOCO SMART</v>
          </cell>
          <cell r="H377">
            <v>3</v>
          </cell>
          <cell r="I377">
            <v>24</v>
          </cell>
          <cell r="J377" t="str">
            <v>Liberado</v>
          </cell>
          <cell r="K377" t="str">
            <v>Alimento Funcional</v>
          </cell>
          <cell r="L377" t="str">
            <v>Sim</v>
          </cell>
          <cell r="M377" t="str">
            <v>NACIONAL</v>
          </cell>
          <cell r="N377" t="str">
            <v>IMPORTADO</v>
          </cell>
          <cell r="P377">
            <v>25.17</v>
          </cell>
          <cell r="Q377">
            <v>25.17</v>
          </cell>
          <cell r="R377">
            <v>25.48</v>
          </cell>
          <cell r="S377">
            <v>25.79</v>
          </cell>
          <cell r="T377">
            <v>23.74</v>
          </cell>
          <cell r="U377">
            <v>25.33</v>
          </cell>
          <cell r="V377">
            <v>25.33</v>
          </cell>
          <cell r="W377">
            <v>25.48</v>
          </cell>
          <cell r="X377">
            <v>26.12</v>
          </cell>
          <cell r="Y377">
            <v>25.79</v>
          </cell>
          <cell r="Z377">
            <v>26.12</v>
          </cell>
          <cell r="AA377">
            <v>26.45</v>
          </cell>
          <cell r="AB377">
            <v>26.79</v>
          </cell>
          <cell r="AC377">
            <v>25.95</v>
          </cell>
          <cell r="AD377">
            <v>25.95</v>
          </cell>
          <cell r="AE377">
            <v>26.28</v>
          </cell>
          <cell r="AF377">
            <v>0</v>
          </cell>
          <cell r="AG377">
            <v>34.799999999999997</v>
          </cell>
          <cell r="AH377">
            <v>34.799999999999997</v>
          </cell>
          <cell r="AI377">
            <v>35.22</v>
          </cell>
          <cell r="AJ377">
            <v>35.65</v>
          </cell>
          <cell r="AK377">
            <v>32.82</v>
          </cell>
          <cell r="AL377">
            <v>35.020000000000003</v>
          </cell>
          <cell r="AM377">
            <v>35.020000000000003</v>
          </cell>
          <cell r="AN377">
            <v>35.22</v>
          </cell>
          <cell r="AO377">
            <v>36.11</v>
          </cell>
          <cell r="AP377">
            <v>35.65</v>
          </cell>
          <cell r="AQ377">
            <v>36.11</v>
          </cell>
          <cell r="AR377">
            <v>36.57</v>
          </cell>
          <cell r="AS377">
            <v>37.04</v>
          </cell>
          <cell r="AT377">
            <v>35.869999999999997</v>
          </cell>
          <cell r="AU377">
            <v>35.869999999999997</v>
          </cell>
          <cell r="AV377">
            <v>36.33</v>
          </cell>
          <cell r="AX377">
            <v>25.17</v>
          </cell>
          <cell r="AY377">
            <v>34.799999999999997</v>
          </cell>
          <cell r="AZ377">
            <v>0.17</v>
          </cell>
          <cell r="BA377">
            <v>0.04</v>
          </cell>
          <cell r="BB377" t="str">
            <v>#_NA</v>
          </cell>
          <cell r="BC377" t="str">
            <v>#_NA</v>
          </cell>
          <cell r="BD377" t="str">
            <v>#_NA</v>
          </cell>
          <cell r="BE377" t="str">
            <v>-</v>
          </cell>
          <cell r="BF377" t="str">
            <v>-</v>
          </cell>
          <cell r="BG377">
            <v>0.13542000000000001</v>
          </cell>
          <cell r="BH377">
            <v>0.75549999999999995</v>
          </cell>
          <cell r="BI377">
            <v>5.32</v>
          </cell>
          <cell r="BJ377" t="str">
            <v>-</v>
          </cell>
          <cell r="BK377">
            <v>0.76749999999999996</v>
          </cell>
          <cell r="BL377">
            <v>5.0599999999999996</v>
          </cell>
          <cell r="BM377" t="str">
            <v>-</v>
          </cell>
          <cell r="BN377" t="str">
            <v>SIM</v>
          </cell>
          <cell r="BO377" t="str">
            <v>NÃO</v>
          </cell>
          <cell r="BP377" t="str">
            <v>MS|S|IMPORTADO|Sim|Alimento Funcional</v>
          </cell>
          <cell r="BR377" t="str">
            <v>TBD</v>
          </cell>
          <cell r="BS377">
            <v>0</v>
          </cell>
          <cell r="BT377" t="str">
            <v>#ERRO</v>
          </cell>
          <cell r="BU377">
            <v>5.0599999999999996</v>
          </cell>
          <cell r="BV377" t="str">
            <v>-</v>
          </cell>
          <cell r="BX377" t="str">
            <v>TBD</v>
          </cell>
          <cell r="BY377" t="str">
            <v>TBD</v>
          </cell>
          <cell r="BZ377" t="str">
            <v>TBD</v>
          </cell>
          <cell r="CA377" t="str">
            <v>#ERRO</v>
          </cell>
          <cell r="CB377" t="str">
            <v>-</v>
          </cell>
        </row>
        <row r="378">
          <cell r="A378" t="str">
            <v>21956-0</v>
          </cell>
          <cell r="B378" t="str">
            <v>23041-0</v>
          </cell>
          <cell r="C378">
            <v>7896714291215</v>
          </cell>
          <cell r="D378" t="str">
            <v>VIT NEO QUIMICA VIT C ZN CT TB 10EF</v>
          </cell>
          <cell r="E378" t="str">
            <v>SIM</v>
          </cell>
          <cell r="F378" t="str">
            <v>S</v>
          </cell>
          <cell r="G378" t="str">
            <v>FOCO SMART</v>
          </cell>
          <cell r="H378">
            <v>5</v>
          </cell>
          <cell r="I378">
            <v>24</v>
          </cell>
          <cell r="J378" t="str">
            <v>Liberado</v>
          </cell>
          <cell r="K378" t="str">
            <v>Alimento Funcional</v>
          </cell>
          <cell r="L378" t="str">
            <v>Sim</v>
          </cell>
          <cell r="M378" t="str">
            <v>NACIONAL</v>
          </cell>
          <cell r="N378" t="str">
            <v>NACIONAL</v>
          </cell>
          <cell r="P378">
            <v>25.17</v>
          </cell>
          <cell r="Q378">
            <v>25.17</v>
          </cell>
          <cell r="R378">
            <v>25.48</v>
          </cell>
          <cell r="S378">
            <v>25.79</v>
          </cell>
          <cell r="T378">
            <v>23.74</v>
          </cell>
          <cell r="U378">
            <v>25.33</v>
          </cell>
          <cell r="V378">
            <v>25.33</v>
          </cell>
          <cell r="W378">
            <v>25.48</v>
          </cell>
          <cell r="X378">
            <v>26.12</v>
          </cell>
          <cell r="Y378">
            <v>25.79</v>
          </cell>
          <cell r="Z378">
            <v>26.12</v>
          </cell>
          <cell r="AA378">
            <v>26.45</v>
          </cell>
          <cell r="AB378">
            <v>26.79</v>
          </cell>
          <cell r="AC378">
            <v>25.95</v>
          </cell>
          <cell r="AD378">
            <v>25.95</v>
          </cell>
          <cell r="AE378">
            <v>26.28</v>
          </cell>
          <cell r="AF378">
            <v>0</v>
          </cell>
          <cell r="AG378">
            <v>34.799999999999997</v>
          </cell>
          <cell r="AH378">
            <v>34.799999999999997</v>
          </cell>
          <cell r="AI378">
            <v>35.22</v>
          </cell>
          <cell r="AJ378">
            <v>35.65</v>
          </cell>
          <cell r="AK378">
            <v>32.82</v>
          </cell>
          <cell r="AL378">
            <v>35.020000000000003</v>
          </cell>
          <cell r="AM378">
            <v>35.020000000000003</v>
          </cell>
          <cell r="AN378">
            <v>35.22</v>
          </cell>
          <cell r="AO378">
            <v>36.11</v>
          </cell>
          <cell r="AP378">
            <v>35.65</v>
          </cell>
          <cell r="AQ378">
            <v>36.11</v>
          </cell>
          <cell r="AR378">
            <v>36.57</v>
          </cell>
          <cell r="AS378">
            <v>37.04</v>
          </cell>
          <cell r="AT378">
            <v>35.869999999999997</v>
          </cell>
          <cell r="AU378">
            <v>35.869999999999997</v>
          </cell>
          <cell r="AV378">
            <v>36.33</v>
          </cell>
          <cell r="AX378">
            <v>25.17</v>
          </cell>
          <cell r="AY378">
            <v>34.799999999999997</v>
          </cell>
          <cell r="AZ378">
            <v>0.17</v>
          </cell>
          <cell r="BA378">
            <v>0.12</v>
          </cell>
          <cell r="BB378" t="str">
            <v>#_NA</v>
          </cell>
          <cell r="BC378" t="str">
            <v>#_NA</v>
          </cell>
          <cell r="BD378" t="str">
            <v>#_NA</v>
          </cell>
          <cell r="BE378" t="str">
            <v>-</v>
          </cell>
          <cell r="BF378" t="str">
            <v>-</v>
          </cell>
          <cell r="BG378">
            <v>5.6820000000000002E-2</v>
          </cell>
          <cell r="BH378">
            <v>0.6976</v>
          </cell>
          <cell r="BI378">
            <v>7.18</v>
          </cell>
          <cell r="BJ378" t="str">
            <v>-</v>
          </cell>
          <cell r="BK378">
            <v>0.71220000000000006</v>
          </cell>
          <cell r="BL378">
            <v>6.83</v>
          </cell>
          <cell r="BM378" t="str">
            <v>-</v>
          </cell>
          <cell r="BN378" t="str">
            <v>SIM</v>
          </cell>
          <cell r="BO378" t="str">
            <v>NÃO</v>
          </cell>
          <cell r="BP378" t="str">
            <v>MS|S|NACIONAL|Sim|Alimento Funcional</v>
          </cell>
          <cell r="BR378" t="str">
            <v>TBD</v>
          </cell>
          <cell r="BS378">
            <v>0</v>
          </cell>
          <cell r="BT378" t="str">
            <v>#ERRO</v>
          </cell>
          <cell r="BU378">
            <v>6.83</v>
          </cell>
          <cell r="BV378" t="str">
            <v>-</v>
          </cell>
          <cell r="BX378" t="str">
            <v>TBD</v>
          </cell>
          <cell r="BY378" t="str">
            <v>TBD</v>
          </cell>
          <cell r="BZ378" t="str">
            <v>TBD</v>
          </cell>
          <cell r="CA378" t="str">
            <v>#ERRO</v>
          </cell>
          <cell r="CB378" t="str">
            <v>-</v>
          </cell>
        </row>
        <row r="379">
          <cell r="A379" t="str">
            <v>22851-0</v>
          </cell>
          <cell r="B379" t="str">
            <v>22851-0</v>
          </cell>
          <cell r="C379">
            <v>7896714294353</v>
          </cell>
          <cell r="D379" t="str">
            <v>OLME+ANLO 20MG+5MG CT BL X 30 CPRV</v>
          </cell>
          <cell r="E379" t="str">
            <v>#ERRO</v>
          </cell>
          <cell r="F379" t="str">
            <v>G</v>
          </cell>
          <cell r="G379" t="str">
            <v>LANCAMENTOS GENERICOS</v>
          </cell>
          <cell r="H379">
            <v>0</v>
          </cell>
          <cell r="I379">
            <v>60</v>
          </cell>
          <cell r="J379" t="str">
            <v>Monitorado</v>
          </cell>
          <cell r="K379" t="str">
            <v>Positiva</v>
          </cell>
          <cell r="L379" t="str">
            <v>Sim</v>
          </cell>
          <cell r="M379" t="str">
            <v>NACIONAL</v>
          </cell>
          <cell r="N379" t="str">
            <v>NACIONAL</v>
          </cell>
          <cell r="P379">
            <v>37.700000000000003</v>
          </cell>
          <cell r="Q379">
            <v>37.700000000000003</v>
          </cell>
          <cell r="R379">
            <v>38.159999999999997</v>
          </cell>
          <cell r="S379">
            <v>38.630000000000003</v>
          </cell>
          <cell r="T379">
            <v>35.56</v>
          </cell>
          <cell r="U379">
            <v>37.93</v>
          </cell>
          <cell r="V379">
            <v>37.93</v>
          </cell>
          <cell r="W379">
            <v>38.159999999999997</v>
          </cell>
          <cell r="X379">
            <v>39.11</v>
          </cell>
          <cell r="Y379">
            <v>38.630000000000003</v>
          </cell>
          <cell r="Z379">
            <v>39.11</v>
          </cell>
          <cell r="AA379">
            <v>39.61</v>
          </cell>
          <cell r="AB379">
            <v>40.119999999999997</v>
          </cell>
          <cell r="AC379">
            <v>38.869999999999997</v>
          </cell>
          <cell r="AD379">
            <v>38.869999999999997</v>
          </cell>
          <cell r="AE379">
            <v>39.36</v>
          </cell>
          <cell r="AF379">
            <v>0</v>
          </cell>
          <cell r="AG379">
            <v>52.12</v>
          </cell>
          <cell r="AH379">
            <v>52.12</v>
          </cell>
          <cell r="AI379">
            <v>52.75</v>
          </cell>
          <cell r="AJ379">
            <v>53.4</v>
          </cell>
          <cell r="AK379">
            <v>49.16</v>
          </cell>
          <cell r="AL379">
            <v>52.44</v>
          </cell>
          <cell r="AM379">
            <v>52.44</v>
          </cell>
          <cell r="AN379">
            <v>52.75</v>
          </cell>
          <cell r="AO379">
            <v>54.07</v>
          </cell>
          <cell r="AP379">
            <v>53.4</v>
          </cell>
          <cell r="AQ379">
            <v>54.07</v>
          </cell>
          <cell r="AR379">
            <v>54.76</v>
          </cell>
          <cell r="AS379">
            <v>55.46</v>
          </cell>
          <cell r="AT379">
            <v>53.74</v>
          </cell>
          <cell r="AU379">
            <v>53.74</v>
          </cell>
          <cell r="AV379">
            <v>54.41</v>
          </cell>
          <cell r="AX379">
            <v>37.700000000000003</v>
          </cell>
          <cell r="AY379">
            <v>52.12</v>
          </cell>
          <cell r="AZ379">
            <v>0.17</v>
          </cell>
          <cell r="BA379">
            <v>0.12</v>
          </cell>
          <cell r="BB379" t="str">
            <v>#_NA</v>
          </cell>
          <cell r="BC379" t="str">
            <v>#_NA</v>
          </cell>
          <cell r="BD379" t="str">
            <v>#_NA</v>
          </cell>
          <cell r="BE379" t="str">
            <v>-</v>
          </cell>
          <cell r="BF379" t="str">
            <v>-</v>
          </cell>
          <cell r="BG379">
            <v>5.6820000000000002E-2</v>
          </cell>
          <cell r="BH379">
            <v>0.56299999999999994</v>
          </cell>
          <cell r="BI379">
            <v>15.54</v>
          </cell>
          <cell r="BJ379" t="str">
            <v>-</v>
          </cell>
          <cell r="BK379">
            <v>0.58399999999999996</v>
          </cell>
          <cell r="BL379">
            <v>14.79</v>
          </cell>
          <cell r="BM379" t="str">
            <v>-</v>
          </cell>
          <cell r="BN379" t="str">
            <v>SIM</v>
          </cell>
          <cell r="BO379" t="str">
            <v>NÃO</v>
          </cell>
          <cell r="BP379" t="str">
            <v>MS|G|NACIONAL|Sim|Positiva</v>
          </cell>
          <cell r="BR379" t="str">
            <v>TBD</v>
          </cell>
          <cell r="BS379">
            <v>0</v>
          </cell>
          <cell r="BT379" t="str">
            <v>#ERRO</v>
          </cell>
          <cell r="BU379">
            <v>14.79</v>
          </cell>
          <cell r="BV379" t="str">
            <v>-</v>
          </cell>
          <cell r="BX379" t="str">
            <v>TBD</v>
          </cell>
          <cell r="BY379" t="str">
            <v>TBD</v>
          </cell>
          <cell r="BZ379" t="str">
            <v>TBD</v>
          </cell>
          <cell r="CA379" t="str">
            <v>#ERRO</v>
          </cell>
          <cell r="CB379" t="str">
            <v>-</v>
          </cell>
        </row>
        <row r="380">
          <cell r="A380" t="str">
            <v>22849-0</v>
          </cell>
          <cell r="B380" t="str">
            <v>22849-0</v>
          </cell>
          <cell r="C380">
            <v>7896714294339</v>
          </cell>
          <cell r="D380" t="str">
            <v>OLME+ANLO 40MG+5MG CT BL X 30 CPRV</v>
          </cell>
          <cell r="E380" t="str">
            <v>#ERRO</v>
          </cell>
          <cell r="F380" t="str">
            <v>G</v>
          </cell>
          <cell r="G380" t="str">
            <v>LANCAMENTOS GENERICOS</v>
          </cell>
          <cell r="H380">
            <v>0</v>
          </cell>
          <cell r="I380">
            <v>60</v>
          </cell>
          <cell r="J380" t="str">
            <v>Monitorado</v>
          </cell>
          <cell r="K380" t="str">
            <v>Positiva</v>
          </cell>
          <cell r="L380" t="str">
            <v>Sim</v>
          </cell>
          <cell r="M380" t="str">
            <v>NACIONAL</v>
          </cell>
          <cell r="N380" t="str">
            <v>NACIONAL</v>
          </cell>
          <cell r="P380">
            <v>42.61</v>
          </cell>
          <cell r="Q380">
            <v>42.61</v>
          </cell>
          <cell r="R380">
            <v>43.13</v>
          </cell>
          <cell r="S380">
            <v>43.67</v>
          </cell>
          <cell r="T380">
            <v>40.19</v>
          </cell>
          <cell r="U380">
            <v>42.87</v>
          </cell>
          <cell r="V380">
            <v>42.87</v>
          </cell>
          <cell r="W380">
            <v>43.13</v>
          </cell>
          <cell r="X380">
            <v>44.21</v>
          </cell>
          <cell r="Y380">
            <v>43.67</v>
          </cell>
          <cell r="Z380">
            <v>44.21</v>
          </cell>
          <cell r="AA380">
            <v>44.77</v>
          </cell>
          <cell r="AB380">
            <v>45.35</v>
          </cell>
          <cell r="AC380">
            <v>43.94</v>
          </cell>
          <cell r="AD380">
            <v>43.94</v>
          </cell>
          <cell r="AE380">
            <v>44.49</v>
          </cell>
          <cell r="AF380">
            <v>0</v>
          </cell>
          <cell r="AG380">
            <v>58.91</v>
          </cell>
          <cell r="AH380">
            <v>58.91</v>
          </cell>
          <cell r="AI380">
            <v>59.62</v>
          </cell>
          <cell r="AJ380">
            <v>60.37</v>
          </cell>
          <cell r="AK380">
            <v>55.56</v>
          </cell>
          <cell r="AL380">
            <v>59.27</v>
          </cell>
          <cell r="AM380">
            <v>59.27</v>
          </cell>
          <cell r="AN380">
            <v>59.62</v>
          </cell>
          <cell r="AO380">
            <v>61.12</v>
          </cell>
          <cell r="AP380">
            <v>60.37</v>
          </cell>
          <cell r="AQ380">
            <v>61.12</v>
          </cell>
          <cell r="AR380">
            <v>61.89</v>
          </cell>
          <cell r="AS380">
            <v>62.69</v>
          </cell>
          <cell r="AT380">
            <v>60.74</v>
          </cell>
          <cell r="AU380">
            <v>60.74</v>
          </cell>
          <cell r="AV380">
            <v>61.5</v>
          </cell>
          <cell r="AX380">
            <v>42.61</v>
          </cell>
          <cell r="AY380">
            <v>58.91</v>
          </cell>
          <cell r="AZ380">
            <v>0.17</v>
          </cell>
          <cell r="BA380">
            <v>0.12</v>
          </cell>
          <cell r="BB380" t="str">
            <v>#_NA</v>
          </cell>
          <cell r="BC380" t="str">
            <v>#_NA</v>
          </cell>
          <cell r="BD380" t="str">
            <v>#_NA</v>
          </cell>
          <cell r="BE380" t="str">
            <v>-</v>
          </cell>
          <cell r="BF380" t="str">
            <v>-</v>
          </cell>
          <cell r="BG380">
            <v>5.6820000000000002E-2</v>
          </cell>
          <cell r="BH380">
            <v>0.56110000000000004</v>
          </cell>
          <cell r="BI380">
            <v>17.64</v>
          </cell>
          <cell r="BJ380" t="str">
            <v>-</v>
          </cell>
          <cell r="BK380">
            <v>0.58189999999999997</v>
          </cell>
          <cell r="BL380">
            <v>16.8</v>
          </cell>
          <cell r="BM380" t="str">
            <v>-</v>
          </cell>
          <cell r="BN380" t="str">
            <v>SIM</v>
          </cell>
          <cell r="BO380" t="str">
            <v>NÃO</v>
          </cell>
          <cell r="BP380" t="str">
            <v>MS|G|NACIONAL|Sim|Positiva</v>
          </cell>
          <cell r="BR380" t="str">
            <v>TBD</v>
          </cell>
          <cell r="BS380">
            <v>0</v>
          </cell>
          <cell r="BT380" t="str">
            <v>#ERRO</v>
          </cell>
          <cell r="BU380">
            <v>16.8</v>
          </cell>
          <cell r="BV380" t="str">
            <v>-</v>
          </cell>
          <cell r="BX380" t="str">
            <v>TBD</v>
          </cell>
          <cell r="BY380" t="str">
            <v>TBD</v>
          </cell>
          <cell r="BZ380" t="str">
            <v>TBD</v>
          </cell>
          <cell r="CA380" t="str">
            <v>#ERRO</v>
          </cell>
          <cell r="CB380" t="str">
            <v>-</v>
          </cell>
        </row>
        <row r="381">
          <cell r="A381" t="str">
            <v>22850-0</v>
          </cell>
          <cell r="B381" t="str">
            <v>22850-0</v>
          </cell>
          <cell r="C381">
            <v>7896714294346</v>
          </cell>
          <cell r="D381" t="str">
            <v>OLME+ANLO 40MG+10MG CT BL X 30 CPRV</v>
          </cell>
          <cell r="E381" t="str">
            <v>#ERRO</v>
          </cell>
          <cell r="F381" t="str">
            <v>G</v>
          </cell>
          <cell r="G381" t="str">
            <v>LANCAMENTOS GENERICOS</v>
          </cell>
          <cell r="H381">
            <v>0</v>
          </cell>
          <cell r="I381">
            <v>60</v>
          </cell>
          <cell r="J381" t="str">
            <v>Monitorado</v>
          </cell>
          <cell r="K381" t="str">
            <v>Positiva</v>
          </cell>
          <cell r="L381" t="str">
            <v>Sim</v>
          </cell>
          <cell r="M381" t="str">
            <v>NACIONAL</v>
          </cell>
          <cell r="N381" t="str">
            <v>NACIONAL</v>
          </cell>
          <cell r="P381">
            <v>42.61</v>
          </cell>
          <cell r="Q381">
            <v>42.61</v>
          </cell>
          <cell r="R381">
            <v>43.13</v>
          </cell>
          <cell r="S381">
            <v>43.67</v>
          </cell>
          <cell r="T381">
            <v>40.19</v>
          </cell>
          <cell r="U381">
            <v>42.87</v>
          </cell>
          <cell r="V381">
            <v>42.87</v>
          </cell>
          <cell r="W381">
            <v>43.13</v>
          </cell>
          <cell r="X381">
            <v>44.21</v>
          </cell>
          <cell r="Y381">
            <v>43.67</v>
          </cell>
          <cell r="Z381">
            <v>44.21</v>
          </cell>
          <cell r="AA381">
            <v>44.77</v>
          </cell>
          <cell r="AB381">
            <v>45.35</v>
          </cell>
          <cell r="AC381">
            <v>43.94</v>
          </cell>
          <cell r="AD381">
            <v>43.94</v>
          </cell>
          <cell r="AE381">
            <v>44.49</v>
          </cell>
          <cell r="AF381">
            <v>0</v>
          </cell>
          <cell r="AG381">
            <v>58.91</v>
          </cell>
          <cell r="AH381">
            <v>58.91</v>
          </cell>
          <cell r="AI381">
            <v>59.62</v>
          </cell>
          <cell r="AJ381">
            <v>60.37</v>
          </cell>
          <cell r="AK381">
            <v>55.56</v>
          </cell>
          <cell r="AL381">
            <v>59.27</v>
          </cell>
          <cell r="AM381">
            <v>59.27</v>
          </cell>
          <cell r="AN381">
            <v>59.62</v>
          </cell>
          <cell r="AO381">
            <v>61.12</v>
          </cell>
          <cell r="AP381">
            <v>60.37</v>
          </cell>
          <cell r="AQ381">
            <v>61.12</v>
          </cell>
          <cell r="AR381">
            <v>61.89</v>
          </cell>
          <cell r="AS381">
            <v>62.69</v>
          </cell>
          <cell r="AT381">
            <v>60.74</v>
          </cell>
          <cell r="AU381">
            <v>60.74</v>
          </cell>
          <cell r="AV381">
            <v>61.5</v>
          </cell>
          <cell r="AX381">
            <v>42.61</v>
          </cell>
          <cell r="AY381">
            <v>58.91</v>
          </cell>
          <cell r="AZ381">
            <v>0.17</v>
          </cell>
          <cell r="BA381">
            <v>0.12</v>
          </cell>
          <cell r="BB381" t="str">
            <v>#_NA</v>
          </cell>
          <cell r="BC381" t="str">
            <v>#_NA</v>
          </cell>
          <cell r="BD381" t="str">
            <v>#_NA</v>
          </cell>
          <cell r="BE381" t="str">
            <v>-</v>
          </cell>
          <cell r="BF381" t="str">
            <v>-</v>
          </cell>
          <cell r="BG381">
            <v>5.6820000000000002E-2</v>
          </cell>
          <cell r="BH381">
            <v>0.52869999999999995</v>
          </cell>
          <cell r="BI381">
            <v>18.940000000000001</v>
          </cell>
          <cell r="BJ381" t="str">
            <v>-</v>
          </cell>
          <cell r="BK381">
            <v>0.55110000000000003</v>
          </cell>
          <cell r="BL381">
            <v>18.04</v>
          </cell>
          <cell r="BM381" t="str">
            <v>-</v>
          </cell>
          <cell r="BN381" t="str">
            <v>SIM</v>
          </cell>
          <cell r="BO381" t="str">
            <v>NÃO</v>
          </cell>
          <cell r="BP381" t="str">
            <v>MS|G|NACIONAL|Sim|Positiva</v>
          </cell>
          <cell r="BR381" t="str">
            <v>TBD</v>
          </cell>
          <cell r="BS381">
            <v>0</v>
          </cell>
          <cell r="BT381" t="str">
            <v>#ERRO</v>
          </cell>
          <cell r="BU381">
            <v>18.04</v>
          </cell>
          <cell r="BV381" t="str">
            <v>-</v>
          </cell>
          <cell r="BX381" t="str">
            <v>TBD</v>
          </cell>
          <cell r="BY381" t="str">
            <v>TBD</v>
          </cell>
          <cell r="BZ381" t="str">
            <v>TBD</v>
          </cell>
          <cell r="CA381" t="str">
            <v>#ERRO</v>
          </cell>
          <cell r="CB381" t="str">
            <v>-</v>
          </cell>
        </row>
        <row r="382">
          <cell r="A382" t="str">
            <v>12774-0</v>
          </cell>
          <cell r="B382" t="str">
            <v>12774-0</v>
          </cell>
          <cell r="C382">
            <v>7896714225586</v>
          </cell>
          <cell r="D382" t="str">
            <v>ALERGIDEX XPE CT FR PET 1X120ML</v>
          </cell>
          <cell r="E382" t="str">
            <v>SIM</v>
          </cell>
          <cell r="F382" t="str">
            <v>S</v>
          </cell>
          <cell r="G382" t="str">
            <v>LANCAMENTOS SMART</v>
          </cell>
          <cell r="H382">
            <v>5</v>
          </cell>
          <cell r="I382">
            <v>60</v>
          </cell>
          <cell r="J382" t="str">
            <v>Monitorado</v>
          </cell>
          <cell r="K382" t="str">
            <v>Negativa</v>
          </cell>
          <cell r="L382" t="str">
            <v>Sim</v>
          </cell>
          <cell r="M382" t="str">
            <v>NACIONAL</v>
          </cell>
          <cell r="N382" t="str">
            <v>NACIONAL</v>
          </cell>
          <cell r="P382">
            <v>20.78</v>
          </cell>
          <cell r="Q382">
            <v>23.87</v>
          </cell>
          <cell r="R382">
            <v>24.21</v>
          </cell>
          <cell r="S382">
            <v>24.56</v>
          </cell>
          <cell r="T382">
            <v>22.33</v>
          </cell>
          <cell r="U382">
            <v>24.04</v>
          </cell>
          <cell r="V382">
            <v>20.91</v>
          </cell>
          <cell r="W382">
            <v>21.04</v>
          </cell>
          <cell r="X382">
            <v>24.91</v>
          </cell>
          <cell r="Y382">
            <v>21.3</v>
          </cell>
          <cell r="Z382">
            <v>21.56</v>
          </cell>
          <cell r="AA382">
            <v>25.28</v>
          </cell>
          <cell r="AB382">
            <v>25.65</v>
          </cell>
          <cell r="AC382">
            <v>24.73</v>
          </cell>
          <cell r="AD382">
            <v>21.43</v>
          </cell>
          <cell r="AE382">
            <v>25.09</v>
          </cell>
          <cell r="AF382">
            <v>0</v>
          </cell>
          <cell r="AG382">
            <v>28.73</v>
          </cell>
          <cell r="AH382">
            <v>31.82</v>
          </cell>
          <cell r="AI382">
            <v>32.26</v>
          </cell>
          <cell r="AJ382">
            <v>32.71</v>
          </cell>
          <cell r="AK382">
            <v>29.83</v>
          </cell>
          <cell r="AL382">
            <v>32.04</v>
          </cell>
          <cell r="AM382">
            <v>28.91</v>
          </cell>
          <cell r="AN382">
            <v>29.09</v>
          </cell>
          <cell r="AO382">
            <v>33.159999999999997</v>
          </cell>
          <cell r="AP382">
            <v>29.45</v>
          </cell>
          <cell r="AQ382">
            <v>29.81</v>
          </cell>
          <cell r="AR382">
            <v>33.630000000000003</v>
          </cell>
          <cell r="AS382">
            <v>34.11</v>
          </cell>
          <cell r="AT382">
            <v>32.92</v>
          </cell>
          <cell r="AU382">
            <v>29.63</v>
          </cell>
          <cell r="AV382">
            <v>33.39</v>
          </cell>
          <cell r="AX382">
            <v>23.87</v>
          </cell>
          <cell r="AY382">
            <v>31.82</v>
          </cell>
          <cell r="AZ382">
            <v>0.17</v>
          </cell>
          <cell r="BA382">
            <v>0.12</v>
          </cell>
          <cell r="BB382" t="str">
            <v>#_NA</v>
          </cell>
          <cell r="BC382" t="str">
            <v>#_NA</v>
          </cell>
          <cell r="BD382" t="str">
            <v>#_NA</v>
          </cell>
          <cell r="BE382" t="str">
            <v>-</v>
          </cell>
          <cell r="BF382" t="str">
            <v>-</v>
          </cell>
          <cell r="BG382">
            <v>5.6820000000000002E-2</v>
          </cell>
          <cell r="BH382">
            <v>0.62719999999999998</v>
          </cell>
          <cell r="BI382">
            <v>8.39</v>
          </cell>
          <cell r="BJ382" t="str">
            <v>-</v>
          </cell>
          <cell r="BK382">
            <v>0.69169999999999998</v>
          </cell>
          <cell r="BL382">
            <v>6.94</v>
          </cell>
          <cell r="BM382" t="str">
            <v>-</v>
          </cell>
          <cell r="BN382" t="str">
            <v>SIM</v>
          </cell>
          <cell r="BO382" t="str">
            <v>NÃO</v>
          </cell>
          <cell r="BP382" t="str">
            <v>MS|S|NACIONAL|Sim|Negativa</v>
          </cell>
          <cell r="BR382" t="str">
            <v>TBD</v>
          </cell>
          <cell r="BS382">
            <v>0</v>
          </cell>
          <cell r="BT382" t="str">
            <v>#ERRO</v>
          </cell>
          <cell r="BU382">
            <v>6.94</v>
          </cell>
          <cell r="BV382" t="str">
            <v>-</v>
          </cell>
          <cell r="BX382" t="str">
            <v>TBD</v>
          </cell>
          <cell r="BY382" t="str">
            <v>TBD</v>
          </cell>
          <cell r="BZ382" t="str">
            <v>TBD</v>
          </cell>
          <cell r="CA382" t="str">
            <v>#ERRO</v>
          </cell>
          <cell r="CB382" t="str">
            <v>-</v>
          </cell>
        </row>
        <row r="383">
          <cell r="A383" t="str">
            <v>12496-0</v>
          </cell>
          <cell r="B383" t="str">
            <v>12496-0</v>
          </cell>
          <cell r="C383">
            <v>7896714225616</v>
          </cell>
          <cell r="D383" t="str">
            <v>MAL DEXCLOR+BETAMETASONA XPE FR 1X120ML</v>
          </cell>
          <cell r="E383" t="str">
            <v>SIM</v>
          </cell>
          <cell r="F383" t="str">
            <v>G</v>
          </cell>
          <cell r="G383" t="str">
            <v>LINHA</v>
          </cell>
          <cell r="H383">
            <v>5</v>
          </cell>
          <cell r="I383">
            <v>60</v>
          </cell>
          <cell r="J383" t="str">
            <v>Monitorado</v>
          </cell>
          <cell r="K383" t="str">
            <v>Negativa</v>
          </cell>
          <cell r="L383" t="str">
            <v>Sim</v>
          </cell>
          <cell r="M383" t="str">
            <v>NACIONAL</v>
          </cell>
          <cell r="N383" t="str">
            <v>NACIONAL</v>
          </cell>
          <cell r="P383">
            <v>10.24</v>
          </cell>
          <cell r="Q383">
            <v>11.76</v>
          </cell>
          <cell r="R383">
            <v>11.93</v>
          </cell>
          <cell r="S383">
            <v>12.1</v>
          </cell>
          <cell r="T383">
            <v>11</v>
          </cell>
          <cell r="U383">
            <v>11.85</v>
          </cell>
          <cell r="V383">
            <v>10.3</v>
          </cell>
          <cell r="W383">
            <v>10.37</v>
          </cell>
          <cell r="X383">
            <v>12.28</v>
          </cell>
          <cell r="Y383">
            <v>10.49</v>
          </cell>
          <cell r="Z383">
            <v>10.62</v>
          </cell>
          <cell r="AA383">
            <v>12.46</v>
          </cell>
          <cell r="AB383">
            <v>12.64</v>
          </cell>
          <cell r="AC383">
            <v>12.19</v>
          </cell>
          <cell r="AD383">
            <v>10.56</v>
          </cell>
          <cell r="AE383">
            <v>12.36</v>
          </cell>
          <cell r="AF383">
            <v>0</v>
          </cell>
          <cell r="AG383">
            <v>14.16</v>
          </cell>
          <cell r="AH383">
            <v>15.68</v>
          </cell>
          <cell r="AI383">
            <v>15.89</v>
          </cell>
          <cell r="AJ383">
            <v>16.11</v>
          </cell>
          <cell r="AK383">
            <v>14.69</v>
          </cell>
          <cell r="AL383">
            <v>15.79</v>
          </cell>
          <cell r="AM383">
            <v>14.24</v>
          </cell>
          <cell r="AN383">
            <v>14.34</v>
          </cell>
          <cell r="AO383">
            <v>16.350000000000001</v>
          </cell>
          <cell r="AP383">
            <v>14.5</v>
          </cell>
          <cell r="AQ383">
            <v>14.68</v>
          </cell>
          <cell r="AR383">
            <v>16.579999999999998</v>
          </cell>
          <cell r="AS383">
            <v>16.809999999999999</v>
          </cell>
          <cell r="AT383">
            <v>16.23</v>
          </cell>
          <cell r="AU383">
            <v>14.6</v>
          </cell>
          <cell r="AV383">
            <v>16.45</v>
          </cell>
          <cell r="AX383">
            <v>11.76</v>
          </cell>
          <cell r="AY383">
            <v>15.68</v>
          </cell>
          <cell r="AZ383">
            <v>0.17</v>
          </cell>
          <cell r="BA383">
            <v>0.12</v>
          </cell>
          <cell r="BB383" t="str">
            <v>#_NA</v>
          </cell>
          <cell r="BC383" t="str">
            <v>#_NA</v>
          </cell>
          <cell r="BD383" t="str">
            <v>#_NA</v>
          </cell>
          <cell r="BE383" t="str">
            <v>-</v>
          </cell>
          <cell r="BF383" t="str">
            <v>-</v>
          </cell>
          <cell r="BG383">
            <v>5.6820000000000002E-2</v>
          </cell>
          <cell r="BH383">
            <v>0.37769999999999998</v>
          </cell>
          <cell r="BI383">
            <v>6.9</v>
          </cell>
          <cell r="BJ383" t="str">
            <v>-</v>
          </cell>
          <cell r="BK383">
            <v>0.48599999999999999</v>
          </cell>
          <cell r="BL383">
            <v>5.7</v>
          </cell>
          <cell r="BM383" t="str">
            <v>-</v>
          </cell>
          <cell r="BN383" t="str">
            <v>SIM</v>
          </cell>
          <cell r="BO383" t="str">
            <v>NÃO</v>
          </cell>
          <cell r="BP383" t="str">
            <v>MS|G|NACIONAL|Sim|Negativa</v>
          </cell>
          <cell r="BR383" t="str">
            <v>TBD</v>
          </cell>
          <cell r="BS383">
            <v>0</v>
          </cell>
          <cell r="BT383" t="str">
            <v>#ERRO</v>
          </cell>
          <cell r="BU383">
            <v>5.7</v>
          </cell>
          <cell r="BV383" t="str">
            <v>-</v>
          </cell>
          <cell r="BX383" t="str">
            <v>TBD</v>
          </cell>
          <cell r="BY383" t="str">
            <v>TBD</v>
          </cell>
          <cell r="BZ383" t="str">
            <v>TBD</v>
          </cell>
          <cell r="CA383" t="str">
            <v>#ERRO</v>
          </cell>
          <cell r="CB383" t="str">
            <v>-</v>
          </cell>
        </row>
        <row r="384">
          <cell r="A384" t="str">
            <v>23047-0</v>
          </cell>
          <cell r="B384" t="str">
            <v>23047-0</v>
          </cell>
          <cell r="C384">
            <v>7896714295497</v>
          </cell>
          <cell r="D384" t="str">
            <v>NQ VITAMINA D3 5.000 UI X 30 CAP MOLE</v>
          </cell>
          <cell r="E384" t="str">
            <v>SIM</v>
          </cell>
          <cell r="F384" t="str">
            <v>S</v>
          </cell>
          <cell r="G384" t="str">
            <v>FOCO SMART</v>
          </cell>
          <cell r="H384">
            <v>0</v>
          </cell>
          <cell r="I384">
            <v>45</v>
          </cell>
          <cell r="J384" t="str">
            <v>Monitorado</v>
          </cell>
          <cell r="K384" t="str">
            <v>Negativa</v>
          </cell>
          <cell r="L384" t="str">
            <v>Sim</v>
          </cell>
          <cell r="M384" t="str">
            <v>NACIONAL</v>
          </cell>
          <cell r="N384" t="str">
            <v>NACIONAL</v>
          </cell>
          <cell r="P384">
            <v>47.38</v>
          </cell>
          <cell r="Q384">
            <v>54.42</v>
          </cell>
          <cell r="R384">
            <v>55.19</v>
          </cell>
          <cell r="S384">
            <v>55.97</v>
          </cell>
          <cell r="T384">
            <v>50.89</v>
          </cell>
          <cell r="U384">
            <v>54.8</v>
          </cell>
          <cell r="V384">
            <v>47.66</v>
          </cell>
          <cell r="W384">
            <v>47.95</v>
          </cell>
          <cell r="X384">
            <v>56.78</v>
          </cell>
          <cell r="Y384">
            <v>48.54</v>
          </cell>
          <cell r="Z384">
            <v>49.15</v>
          </cell>
          <cell r="AA384">
            <v>57.62</v>
          </cell>
          <cell r="AB384">
            <v>58.48</v>
          </cell>
          <cell r="AC384">
            <v>56.38</v>
          </cell>
          <cell r="AD384">
            <v>48.85</v>
          </cell>
          <cell r="AE384">
            <v>57.2</v>
          </cell>
          <cell r="AF384">
            <v>0</v>
          </cell>
          <cell r="AG384">
            <v>65.5</v>
          </cell>
          <cell r="AH384">
            <v>72.540000000000006</v>
          </cell>
          <cell r="AI384">
            <v>73.53</v>
          </cell>
          <cell r="AJ384">
            <v>74.53</v>
          </cell>
          <cell r="AK384">
            <v>67.98</v>
          </cell>
          <cell r="AL384">
            <v>73.03</v>
          </cell>
          <cell r="AM384">
            <v>65.89</v>
          </cell>
          <cell r="AN384">
            <v>66.290000000000006</v>
          </cell>
          <cell r="AO384">
            <v>75.58</v>
          </cell>
          <cell r="AP384">
            <v>67.099999999999994</v>
          </cell>
          <cell r="AQ384">
            <v>67.95</v>
          </cell>
          <cell r="AR384">
            <v>76.66</v>
          </cell>
          <cell r="AS384">
            <v>77.760000000000005</v>
          </cell>
          <cell r="AT384">
            <v>75.06</v>
          </cell>
          <cell r="AU384">
            <v>67.53</v>
          </cell>
          <cell r="AV384">
            <v>76.12</v>
          </cell>
          <cell r="AX384">
            <v>54.42</v>
          </cell>
          <cell r="AY384">
            <v>72.540000000000006</v>
          </cell>
          <cell r="AZ384">
            <v>0.17</v>
          </cell>
          <cell r="BA384">
            <v>0.12</v>
          </cell>
          <cell r="BB384" t="str">
            <v>#_NA</v>
          </cell>
          <cell r="BC384" t="str">
            <v>#_NA</v>
          </cell>
          <cell r="BD384" t="str">
            <v>#_NA</v>
          </cell>
          <cell r="BE384" t="str">
            <v>-</v>
          </cell>
          <cell r="BF384" t="str">
            <v>-</v>
          </cell>
          <cell r="BG384">
            <v>5.6820000000000002E-2</v>
          </cell>
          <cell r="BH384">
            <v>0.85809999999999997</v>
          </cell>
          <cell r="BI384">
            <v>7.28</v>
          </cell>
          <cell r="BJ384" t="str">
            <v>-</v>
          </cell>
          <cell r="BK384">
            <v>0.8679</v>
          </cell>
          <cell r="BL384">
            <v>6.78</v>
          </cell>
          <cell r="BM384" t="str">
            <v>-</v>
          </cell>
          <cell r="BN384" t="str">
            <v>SIM</v>
          </cell>
          <cell r="BO384" t="str">
            <v>NÃO</v>
          </cell>
          <cell r="BP384" t="str">
            <v>MS|S|NACIONAL|Sim|Negativa</v>
          </cell>
          <cell r="BR384" t="str">
            <v>TBD</v>
          </cell>
          <cell r="BS384">
            <v>0</v>
          </cell>
          <cell r="BT384" t="str">
            <v>#ERRO</v>
          </cell>
          <cell r="BU384">
            <v>6.78</v>
          </cell>
          <cell r="BV384" t="str">
            <v>-</v>
          </cell>
          <cell r="BX384" t="str">
            <v>TBD</v>
          </cell>
          <cell r="BY384" t="str">
            <v>TBD</v>
          </cell>
          <cell r="BZ384" t="str">
            <v>TBD</v>
          </cell>
          <cell r="CA384" t="str">
            <v>#ERRO</v>
          </cell>
          <cell r="CB384" t="str">
            <v>-</v>
          </cell>
        </row>
        <row r="385">
          <cell r="A385" t="str">
            <v>22701-0</v>
          </cell>
          <cell r="B385" t="str">
            <v>22701-0</v>
          </cell>
          <cell r="C385">
            <v>7896714293615</v>
          </cell>
          <cell r="D385" t="str">
            <v>SUCCINATO SOLIFENACINA 5MG X 30 CPRV</v>
          </cell>
          <cell r="E385" t="str">
            <v>SIM</v>
          </cell>
          <cell r="F385" t="str">
            <v>G</v>
          </cell>
          <cell r="G385" t="str">
            <v>LANCAMENTOS GENERICOS</v>
          </cell>
          <cell r="H385">
            <v>5</v>
          </cell>
          <cell r="I385">
            <v>60</v>
          </cell>
          <cell r="J385" t="str">
            <v>Monitorado</v>
          </cell>
          <cell r="K385" t="str">
            <v>Negativa</v>
          </cell>
          <cell r="L385" t="str">
            <v>Sim</v>
          </cell>
          <cell r="M385" t="str">
            <v>NACIONAL</v>
          </cell>
          <cell r="N385" t="str">
            <v>NACIONAL</v>
          </cell>
          <cell r="P385">
            <v>86.93</v>
          </cell>
          <cell r="Q385">
            <v>99.86</v>
          </cell>
          <cell r="R385">
            <v>101.26</v>
          </cell>
          <cell r="S385">
            <v>102.71</v>
          </cell>
          <cell r="T385">
            <v>93.38</v>
          </cell>
          <cell r="U385">
            <v>100.56</v>
          </cell>
          <cell r="V385">
            <v>87.46</v>
          </cell>
          <cell r="W385">
            <v>87.99</v>
          </cell>
          <cell r="X385">
            <v>104.2</v>
          </cell>
          <cell r="Y385">
            <v>89.08</v>
          </cell>
          <cell r="Z385">
            <v>90.19</v>
          </cell>
          <cell r="AA385">
            <v>105.73</v>
          </cell>
          <cell r="AB385">
            <v>107.3</v>
          </cell>
          <cell r="AC385">
            <v>103.45</v>
          </cell>
          <cell r="AD385">
            <v>89.63</v>
          </cell>
          <cell r="AE385">
            <v>104.96</v>
          </cell>
          <cell r="AF385">
            <v>0</v>
          </cell>
          <cell r="AG385">
            <v>120.18</v>
          </cell>
          <cell r="AH385">
            <v>133.11000000000001</v>
          </cell>
          <cell r="AI385">
            <v>134.91</v>
          </cell>
          <cell r="AJ385">
            <v>136.78</v>
          </cell>
          <cell r="AK385">
            <v>124.74</v>
          </cell>
          <cell r="AL385">
            <v>134.01</v>
          </cell>
          <cell r="AM385">
            <v>120.91</v>
          </cell>
          <cell r="AN385">
            <v>121.64</v>
          </cell>
          <cell r="AO385">
            <v>138.69</v>
          </cell>
          <cell r="AP385">
            <v>123.15</v>
          </cell>
          <cell r="AQ385">
            <v>124.68</v>
          </cell>
          <cell r="AR385">
            <v>140.66</v>
          </cell>
          <cell r="AS385">
            <v>142.68</v>
          </cell>
          <cell r="AT385">
            <v>137.72999999999999</v>
          </cell>
          <cell r="AU385">
            <v>123.91</v>
          </cell>
          <cell r="AV385">
            <v>139.66999999999999</v>
          </cell>
          <cell r="AX385">
            <v>99.86</v>
          </cell>
          <cell r="AY385">
            <v>133.11000000000001</v>
          </cell>
          <cell r="AZ385">
            <v>0.17</v>
          </cell>
          <cell r="BA385">
            <v>0.12</v>
          </cell>
          <cell r="BB385" t="str">
            <v>#_NA</v>
          </cell>
          <cell r="BC385" t="str">
            <v>#_NA</v>
          </cell>
          <cell r="BD385" t="str">
            <v>#_NA</v>
          </cell>
          <cell r="BE385" t="str">
            <v>-</v>
          </cell>
          <cell r="BF385" t="str">
            <v>-</v>
          </cell>
          <cell r="BG385">
            <v>5.6820000000000002E-2</v>
          </cell>
          <cell r="BH385">
            <v>0.59570000000000001</v>
          </cell>
          <cell r="BI385">
            <v>38.08</v>
          </cell>
          <cell r="BJ385" t="str">
            <v>-</v>
          </cell>
          <cell r="BK385">
            <v>0.61829999999999996</v>
          </cell>
          <cell r="BL385">
            <v>35.950000000000003</v>
          </cell>
          <cell r="BM385" t="str">
            <v>-</v>
          </cell>
          <cell r="BN385" t="str">
            <v>SIM</v>
          </cell>
          <cell r="BO385" t="str">
            <v>NÃO</v>
          </cell>
          <cell r="BP385" t="str">
            <v>MS|G|NACIONAL|Sim|Negativa</v>
          </cell>
          <cell r="BR385" t="str">
            <v>TBD</v>
          </cell>
          <cell r="BS385">
            <v>0</v>
          </cell>
          <cell r="BT385" t="str">
            <v>#ERRO</v>
          </cell>
          <cell r="BU385">
            <v>35.950000000000003</v>
          </cell>
          <cell r="BV385" t="str">
            <v>-</v>
          </cell>
          <cell r="BX385" t="str">
            <v>TBD</v>
          </cell>
          <cell r="BY385" t="str">
            <v>TBD</v>
          </cell>
          <cell r="BZ385" t="str">
            <v>TBD</v>
          </cell>
          <cell r="CA385" t="str">
            <v>#ERRO</v>
          </cell>
          <cell r="CB385" t="str">
            <v>-</v>
          </cell>
        </row>
        <row r="386">
          <cell r="A386" t="str">
            <v>22702-0</v>
          </cell>
          <cell r="B386" t="str">
            <v>22702-0</v>
          </cell>
          <cell r="C386">
            <v>7896714293622</v>
          </cell>
          <cell r="D386" t="str">
            <v>SUCCINATO SOLIFENACINA 10MG X 30 CPRV</v>
          </cell>
          <cell r="E386" t="str">
            <v>SIM</v>
          </cell>
          <cell r="F386" t="str">
            <v>G</v>
          </cell>
          <cell r="G386" t="str">
            <v>LANCAMENTOS GENERICOS</v>
          </cell>
          <cell r="H386">
            <v>5</v>
          </cell>
          <cell r="I386">
            <v>60</v>
          </cell>
          <cell r="J386" t="str">
            <v>Monitorado</v>
          </cell>
          <cell r="K386" t="str">
            <v>Negativa</v>
          </cell>
          <cell r="L386" t="str">
            <v>Sim</v>
          </cell>
          <cell r="M386" t="str">
            <v>NACIONAL</v>
          </cell>
          <cell r="N386" t="str">
            <v>NACIONAL</v>
          </cell>
          <cell r="P386">
            <v>106.39</v>
          </cell>
          <cell r="Q386">
            <v>122.21</v>
          </cell>
          <cell r="R386">
            <v>123.93</v>
          </cell>
          <cell r="S386">
            <v>125.7</v>
          </cell>
          <cell r="T386">
            <v>114.29</v>
          </cell>
          <cell r="U386">
            <v>123.07</v>
          </cell>
          <cell r="V386">
            <v>107.03</v>
          </cell>
          <cell r="W386">
            <v>107.69</v>
          </cell>
          <cell r="X386">
            <v>127.52</v>
          </cell>
          <cell r="Y386">
            <v>109.02</v>
          </cell>
          <cell r="Z386">
            <v>110.38</v>
          </cell>
          <cell r="AA386">
            <v>129.38999999999999</v>
          </cell>
          <cell r="AB386">
            <v>131.32</v>
          </cell>
          <cell r="AC386">
            <v>126.6</v>
          </cell>
          <cell r="AD386">
            <v>109.69</v>
          </cell>
          <cell r="AE386">
            <v>128.44999999999999</v>
          </cell>
          <cell r="AF386">
            <v>0</v>
          </cell>
          <cell r="AG386">
            <v>147.08000000000001</v>
          </cell>
          <cell r="AH386">
            <v>162.9</v>
          </cell>
          <cell r="AI386">
            <v>165.11</v>
          </cell>
          <cell r="AJ386">
            <v>167.39</v>
          </cell>
          <cell r="AK386">
            <v>152.66999999999999</v>
          </cell>
          <cell r="AL386">
            <v>164.01</v>
          </cell>
          <cell r="AM386">
            <v>147.96</v>
          </cell>
          <cell r="AN386">
            <v>148.88</v>
          </cell>
          <cell r="AO386">
            <v>169.73</v>
          </cell>
          <cell r="AP386">
            <v>150.71</v>
          </cell>
          <cell r="AQ386">
            <v>152.59</v>
          </cell>
          <cell r="AR386">
            <v>172.14</v>
          </cell>
          <cell r="AS386">
            <v>174.61</v>
          </cell>
          <cell r="AT386">
            <v>168.55</v>
          </cell>
          <cell r="AU386">
            <v>151.63999999999999</v>
          </cell>
          <cell r="AV386">
            <v>170.93</v>
          </cell>
          <cell r="AX386">
            <v>122.21</v>
          </cell>
          <cell r="AY386">
            <v>162.9</v>
          </cell>
          <cell r="AZ386">
            <v>0.17</v>
          </cell>
          <cell r="BA386">
            <v>0.12</v>
          </cell>
          <cell r="BB386" t="str">
            <v>#_NA</v>
          </cell>
          <cell r="BC386" t="str">
            <v>#_NA</v>
          </cell>
          <cell r="BD386" t="str">
            <v>#_NA</v>
          </cell>
          <cell r="BE386" t="str">
            <v>-</v>
          </cell>
          <cell r="BF386" t="str">
            <v>-</v>
          </cell>
          <cell r="BG386">
            <v>5.6820000000000002E-2</v>
          </cell>
          <cell r="BH386">
            <v>0.64280000000000004</v>
          </cell>
          <cell r="BI386">
            <v>41.17</v>
          </cell>
          <cell r="BJ386" t="str">
            <v>-</v>
          </cell>
          <cell r="BK386">
            <v>0.66269999999999996</v>
          </cell>
          <cell r="BL386">
            <v>38.880000000000003</v>
          </cell>
          <cell r="BM386" t="str">
            <v>-</v>
          </cell>
          <cell r="BN386" t="str">
            <v>SIM</v>
          </cell>
          <cell r="BO386" t="str">
            <v>NÃO</v>
          </cell>
          <cell r="BP386" t="str">
            <v>MS|G|NACIONAL|Sim|Negativa</v>
          </cell>
          <cell r="BR386" t="str">
            <v>TBD</v>
          </cell>
          <cell r="BS386">
            <v>0</v>
          </cell>
          <cell r="BT386" t="str">
            <v>#ERRO</v>
          </cell>
          <cell r="BU386">
            <v>38.880000000000003</v>
          </cell>
          <cell r="BV386" t="str">
            <v>-</v>
          </cell>
          <cell r="BX386" t="str">
            <v>TBD</v>
          </cell>
          <cell r="BY386" t="str">
            <v>TBD</v>
          </cell>
          <cell r="BZ386" t="str">
            <v>TBD</v>
          </cell>
          <cell r="CA386" t="str">
            <v>#ERRO</v>
          </cell>
          <cell r="CB386" t="str">
            <v>-</v>
          </cell>
        </row>
        <row r="387">
          <cell r="A387" t="str">
            <v>22754-0</v>
          </cell>
          <cell r="B387" t="str">
            <v>22754-0</v>
          </cell>
          <cell r="C387">
            <v>7896714294001</v>
          </cell>
          <cell r="D387" t="str">
            <v>CETOPROFENO 150MG CPR LIB PROL X 10</v>
          </cell>
          <cell r="E387" t="str">
            <v>SIM</v>
          </cell>
          <cell r="F387" t="str">
            <v>G</v>
          </cell>
          <cell r="G387" t="str">
            <v>LANCAMENTOS GENERICOS</v>
          </cell>
          <cell r="H387">
            <v>0</v>
          </cell>
          <cell r="I387">
            <v>60</v>
          </cell>
          <cell r="J387" t="str">
            <v>Monitorado</v>
          </cell>
          <cell r="K387" t="str">
            <v>Positiva</v>
          </cell>
          <cell r="L387" t="str">
            <v>Sim</v>
          </cell>
          <cell r="M387" t="str">
            <v>NACIONAL</v>
          </cell>
          <cell r="N387" t="str">
            <v>NACIONAL</v>
          </cell>
          <cell r="P387">
            <v>30.37</v>
          </cell>
          <cell r="Q387">
            <v>30.37</v>
          </cell>
          <cell r="R387">
            <v>30.74</v>
          </cell>
          <cell r="S387">
            <v>31.12</v>
          </cell>
          <cell r="T387">
            <v>28.65</v>
          </cell>
          <cell r="U387">
            <v>30.56</v>
          </cell>
          <cell r="V387">
            <v>30.56</v>
          </cell>
          <cell r="W387">
            <v>30.74</v>
          </cell>
          <cell r="X387">
            <v>31.51</v>
          </cell>
          <cell r="Y387">
            <v>31.12</v>
          </cell>
          <cell r="Z387">
            <v>31.51</v>
          </cell>
          <cell r="AA387">
            <v>31.91</v>
          </cell>
          <cell r="AB387">
            <v>32.32</v>
          </cell>
          <cell r="AC387">
            <v>31.32</v>
          </cell>
          <cell r="AD387">
            <v>31.32</v>
          </cell>
          <cell r="AE387">
            <v>31.71</v>
          </cell>
          <cell r="AF387">
            <v>0</v>
          </cell>
          <cell r="AG387">
            <v>41.98</v>
          </cell>
          <cell r="AH387">
            <v>41.98</v>
          </cell>
          <cell r="AI387">
            <v>42.5</v>
          </cell>
          <cell r="AJ387">
            <v>43.02</v>
          </cell>
          <cell r="AK387">
            <v>39.61</v>
          </cell>
          <cell r="AL387">
            <v>42.25</v>
          </cell>
          <cell r="AM387">
            <v>42.25</v>
          </cell>
          <cell r="AN387">
            <v>42.5</v>
          </cell>
          <cell r="AO387">
            <v>43.56</v>
          </cell>
          <cell r="AP387">
            <v>43.02</v>
          </cell>
          <cell r="AQ387">
            <v>43.56</v>
          </cell>
          <cell r="AR387">
            <v>44.11</v>
          </cell>
          <cell r="AS387">
            <v>44.68</v>
          </cell>
          <cell r="AT387">
            <v>43.3</v>
          </cell>
          <cell r="AU387">
            <v>43.3</v>
          </cell>
          <cell r="AV387">
            <v>43.84</v>
          </cell>
          <cell r="AX387">
            <v>30.37</v>
          </cell>
          <cell r="AY387">
            <v>41.98</v>
          </cell>
          <cell r="AZ387">
            <v>0.17</v>
          </cell>
          <cell r="BA387">
            <v>0.12</v>
          </cell>
          <cell r="BB387" t="str">
            <v>#_NA</v>
          </cell>
          <cell r="BC387" t="str">
            <v>#_NA</v>
          </cell>
          <cell r="BD387" t="str">
            <v>#_NA</v>
          </cell>
          <cell r="BE387" t="str">
            <v>-</v>
          </cell>
          <cell r="BF387" t="str">
            <v>-</v>
          </cell>
          <cell r="BG387">
            <v>5.6820000000000002E-2</v>
          </cell>
          <cell r="BH387">
            <v>0.81740000000000002</v>
          </cell>
          <cell r="BI387">
            <v>5.23</v>
          </cell>
          <cell r="BJ387" t="str">
            <v>-</v>
          </cell>
          <cell r="BK387">
            <v>0.82979999999999998</v>
          </cell>
          <cell r="BL387">
            <v>4.87</v>
          </cell>
          <cell r="BM387" t="str">
            <v>-</v>
          </cell>
          <cell r="BN387" t="str">
            <v>SIM</v>
          </cell>
          <cell r="BO387" t="str">
            <v>NÃO</v>
          </cell>
          <cell r="BP387" t="str">
            <v>MS|G|NACIONAL|Sim|Positiva</v>
          </cell>
          <cell r="BR387" t="str">
            <v>TBD</v>
          </cell>
          <cell r="BS387">
            <v>0</v>
          </cell>
          <cell r="BT387" t="str">
            <v>#ERRO</v>
          </cell>
          <cell r="BU387">
            <v>4.87</v>
          </cell>
          <cell r="BV387" t="str">
            <v>-</v>
          </cell>
          <cell r="BX387" t="str">
            <v>TBD</v>
          </cell>
          <cell r="BY387" t="str">
            <v>TBD</v>
          </cell>
          <cell r="BZ387" t="str">
            <v>TBD</v>
          </cell>
          <cell r="CA387" t="str">
            <v>#ERRO</v>
          </cell>
          <cell r="CB387" t="str">
            <v>-</v>
          </cell>
        </row>
        <row r="388">
          <cell r="A388" t="str">
            <v>22381-0</v>
          </cell>
          <cell r="B388" t="str">
            <v>22381-0</v>
          </cell>
          <cell r="C388">
            <v>7896714292755</v>
          </cell>
          <cell r="D388" t="str">
            <v>DIPIRONA 500MG/ML GTS VD 1X20ML</v>
          </cell>
          <cell r="E388" t="str">
            <v>SIM</v>
          </cell>
          <cell r="F388" t="str">
            <v>G</v>
          </cell>
          <cell r="G388" t="str">
            <v>LINHA</v>
          </cell>
          <cell r="H388">
            <v>5</v>
          </cell>
          <cell r="I388">
            <v>112</v>
          </cell>
          <cell r="J388" t="str">
            <v>Liberado</v>
          </cell>
          <cell r="K388" t="str">
            <v>Negativa</v>
          </cell>
          <cell r="L388" t="str">
            <v>Sim</v>
          </cell>
          <cell r="M388" t="str">
            <v>NACIONAL</v>
          </cell>
          <cell r="N388" t="str">
            <v>NACIONAL</v>
          </cell>
          <cell r="P388">
            <v>9.83</v>
          </cell>
          <cell r="Q388">
            <v>11.29</v>
          </cell>
          <cell r="R388">
            <v>11.45</v>
          </cell>
          <cell r="S388">
            <v>11.62</v>
          </cell>
          <cell r="T388">
            <v>10.56</v>
          </cell>
          <cell r="U388">
            <v>11.37</v>
          </cell>
          <cell r="V388">
            <v>9.89</v>
          </cell>
          <cell r="W388">
            <v>9.9499999999999993</v>
          </cell>
          <cell r="X388">
            <v>11.79</v>
          </cell>
          <cell r="Y388">
            <v>10.07</v>
          </cell>
          <cell r="Z388">
            <v>10.199999999999999</v>
          </cell>
          <cell r="AA388">
            <v>11.96</v>
          </cell>
          <cell r="AB388">
            <v>12.14</v>
          </cell>
          <cell r="AC388">
            <v>11.7</v>
          </cell>
          <cell r="AD388">
            <v>10.14</v>
          </cell>
          <cell r="AE388">
            <v>11.87</v>
          </cell>
          <cell r="AF388">
            <v>0</v>
          </cell>
          <cell r="AG388">
            <v>13.59</v>
          </cell>
          <cell r="AH388">
            <v>15.05</v>
          </cell>
          <cell r="AI388">
            <v>15.25</v>
          </cell>
          <cell r="AJ388">
            <v>15.47</v>
          </cell>
          <cell r="AK388">
            <v>14.11</v>
          </cell>
          <cell r="AL388">
            <v>15.15</v>
          </cell>
          <cell r="AM388">
            <v>13.67</v>
          </cell>
          <cell r="AN388">
            <v>13.76</v>
          </cell>
          <cell r="AO388">
            <v>15.69</v>
          </cell>
          <cell r="AP388">
            <v>13.92</v>
          </cell>
          <cell r="AQ388">
            <v>14.1</v>
          </cell>
          <cell r="AR388">
            <v>15.91</v>
          </cell>
          <cell r="AS388">
            <v>16.14</v>
          </cell>
          <cell r="AT388">
            <v>15.58</v>
          </cell>
          <cell r="AU388">
            <v>14.02</v>
          </cell>
          <cell r="AV388">
            <v>15.8</v>
          </cell>
          <cell r="AX388">
            <v>11.29</v>
          </cell>
          <cell r="AY388">
            <v>15.05</v>
          </cell>
          <cell r="AZ388">
            <v>0.17</v>
          </cell>
          <cell r="BA388">
            <v>0.12</v>
          </cell>
          <cell r="BB388" t="str">
            <v>#_NA</v>
          </cell>
          <cell r="BC388" t="str">
            <v>#_NA</v>
          </cell>
          <cell r="BD388" t="str">
            <v>#_NA</v>
          </cell>
          <cell r="BE388" t="str">
            <v>-</v>
          </cell>
          <cell r="BF388" t="str">
            <v>-</v>
          </cell>
          <cell r="BG388">
            <v>5.6820000000000002E-2</v>
          </cell>
          <cell r="BH388">
            <v>0.54139999999999999</v>
          </cell>
          <cell r="BI388">
            <v>4.88</v>
          </cell>
          <cell r="BJ388" t="str">
            <v>-</v>
          </cell>
          <cell r="BK388">
            <v>0.61970000000000003</v>
          </cell>
          <cell r="BL388">
            <v>4.05</v>
          </cell>
          <cell r="BM388" t="str">
            <v>-</v>
          </cell>
          <cell r="BN388" t="str">
            <v>SIM</v>
          </cell>
          <cell r="BO388" t="str">
            <v>NÃO</v>
          </cell>
          <cell r="BP388" t="str">
            <v>MS|G|NACIONAL|Sim|Negativa</v>
          </cell>
          <cell r="BR388" t="str">
            <v>TBD</v>
          </cell>
          <cell r="BS388">
            <v>0</v>
          </cell>
          <cell r="BT388" t="str">
            <v>#ERRO</v>
          </cell>
          <cell r="BU388">
            <v>4.05</v>
          </cell>
          <cell r="BV388" t="str">
            <v>-</v>
          </cell>
          <cell r="BX388" t="str">
            <v>TBD</v>
          </cell>
          <cell r="BY388" t="str">
            <v>TBD</v>
          </cell>
          <cell r="BZ388" t="str">
            <v>TBD</v>
          </cell>
          <cell r="CA388" t="str">
            <v>#ERRO</v>
          </cell>
          <cell r="CB388" t="str">
            <v>-</v>
          </cell>
        </row>
        <row r="389">
          <cell r="A389" t="str">
            <v>22210-0</v>
          </cell>
          <cell r="B389" t="str">
            <v>22210-0</v>
          </cell>
          <cell r="C389">
            <v>7896714292267</v>
          </cell>
          <cell r="D389" t="str">
            <v>TROMET CETOROLACO 10MG CT BL x 10CP SUBL</v>
          </cell>
          <cell r="E389" t="str">
            <v>SIM</v>
          </cell>
          <cell r="F389" t="str">
            <v>G</v>
          </cell>
          <cell r="G389" t="str">
            <v>LANCAMENTOS GENERICOS</v>
          </cell>
          <cell r="H389">
            <v>0</v>
          </cell>
          <cell r="I389">
            <v>30</v>
          </cell>
          <cell r="J389" t="str">
            <v>Monitorado</v>
          </cell>
          <cell r="K389" t="str">
            <v>Positiva</v>
          </cell>
          <cell r="L389" t="str">
            <v>Não</v>
          </cell>
          <cell r="M389" t="str">
            <v>NACIONAL</v>
          </cell>
          <cell r="N389" t="str">
            <v>NACIONAL</v>
          </cell>
          <cell r="P389">
            <v>21.73</v>
          </cell>
          <cell r="Q389">
            <v>21.73</v>
          </cell>
          <cell r="R389">
            <v>22</v>
          </cell>
          <cell r="S389">
            <v>22.27</v>
          </cell>
          <cell r="T389">
            <v>20.5</v>
          </cell>
          <cell r="U389">
            <v>21.87</v>
          </cell>
          <cell r="V389">
            <v>21.87</v>
          </cell>
          <cell r="W389">
            <v>22</v>
          </cell>
          <cell r="X389">
            <v>22.55</v>
          </cell>
          <cell r="Y389">
            <v>22.27</v>
          </cell>
          <cell r="Z389">
            <v>22.55</v>
          </cell>
          <cell r="AA389">
            <v>22.84</v>
          </cell>
          <cell r="AB389">
            <v>23.13</v>
          </cell>
          <cell r="AC389">
            <v>22.41</v>
          </cell>
          <cell r="AD389">
            <v>22.41</v>
          </cell>
          <cell r="AE389">
            <v>22.69</v>
          </cell>
          <cell r="AF389">
            <v>0</v>
          </cell>
          <cell r="AG389">
            <v>30.04</v>
          </cell>
          <cell r="AH389">
            <v>30.04</v>
          </cell>
          <cell r="AI389">
            <v>30.41</v>
          </cell>
          <cell r="AJ389">
            <v>30.79</v>
          </cell>
          <cell r="AK389">
            <v>28.34</v>
          </cell>
          <cell r="AL389">
            <v>30.23</v>
          </cell>
          <cell r="AM389">
            <v>30.23</v>
          </cell>
          <cell r="AN389">
            <v>30.41</v>
          </cell>
          <cell r="AO389">
            <v>31.17</v>
          </cell>
          <cell r="AP389">
            <v>30.79</v>
          </cell>
          <cell r="AQ389">
            <v>31.17</v>
          </cell>
          <cell r="AR389">
            <v>31.57</v>
          </cell>
          <cell r="AS389">
            <v>31.98</v>
          </cell>
          <cell r="AT389">
            <v>30.98</v>
          </cell>
          <cell r="AU389">
            <v>30.98</v>
          </cell>
          <cell r="AV389">
            <v>31.37</v>
          </cell>
          <cell r="AX389">
            <v>21.73</v>
          </cell>
          <cell r="AY389">
            <v>30.04</v>
          </cell>
          <cell r="AZ389">
            <v>0.17</v>
          </cell>
          <cell r="BA389">
            <v>0.12</v>
          </cell>
          <cell r="BB389" t="str">
            <v>#_NA</v>
          </cell>
          <cell r="BC389" t="str">
            <v>#_NA</v>
          </cell>
          <cell r="BD389" t="str">
            <v>#_NA</v>
          </cell>
          <cell r="BE389" t="str">
            <v>-</v>
          </cell>
          <cell r="BF389" t="str">
            <v>-</v>
          </cell>
          <cell r="BG389">
            <v>5.6820000000000002E-2</v>
          </cell>
          <cell r="BH389">
            <v>0.36230000000000001</v>
          </cell>
          <cell r="BI389">
            <v>13.07</v>
          </cell>
          <cell r="BJ389" t="str">
            <v>-</v>
          </cell>
          <cell r="BK389">
            <v>0.46550000000000002</v>
          </cell>
          <cell r="BL389">
            <v>10.96</v>
          </cell>
          <cell r="BM389" t="str">
            <v>-</v>
          </cell>
          <cell r="BN389" t="str">
            <v>SIM</v>
          </cell>
          <cell r="BO389" t="str">
            <v>NÃO</v>
          </cell>
          <cell r="BP389" t="str">
            <v>MS|G|NACIONAL|Não|Positiva</v>
          </cell>
          <cell r="BR389" t="str">
            <v>TBD</v>
          </cell>
          <cell r="BS389">
            <v>0</v>
          </cell>
          <cell r="BT389" t="str">
            <v>#ERRO</v>
          </cell>
          <cell r="BU389">
            <v>10.96</v>
          </cell>
          <cell r="BV389" t="str">
            <v>-</v>
          </cell>
          <cell r="BX389" t="str">
            <v>TBD</v>
          </cell>
          <cell r="BY389" t="str">
            <v>TBD</v>
          </cell>
          <cell r="BZ389" t="str">
            <v>TBD</v>
          </cell>
          <cell r="CA389" t="str">
            <v>#ERRO</v>
          </cell>
          <cell r="CB389" t="str">
            <v>-</v>
          </cell>
        </row>
        <row r="390">
          <cell r="A390" t="str">
            <v>22212-0</v>
          </cell>
          <cell r="B390" t="str">
            <v>22212-0</v>
          </cell>
          <cell r="C390">
            <v>7896714292281</v>
          </cell>
          <cell r="D390" t="str">
            <v>TROMET CETOROLACO 10MG CT BL X 30CP SUBL</v>
          </cell>
          <cell r="E390" t="str">
            <v>SIM</v>
          </cell>
          <cell r="F390" t="str">
            <v>G</v>
          </cell>
          <cell r="G390" t="str">
            <v>LANCAMENTOS GENERICOS</v>
          </cell>
          <cell r="H390">
            <v>0</v>
          </cell>
          <cell r="I390">
            <v>30</v>
          </cell>
          <cell r="J390" t="str">
            <v>Monitorado</v>
          </cell>
          <cell r="K390" t="str">
            <v>Positiva</v>
          </cell>
          <cell r="L390" t="str">
            <v>Não</v>
          </cell>
          <cell r="M390" t="str">
            <v>NACIONAL</v>
          </cell>
          <cell r="N390" t="str">
            <v>NACIONAL</v>
          </cell>
          <cell r="P390">
            <v>48.93</v>
          </cell>
          <cell r="Q390">
            <v>48.93</v>
          </cell>
          <cell r="R390">
            <v>49.52</v>
          </cell>
          <cell r="S390">
            <v>50.14</v>
          </cell>
          <cell r="T390">
            <v>46.15</v>
          </cell>
          <cell r="U390">
            <v>49.22</v>
          </cell>
          <cell r="V390">
            <v>49.22</v>
          </cell>
          <cell r="W390">
            <v>49.52</v>
          </cell>
          <cell r="X390">
            <v>50.76</v>
          </cell>
          <cell r="Y390">
            <v>50.14</v>
          </cell>
          <cell r="Z390">
            <v>50.76</v>
          </cell>
          <cell r="AA390">
            <v>51.41</v>
          </cell>
          <cell r="AB390">
            <v>52.06</v>
          </cell>
          <cell r="AC390">
            <v>50.45</v>
          </cell>
          <cell r="AD390">
            <v>50.45</v>
          </cell>
          <cell r="AE390">
            <v>51.08</v>
          </cell>
          <cell r="AF390">
            <v>0</v>
          </cell>
          <cell r="AG390">
            <v>67.64</v>
          </cell>
          <cell r="AH390">
            <v>67.64</v>
          </cell>
          <cell r="AI390">
            <v>68.459999999999994</v>
          </cell>
          <cell r="AJ390">
            <v>69.319999999999993</v>
          </cell>
          <cell r="AK390">
            <v>63.8</v>
          </cell>
          <cell r="AL390">
            <v>68.040000000000006</v>
          </cell>
          <cell r="AM390">
            <v>68.040000000000006</v>
          </cell>
          <cell r="AN390">
            <v>68.459999999999994</v>
          </cell>
          <cell r="AO390">
            <v>70.17</v>
          </cell>
          <cell r="AP390">
            <v>69.319999999999993</v>
          </cell>
          <cell r="AQ390">
            <v>70.17</v>
          </cell>
          <cell r="AR390">
            <v>71.069999999999993</v>
          </cell>
          <cell r="AS390">
            <v>71.97</v>
          </cell>
          <cell r="AT390">
            <v>69.739999999999995</v>
          </cell>
          <cell r="AU390">
            <v>69.739999999999995</v>
          </cell>
          <cell r="AV390">
            <v>70.62</v>
          </cell>
          <cell r="AX390">
            <v>48.93</v>
          </cell>
          <cell r="AY390">
            <v>67.64</v>
          </cell>
          <cell r="AZ390">
            <v>0.17</v>
          </cell>
          <cell r="BA390">
            <v>0.12</v>
          </cell>
          <cell r="BB390" t="str">
            <v>#_NA</v>
          </cell>
          <cell r="BC390" t="str">
            <v>#_NA</v>
          </cell>
          <cell r="BD390" t="str">
            <v>#_NA</v>
          </cell>
          <cell r="BE390" t="str">
            <v>-</v>
          </cell>
          <cell r="BF390" t="str">
            <v>-</v>
          </cell>
          <cell r="BG390">
            <v>5.6820000000000002E-2</v>
          </cell>
          <cell r="BH390">
            <v>0.22539999999999999</v>
          </cell>
          <cell r="BI390">
            <v>35.75</v>
          </cell>
          <cell r="BJ390" t="str">
            <v>-</v>
          </cell>
          <cell r="BK390">
            <v>0.35089999999999999</v>
          </cell>
          <cell r="BL390">
            <v>29.96</v>
          </cell>
          <cell r="BM390" t="str">
            <v>-</v>
          </cell>
          <cell r="BN390" t="str">
            <v>SIM</v>
          </cell>
          <cell r="BO390" t="str">
            <v>NÃO</v>
          </cell>
          <cell r="BP390" t="str">
            <v>MS|G|NACIONAL|Não|Positiva</v>
          </cell>
          <cell r="BR390" t="str">
            <v>TBD</v>
          </cell>
          <cell r="BS390">
            <v>0</v>
          </cell>
          <cell r="BT390" t="str">
            <v>#ERRO</v>
          </cell>
          <cell r="BU390">
            <v>29.96</v>
          </cell>
          <cell r="BV390" t="str">
            <v>-</v>
          </cell>
          <cell r="BX390" t="str">
            <v>TBD</v>
          </cell>
          <cell r="BY390" t="str">
            <v>TBD</v>
          </cell>
          <cell r="BZ390" t="str">
            <v>TBD</v>
          </cell>
          <cell r="CA390" t="str">
            <v>#ERRO</v>
          </cell>
          <cell r="CB390" t="str">
            <v>-</v>
          </cell>
        </row>
        <row r="391">
          <cell r="A391" t="str">
            <v>22213-0</v>
          </cell>
          <cell r="B391" t="str">
            <v>22213-0</v>
          </cell>
          <cell r="C391">
            <v>7896714292298</v>
          </cell>
          <cell r="D391" t="str">
            <v>TROMET CETOROLACO 10MG CT BL X 20CP SUBL</v>
          </cell>
          <cell r="E391" t="str">
            <v>SIM</v>
          </cell>
          <cell r="F391" t="str">
            <v>G</v>
          </cell>
          <cell r="G391" t="str">
            <v>LANCAMENTOS GENERICOS</v>
          </cell>
          <cell r="H391">
            <v>0</v>
          </cell>
          <cell r="I391">
            <v>30</v>
          </cell>
          <cell r="J391" t="str">
            <v>Monitorado</v>
          </cell>
          <cell r="K391" t="str">
            <v>Positiva</v>
          </cell>
          <cell r="L391" t="str">
            <v>Não</v>
          </cell>
          <cell r="M391" t="str">
            <v>NACIONAL</v>
          </cell>
          <cell r="N391" t="str">
            <v>NACIONAL</v>
          </cell>
          <cell r="P391">
            <v>41.3</v>
          </cell>
          <cell r="Q391">
            <v>41.3</v>
          </cell>
          <cell r="R391">
            <v>41.8</v>
          </cell>
          <cell r="S391">
            <v>42.32</v>
          </cell>
          <cell r="T391">
            <v>38.950000000000003</v>
          </cell>
          <cell r="U391">
            <v>41.55</v>
          </cell>
          <cell r="V391">
            <v>41.55</v>
          </cell>
          <cell r="W391">
            <v>41.8</v>
          </cell>
          <cell r="X391">
            <v>42.85</v>
          </cell>
          <cell r="Y391">
            <v>42.32</v>
          </cell>
          <cell r="Z391">
            <v>42.85</v>
          </cell>
          <cell r="AA391">
            <v>43.39</v>
          </cell>
          <cell r="AB391">
            <v>43.95</v>
          </cell>
          <cell r="AC391">
            <v>42.58</v>
          </cell>
          <cell r="AD391">
            <v>42.58</v>
          </cell>
          <cell r="AE391">
            <v>43.12</v>
          </cell>
          <cell r="AF391">
            <v>0</v>
          </cell>
          <cell r="AG391">
            <v>57.09</v>
          </cell>
          <cell r="AH391">
            <v>57.09</v>
          </cell>
          <cell r="AI391">
            <v>57.79</v>
          </cell>
          <cell r="AJ391">
            <v>58.5</v>
          </cell>
          <cell r="AK391">
            <v>53.85</v>
          </cell>
          <cell r="AL391">
            <v>57.44</v>
          </cell>
          <cell r="AM391">
            <v>57.44</v>
          </cell>
          <cell r="AN391">
            <v>57.79</v>
          </cell>
          <cell r="AO391">
            <v>59.24</v>
          </cell>
          <cell r="AP391">
            <v>58.5</v>
          </cell>
          <cell r="AQ391">
            <v>59.24</v>
          </cell>
          <cell r="AR391">
            <v>59.98</v>
          </cell>
          <cell r="AS391">
            <v>60.76</v>
          </cell>
          <cell r="AT391">
            <v>58.86</v>
          </cell>
          <cell r="AU391">
            <v>58.86</v>
          </cell>
          <cell r="AV391">
            <v>59.61</v>
          </cell>
          <cell r="AX391">
            <v>41.3</v>
          </cell>
          <cell r="AY391">
            <v>57.09</v>
          </cell>
          <cell r="AZ391">
            <v>0.17</v>
          </cell>
          <cell r="BA391">
            <v>0.12</v>
          </cell>
          <cell r="BB391" t="str">
            <v>#_NA</v>
          </cell>
          <cell r="BC391" t="str">
            <v>#_NA</v>
          </cell>
          <cell r="BD391" t="str">
            <v>#_NA</v>
          </cell>
          <cell r="BE391" t="str">
            <v>-</v>
          </cell>
          <cell r="BF391" t="str">
            <v>-</v>
          </cell>
          <cell r="BG391">
            <v>5.6820000000000002E-2</v>
          </cell>
          <cell r="BH391">
            <v>0.36409999999999998</v>
          </cell>
          <cell r="BI391">
            <v>24.77</v>
          </cell>
          <cell r="BJ391" t="str">
            <v>-</v>
          </cell>
          <cell r="BK391">
            <v>0.46700000000000003</v>
          </cell>
          <cell r="BL391">
            <v>20.76</v>
          </cell>
          <cell r="BM391" t="str">
            <v>-</v>
          </cell>
          <cell r="BN391" t="str">
            <v>SIM</v>
          </cell>
          <cell r="BO391" t="str">
            <v>NÃO</v>
          </cell>
          <cell r="BP391" t="str">
            <v>MS|G|NACIONAL|Não|Positiva</v>
          </cell>
          <cell r="BR391" t="str">
            <v>TBD</v>
          </cell>
          <cell r="BS391">
            <v>0</v>
          </cell>
          <cell r="BT391" t="str">
            <v>#ERRO</v>
          </cell>
          <cell r="BU391">
            <v>20.76</v>
          </cell>
          <cell r="BV391" t="str">
            <v>-</v>
          </cell>
          <cell r="BX391" t="str">
            <v>TBD</v>
          </cell>
          <cell r="BY391" t="str">
            <v>TBD</v>
          </cell>
          <cell r="BZ391" t="str">
            <v>TBD</v>
          </cell>
          <cell r="CA391" t="str">
            <v>#ERRO</v>
          </cell>
          <cell r="CB391" t="str">
            <v>-</v>
          </cell>
        </row>
        <row r="392">
          <cell r="A392" t="str">
            <v>22524-0</v>
          </cell>
          <cell r="B392" t="str">
            <v>22524-0</v>
          </cell>
          <cell r="C392">
            <v>7896714293103</v>
          </cell>
          <cell r="D392" t="str">
            <v>BILASTINA 20 MG COMP BL X15</v>
          </cell>
          <cell r="E392" t="str">
            <v>SIM</v>
          </cell>
          <cell r="F392" t="str">
            <v>G</v>
          </cell>
          <cell r="G392" t="str">
            <v>PRIORITARIO GENERICOS</v>
          </cell>
          <cell r="H392">
            <v>5</v>
          </cell>
          <cell r="I392">
            <v>60</v>
          </cell>
          <cell r="J392" t="str">
            <v>Monitorado</v>
          </cell>
          <cell r="K392" t="str">
            <v>Negativa</v>
          </cell>
          <cell r="L392" t="str">
            <v>Sim</v>
          </cell>
          <cell r="M392" t="str">
            <v>NACIONAL</v>
          </cell>
          <cell r="N392" t="str">
            <v>NACIONAL</v>
          </cell>
          <cell r="P392">
            <v>29.39</v>
          </cell>
          <cell r="Q392">
            <v>33.76</v>
          </cell>
          <cell r="R392">
            <v>34.229999999999997</v>
          </cell>
          <cell r="S392">
            <v>34.72</v>
          </cell>
          <cell r="T392">
            <v>31.57</v>
          </cell>
          <cell r="U392">
            <v>34</v>
          </cell>
          <cell r="V392">
            <v>29.57</v>
          </cell>
          <cell r="W392">
            <v>29.75</v>
          </cell>
          <cell r="X392">
            <v>35.229999999999997</v>
          </cell>
          <cell r="Y392">
            <v>30.11</v>
          </cell>
          <cell r="Z392">
            <v>30.49</v>
          </cell>
          <cell r="AA392">
            <v>35.74</v>
          </cell>
          <cell r="AB392">
            <v>36.28</v>
          </cell>
          <cell r="AC392">
            <v>34.97</v>
          </cell>
          <cell r="AD392">
            <v>30.3</v>
          </cell>
          <cell r="AE392">
            <v>35.479999999999997</v>
          </cell>
          <cell r="AF392">
            <v>0</v>
          </cell>
          <cell r="AG392">
            <v>40.630000000000003</v>
          </cell>
          <cell r="AH392">
            <v>45</v>
          </cell>
          <cell r="AI392">
            <v>45.6</v>
          </cell>
          <cell r="AJ392">
            <v>46.24</v>
          </cell>
          <cell r="AK392">
            <v>42.17</v>
          </cell>
          <cell r="AL392">
            <v>45.31</v>
          </cell>
          <cell r="AM392">
            <v>40.880000000000003</v>
          </cell>
          <cell r="AN392">
            <v>41.13</v>
          </cell>
          <cell r="AO392">
            <v>46.89</v>
          </cell>
          <cell r="AP392">
            <v>41.63</v>
          </cell>
          <cell r="AQ392">
            <v>42.15</v>
          </cell>
          <cell r="AR392">
            <v>47.55</v>
          </cell>
          <cell r="AS392">
            <v>48.24</v>
          </cell>
          <cell r="AT392">
            <v>46.56</v>
          </cell>
          <cell r="AU392">
            <v>41.89</v>
          </cell>
          <cell r="AV392">
            <v>47.21</v>
          </cell>
          <cell r="AX392">
            <v>33.76</v>
          </cell>
          <cell r="AY392">
            <v>45</v>
          </cell>
          <cell r="AZ392">
            <v>0.17</v>
          </cell>
          <cell r="BA392">
            <v>0.12</v>
          </cell>
          <cell r="BB392" t="str">
            <v>#_NA</v>
          </cell>
          <cell r="BC392" t="str">
            <v>#_NA</v>
          </cell>
          <cell r="BD392" t="str">
            <v>#_NA</v>
          </cell>
          <cell r="BE392" t="str">
            <v>-</v>
          </cell>
          <cell r="BF392" t="str">
            <v>-</v>
          </cell>
          <cell r="BG392">
            <v>5.6820000000000002E-2</v>
          </cell>
          <cell r="BH392">
            <v>0.41899999999999998</v>
          </cell>
          <cell r="BI392">
            <v>18.5</v>
          </cell>
          <cell r="BJ392" t="str">
            <v>-</v>
          </cell>
          <cell r="BK392">
            <v>0.51819999999999999</v>
          </cell>
          <cell r="BL392">
            <v>15.34</v>
          </cell>
          <cell r="BM392" t="str">
            <v>-</v>
          </cell>
          <cell r="BN392" t="str">
            <v>SIM</v>
          </cell>
          <cell r="BO392" t="str">
            <v>NÃO</v>
          </cell>
          <cell r="BP392" t="str">
            <v>MS|G|NACIONAL|Sim|Negativa</v>
          </cell>
          <cell r="BR392" t="str">
            <v>TBD</v>
          </cell>
          <cell r="BS392">
            <v>0</v>
          </cell>
          <cell r="BT392" t="str">
            <v>#ERRO</v>
          </cell>
          <cell r="BU392">
            <v>15.34</v>
          </cell>
          <cell r="BV392" t="str">
            <v>-</v>
          </cell>
          <cell r="BX392" t="str">
            <v>TBD</v>
          </cell>
          <cell r="BY392" t="str">
            <v>TBD</v>
          </cell>
          <cell r="BZ392" t="str">
            <v>TBD</v>
          </cell>
          <cell r="CA392" t="str">
            <v>#ERRO</v>
          </cell>
          <cell r="CB392" t="str">
            <v>-</v>
          </cell>
        </row>
        <row r="393">
          <cell r="A393" t="str">
            <v>22525-0</v>
          </cell>
          <cell r="B393" t="str">
            <v>22525-0</v>
          </cell>
          <cell r="C393">
            <v>7896714293110</v>
          </cell>
          <cell r="D393" t="str">
            <v>BILASTINA 20 MG COMP BL X30</v>
          </cell>
          <cell r="E393" t="str">
            <v>SIM</v>
          </cell>
          <cell r="F393" t="str">
            <v>G</v>
          </cell>
          <cell r="G393" t="str">
            <v>PRIORITARIO GENERICOS</v>
          </cell>
          <cell r="H393">
            <v>3</v>
          </cell>
          <cell r="I393">
            <v>60</v>
          </cell>
          <cell r="J393" t="str">
            <v>Monitorado</v>
          </cell>
          <cell r="K393" t="str">
            <v>Negativa</v>
          </cell>
          <cell r="L393" t="str">
            <v>Sim</v>
          </cell>
          <cell r="M393" t="str">
            <v>NACIONAL</v>
          </cell>
          <cell r="N393" t="str">
            <v>IMPORTADO</v>
          </cell>
          <cell r="P393">
            <v>58.8</v>
          </cell>
          <cell r="Q393">
            <v>67.540000000000006</v>
          </cell>
          <cell r="R393">
            <v>68.5</v>
          </cell>
          <cell r="S393">
            <v>69.47</v>
          </cell>
          <cell r="T393">
            <v>63.16</v>
          </cell>
          <cell r="U393">
            <v>68.02</v>
          </cell>
          <cell r="V393">
            <v>59.16</v>
          </cell>
          <cell r="W393">
            <v>59.52</v>
          </cell>
          <cell r="X393">
            <v>70.48</v>
          </cell>
          <cell r="Y393">
            <v>60.25</v>
          </cell>
          <cell r="Z393">
            <v>61</v>
          </cell>
          <cell r="AA393">
            <v>71.510000000000005</v>
          </cell>
          <cell r="AB393">
            <v>72.58</v>
          </cell>
          <cell r="AC393">
            <v>69.97</v>
          </cell>
          <cell r="AD393">
            <v>60.63</v>
          </cell>
          <cell r="AE393">
            <v>70.989999999999995</v>
          </cell>
          <cell r="AF393">
            <v>0</v>
          </cell>
          <cell r="AG393">
            <v>81.290000000000006</v>
          </cell>
          <cell r="AH393">
            <v>90.03</v>
          </cell>
          <cell r="AI393">
            <v>91.26</v>
          </cell>
          <cell r="AJ393">
            <v>92.51</v>
          </cell>
          <cell r="AK393">
            <v>84.37</v>
          </cell>
          <cell r="AL393">
            <v>90.64</v>
          </cell>
          <cell r="AM393">
            <v>81.790000000000006</v>
          </cell>
          <cell r="AN393">
            <v>82.28</v>
          </cell>
          <cell r="AO393">
            <v>93.81</v>
          </cell>
          <cell r="AP393">
            <v>83.29</v>
          </cell>
          <cell r="AQ393">
            <v>84.33</v>
          </cell>
          <cell r="AR393">
            <v>95.13</v>
          </cell>
          <cell r="AS393">
            <v>96.51</v>
          </cell>
          <cell r="AT393">
            <v>93.16</v>
          </cell>
          <cell r="AU393">
            <v>83.82</v>
          </cell>
          <cell r="AV393">
            <v>94.47</v>
          </cell>
          <cell r="AX393">
            <v>67.540000000000006</v>
          </cell>
          <cell r="AY393">
            <v>90.03</v>
          </cell>
          <cell r="AZ393">
            <v>0.17</v>
          </cell>
          <cell r="BA393">
            <v>0.04</v>
          </cell>
          <cell r="BB393" t="str">
            <v>#_NA</v>
          </cell>
          <cell r="BC393" t="str">
            <v>#_NA</v>
          </cell>
          <cell r="BD393" t="str">
            <v>#_NA</v>
          </cell>
          <cell r="BE393" t="str">
            <v>-</v>
          </cell>
          <cell r="BF393" t="str">
            <v>-</v>
          </cell>
          <cell r="BG393">
            <v>0.13542000000000001</v>
          </cell>
          <cell r="BH393">
            <v>0.55979999999999996</v>
          </cell>
          <cell r="BI393">
            <v>25.7</v>
          </cell>
          <cell r="BJ393" t="str">
            <v>-</v>
          </cell>
          <cell r="BK393">
            <v>0.59009999999999996</v>
          </cell>
          <cell r="BL393">
            <v>23.93</v>
          </cell>
          <cell r="BM393" t="str">
            <v>-</v>
          </cell>
          <cell r="BN393" t="str">
            <v>SIM</v>
          </cell>
          <cell r="BO393" t="str">
            <v>NÃO</v>
          </cell>
          <cell r="BP393" t="str">
            <v>MS|G|IMPORTADO|Sim|Negativa</v>
          </cell>
          <cell r="BR393" t="str">
            <v>TBD</v>
          </cell>
          <cell r="BS393">
            <v>0</v>
          </cell>
          <cell r="BT393" t="str">
            <v>#ERRO</v>
          </cell>
          <cell r="BU393">
            <v>23.93</v>
          </cell>
          <cell r="BV393" t="str">
            <v>-</v>
          </cell>
          <cell r="BX393" t="str">
            <v>TBD</v>
          </cell>
          <cell r="BY393" t="str">
            <v>TBD</v>
          </cell>
          <cell r="BZ393" t="str">
            <v>TBD</v>
          </cell>
          <cell r="CA393" t="str">
            <v>#ERRO</v>
          </cell>
          <cell r="CB393" t="str">
            <v>-</v>
          </cell>
        </row>
        <row r="394">
          <cell r="A394" t="str">
            <v>22680-0</v>
          </cell>
          <cell r="B394" t="str">
            <v>22680-0</v>
          </cell>
          <cell r="C394">
            <v>7896094929555</v>
          </cell>
          <cell r="D394" t="str">
            <v>VIT NEO QUIMICA MVM SUS INF CT FR 240ML</v>
          </cell>
          <cell r="E394" t="str">
            <v>SIM</v>
          </cell>
          <cell r="F394" t="str">
            <v>S</v>
          </cell>
          <cell r="G394" t="str">
            <v>FOCO SMART</v>
          </cell>
          <cell r="H394">
            <v>0</v>
          </cell>
          <cell r="I394">
            <v>24</v>
          </cell>
          <cell r="J394" t="str">
            <v>Liberado</v>
          </cell>
          <cell r="K394" t="str">
            <v>Alimento Funcional</v>
          </cell>
          <cell r="L394" t="str">
            <v>Sim</v>
          </cell>
          <cell r="M394" t="str">
            <v>NACIONAL</v>
          </cell>
          <cell r="N394" t="str">
            <v>NACIONAL</v>
          </cell>
          <cell r="P394">
            <v>35.090000000000003</v>
          </cell>
          <cell r="Q394">
            <v>35.090000000000003</v>
          </cell>
          <cell r="R394">
            <v>35.520000000000003</v>
          </cell>
          <cell r="S394">
            <v>35.96</v>
          </cell>
          <cell r="T394">
            <v>33.1</v>
          </cell>
          <cell r="U394">
            <v>35.299999999999997</v>
          </cell>
          <cell r="V394">
            <v>35.299999999999997</v>
          </cell>
          <cell r="W394">
            <v>35.520000000000003</v>
          </cell>
          <cell r="X394">
            <v>36.409999999999997</v>
          </cell>
          <cell r="Y394">
            <v>35.96</v>
          </cell>
          <cell r="Z394">
            <v>36.409999999999997</v>
          </cell>
          <cell r="AA394">
            <v>36.869999999999997</v>
          </cell>
          <cell r="AB394">
            <v>37.340000000000003</v>
          </cell>
          <cell r="AC394">
            <v>36.18</v>
          </cell>
          <cell r="AD394">
            <v>36.18</v>
          </cell>
          <cell r="AE394">
            <v>36.64</v>
          </cell>
          <cell r="AF394">
            <v>0</v>
          </cell>
          <cell r="AG394">
            <v>48.51</v>
          </cell>
          <cell r="AH394">
            <v>48.51</v>
          </cell>
          <cell r="AI394">
            <v>49.1</v>
          </cell>
          <cell r="AJ394">
            <v>49.71</v>
          </cell>
          <cell r="AK394">
            <v>45.76</v>
          </cell>
          <cell r="AL394">
            <v>48.8</v>
          </cell>
          <cell r="AM394">
            <v>48.8</v>
          </cell>
          <cell r="AN394">
            <v>49.1</v>
          </cell>
          <cell r="AO394">
            <v>50.33</v>
          </cell>
          <cell r="AP394">
            <v>49.71</v>
          </cell>
          <cell r="AQ394">
            <v>50.33</v>
          </cell>
          <cell r="AR394">
            <v>50.97</v>
          </cell>
          <cell r="AS394">
            <v>51.62</v>
          </cell>
          <cell r="AT394">
            <v>50.02</v>
          </cell>
          <cell r="AU394">
            <v>50.02</v>
          </cell>
          <cell r="AV394">
            <v>50.65</v>
          </cell>
          <cell r="AX394">
            <v>35.090000000000003</v>
          </cell>
          <cell r="AY394">
            <v>48.51</v>
          </cell>
          <cell r="AZ394">
            <v>0.17</v>
          </cell>
          <cell r="BA394">
            <v>0.12</v>
          </cell>
          <cell r="BB394" t="str">
            <v>#_NA</v>
          </cell>
          <cell r="BC394" t="str">
            <v>#_NA</v>
          </cell>
          <cell r="BD394" t="str">
            <v>#_NA</v>
          </cell>
          <cell r="BE394" t="str">
            <v>-</v>
          </cell>
          <cell r="BF394" t="str">
            <v>-</v>
          </cell>
          <cell r="BG394">
            <v>5.6820000000000002E-2</v>
          </cell>
          <cell r="BH394">
            <v>0.58120000000000005</v>
          </cell>
          <cell r="BI394">
            <v>13.86</v>
          </cell>
          <cell r="BJ394" t="str">
            <v>-</v>
          </cell>
          <cell r="BK394">
            <v>0.60119999999999996</v>
          </cell>
          <cell r="BL394">
            <v>13.2</v>
          </cell>
          <cell r="BM394" t="str">
            <v>-</v>
          </cell>
          <cell r="BN394" t="str">
            <v>NÃO</v>
          </cell>
          <cell r="BO394" t="str">
            <v>NÃO</v>
          </cell>
          <cell r="BP394" t="str">
            <v>MS|S|NACIONAL|Sim|Alimento Funcional</v>
          </cell>
          <cell r="BR394" t="str">
            <v>TBD</v>
          </cell>
          <cell r="BS394">
            <v>0</v>
          </cell>
          <cell r="BT394" t="str">
            <v>#ERRO</v>
          </cell>
          <cell r="BU394">
            <v>13.2</v>
          </cell>
          <cell r="BV394" t="str">
            <v>-</v>
          </cell>
          <cell r="BX394" t="str">
            <v>TBD</v>
          </cell>
          <cell r="BY394" t="str">
            <v>TBD</v>
          </cell>
          <cell r="BZ394" t="str">
            <v>TBD</v>
          </cell>
          <cell r="CA394" t="str">
            <v>#ERRO</v>
          </cell>
          <cell r="CB394" t="str">
            <v>-</v>
          </cell>
        </row>
        <row r="395">
          <cell r="A395" t="str">
            <v>22387-0</v>
          </cell>
          <cell r="B395" t="str">
            <v>22387-0</v>
          </cell>
          <cell r="C395">
            <v>7896714292816</v>
          </cell>
          <cell r="D395" t="str">
            <v>FLAVONID 900MG+100MG BL 30 CPRV</v>
          </cell>
          <cell r="E395" t="str">
            <v>SIM</v>
          </cell>
          <cell r="F395" t="str">
            <v>S</v>
          </cell>
          <cell r="G395" t="str">
            <v>LANCAMENTOS SMART</v>
          </cell>
          <cell r="H395">
            <v>3</v>
          </cell>
          <cell r="I395">
            <v>30</v>
          </cell>
          <cell r="J395" t="str">
            <v>Monitorado</v>
          </cell>
          <cell r="K395" t="str">
            <v>Negativa</v>
          </cell>
          <cell r="L395" t="str">
            <v>Sim</v>
          </cell>
          <cell r="M395" t="str">
            <v>NACIONAL</v>
          </cell>
          <cell r="N395" t="str">
            <v>IMPORTADO</v>
          </cell>
          <cell r="P395">
            <v>71.69</v>
          </cell>
          <cell r="Q395">
            <v>82.35</v>
          </cell>
          <cell r="R395">
            <v>83.51</v>
          </cell>
          <cell r="S395">
            <v>84.7</v>
          </cell>
          <cell r="T395">
            <v>77.010000000000005</v>
          </cell>
          <cell r="U395">
            <v>82.92</v>
          </cell>
          <cell r="V395">
            <v>72.12</v>
          </cell>
          <cell r="W395">
            <v>72.56</v>
          </cell>
          <cell r="X395">
            <v>85.93</v>
          </cell>
          <cell r="Y395">
            <v>73.459999999999994</v>
          </cell>
          <cell r="Z395">
            <v>74.37</v>
          </cell>
          <cell r="AA395">
            <v>87.19</v>
          </cell>
          <cell r="AB395">
            <v>88.49</v>
          </cell>
          <cell r="AC395">
            <v>85.31</v>
          </cell>
          <cell r="AD395">
            <v>73.91</v>
          </cell>
          <cell r="AE395">
            <v>86.55</v>
          </cell>
          <cell r="AF395">
            <v>0</v>
          </cell>
          <cell r="AG395">
            <v>99.11</v>
          </cell>
          <cell r="AH395">
            <v>109.77</v>
          </cell>
          <cell r="AI395">
            <v>111.26</v>
          </cell>
          <cell r="AJ395">
            <v>112.79</v>
          </cell>
          <cell r="AK395">
            <v>102.87</v>
          </cell>
          <cell r="AL395">
            <v>110.5</v>
          </cell>
          <cell r="AM395">
            <v>99.7</v>
          </cell>
          <cell r="AN395">
            <v>100.31</v>
          </cell>
          <cell r="AO395">
            <v>114.38</v>
          </cell>
          <cell r="AP395">
            <v>101.55</v>
          </cell>
          <cell r="AQ395">
            <v>102.81</v>
          </cell>
          <cell r="AR395">
            <v>115.99</v>
          </cell>
          <cell r="AS395">
            <v>117.66</v>
          </cell>
          <cell r="AT395">
            <v>113.58</v>
          </cell>
          <cell r="AU395">
            <v>102.18</v>
          </cell>
          <cell r="AV395">
            <v>115.17</v>
          </cell>
          <cell r="AX395">
            <v>82.35</v>
          </cell>
          <cell r="AY395">
            <v>109.77</v>
          </cell>
          <cell r="AZ395">
            <v>0.17</v>
          </cell>
          <cell r="BA395">
            <v>0.04</v>
          </cell>
          <cell r="BB395" t="str">
            <v>#_NA</v>
          </cell>
          <cell r="BC395" t="str">
            <v>#_NA</v>
          </cell>
          <cell r="BD395" t="str">
            <v>#_NA</v>
          </cell>
          <cell r="BE395" t="str">
            <v>-</v>
          </cell>
          <cell r="BF395" t="str">
            <v>-</v>
          </cell>
          <cell r="BG395">
            <v>0.13542000000000001</v>
          </cell>
          <cell r="BH395">
            <v>0.51790000000000003</v>
          </cell>
          <cell r="BI395">
            <v>34.33</v>
          </cell>
          <cell r="BJ395" t="str">
            <v>-</v>
          </cell>
          <cell r="BK395">
            <v>0.60040000000000004</v>
          </cell>
          <cell r="BL395">
            <v>28.45</v>
          </cell>
          <cell r="BM395" t="str">
            <v>-</v>
          </cell>
          <cell r="BN395" t="str">
            <v>SIM</v>
          </cell>
          <cell r="BO395" t="str">
            <v>NÃO</v>
          </cell>
          <cell r="BP395" t="str">
            <v>MS|S|IMPORTADO|Sim|Negativa</v>
          </cell>
          <cell r="BR395" t="str">
            <v>TBD</v>
          </cell>
          <cell r="BS395">
            <v>0</v>
          </cell>
          <cell r="BT395" t="str">
            <v>#ERRO</v>
          </cell>
          <cell r="BU395">
            <v>28.45</v>
          </cell>
          <cell r="BV395" t="str">
            <v>-</v>
          </cell>
          <cell r="BX395" t="str">
            <v>TBD</v>
          </cell>
          <cell r="BY395" t="str">
            <v>TBD</v>
          </cell>
          <cell r="BZ395" t="str">
            <v>TBD</v>
          </cell>
          <cell r="CA395" t="str">
            <v>#ERRO</v>
          </cell>
          <cell r="CB395" t="str">
            <v>-</v>
          </cell>
        </row>
        <row r="396">
          <cell r="A396" t="str">
            <v>22383-0</v>
          </cell>
          <cell r="B396" t="str">
            <v>22383-0</v>
          </cell>
          <cell r="C396">
            <v>7896714292779</v>
          </cell>
          <cell r="D396" t="str">
            <v>FLAVONID 900MG+100MG BL 60 CPRV</v>
          </cell>
          <cell r="E396" t="str">
            <v>SIM</v>
          </cell>
          <cell r="F396" t="str">
            <v>S</v>
          </cell>
          <cell r="G396" t="str">
            <v>LANCAMENTOS SMART</v>
          </cell>
          <cell r="H396">
            <v>0</v>
          </cell>
          <cell r="I396">
            <v>30</v>
          </cell>
          <cell r="J396" t="str">
            <v>Monitorado</v>
          </cell>
          <cell r="K396" t="str">
            <v>Negativa</v>
          </cell>
          <cell r="L396" t="str">
            <v>Sim</v>
          </cell>
          <cell r="M396" t="str">
            <v>NACIONAL</v>
          </cell>
          <cell r="N396" t="str">
            <v>NACIONAL</v>
          </cell>
          <cell r="P396">
            <v>138.69999999999999</v>
          </cell>
          <cell r="Q396">
            <v>159.33000000000001</v>
          </cell>
          <cell r="R396">
            <v>161.58000000000001</v>
          </cell>
          <cell r="S396">
            <v>163.88</v>
          </cell>
          <cell r="T396">
            <v>149</v>
          </cell>
          <cell r="U396">
            <v>160.44999999999999</v>
          </cell>
          <cell r="V396">
            <v>139.55000000000001</v>
          </cell>
          <cell r="W396">
            <v>140.4</v>
          </cell>
          <cell r="X396">
            <v>166.25</v>
          </cell>
          <cell r="Y396">
            <v>142.13</v>
          </cell>
          <cell r="Z396">
            <v>143.91</v>
          </cell>
          <cell r="AA396">
            <v>168.7</v>
          </cell>
          <cell r="AB396">
            <v>171.21</v>
          </cell>
          <cell r="AC396">
            <v>165.06</v>
          </cell>
          <cell r="AD396">
            <v>143.01</v>
          </cell>
          <cell r="AE396">
            <v>167.47</v>
          </cell>
          <cell r="AF396">
            <v>0</v>
          </cell>
          <cell r="AG396">
            <v>191.74</v>
          </cell>
          <cell r="AH396">
            <v>212.37</v>
          </cell>
          <cell r="AI396">
            <v>215.27</v>
          </cell>
          <cell r="AJ396">
            <v>218.24</v>
          </cell>
          <cell r="AK396">
            <v>199.03</v>
          </cell>
          <cell r="AL396">
            <v>213.82</v>
          </cell>
          <cell r="AM396">
            <v>192.92</v>
          </cell>
          <cell r="AN396">
            <v>194.09</v>
          </cell>
          <cell r="AO396">
            <v>221.28</v>
          </cell>
          <cell r="AP396">
            <v>196.49</v>
          </cell>
          <cell r="AQ396">
            <v>198.95</v>
          </cell>
          <cell r="AR396">
            <v>224.43</v>
          </cell>
          <cell r="AS396">
            <v>227.66</v>
          </cell>
          <cell r="AT396">
            <v>219.75</v>
          </cell>
          <cell r="AU396">
            <v>197.7</v>
          </cell>
          <cell r="AV396">
            <v>222.85</v>
          </cell>
          <cell r="AX396">
            <v>159.33000000000001</v>
          </cell>
          <cell r="AY396">
            <v>212.37</v>
          </cell>
          <cell r="AZ396">
            <v>0.17</v>
          </cell>
          <cell r="BA396">
            <v>0.12</v>
          </cell>
          <cell r="BB396" t="str">
            <v>#_NA</v>
          </cell>
          <cell r="BC396" t="str">
            <v>#_NA</v>
          </cell>
          <cell r="BD396" t="str">
            <v>#_NA</v>
          </cell>
          <cell r="BE396" t="str">
            <v>-</v>
          </cell>
          <cell r="BF396" t="str">
            <v>-</v>
          </cell>
          <cell r="BG396">
            <v>5.6820000000000002E-2</v>
          </cell>
          <cell r="BH396">
            <v>0.51080000000000003</v>
          </cell>
          <cell r="BI396">
            <v>73.52</v>
          </cell>
          <cell r="BJ396" t="str">
            <v>-</v>
          </cell>
          <cell r="BK396">
            <v>0.59440000000000004</v>
          </cell>
          <cell r="BL396">
            <v>60.95</v>
          </cell>
          <cell r="BM396" t="str">
            <v>-</v>
          </cell>
          <cell r="BN396" t="str">
            <v>SIM</v>
          </cell>
          <cell r="BO396" t="str">
            <v>NÃO</v>
          </cell>
          <cell r="BP396" t="str">
            <v>MS|S|NACIONAL|Sim|Negativa</v>
          </cell>
          <cell r="BR396" t="str">
            <v>TBD</v>
          </cell>
          <cell r="BS396">
            <v>0</v>
          </cell>
          <cell r="BT396" t="str">
            <v>#ERRO</v>
          </cell>
          <cell r="BU396">
            <v>60.95</v>
          </cell>
          <cell r="BV396" t="str">
            <v>-</v>
          </cell>
          <cell r="BX396" t="str">
            <v>TBD</v>
          </cell>
          <cell r="BY396" t="str">
            <v>TBD</v>
          </cell>
          <cell r="BZ396" t="str">
            <v>TBD</v>
          </cell>
          <cell r="CA396" t="str">
            <v>#ERRO</v>
          </cell>
          <cell r="CB396" t="str">
            <v>-</v>
          </cell>
        </row>
        <row r="397">
          <cell r="A397" t="str">
            <v>23005-0</v>
          </cell>
          <cell r="B397" t="str">
            <v>23005-0</v>
          </cell>
          <cell r="C397">
            <v>7896714295312</v>
          </cell>
          <cell r="D397" t="str">
            <v>DOMPERIDONA 10MG CT BL X 30 CPR</v>
          </cell>
          <cell r="E397" t="str">
            <v>SIM</v>
          </cell>
          <cell r="F397" t="str">
            <v>G</v>
          </cell>
          <cell r="G397" t="str">
            <v>LANCAMENTOS GENERICOS</v>
          </cell>
          <cell r="H397">
            <v>5</v>
          </cell>
          <cell r="I397">
            <v>60</v>
          </cell>
          <cell r="J397" t="str">
            <v>Monitorado</v>
          </cell>
          <cell r="K397" t="str">
            <v>Negativa</v>
          </cell>
          <cell r="L397" t="str">
            <v>Sim</v>
          </cell>
          <cell r="M397" t="str">
            <v>NACIONAL</v>
          </cell>
          <cell r="N397" t="str">
            <v>NACIONAL</v>
          </cell>
          <cell r="P397">
            <v>13.56</v>
          </cell>
          <cell r="Q397">
            <v>15.58</v>
          </cell>
          <cell r="R397">
            <v>15.8</v>
          </cell>
          <cell r="S397">
            <v>16.03</v>
          </cell>
          <cell r="T397">
            <v>14.57</v>
          </cell>
          <cell r="U397">
            <v>15.69</v>
          </cell>
          <cell r="V397">
            <v>13.65</v>
          </cell>
          <cell r="W397">
            <v>13.73</v>
          </cell>
          <cell r="X397">
            <v>16.260000000000002</v>
          </cell>
          <cell r="Y397">
            <v>13.9</v>
          </cell>
          <cell r="Z397">
            <v>14.07</v>
          </cell>
          <cell r="AA397">
            <v>16.5</v>
          </cell>
          <cell r="AB397">
            <v>16.739999999999998</v>
          </cell>
          <cell r="AC397">
            <v>16.14</v>
          </cell>
          <cell r="AD397">
            <v>13.99</v>
          </cell>
          <cell r="AE397">
            <v>16.38</v>
          </cell>
          <cell r="AF397">
            <v>0</v>
          </cell>
          <cell r="AG397">
            <v>18.75</v>
          </cell>
          <cell r="AH397">
            <v>20.77</v>
          </cell>
          <cell r="AI397">
            <v>21.05</v>
          </cell>
          <cell r="AJ397">
            <v>21.35</v>
          </cell>
          <cell r="AK397">
            <v>19.46</v>
          </cell>
          <cell r="AL397">
            <v>20.91</v>
          </cell>
          <cell r="AM397">
            <v>18.87</v>
          </cell>
          <cell r="AN397">
            <v>18.98</v>
          </cell>
          <cell r="AO397">
            <v>21.64</v>
          </cell>
          <cell r="AP397">
            <v>19.22</v>
          </cell>
          <cell r="AQ397">
            <v>19.45</v>
          </cell>
          <cell r="AR397">
            <v>21.95</v>
          </cell>
          <cell r="AS397">
            <v>22.26</v>
          </cell>
          <cell r="AT397">
            <v>21.49</v>
          </cell>
          <cell r="AU397">
            <v>19.34</v>
          </cell>
          <cell r="AV397">
            <v>21.8</v>
          </cell>
          <cell r="AX397">
            <v>15.58</v>
          </cell>
          <cell r="AY397">
            <v>20.77</v>
          </cell>
          <cell r="AZ397">
            <v>0.17</v>
          </cell>
          <cell r="BA397">
            <v>0.12</v>
          </cell>
          <cell r="BB397" t="str">
            <v>#_NA</v>
          </cell>
          <cell r="BC397" t="str">
            <v>#_NA</v>
          </cell>
          <cell r="BD397" t="str">
            <v>#_NA</v>
          </cell>
          <cell r="BE397" t="str">
            <v>-</v>
          </cell>
          <cell r="BF397" t="str">
            <v>-</v>
          </cell>
          <cell r="BG397">
            <v>5.6820000000000002E-2</v>
          </cell>
          <cell r="BH397">
            <v>0.76029999999999998</v>
          </cell>
          <cell r="BI397">
            <v>3.52</v>
          </cell>
          <cell r="BJ397" t="str">
            <v>-</v>
          </cell>
          <cell r="BK397">
            <v>0.80130000000000001</v>
          </cell>
          <cell r="BL397">
            <v>2.92</v>
          </cell>
          <cell r="BM397" t="str">
            <v>-</v>
          </cell>
          <cell r="BN397" t="str">
            <v>SIM</v>
          </cell>
          <cell r="BO397" t="str">
            <v>NÃO</v>
          </cell>
          <cell r="BP397" t="str">
            <v>MS|G|NACIONAL|Sim|Negativa</v>
          </cell>
          <cell r="BR397" t="str">
            <v>TBD</v>
          </cell>
          <cell r="BS397">
            <v>0</v>
          </cell>
          <cell r="BT397" t="str">
            <v>#ERRO</v>
          </cell>
          <cell r="BU397">
            <v>2.92</v>
          </cell>
          <cell r="BV397" t="str">
            <v>-</v>
          </cell>
          <cell r="BX397" t="str">
            <v>TBD</v>
          </cell>
          <cell r="BY397" t="str">
            <v>TBD</v>
          </cell>
          <cell r="BZ397" t="str">
            <v>TBD</v>
          </cell>
          <cell r="CA397" t="str">
            <v>#ERRO</v>
          </cell>
          <cell r="CB397" t="str">
            <v>-</v>
          </cell>
        </row>
        <row r="398">
          <cell r="A398" t="str">
            <v>23006-0</v>
          </cell>
          <cell r="B398" t="str">
            <v>23006-0</v>
          </cell>
          <cell r="C398">
            <v>7896714295329</v>
          </cell>
          <cell r="D398" t="str">
            <v>DOMPERIDONA 10MG CT BL X 60 CPR</v>
          </cell>
          <cell r="E398" t="str">
            <v>SIM</v>
          </cell>
          <cell r="F398" t="str">
            <v>G</v>
          </cell>
          <cell r="G398" t="str">
            <v>LANCAMENTOS GENERICOS</v>
          </cell>
          <cell r="H398">
            <v>5</v>
          </cell>
          <cell r="I398">
            <v>60</v>
          </cell>
          <cell r="J398" t="str">
            <v>Monitorado</v>
          </cell>
          <cell r="K398" t="str">
            <v>Negativa</v>
          </cell>
          <cell r="L398" t="str">
            <v>Sim</v>
          </cell>
          <cell r="M398" t="str">
            <v>NACIONAL</v>
          </cell>
          <cell r="N398" t="str">
            <v>NACIONAL</v>
          </cell>
          <cell r="P398">
            <v>24.27</v>
          </cell>
          <cell r="Q398">
            <v>27.88</v>
          </cell>
          <cell r="R398">
            <v>28.27</v>
          </cell>
          <cell r="S398">
            <v>28.67</v>
          </cell>
          <cell r="T398">
            <v>26.07</v>
          </cell>
          <cell r="U398">
            <v>28.07</v>
          </cell>
          <cell r="V398">
            <v>24.42</v>
          </cell>
          <cell r="W398">
            <v>24.56</v>
          </cell>
          <cell r="X398">
            <v>29.09</v>
          </cell>
          <cell r="Y398">
            <v>24.87</v>
          </cell>
          <cell r="Z398">
            <v>25.18</v>
          </cell>
          <cell r="AA398">
            <v>29.52</v>
          </cell>
          <cell r="AB398">
            <v>29.96</v>
          </cell>
          <cell r="AC398">
            <v>28.88</v>
          </cell>
          <cell r="AD398">
            <v>25.02</v>
          </cell>
          <cell r="AE398">
            <v>29.3</v>
          </cell>
          <cell r="AF398">
            <v>0</v>
          </cell>
          <cell r="AG398">
            <v>33.549999999999997</v>
          </cell>
          <cell r="AH398">
            <v>37.159999999999997</v>
          </cell>
          <cell r="AI398">
            <v>37.659999999999997</v>
          </cell>
          <cell r="AJ398">
            <v>38.18</v>
          </cell>
          <cell r="AK398">
            <v>34.82</v>
          </cell>
          <cell r="AL398">
            <v>37.409999999999997</v>
          </cell>
          <cell r="AM398">
            <v>33.76</v>
          </cell>
          <cell r="AN398">
            <v>33.950000000000003</v>
          </cell>
          <cell r="AO398">
            <v>38.72</v>
          </cell>
          <cell r="AP398">
            <v>34.380000000000003</v>
          </cell>
          <cell r="AQ398">
            <v>34.81</v>
          </cell>
          <cell r="AR398">
            <v>39.270000000000003</v>
          </cell>
          <cell r="AS398">
            <v>39.840000000000003</v>
          </cell>
          <cell r="AT398">
            <v>38.450000000000003</v>
          </cell>
          <cell r="AU398">
            <v>34.590000000000003</v>
          </cell>
          <cell r="AV398">
            <v>38.99</v>
          </cell>
          <cell r="AX398">
            <v>27.88</v>
          </cell>
          <cell r="AY398">
            <v>37.159999999999997</v>
          </cell>
          <cell r="AZ398">
            <v>0.17</v>
          </cell>
          <cell r="BA398">
            <v>0.12</v>
          </cell>
          <cell r="BB398" t="str">
            <v>#_NA</v>
          </cell>
          <cell r="BC398" t="str">
            <v>#_NA</v>
          </cell>
          <cell r="BD398" t="str">
            <v>#_NA</v>
          </cell>
          <cell r="BE398" t="str">
            <v>-</v>
          </cell>
          <cell r="BF398" t="str">
            <v>-</v>
          </cell>
          <cell r="BG398">
            <v>5.6820000000000002E-2</v>
          </cell>
          <cell r="BH398">
            <v>0.75839999999999996</v>
          </cell>
          <cell r="BI398">
            <v>6.35</v>
          </cell>
          <cell r="BJ398" t="str">
            <v>-</v>
          </cell>
          <cell r="BK398">
            <v>0.79979999999999996</v>
          </cell>
          <cell r="BL398">
            <v>5.27</v>
          </cell>
          <cell r="BM398" t="str">
            <v>-</v>
          </cell>
          <cell r="BN398" t="str">
            <v>SIM</v>
          </cell>
          <cell r="BO398" t="str">
            <v>NÃO</v>
          </cell>
          <cell r="BP398" t="str">
            <v>MS|G|NACIONAL|Sim|Negativa</v>
          </cell>
          <cell r="BR398" t="str">
            <v>TBD</v>
          </cell>
          <cell r="BS398">
            <v>0</v>
          </cell>
          <cell r="BT398" t="str">
            <v>#ERRO</v>
          </cell>
          <cell r="BU398">
            <v>5.27</v>
          </cell>
          <cell r="BV398" t="str">
            <v>-</v>
          </cell>
          <cell r="BX398" t="str">
            <v>TBD</v>
          </cell>
          <cell r="BY398" t="str">
            <v>TBD</v>
          </cell>
          <cell r="BZ398" t="str">
            <v>TBD</v>
          </cell>
          <cell r="CA398" t="str">
            <v>#ERRO</v>
          </cell>
          <cell r="CB398" t="str">
            <v>-</v>
          </cell>
        </row>
        <row r="399">
          <cell r="A399" t="str">
            <v>22526-0</v>
          </cell>
          <cell r="B399" t="str">
            <v>22526-0</v>
          </cell>
          <cell r="C399">
            <v>7896714293127</v>
          </cell>
          <cell r="D399" t="str">
            <v>NEOPANTOL BABY BG CT 30G</v>
          </cell>
          <cell r="E399" t="str">
            <v>SIM</v>
          </cell>
          <cell r="F399" t="str">
            <v>S</v>
          </cell>
          <cell r="G399" t="str">
            <v>LANCAMENTOS SMART</v>
          </cell>
          <cell r="H399">
            <v>0</v>
          </cell>
          <cell r="I399">
            <v>60</v>
          </cell>
          <cell r="J399" t="str">
            <v>Liberado</v>
          </cell>
          <cell r="K399" t="str">
            <v>Dermocosmético</v>
          </cell>
          <cell r="L399" t="str">
            <v>Não</v>
          </cell>
          <cell r="M399" t="str">
            <v>NACIONAL</v>
          </cell>
          <cell r="N399" t="str">
            <v>NACIONAL</v>
          </cell>
          <cell r="P399">
            <v>12.87</v>
          </cell>
          <cell r="Q399">
            <v>12.87</v>
          </cell>
          <cell r="R399">
            <v>13.03</v>
          </cell>
          <cell r="S399">
            <v>13.19</v>
          </cell>
          <cell r="T399">
            <v>12.14</v>
          </cell>
          <cell r="U399">
            <v>12.95</v>
          </cell>
          <cell r="V399">
            <v>12.95</v>
          </cell>
          <cell r="W399">
            <v>13.03</v>
          </cell>
          <cell r="X399">
            <v>13.36</v>
          </cell>
          <cell r="Y399">
            <v>13.19</v>
          </cell>
          <cell r="Z399">
            <v>13.36</v>
          </cell>
          <cell r="AA399">
            <v>13.52</v>
          </cell>
          <cell r="AB399">
            <v>13.7</v>
          </cell>
          <cell r="AC399">
            <v>13.27</v>
          </cell>
          <cell r="AD399">
            <v>13.27</v>
          </cell>
          <cell r="AE399">
            <v>13.44</v>
          </cell>
          <cell r="AF399">
            <v>0</v>
          </cell>
          <cell r="AG399">
            <v>17.79</v>
          </cell>
          <cell r="AH399">
            <v>17.79</v>
          </cell>
          <cell r="AI399">
            <v>18.010000000000002</v>
          </cell>
          <cell r="AJ399">
            <v>18.23</v>
          </cell>
          <cell r="AK399">
            <v>16.78</v>
          </cell>
          <cell r="AL399">
            <v>17.899999999999999</v>
          </cell>
          <cell r="AM399">
            <v>17.899999999999999</v>
          </cell>
          <cell r="AN399">
            <v>18.010000000000002</v>
          </cell>
          <cell r="AO399">
            <v>18.47</v>
          </cell>
          <cell r="AP399">
            <v>18.23</v>
          </cell>
          <cell r="AQ399">
            <v>18.47</v>
          </cell>
          <cell r="AR399">
            <v>18.690000000000001</v>
          </cell>
          <cell r="AS399">
            <v>18.940000000000001</v>
          </cell>
          <cell r="AT399">
            <v>18.34</v>
          </cell>
          <cell r="AU399">
            <v>18.34</v>
          </cell>
          <cell r="AV399">
            <v>18.579999999999998</v>
          </cell>
          <cell r="AX399">
            <v>13.36</v>
          </cell>
          <cell r="AY399">
            <v>18.47</v>
          </cell>
          <cell r="AZ399">
            <v>0.2</v>
          </cell>
          <cell r="BA399">
            <v>0.12</v>
          </cell>
          <cell r="BB399" t="str">
            <v>#_NA</v>
          </cell>
          <cell r="BC399" t="str">
            <v>#_NA</v>
          </cell>
          <cell r="BD399" t="str">
            <v>#_NA</v>
          </cell>
          <cell r="BE399" t="str">
            <v>-</v>
          </cell>
          <cell r="BF399" t="str">
            <v>-</v>
          </cell>
          <cell r="BG399">
            <v>9.0910000000000005E-2</v>
          </cell>
          <cell r="BH399">
            <v>0.629</v>
          </cell>
          <cell r="BI399">
            <v>4.51</v>
          </cell>
          <cell r="BJ399" t="str">
            <v>-</v>
          </cell>
          <cell r="BK399">
            <v>0.64659999999999995</v>
          </cell>
          <cell r="BL399">
            <v>4.29</v>
          </cell>
          <cell r="BM399" t="str">
            <v>-</v>
          </cell>
          <cell r="BN399" t="str">
            <v>SIM</v>
          </cell>
          <cell r="BO399" t="str">
            <v>NÃO</v>
          </cell>
          <cell r="BP399" t="str">
            <v>MS|S|NACIONAL|Não|Dermocosmético</v>
          </cell>
          <cell r="BR399" t="str">
            <v>TBD</v>
          </cell>
          <cell r="BS399">
            <v>0</v>
          </cell>
          <cell r="BT399" t="str">
            <v>#ERRO</v>
          </cell>
          <cell r="BU399">
            <v>4.29</v>
          </cell>
          <cell r="BV399" t="str">
            <v>-</v>
          </cell>
          <cell r="BX399" t="str">
            <v>TBD</v>
          </cell>
          <cell r="BY399" t="str">
            <v>TBD</v>
          </cell>
          <cell r="BZ399" t="str">
            <v>TBD</v>
          </cell>
          <cell r="CA399" t="str">
            <v>#ERRO</v>
          </cell>
          <cell r="CB399" t="str">
            <v>-</v>
          </cell>
        </row>
        <row r="400">
          <cell r="A400" t="str">
            <v>23187-0</v>
          </cell>
          <cell r="B400" t="str">
            <v>23187-0</v>
          </cell>
          <cell r="C400">
            <v>7896714295732</v>
          </cell>
          <cell r="D400" t="str">
            <v>NEOFEMME SAB LIQ FLORAL FR 200ML</v>
          </cell>
          <cell r="E400" t="str">
            <v>SIM</v>
          </cell>
          <cell r="F400" t="str">
            <v>S</v>
          </cell>
          <cell r="G400" t="str">
            <v>LANCAMENTOS SMART</v>
          </cell>
          <cell r="H400">
            <v>0</v>
          </cell>
          <cell r="I400">
            <v>30</v>
          </cell>
          <cell r="J400" t="str">
            <v>Liberado</v>
          </cell>
          <cell r="K400" t="str">
            <v>Dermocosmético</v>
          </cell>
          <cell r="L400" t="str">
            <v>Não</v>
          </cell>
          <cell r="M400" t="str">
            <v>NACIONAL</v>
          </cell>
          <cell r="N400" t="str">
            <v>NACIONAL</v>
          </cell>
          <cell r="P400">
            <v>19.93</v>
          </cell>
          <cell r="Q400">
            <v>19.93</v>
          </cell>
          <cell r="R400">
            <v>20.170000000000002</v>
          </cell>
          <cell r="S400">
            <v>20.420000000000002</v>
          </cell>
          <cell r="T400">
            <v>18.79</v>
          </cell>
          <cell r="U400">
            <v>20.05</v>
          </cell>
          <cell r="V400">
            <v>20.05</v>
          </cell>
          <cell r="W400">
            <v>20.170000000000002</v>
          </cell>
          <cell r="X400">
            <v>20.67</v>
          </cell>
          <cell r="Y400">
            <v>20.420000000000002</v>
          </cell>
          <cell r="Z400">
            <v>20.67</v>
          </cell>
          <cell r="AA400">
            <v>20.94</v>
          </cell>
          <cell r="AB400">
            <v>21.2</v>
          </cell>
          <cell r="AC400">
            <v>20.55</v>
          </cell>
          <cell r="AD400">
            <v>20.55</v>
          </cell>
          <cell r="AE400">
            <v>20.8</v>
          </cell>
          <cell r="AF400">
            <v>0</v>
          </cell>
          <cell r="AG400">
            <v>27.55</v>
          </cell>
          <cell r="AH400">
            <v>27.55</v>
          </cell>
          <cell r="AI400">
            <v>27.88</v>
          </cell>
          <cell r="AJ400">
            <v>28.23</v>
          </cell>
          <cell r="AK400">
            <v>25.98</v>
          </cell>
          <cell r="AL400">
            <v>27.72</v>
          </cell>
          <cell r="AM400">
            <v>27.72</v>
          </cell>
          <cell r="AN400">
            <v>27.88</v>
          </cell>
          <cell r="AO400">
            <v>28.58</v>
          </cell>
          <cell r="AP400">
            <v>28.23</v>
          </cell>
          <cell r="AQ400">
            <v>28.58</v>
          </cell>
          <cell r="AR400">
            <v>28.95</v>
          </cell>
          <cell r="AS400">
            <v>29.31</v>
          </cell>
          <cell r="AT400">
            <v>28.41</v>
          </cell>
          <cell r="AU400">
            <v>28.41</v>
          </cell>
          <cell r="AV400">
            <v>28.75</v>
          </cell>
          <cell r="AX400">
            <v>19.93</v>
          </cell>
          <cell r="AY400">
            <v>27.55</v>
          </cell>
          <cell r="AZ400">
            <v>0.17</v>
          </cell>
          <cell r="BA400">
            <v>0.12</v>
          </cell>
          <cell r="BB400" t="str">
            <v>#_NA</v>
          </cell>
          <cell r="BC400" t="str">
            <v>#_NA</v>
          </cell>
          <cell r="BD400" t="str">
            <v>#_NA</v>
          </cell>
          <cell r="BE400" t="str">
            <v>-</v>
          </cell>
          <cell r="BF400" t="str">
            <v>-</v>
          </cell>
          <cell r="BG400">
            <v>5.6820000000000002E-2</v>
          </cell>
          <cell r="BH400">
            <v>0.68200000000000005</v>
          </cell>
          <cell r="BI400">
            <v>5.98</v>
          </cell>
          <cell r="BJ400" t="str">
            <v>-</v>
          </cell>
          <cell r="BK400">
            <v>0.69730000000000003</v>
          </cell>
          <cell r="BL400">
            <v>5.69</v>
          </cell>
          <cell r="BM400" t="str">
            <v>-</v>
          </cell>
          <cell r="BN400" t="str">
            <v>SIM</v>
          </cell>
          <cell r="BO400" t="str">
            <v>NÃO</v>
          </cell>
          <cell r="BP400" t="str">
            <v>MS|S|NACIONAL|Não|Dermocosmético</v>
          </cell>
          <cell r="BR400" t="str">
            <v>TBD</v>
          </cell>
          <cell r="BS400">
            <v>0</v>
          </cell>
          <cell r="BT400" t="str">
            <v>#ERRO</v>
          </cell>
          <cell r="BU400">
            <v>5.69</v>
          </cell>
          <cell r="BV400" t="str">
            <v>-</v>
          </cell>
          <cell r="BX400" t="str">
            <v>TBD</v>
          </cell>
          <cell r="BY400" t="str">
            <v>TBD</v>
          </cell>
          <cell r="BZ400" t="str">
            <v>TBD</v>
          </cell>
          <cell r="CA400" t="str">
            <v>#ERRO</v>
          </cell>
          <cell r="CB400" t="str">
            <v>-</v>
          </cell>
        </row>
        <row r="401">
          <cell r="A401" t="str">
            <v>23186-0</v>
          </cell>
          <cell r="B401" t="str">
            <v>23186-0</v>
          </cell>
          <cell r="C401">
            <v>7896714295725</v>
          </cell>
          <cell r="D401" t="str">
            <v>NEOFEMME SAB LIQ NEUTRO FR 200ML</v>
          </cell>
          <cell r="E401" t="str">
            <v>SIM</v>
          </cell>
          <cell r="F401" t="str">
            <v>S</v>
          </cell>
          <cell r="G401" t="str">
            <v>LANCAMENTOS SMART</v>
          </cell>
          <cell r="H401">
            <v>0</v>
          </cell>
          <cell r="I401">
            <v>30</v>
          </cell>
          <cell r="J401" t="str">
            <v>Liberado</v>
          </cell>
          <cell r="K401" t="str">
            <v>Dermocosmético</v>
          </cell>
          <cell r="L401" t="str">
            <v>Não</v>
          </cell>
          <cell r="M401" t="str">
            <v>NACIONAL</v>
          </cell>
          <cell r="N401" t="str">
            <v>NACIONAL</v>
          </cell>
          <cell r="P401">
            <v>19.93</v>
          </cell>
          <cell r="Q401">
            <v>19.93</v>
          </cell>
          <cell r="R401">
            <v>20.170000000000002</v>
          </cell>
          <cell r="S401">
            <v>20.420000000000002</v>
          </cell>
          <cell r="T401">
            <v>18.79</v>
          </cell>
          <cell r="U401">
            <v>20.05</v>
          </cell>
          <cell r="V401">
            <v>20.05</v>
          </cell>
          <cell r="W401">
            <v>20.170000000000002</v>
          </cell>
          <cell r="X401">
            <v>20.67</v>
          </cell>
          <cell r="Y401">
            <v>20.420000000000002</v>
          </cell>
          <cell r="Z401">
            <v>20.67</v>
          </cell>
          <cell r="AA401">
            <v>20.94</v>
          </cell>
          <cell r="AB401">
            <v>21.2</v>
          </cell>
          <cell r="AC401">
            <v>20.55</v>
          </cell>
          <cell r="AD401">
            <v>20.55</v>
          </cell>
          <cell r="AE401">
            <v>20.8</v>
          </cell>
          <cell r="AF401">
            <v>0</v>
          </cell>
          <cell r="AG401">
            <v>27.55</v>
          </cell>
          <cell r="AH401">
            <v>27.55</v>
          </cell>
          <cell r="AI401">
            <v>27.88</v>
          </cell>
          <cell r="AJ401">
            <v>28.23</v>
          </cell>
          <cell r="AK401">
            <v>25.98</v>
          </cell>
          <cell r="AL401">
            <v>27.72</v>
          </cell>
          <cell r="AM401">
            <v>27.72</v>
          </cell>
          <cell r="AN401">
            <v>27.88</v>
          </cell>
          <cell r="AO401">
            <v>28.58</v>
          </cell>
          <cell r="AP401">
            <v>28.23</v>
          </cell>
          <cell r="AQ401">
            <v>28.58</v>
          </cell>
          <cell r="AR401">
            <v>28.95</v>
          </cell>
          <cell r="AS401">
            <v>29.31</v>
          </cell>
          <cell r="AT401">
            <v>28.41</v>
          </cell>
          <cell r="AU401">
            <v>28.41</v>
          </cell>
          <cell r="AV401">
            <v>28.75</v>
          </cell>
          <cell r="AX401">
            <v>19.93</v>
          </cell>
          <cell r="AY401">
            <v>27.55</v>
          </cell>
          <cell r="AZ401">
            <v>0.17</v>
          </cell>
          <cell r="BA401">
            <v>0.12</v>
          </cell>
          <cell r="BB401" t="str">
            <v>#_NA</v>
          </cell>
          <cell r="BC401" t="str">
            <v>#_NA</v>
          </cell>
          <cell r="BD401" t="str">
            <v>#_NA</v>
          </cell>
          <cell r="BE401" t="str">
            <v>-</v>
          </cell>
          <cell r="BF401" t="str">
            <v>-</v>
          </cell>
          <cell r="BG401">
            <v>5.6820000000000002E-2</v>
          </cell>
          <cell r="BH401">
            <v>0.68200000000000005</v>
          </cell>
          <cell r="BI401">
            <v>5.98</v>
          </cell>
          <cell r="BJ401" t="str">
            <v>-</v>
          </cell>
          <cell r="BK401">
            <v>0.69730000000000003</v>
          </cell>
          <cell r="BL401">
            <v>5.69</v>
          </cell>
          <cell r="BM401" t="str">
            <v>-</v>
          </cell>
          <cell r="BN401" t="str">
            <v>SIM</v>
          </cell>
          <cell r="BO401" t="str">
            <v>NÃO</v>
          </cell>
          <cell r="BP401" t="str">
            <v>MS|S|NACIONAL|Não|Dermocosmético</v>
          </cell>
          <cell r="BR401" t="str">
            <v>TBD</v>
          </cell>
          <cell r="BS401">
            <v>0</v>
          </cell>
          <cell r="BT401" t="str">
            <v>#ERRO</v>
          </cell>
          <cell r="BU401">
            <v>5.69</v>
          </cell>
          <cell r="BV401" t="str">
            <v>-</v>
          </cell>
          <cell r="BX401" t="str">
            <v>TBD</v>
          </cell>
          <cell r="BY401" t="str">
            <v>TBD</v>
          </cell>
          <cell r="BZ401" t="str">
            <v>TBD</v>
          </cell>
          <cell r="CA401" t="str">
            <v>#ERRO</v>
          </cell>
          <cell r="CB401" t="str">
            <v>-</v>
          </cell>
        </row>
        <row r="402">
          <cell r="A402" t="str">
            <v>22979-0</v>
          </cell>
          <cell r="B402" t="str">
            <v>22979-0</v>
          </cell>
          <cell r="C402">
            <v>7896714295169</v>
          </cell>
          <cell r="D402" t="str">
            <v>HISCONGEX SOL GOTAS CT FR X 20ML</v>
          </cell>
          <cell r="E402" t="str">
            <v>SIM</v>
          </cell>
          <cell r="F402" t="str">
            <v>S</v>
          </cell>
          <cell r="G402" t="str">
            <v>LANCAMENTOS SMART</v>
          </cell>
          <cell r="H402">
            <v>5</v>
          </cell>
          <cell r="I402">
            <v>112</v>
          </cell>
          <cell r="J402" t="str">
            <v>Liberado</v>
          </cell>
          <cell r="K402" t="str">
            <v>Negativa</v>
          </cell>
          <cell r="L402" t="str">
            <v>SIM</v>
          </cell>
          <cell r="M402" t="str">
            <v>NACIONAL</v>
          </cell>
          <cell r="N402" t="str">
            <v>NACIONAL</v>
          </cell>
          <cell r="P402">
            <v>12.37</v>
          </cell>
          <cell r="Q402">
            <v>14.21</v>
          </cell>
          <cell r="R402">
            <v>14.41</v>
          </cell>
          <cell r="S402">
            <v>14.62</v>
          </cell>
          <cell r="T402">
            <v>13.29</v>
          </cell>
          <cell r="U402">
            <v>14.31</v>
          </cell>
          <cell r="V402">
            <v>12.45</v>
          </cell>
          <cell r="W402">
            <v>12.52</v>
          </cell>
          <cell r="X402">
            <v>14.83</v>
          </cell>
          <cell r="Y402">
            <v>12.68</v>
          </cell>
          <cell r="Z402">
            <v>12.83</v>
          </cell>
          <cell r="AA402">
            <v>15.05</v>
          </cell>
          <cell r="AB402">
            <v>15.27</v>
          </cell>
          <cell r="AC402">
            <v>14.72</v>
          </cell>
          <cell r="AD402">
            <v>12.76</v>
          </cell>
          <cell r="AE402">
            <v>14.94</v>
          </cell>
          <cell r="AF402">
            <v>0</v>
          </cell>
          <cell r="AG402">
            <v>17.100000000000001</v>
          </cell>
          <cell r="AH402">
            <v>18.940000000000001</v>
          </cell>
          <cell r="AI402">
            <v>19.2</v>
          </cell>
          <cell r="AJ402">
            <v>19.47</v>
          </cell>
          <cell r="AK402">
            <v>17.75</v>
          </cell>
          <cell r="AL402">
            <v>19.07</v>
          </cell>
          <cell r="AM402">
            <v>17.21</v>
          </cell>
          <cell r="AN402">
            <v>17.309999999999999</v>
          </cell>
          <cell r="AO402">
            <v>19.739999999999998</v>
          </cell>
          <cell r="AP402">
            <v>17.53</v>
          </cell>
          <cell r="AQ402">
            <v>17.739999999999998</v>
          </cell>
          <cell r="AR402">
            <v>20.02</v>
          </cell>
          <cell r="AS402">
            <v>20.3</v>
          </cell>
          <cell r="AT402">
            <v>19.600000000000001</v>
          </cell>
          <cell r="AU402">
            <v>17.64</v>
          </cell>
          <cell r="AV402">
            <v>19.88</v>
          </cell>
          <cell r="AX402">
            <v>14.21</v>
          </cell>
          <cell r="AY402">
            <v>18.940000000000001</v>
          </cell>
          <cell r="AZ402">
            <v>0.17</v>
          </cell>
          <cell r="BA402">
            <v>0.12</v>
          </cell>
          <cell r="BB402" t="str">
            <v>#_NA</v>
          </cell>
          <cell r="BC402" t="str">
            <v>#_NA</v>
          </cell>
          <cell r="BD402" t="str">
            <v>#_NA</v>
          </cell>
          <cell r="BE402" t="str">
            <v>-</v>
          </cell>
          <cell r="BF402" t="str">
            <v>-</v>
          </cell>
          <cell r="BG402">
            <v>5.6820000000000002E-2</v>
          </cell>
          <cell r="BH402">
            <v>0.4128</v>
          </cell>
          <cell r="BI402">
            <v>7.87</v>
          </cell>
          <cell r="BJ402" t="str">
            <v>-</v>
          </cell>
          <cell r="BK402">
            <v>0.51339999999999997</v>
          </cell>
          <cell r="BL402">
            <v>6.52</v>
          </cell>
          <cell r="BM402" t="str">
            <v>-</v>
          </cell>
          <cell r="BN402" t="str">
            <v>SIM</v>
          </cell>
          <cell r="BO402" t="str">
            <v>NÃO</v>
          </cell>
          <cell r="BP402" t="str">
            <v>MS|S|NACIONAL|SIM|Negativa</v>
          </cell>
          <cell r="BR402" t="str">
            <v>TBD</v>
          </cell>
          <cell r="BS402">
            <v>0</v>
          </cell>
          <cell r="BT402" t="str">
            <v>#ERRO</v>
          </cell>
          <cell r="BU402">
            <v>6.52</v>
          </cell>
          <cell r="BV402" t="str">
            <v>-</v>
          </cell>
          <cell r="BX402" t="str">
            <v>TBD</v>
          </cell>
          <cell r="BY402" t="str">
            <v>TBD</v>
          </cell>
          <cell r="BZ402" t="str">
            <v>TBD</v>
          </cell>
          <cell r="CA402" t="str">
            <v>#ERRO</v>
          </cell>
          <cell r="CB402" t="str">
            <v>-</v>
          </cell>
        </row>
        <row r="403">
          <cell r="A403" t="str">
            <v>22980-0</v>
          </cell>
          <cell r="B403" t="str">
            <v>22980-0</v>
          </cell>
          <cell r="C403">
            <v>7896714295176</v>
          </cell>
          <cell r="D403" t="str">
            <v>HISCONGEX XPE CT FR X 120ML</v>
          </cell>
          <cell r="E403" t="str">
            <v>SIM</v>
          </cell>
          <cell r="F403" t="str">
            <v>S</v>
          </cell>
          <cell r="G403" t="str">
            <v>LANCAMENTOS SMART</v>
          </cell>
          <cell r="H403">
            <v>5</v>
          </cell>
          <cell r="I403">
            <v>24</v>
          </cell>
          <cell r="J403" t="str">
            <v>Liberado</v>
          </cell>
          <cell r="K403" t="str">
            <v>Negativa</v>
          </cell>
          <cell r="L403" t="str">
            <v>SIM</v>
          </cell>
          <cell r="M403" t="str">
            <v>NACIONAL</v>
          </cell>
          <cell r="N403" t="str">
            <v>NACIONAL</v>
          </cell>
          <cell r="P403">
            <v>18.190000000000001</v>
          </cell>
          <cell r="Q403">
            <v>20.9</v>
          </cell>
          <cell r="R403">
            <v>21.19</v>
          </cell>
          <cell r="S403">
            <v>21.49</v>
          </cell>
          <cell r="T403">
            <v>19.54</v>
          </cell>
          <cell r="U403">
            <v>21.04</v>
          </cell>
          <cell r="V403">
            <v>18.3</v>
          </cell>
          <cell r="W403">
            <v>18.41</v>
          </cell>
          <cell r="X403">
            <v>21.8</v>
          </cell>
          <cell r="Y403">
            <v>18.64</v>
          </cell>
          <cell r="Z403">
            <v>18.87</v>
          </cell>
          <cell r="AA403">
            <v>22.12</v>
          </cell>
          <cell r="AB403">
            <v>22.45</v>
          </cell>
          <cell r="AC403">
            <v>21.65</v>
          </cell>
          <cell r="AD403">
            <v>18.760000000000002</v>
          </cell>
          <cell r="AE403">
            <v>21.96</v>
          </cell>
          <cell r="AF403">
            <v>0</v>
          </cell>
          <cell r="AG403">
            <v>25.15</v>
          </cell>
          <cell r="AH403">
            <v>27.86</v>
          </cell>
          <cell r="AI403">
            <v>28.23</v>
          </cell>
          <cell r="AJ403">
            <v>28.62</v>
          </cell>
          <cell r="AK403">
            <v>26.1</v>
          </cell>
          <cell r="AL403">
            <v>28.04</v>
          </cell>
          <cell r="AM403">
            <v>25.3</v>
          </cell>
          <cell r="AN403">
            <v>25.45</v>
          </cell>
          <cell r="AO403">
            <v>29.02</v>
          </cell>
          <cell r="AP403">
            <v>25.77</v>
          </cell>
          <cell r="AQ403">
            <v>26.09</v>
          </cell>
          <cell r="AR403">
            <v>29.43</v>
          </cell>
          <cell r="AS403">
            <v>29.85</v>
          </cell>
          <cell r="AT403">
            <v>28.82</v>
          </cell>
          <cell r="AU403">
            <v>25.93</v>
          </cell>
          <cell r="AV403">
            <v>29.22</v>
          </cell>
          <cell r="AX403">
            <v>20.9</v>
          </cell>
          <cell r="AY403">
            <v>27.86</v>
          </cell>
          <cell r="AZ403">
            <v>0.17</v>
          </cell>
          <cell r="BA403">
            <v>0.12</v>
          </cell>
          <cell r="BB403" t="str">
            <v>#_NA</v>
          </cell>
          <cell r="BC403" t="str">
            <v>#_NA</v>
          </cell>
          <cell r="BD403" t="str">
            <v>#_NA</v>
          </cell>
          <cell r="BE403" t="str">
            <v>-</v>
          </cell>
          <cell r="BF403" t="str">
            <v>-</v>
          </cell>
          <cell r="BG403">
            <v>5.6820000000000002E-2</v>
          </cell>
          <cell r="BH403">
            <v>0.40400000000000003</v>
          </cell>
          <cell r="BI403">
            <v>11.75</v>
          </cell>
          <cell r="BJ403" t="str">
            <v>-</v>
          </cell>
          <cell r="BK403">
            <v>0.50609999999999999</v>
          </cell>
          <cell r="BL403">
            <v>9.73</v>
          </cell>
          <cell r="BM403" t="str">
            <v>-</v>
          </cell>
          <cell r="BN403" t="str">
            <v>SIM</v>
          </cell>
          <cell r="BO403" t="str">
            <v>NÃO</v>
          </cell>
          <cell r="BP403" t="str">
            <v>MS|S|NACIONAL|SIM|Negativa</v>
          </cell>
          <cell r="BR403" t="str">
            <v>TBD</v>
          </cell>
          <cell r="BS403">
            <v>0</v>
          </cell>
          <cell r="BT403" t="str">
            <v>#ERRO</v>
          </cell>
          <cell r="BU403">
            <v>9.73</v>
          </cell>
          <cell r="BV403" t="str">
            <v>-</v>
          </cell>
          <cell r="BX403" t="str">
            <v>TBD</v>
          </cell>
          <cell r="BY403" t="str">
            <v>TBD</v>
          </cell>
          <cell r="BZ403" t="str">
            <v>TBD</v>
          </cell>
          <cell r="CA403" t="str">
            <v>#ERRO</v>
          </cell>
          <cell r="CB403" t="str">
            <v>-</v>
          </cell>
        </row>
        <row r="404">
          <cell r="A404" t="str">
            <v>20814-0</v>
          </cell>
          <cell r="B404" t="str">
            <v>20814-0</v>
          </cell>
          <cell r="C404">
            <v>7896714262321</v>
          </cell>
          <cell r="D404" t="str">
            <v>NITRATO BUTOCONAZOL 20MG/G CR VAG+APL</v>
          </cell>
          <cell r="E404" t="str">
            <v>SIM</v>
          </cell>
          <cell r="F404" t="str">
            <v>G</v>
          </cell>
          <cell r="G404" t="str">
            <v>LANCAMENTOS GENERICOS</v>
          </cell>
          <cell r="H404">
            <v>5</v>
          </cell>
          <cell r="I404">
            <v>60</v>
          </cell>
          <cell r="J404" t="str">
            <v>Monitorado</v>
          </cell>
          <cell r="K404" t="str">
            <v>Negativa</v>
          </cell>
          <cell r="L404" t="str">
            <v>SIM</v>
          </cell>
          <cell r="M404" t="str">
            <v>NACIONAL</v>
          </cell>
          <cell r="N404" t="str">
            <v>NACIONAL</v>
          </cell>
          <cell r="P404">
            <v>40.64</v>
          </cell>
          <cell r="Q404">
            <v>46.69</v>
          </cell>
          <cell r="R404">
            <v>47.34</v>
          </cell>
          <cell r="S404">
            <v>48.02</v>
          </cell>
          <cell r="T404">
            <v>43.66</v>
          </cell>
          <cell r="U404">
            <v>47.01</v>
          </cell>
          <cell r="V404">
            <v>40.89</v>
          </cell>
          <cell r="W404">
            <v>41.14</v>
          </cell>
          <cell r="X404">
            <v>48.71</v>
          </cell>
          <cell r="Y404">
            <v>41.64</v>
          </cell>
          <cell r="Z404">
            <v>42.17</v>
          </cell>
          <cell r="AA404">
            <v>49.43</v>
          </cell>
          <cell r="AB404">
            <v>50.17</v>
          </cell>
          <cell r="AC404">
            <v>48.36</v>
          </cell>
          <cell r="AD404">
            <v>41.9</v>
          </cell>
          <cell r="AE404">
            <v>49.07</v>
          </cell>
          <cell r="AF404">
            <v>0</v>
          </cell>
          <cell r="AG404">
            <v>56.18</v>
          </cell>
          <cell r="AH404">
            <v>62.23</v>
          </cell>
          <cell r="AI404">
            <v>63.07</v>
          </cell>
          <cell r="AJ404">
            <v>63.95</v>
          </cell>
          <cell r="AK404">
            <v>58.32</v>
          </cell>
          <cell r="AL404">
            <v>62.65</v>
          </cell>
          <cell r="AM404">
            <v>56.53</v>
          </cell>
          <cell r="AN404">
            <v>56.87</v>
          </cell>
          <cell r="AO404">
            <v>64.83</v>
          </cell>
          <cell r="AP404">
            <v>57.56</v>
          </cell>
          <cell r="AQ404">
            <v>58.3</v>
          </cell>
          <cell r="AR404">
            <v>65.760000000000005</v>
          </cell>
          <cell r="AS404">
            <v>66.709999999999994</v>
          </cell>
          <cell r="AT404">
            <v>64.38</v>
          </cell>
          <cell r="AU404">
            <v>57.92</v>
          </cell>
          <cell r="AV404">
            <v>65.3</v>
          </cell>
          <cell r="AX404">
            <v>46.69</v>
          </cell>
          <cell r="AY404">
            <v>62.23</v>
          </cell>
          <cell r="AZ404">
            <v>0.17</v>
          </cell>
          <cell r="BA404">
            <v>0.12</v>
          </cell>
          <cell r="BB404" t="str">
            <v>#_NA</v>
          </cell>
          <cell r="BC404" t="str">
            <v>#_NA</v>
          </cell>
          <cell r="BD404" t="str">
            <v>#_NA</v>
          </cell>
          <cell r="BE404" t="str">
            <v>-</v>
          </cell>
          <cell r="BF404" t="str">
            <v>-</v>
          </cell>
          <cell r="BG404">
            <v>5.6820000000000002E-2</v>
          </cell>
          <cell r="BH404">
            <v>0.31850000000000001</v>
          </cell>
          <cell r="BI404">
            <v>30.01</v>
          </cell>
          <cell r="BJ404" t="str">
            <v>-</v>
          </cell>
          <cell r="BK404">
            <v>0.435</v>
          </cell>
          <cell r="BL404">
            <v>24.88</v>
          </cell>
          <cell r="BM404" t="str">
            <v>-</v>
          </cell>
          <cell r="BN404" t="str">
            <v>SIM</v>
          </cell>
          <cell r="BO404" t="str">
            <v>NÃO</v>
          </cell>
          <cell r="BP404" t="str">
            <v>MS|G|NACIONAL|SIM|Negativa</v>
          </cell>
          <cell r="BR404" t="str">
            <v>TBD</v>
          </cell>
          <cell r="BS404">
            <v>0</v>
          </cell>
          <cell r="BT404" t="str">
            <v>#ERRO</v>
          </cell>
          <cell r="BU404">
            <v>24.88</v>
          </cell>
          <cell r="BV404" t="str">
            <v>-</v>
          </cell>
          <cell r="BX404" t="str">
            <v>TBD</v>
          </cell>
          <cell r="BY404" t="str">
            <v>TBD</v>
          </cell>
          <cell r="BZ404" t="str">
            <v>TBD</v>
          </cell>
          <cell r="CA404" t="str">
            <v>#ERRO</v>
          </cell>
          <cell r="CB404" t="str">
            <v>-</v>
          </cell>
        </row>
        <row r="405">
          <cell r="A405" t="str">
            <v>23221-0</v>
          </cell>
          <cell r="B405" t="str">
            <v>23221-0</v>
          </cell>
          <cell r="C405">
            <v>7896094931343</v>
          </cell>
          <cell r="D405" t="str">
            <v>VIT NEO QUIMICA VIT C FR X 30CP</v>
          </cell>
          <cell r="E405" t="str">
            <v>SIM</v>
          </cell>
          <cell r="F405" t="str">
            <v>S</v>
          </cell>
          <cell r="G405" t="str">
            <v>FOCO SMART</v>
          </cell>
          <cell r="H405">
            <v>5</v>
          </cell>
          <cell r="I405">
            <v>24</v>
          </cell>
          <cell r="J405" t="str">
            <v>Liberado</v>
          </cell>
          <cell r="K405" t="str">
            <v>Alimento funcional</v>
          </cell>
          <cell r="L405" t="str">
            <v>Sim</v>
          </cell>
          <cell r="M405" t="str">
            <v>NACIONAL</v>
          </cell>
          <cell r="N405" t="str">
            <v>NACIONAL</v>
          </cell>
          <cell r="P405">
            <v>40.51</v>
          </cell>
          <cell r="Q405">
            <v>40.51</v>
          </cell>
          <cell r="R405">
            <v>41</v>
          </cell>
          <cell r="S405">
            <v>41.51</v>
          </cell>
          <cell r="T405">
            <v>38.200000000000003</v>
          </cell>
          <cell r="U405">
            <v>40.75</v>
          </cell>
          <cell r="V405">
            <v>40.75</v>
          </cell>
          <cell r="W405">
            <v>41</v>
          </cell>
          <cell r="X405">
            <v>42.03</v>
          </cell>
          <cell r="Y405">
            <v>41.51</v>
          </cell>
          <cell r="Z405">
            <v>42.03</v>
          </cell>
          <cell r="AA405">
            <v>42.56</v>
          </cell>
          <cell r="AB405">
            <v>43.1</v>
          </cell>
          <cell r="AC405">
            <v>41.76</v>
          </cell>
          <cell r="AD405">
            <v>41.76</v>
          </cell>
          <cell r="AE405">
            <v>42.29</v>
          </cell>
          <cell r="AF405">
            <v>0</v>
          </cell>
          <cell r="AG405">
            <v>56</v>
          </cell>
          <cell r="AH405">
            <v>56</v>
          </cell>
          <cell r="AI405">
            <v>56.68</v>
          </cell>
          <cell r="AJ405">
            <v>57.39</v>
          </cell>
          <cell r="AK405">
            <v>52.81</v>
          </cell>
          <cell r="AL405">
            <v>56.33</v>
          </cell>
          <cell r="AM405">
            <v>56.33</v>
          </cell>
          <cell r="AN405">
            <v>56.68</v>
          </cell>
          <cell r="AO405">
            <v>58.1</v>
          </cell>
          <cell r="AP405">
            <v>57.39</v>
          </cell>
          <cell r="AQ405">
            <v>58.1</v>
          </cell>
          <cell r="AR405">
            <v>58.84</v>
          </cell>
          <cell r="AS405">
            <v>59.58</v>
          </cell>
          <cell r="AT405">
            <v>57.73</v>
          </cell>
          <cell r="AU405">
            <v>57.73</v>
          </cell>
          <cell r="AV405">
            <v>58.46</v>
          </cell>
          <cell r="AX405">
            <v>40.51</v>
          </cell>
          <cell r="AY405">
            <v>56</v>
          </cell>
          <cell r="AZ405">
            <v>0.17</v>
          </cell>
          <cell r="BA405">
            <v>0.12</v>
          </cell>
          <cell r="BB405" t="str">
            <v>#_NA</v>
          </cell>
          <cell r="BC405" t="str">
            <v>#_NA</v>
          </cell>
          <cell r="BD405" t="str">
            <v>#_NA</v>
          </cell>
          <cell r="BE405" t="str">
            <v>-</v>
          </cell>
          <cell r="BF405" t="str">
            <v>-</v>
          </cell>
          <cell r="BG405">
            <v>5.6820000000000002E-2</v>
          </cell>
          <cell r="BH405">
            <v>0.80789999999999995</v>
          </cell>
          <cell r="BI405">
            <v>7.34</v>
          </cell>
          <cell r="BJ405" t="str">
            <v>-</v>
          </cell>
          <cell r="BK405">
            <v>0.81699999999999995</v>
          </cell>
          <cell r="BL405">
            <v>6.99</v>
          </cell>
          <cell r="BM405" t="str">
            <v>-</v>
          </cell>
          <cell r="BN405" t="str">
            <v>NÃO</v>
          </cell>
          <cell r="BO405" t="str">
            <v>NÃO</v>
          </cell>
          <cell r="BP405" t="str">
            <v>MS|S|NACIONAL|Sim|Alimento funcional</v>
          </cell>
          <cell r="BR405" t="str">
            <v>TBD</v>
          </cell>
          <cell r="BS405">
            <v>0</v>
          </cell>
          <cell r="BT405" t="str">
            <v>#ERRO</v>
          </cell>
          <cell r="BU405">
            <v>6.99</v>
          </cell>
          <cell r="BV405" t="str">
            <v>-</v>
          </cell>
          <cell r="BX405" t="str">
            <v>TBD</v>
          </cell>
          <cell r="BY405" t="str">
            <v>TBD</v>
          </cell>
          <cell r="BZ405" t="str">
            <v>TBD</v>
          </cell>
          <cell r="CA405" t="str">
            <v>#ERRO</v>
          </cell>
          <cell r="CB405" t="str">
            <v>-</v>
          </cell>
        </row>
        <row r="406">
          <cell r="A406" t="str">
            <v>19488-1</v>
          </cell>
          <cell r="B406" t="str">
            <v>19488-1</v>
          </cell>
          <cell r="C406">
            <v>7898947385693</v>
          </cell>
          <cell r="D406" t="str">
            <v>SUCCINATO METOPROLOL 25MG CT BL 30 CPRV</v>
          </cell>
          <cell r="E406" t="str">
            <v>SIM</v>
          </cell>
          <cell r="F406" t="str">
            <v>G</v>
          </cell>
          <cell r="G406" t="str">
            <v>PRIORITARIO GENERICOS</v>
          </cell>
          <cell r="H406">
            <v>2</v>
          </cell>
          <cell r="I406">
            <v>160</v>
          </cell>
          <cell r="J406" t="str">
            <v>Monitorado</v>
          </cell>
          <cell r="K406" t="str">
            <v>Positiva</v>
          </cell>
          <cell r="L406" t="str">
            <v>Não</v>
          </cell>
          <cell r="M406" t="str">
            <v>IMPORTADO</v>
          </cell>
          <cell r="N406" t="str">
            <v>IMPORTADO</v>
          </cell>
          <cell r="P406">
            <v>18.71</v>
          </cell>
          <cell r="Q406">
            <v>18.71</v>
          </cell>
          <cell r="R406">
            <v>18.940000000000001</v>
          </cell>
          <cell r="S406">
            <v>19.170000000000002</v>
          </cell>
          <cell r="T406">
            <v>17.649999999999999</v>
          </cell>
          <cell r="U406">
            <v>18.82</v>
          </cell>
          <cell r="V406">
            <v>18.82</v>
          </cell>
          <cell r="W406">
            <v>18.940000000000001</v>
          </cell>
          <cell r="X406">
            <v>19.41</v>
          </cell>
          <cell r="Y406">
            <v>19.170000000000002</v>
          </cell>
          <cell r="Z406">
            <v>19.41</v>
          </cell>
          <cell r="AA406">
            <v>19.66</v>
          </cell>
          <cell r="AB406">
            <v>19.91</v>
          </cell>
          <cell r="AC406">
            <v>19.29</v>
          </cell>
          <cell r="AD406">
            <v>19.29</v>
          </cell>
          <cell r="AE406">
            <v>19.53</v>
          </cell>
          <cell r="AF406">
            <v>0</v>
          </cell>
          <cell r="AG406">
            <v>25.87</v>
          </cell>
          <cell r="AH406">
            <v>25.87</v>
          </cell>
          <cell r="AI406">
            <v>26.18</v>
          </cell>
          <cell r="AJ406">
            <v>26.5</v>
          </cell>
          <cell r="AK406">
            <v>24.4</v>
          </cell>
          <cell r="AL406">
            <v>26.02</v>
          </cell>
          <cell r="AM406">
            <v>26.02</v>
          </cell>
          <cell r="AN406">
            <v>26.18</v>
          </cell>
          <cell r="AO406">
            <v>26.83</v>
          </cell>
          <cell r="AP406">
            <v>26.5</v>
          </cell>
          <cell r="AQ406">
            <v>26.83</v>
          </cell>
          <cell r="AR406">
            <v>27.18</v>
          </cell>
          <cell r="AS406">
            <v>27.52</v>
          </cell>
          <cell r="AT406">
            <v>26.67</v>
          </cell>
          <cell r="AU406">
            <v>26.67</v>
          </cell>
          <cell r="AV406">
            <v>27</v>
          </cell>
          <cell r="AX406">
            <v>18.71</v>
          </cell>
          <cell r="AY406">
            <v>25.87</v>
          </cell>
          <cell r="AZ406">
            <v>0.17</v>
          </cell>
          <cell r="BA406">
            <v>0.04</v>
          </cell>
          <cell r="BB406" t="str">
            <v>#_NA</v>
          </cell>
          <cell r="BC406" t="str">
            <v>#_NA</v>
          </cell>
          <cell r="BD406" t="str">
            <v>#_NA</v>
          </cell>
          <cell r="BE406" t="str">
            <v>-</v>
          </cell>
          <cell r="BF406" t="str">
            <v>-</v>
          </cell>
          <cell r="BG406">
            <v>0.13542000000000001</v>
          </cell>
          <cell r="BH406">
            <v>0.42830000000000001</v>
          </cell>
          <cell r="BI406">
            <v>9.25</v>
          </cell>
          <cell r="BJ406" t="str">
            <v>-</v>
          </cell>
          <cell r="BK406">
            <v>0.45610000000000001</v>
          </cell>
          <cell r="BL406">
            <v>8.8000000000000007</v>
          </cell>
          <cell r="BM406" t="str">
            <v>-</v>
          </cell>
          <cell r="BN406" t="str">
            <v>SIM</v>
          </cell>
          <cell r="BO406" t="str">
            <v>NÃO</v>
          </cell>
          <cell r="BP406" t="str">
            <v>MS|G|IMPORTADO|Não|Positiva</v>
          </cell>
          <cell r="BR406" t="str">
            <v>TBD</v>
          </cell>
          <cell r="BS406">
            <v>0</v>
          </cell>
          <cell r="BT406" t="str">
            <v>#ERRO</v>
          </cell>
          <cell r="BU406">
            <v>8.8000000000000007</v>
          </cell>
          <cell r="BV406" t="str">
            <v>-</v>
          </cell>
          <cell r="BX406" t="str">
            <v>TBD</v>
          </cell>
          <cell r="BY406" t="str">
            <v>TBD</v>
          </cell>
          <cell r="BZ406" t="str">
            <v>TBD</v>
          </cell>
          <cell r="CA406" t="str">
            <v>#ERRO</v>
          </cell>
          <cell r="CB406" t="str">
            <v>-</v>
          </cell>
        </row>
        <row r="407">
          <cell r="A407" t="str">
            <v>22853-0</v>
          </cell>
          <cell r="B407" t="str">
            <v>22853-0</v>
          </cell>
          <cell r="C407">
            <v>7896714294377</v>
          </cell>
          <cell r="D407" t="str">
            <v>PARACETAMOL 750MG CPR CT BL 2X10</v>
          </cell>
          <cell r="E407" t="str">
            <v>SIM</v>
          </cell>
          <cell r="F407" t="str">
            <v>G</v>
          </cell>
          <cell r="G407" t="str">
            <v>LINHA</v>
          </cell>
          <cell r="H407">
            <v>5</v>
          </cell>
          <cell r="I407">
            <v>60</v>
          </cell>
          <cell r="J407" t="str">
            <v>Liberado</v>
          </cell>
          <cell r="K407" t="str">
            <v>Negativa</v>
          </cell>
          <cell r="L407" t="str">
            <v>Sim</v>
          </cell>
          <cell r="M407" t="str">
            <v>NACIONAL</v>
          </cell>
          <cell r="N407" t="str">
            <v>NACIONAL</v>
          </cell>
          <cell r="P407">
            <v>15.86</v>
          </cell>
          <cell r="Q407">
            <v>18.21</v>
          </cell>
          <cell r="R407">
            <v>18.47</v>
          </cell>
          <cell r="S407">
            <v>18.73</v>
          </cell>
          <cell r="T407">
            <v>17.03</v>
          </cell>
          <cell r="U407">
            <v>18.34</v>
          </cell>
          <cell r="V407">
            <v>15.95</v>
          </cell>
          <cell r="W407">
            <v>16.05</v>
          </cell>
          <cell r="X407">
            <v>19.010000000000002</v>
          </cell>
          <cell r="Y407">
            <v>16.25</v>
          </cell>
          <cell r="Z407">
            <v>16.45</v>
          </cell>
          <cell r="AA407">
            <v>19.28</v>
          </cell>
          <cell r="AB407">
            <v>19.57</v>
          </cell>
          <cell r="AC407">
            <v>18.87</v>
          </cell>
          <cell r="AD407">
            <v>16.350000000000001</v>
          </cell>
          <cell r="AE407">
            <v>19.14</v>
          </cell>
          <cell r="AF407">
            <v>0</v>
          </cell>
          <cell r="AG407">
            <v>21.93</v>
          </cell>
          <cell r="AH407">
            <v>24.27</v>
          </cell>
          <cell r="AI407">
            <v>24.61</v>
          </cell>
          <cell r="AJ407">
            <v>24.94</v>
          </cell>
          <cell r="AK407">
            <v>22.75</v>
          </cell>
          <cell r="AL407">
            <v>24.44</v>
          </cell>
          <cell r="AM407">
            <v>22.05</v>
          </cell>
          <cell r="AN407">
            <v>22.19</v>
          </cell>
          <cell r="AO407">
            <v>25.3</v>
          </cell>
          <cell r="AP407">
            <v>22.46</v>
          </cell>
          <cell r="AQ407">
            <v>22.74</v>
          </cell>
          <cell r="AR407">
            <v>25.65</v>
          </cell>
          <cell r="AS407">
            <v>26.02</v>
          </cell>
          <cell r="AT407">
            <v>25.12</v>
          </cell>
          <cell r="AU407">
            <v>22.6</v>
          </cell>
          <cell r="AV407">
            <v>25.47</v>
          </cell>
          <cell r="AX407">
            <v>18.21</v>
          </cell>
          <cell r="AY407">
            <v>24.27</v>
          </cell>
          <cell r="AZ407">
            <v>0.17</v>
          </cell>
          <cell r="BA407">
            <v>0.12</v>
          </cell>
          <cell r="BB407" t="str">
            <v>#_NA</v>
          </cell>
          <cell r="BC407" t="str">
            <v>#_NA</v>
          </cell>
          <cell r="BD407" t="str">
            <v>#_NA</v>
          </cell>
          <cell r="BE407" t="str">
            <v>-</v>
          </cell>
          <cell r="BF407" t="str">
            <v>-</v>
          </cell>
          <cell r="BG407">
            <v>5.6820000000000002E-2</v>
          </cell>
          <cell r="BH407">
            <v>0.72119999999999995</v>
          </cell>
          <cell r="BI407">
            <v>4.79</v>
          </cell>
          <cell r="BJ407" t="str">
            <v>-</v>
          </cell>
          <cell r="BK407">
            <v>0.77049999999999996</v>
          </cell>
          <cell r="BL407">
            <v>3.94</v>
          </cell>
          <cell r="BM407" t="str">
            <v>-</v>
          </cell>
          <cell r="BN407" t="str">
            <v>NÃO</v>
          </cell>
          <cell r="BO407" t="str">
            <v>NÃO</v>
          </cell>
          <cell r="BP407" t="str">
            <v>MS|G|NACIONAL|Sim|Negativa</v>
          </cell>
          <cell r="BR407" t="str">
            <v>TBD</v>
          </cell>
          <cell r="BS407">
            <v>0</v>
          </cell>
          <cell r="BT407" t="str">
            <v>#ERRO</v>
          </cell>
          <cell r="BU407">
            <v>3.94</v>
          </cell>
          <cell r="BV407" t="str">
            <v>-</v>
          </cell>
          <cell r="BX407" t="str">
            <v>TBD</v>
          </cell>
          <cell r="BY407" t="str">
            <v>TBD</v>
          </cell>
          <cell r="BZ407" t="str">
            <v>TBD</v>
          </cell>
          <cell r="CA407" t="str">
            <v>#ERRO</v>
          </cell>
          <cell r="CB407" t="str">
            <v>-</v>
          </cell>
        </row>
        <row r="408">
          <cell r="A408" t="str">
            <v>22854-0</v>
          </cell>
          <cell r="B408" t="str">
            <v>22854-0</v>
          </cell>
          <cell r="C408">
            <v>7896714294384</v>
          </cell>
          <cell r="D408" t="str">
            <v>PARACETAMOL 750MG CPR DISPL BL 50X4</v>
          </cell>
          <cell r="E408" t="str">
            <v>SIM</v>
          </cell>
          <cell r="F408" t="str">
            <v>G</v>
          </cell>
          <cell r="G408" t="str">
            <v>LINHA</v>
          </cell>
          <cell r="H408">
            <v>0</v>
          </cell>
          <cell r="I408">
            <v>12</v>
          </cell>
          <cell r="J408" t="str">
            <v>Liberado</v>
          </cell>
          <cell r="K408" t="str">
            <v>Negativa</v>
          </cell>
          <cell r="L408" t="str">
            <v>Sim</v>
          </cell>
          <cell r="M408" t="str">
            <v>NACIONAL</v>
          </cell>
          <cell r="N408" t="str">
            <v>NACIONAL</v>
          </cell>
          <cell r="P408">
            <v>158.65</v>
          </cell>
          <cell r="Q408">
            <v>182.25</v>
          </cell>
          <cell r="R408">
            <v>184.81</v>
          </cell>
          <cell r="S408">
            <v>187.45</v>
          </cell>
          <cell r="T408">
            <v>170.43</v>
          </cell>
          <cell r="U408">
            <v>183.52</v>
          </cell>
          <cell r="V408">
            <v>159.61000000000001</v>
          </cell>
          <cell r="W408">
            <v>160.58000000000001</v>
          </cell>
          <cell r="X408">
            <v>190.16</v>
          </cell>
          <cell r="Y408">
            <v>162.57</v>
          </cell>
          <cell r="Z408">
            <v>164.6</v>
          </cell>
          <cell r="AA408">
            <v>192.95</v>
          </cell>
          <cell r="AB408">
            <v>195.83</v>
          </cell>
          <cell r="AC408">
            <v>188.79</v>
          </cell>
          <cell r="AD408">
            <v>163.58000000000001</v>
          </cell>
          <cell r="AE408">
            <v>191.55</v>
          </cell>
          <cell r="AF408">
            <v>0</v>
          </cell>
          <cell r="AG408">
            <v>219.32</v>
          </cell>
          <cell r="AH408">
            <v>242.93</v>
          </cell>
          <cell r="AI408">
            <v>246.22</v>
          </cell>
          <cell r="AJ408">
            <v>249.62</v>
          </cell>
          <cell r="AK408">
            <v>227.66</v>
          </cell>
          <cell r="AL408">
            <v>244.56</v>
          </cell>
          <cell r="AM408">
            <v>220.65</v>
          </cell>
          <cell r="AN408">
            <v>221.99</v>
          </cell>
          <cell r="AO408">
            <v>253.11</v>
          </cell>
          <cell r="AP408">
            <v>224.74</v>
          </cell>
          <cell r="AQ408">
            <v>227.55</v>
          </cell>
          <cell r="AR408">
            <v>256.69</v>
          </cell>
          <cell r="AS408">
            <v>260.39</v>
          </cell>
          <cell r="AT408">
            <v>251.35</v>
          </cell>
          <cell r="AU408">
            <v>226.14</v>
          </cell>
          <cell r="AV408">
            <v>254.9</v>
          </cell>
          <cell r="AX408">
            <v>182.25</v>
          </cell>
          <cell r="AY408">
            <v>242.93</v>
          </cell>
          <cell r="AZ408">
            <v>0.17</v>
          </cell>
          <cell r="BA408">
            <v>0.12</v>
          </cell>
          <cell r="BB408" t="str">
            <v>#_NA</v>
          </cell>
          <cell r="BC408" t="str">
            <v>#_NA</v>
          </cell>
          <cell r="BD408" t="str">
            <v>#_NA</v>
          </cell>
          <cell r="BE408" t="str">
            <v>-</v>
          </cell>
          <cell r="BF408" t="str">
            <v>-</v>
          </cell>
          <cell r="BG408">
            <v>5.6820000000000002E-2</v>
          </cell>
          <cell r="BH408">
            <v>0.60299999999999998</v>
          </cell>
          <cell r="BI408">
            <v>68.239999999999995</v>
          </cell>
          <cell r="BJ408" t="str">
            <v>-</v>
          </cell>
          <cell r="BK408">
            <v>0.67269999999999996</v>
          </cell>
          <cell r="BL408">
            <v>56.26</v>
          </cell>
          <cell r="BM408" t="str">
            <v>-</v>
          </cell>
          <cell r="BN408" t="str">
            <v>NÃO</v>
          </cell>
          <cell r="BO408" t="str">
            <v>NÃO</v>
          </cell>
          <cell r="BP408" t="str">
            <v>MS|G|NACIONAL|Sim|Negativa</v>
          </cell>
          <cell r="BR408" t="str">
            <v>TBD</v>
          </cell>
          <cell r="BS408">
            <v>0</v>
          </cell>
          <cell r="BT408" t="str">
            <v>#ERRO</v>
          </cell>
          <cell r="BU408">
            <v>56.26</v>
          </cell>
          <cell r="BV408" t="str">
            <v>-</v>
          </cell>
          <cell r="BX408" t="str">
            <v>TBD</v>
          </cell>
          <cell r="BY408" t="str">
            <v>TBD</v>
          </cell>
          <cell r="BZ408" t="str">
            <v>TBD</v>
          </cell>
          <cell r="CA408" t="str">
            <v>#ERRO</v>
          </cell>
          <cell r="CB408" t="str">
            <v>-</v>
          </cell>
        </row>
        <row r="409">
          <cell r="A409" t="str">
            <v>19489-1</v>
          </cell>
          <cell r="B409" t="str">
            <v>19489-1</v>
          </cell>
          <cell r="C409">
            <v>7898947385730</v>
          </cell>
          <cell r="D409" t="str">
            <v>SUCCINATO METOPROLOL 50MG CT BL 30 CPRV</v>
          </cell>
          <cell r="E409" t="str">
            <v>SIM</v>
          </cell>
          <cell r="F409" t="str">
            <v>G</v>
          </cell>
          <cell r="G409" t="str">
            <v>PRIORITARIO GENERICOS</v>
          </cell>
          <cell r="H409">
            <v>2</v>
          </cell>
          <cell r="I409">
            <v>120</v>
          </cell>
          <cell r="J409" t="str">
            <v>Monitorado</v>
          </cell>
          <cell r="K409" t="str">
            <v>Positiva</v>
          </cell>
          <cell r="L409" t="str">
            <v>Não</v>
          </cell>
          <cell r="M409" t="str">
            <v>IMPORTADO</v>
          </cell>
          <cell r="N409" t="str">
            <v>IMPORTADO</v>
          </cell>
          <cell r="P409">
            <v>37.61</v>
          </cell>
          <cell r="Q409">
            <v>37.61</v>
          </cell>
          <cell r="R409">
            <v>38.07</v>
          </cell>
          <cell r="S409">
            <v>38.54</v>
          </cell>
          <cell r="T409">
            <v>35.479999999999997</v>
          </cell>
          <cell r="U409">
            <v>37.840000000000003</v>
          </cell>
          <cell r="V409">
            <v>37.840000000000003</v>
          </cell>
          <cell r="W409">
            <v>38.07</v>
          </cell>
          <cell r="X409">
            <v>39.03</v>
          </cell>
          <cell r="Y409">
            <v>38.54</v>
          </cell>
          <cell r="Z409">
            <v>39.03</v>
          </cell>
          <cell r="AA409">
            <v>39.520000000000003</v>
          </cell>
          <cell r="AB409">
            <v>40.03</v>
          </cell>
          <cell r="AC409">
            <v>38.78</v>
          </cell>
          <cell r="AD409">
            <v>38.78</v>
          </cell>
          <cell r="AE409">
            <v>39.270000000000003</v>
          </cell>
          <cell r="AF409">
            <v>0</v>
          </cell>
          <cell r="AG409">
            <v>51.99</v>
          </cell>
          <cell r="AH409">
            <v>51.99</v>
          </cell>
          <cell r="AI409">
            <v>52.63</v>
          </cell>
          <cell r="AJ409">
            <v>53.28</v>
          </cell>
          <cell r="AK409">
            <v>49.05</v>
          </cell>
          <cell r="AL409">
            <v>52.31</v>
          </cell>
          <cell r="AM409">
            <v>52.31</v>
          </cell>
          <cell r="AN409">
            <v>52.63</v>
          </cell>
          <cell r="AO409">
            <v>53.96</v>
          </cell>
          <cell r="AP409">
            <v>53.28</v>
          </cell>
          <cell r="AQ409">
            <v>53.96</v>
          </cell>
          <cell r="AR409">
            <v>54.63</v>
          </cell>
          <cell r="AS409">
            <v>55.34</v>
          </cell>
          <cell r="AT409">
            <v>53.61</v>
          </cell>
          <cell r="AU409">
            <v>53.61</v>
          </cell>
          <cell r="AV409">
            <v>54.29</v>
          </cell>
          <cell r="AX409">
            <v>37.61</v>
          </cell>
          <cell r="AY409">
            <v>51.99</v>
          </cell>
          <cell r="AZ409">
            <v>0.17</v>
          </cell>
          <cell r="BA409">
            <v>0.04</v>
          </cell>
          <cell r="BB409" t="str">
            <v>#_NA</v>
          </cell>
          <cell r="BC409" t="str">
            <v>#_NA</v>
          </cell>
          <cell r="BD409" t="str">
            <v>#_NA</v>
          </cell>
          <cell r="BE409" t="str">
            <v>-</v>
          </cell>
          <cell r="BF409" t="str">
            <v>-</v>
          </cell>
          <cell r="BG409">
            <v>0.13542000000000001</v>
          </cell>
          <cell r="BH409">
            <v>0.49340000000000001</v>
          </cell>
          <cell r="BI409">
            <v>16.47</v>
          </cell>
          <cell r="BJ409" t="str">
            <v>-</v>
          </cell>
          <cell r="BK409">
            <v>0.51749999999999996</v>
          </cell>
          <cell r="BL409">
            <v>15.69</v>
          </cell>
          <cell r="BM409" t="str">
            <v>-</v>
          </cell>
          <cell r="BN409" t="str">
            <v>NÃO</v>
          </cell>
          <cell r="BO409" t="str">
            <v>NÃO</v>
          </cell>
          <cell r="BP409" t="str">
            <v>MS|G|IMPORTADO|Não|Positiva</v>
          </cell>
          <cell r="BR409" t="str">
            <v>TBD</v>
          </cell>
          <cell r="BS409">
            <v>0</v>
          </cell>
          <cell r="BT409" t="str">
            <v>#ERRO</v>
          </cell>
          <cell r="BU409">
            <v>15.69</v>
          </cell>
          <cell r="BV409" t="str">
            <v>-</v>
          </cell>
          <cell r="BX409" t="str">
            <v>TBD</v>
          </cell>
          <cell r="BY409" t="str">
            <v>TBD</v>
          </cell>
          <cell r="BZ409" t="str">
            <v>TBD</v>
          </cell>
          <cell r="CA409" t="str">
            <v>#ERRO</v>
          </cell>
          <cell r="CB409" t="str">
            <v>-</v>
          </cell>
        </row>
        <row r="410">
          <cell r="A410" t="str">
            <v>22831-0</v>
          </cell>
          <cell r="B410" t="str">
            <v>22831-0</v>
          </cell>
          <cell r="C410">
            <v>7896714294278</v>
          </cell>
          <cell r="D410" t="str">
            <v>HEMIFUM BISOPROLOL 1,25MG BL X 30 CPRV</v>
          </cell>
          <cell r="E410" t="str">
            <v>SIM</v>
          </cell>
          <cell r="F410" t="str">
            <v>G</v>
          </cell>
          <cell r="G410" t="str">
            <v>LANCAMENTOS GENERICOS</v>
          </cell>
          <cell r="H410">
            <v>0</v>
          </cell>
          <cell r="I410">
            <v>60</v>
          </cell>
          <cell r="J410" t="str">
            <v>Monitorado</v>
          </cell>
          <cell r="K410" t="str">
            <v>Positiva</v>
          </cell>
          <cell r="L410" t="str">
            <v>Sim</v>
          </cell>
          <cell r="M410" t="str">
            <v>NACIONAL</v>
          </cell>
          <cell r="N410" t="str">
            <v>NACIONAL</v>
          </cell>
          <cell r="P410">
            <v>46.34</v>
          </cell>
          <cell r="Q410">
            <v>46.34</v>
          </cell>
          <cell r="R410">
            <v>46.9</v>
          </cell>
          <cell r="S410">
            <v>47.48</v>
          </cell>
          <cell r="T410">
            <v>43.7</v>
          </cell>
          <cell r="U410">
            <v>46.62</v>
          </cell>
          <cell r="V410">
            <v>46.62</v>
          </cell>
          <cell r="W410">
            <v>46.9</v>
          </cell>
          <cell r="X410">
            <v>48.08</v>
          </cell>
          <cell r="Y410">
            <v>47.48</v>
          </cell>
          <cell r="Z410">
            <v>48.08</v>
          </cell>
          <cell r="AA410">
            <v>48.68</v>
          </cell>
          <cell r="AB410">
            <v>49.31</v>
          </cell>
          <cell r="AC410">
            <v>47.78</v>
          </cell>
          <cell r="AD410">
            <v>47.78</v>
          </cell>
          <cell r="AE410">
            <v>48.38</v>
          </cell>
          <cell r="AF410">
            <v>0</v>
          </cell>
          <cell r="AG410">
            <v>64.06</v>
          </cell>
          <cell r="AH410">
            <v>64.06</v>
          </cell>
          <cell r="AI410">
            <v>64.84</v>
          </cell>
          <cell r="AJ410">
            <v>65.64</v>
          </cell>
          <cell r="AK410">
            <v>60.41</v>
          </cell>
          <cell r="AL410">
            <v>64.45</v>
          </cell>
          <cell r="AM410">
            <v>64.45</v>
          </cell>
          <cell r="AN410">
            <v>64.84</v>
          </cell>
          <cell r="AO410">
            <v>66.47</v>
          </cell>
          <cell r="AP410">
            <v>65.64</v>
          </cell>
          <cell r="AQ410">
            <v>66.47</v>
          </cell>
          <cell r="AR410">
            <v>67.3</v>
          </cell>
          <cell r="AS410">
            <v>68.17</v>
          </cell>
          <cell r="AT410">
            <v>66.05</v>
          </cell>
          <cell r="AU410">
            <v>66.05</v>
          </cell>
          <cell r="AV410">
            <v>66.88</v>
          </cell>
          <cell r="AX410">
            <v>46.34</v>
          </cell>
          <cell r="AY410">
            <v>64.06</v>
          </cell>
          <cell r="AZ410">
            <v>0.17</v>
          </cell>
          <cell r="BA410">
            <v>0.12</v>
          </cell>
          <cell r="BB410" t="str">
            <v>#_NA</v>
          </cell>
          <cell r="BC410" t="str">
            <v>#_NA</v>
          </cell>
          <cell r="BD410" t="str">
            <v>#_NA</v>
          </cell>
          <cell r="BE410" t="str">
            <v>-</v>
          </cell>
          <cell r="BF410" t="str">
            <v>-</v>
          </cell>
          <cell r="BG410">
            <v>5.6820000000000002E-2</v>
          </cell>
          <cell r="BH410">
            <v>0.68379999999999996</v>
          </cell>
          <cell r="BI410">
            <v>13.82</v>
          </cell>
          <cell r="BJ410" t="str">
            <v>-</v>
          </cell>
          <cell r="BK410">
            <v>0.7056</v>
          </cell>
          <cell r="BL410">
            <v>12.87</v>
          </cell>
          <cell r="BM410" t="str">
            <v>-</v>
          </cell>
          <cell r="BN410" t="str">
            <v>SIM</v>
          </cell>
          <cell r="BO410" t="str">
            <v>NÃO</v>
          </cell>
          <cell r="BP410" t="str">
            <v>MS|G|NACIONAL|Sim|Positiva</v>
          </cell>
          <cell r="BR410" t="str">
            <v>TBD</v>
          </cell>
          <cell r="BS410">
            <v>0</v>
          </cell>
          <cell r="BT410" t="str">
            <v>#ERRO</v>
          </cell>
          <cell r="BU410">
            <v>12.87</v>
          </cell>
          <cell r="BV410" t="str">
            <v>-</v>
          </cell>
          <cell r="BX410" t="str">
            <v>TBD</v>
          </cell>
          <cell r="BY410" t="str">
            <v>TBD</v>
          </cell>
          <cell r="BZ410" t="str">
            <v>TBD</v>
          </cell>
          <cell r="CA410" t="str">
            <v>#ERRO</v>
          </cell>
          <cell r="CB410" t="str">
            <v>-</v>
          </cell>
        </row>
        <row r="411">
          <cell r="A411" t="str">
            <v>22834-0</v>
          </cell>
          <cell r="B411" t="str">
            <v>22834-0</v>
          </cell>
          <cell r="C411">
            <v>7896714294308</v>
          </cell>
          <cell r="D411" t="str">
            <v>HEMIFUM BISOPROLOL 2,5MG BL X 30 CPRV</v>
          </cell>
          <cell r="E411" t="str">
            <v>SIM</v>
          </cell>
          <cell r="F411" t="str">
            <v>G</v>
          </cell>
          <cell r="G411" t="str">
            <v>LANCAMENTOS GENERICOS</v>
          </cell>
          <cell r="H411">
            <v>0</v>
          </cell>
          <cell r="I411">
            <v>60</v>
          </cell>
          <cell r="J411" t="str">
            <v>Monitorado</v>
          </cell>
          <cell r="K411" t="str">
            <v>Positiva</v>
          </cell>
          <cell r="L411" t="str">
            <v>Sim</v>
          </cell>
          <cell r="M411" t="str">
            <v>NACIONAL</v>
          </cell>
          <cell r="N411" t="str">
            <v>NACIONAL</v>
          </cell>
          <cell r="P411">
            <v>39.520000000000003</v>
          </cell>
          <cell r="Q411">
            <v>39.520000000000003</v>
          </cell>
          <cell r="R411">
            <v>40</v>
          </cell>
          <cell r="S411">
            <v>40.49</v>
          </cell>
          <cell r="T411">
            <v>37.270000000000003</v>
          </cell>
          <cell r="U411">
            <v>39.76</v>
          </cell>
          <cell r="V411">
            <v>39.76</v>
          </cell>
          <cell r="W411">
            <v>40</v>
          </cell>
          <cell r="X411">
            <v>41</v>
          </cell>
          <cell r="Y411">
            <v>40.49</v>
          </cell>
          <cell r="Z411">
            <v>41</v>
          </cell>
          <cell r="AA411">
            <v>41.52</v>
          </cell>
          <cell r="AB411">
            <v>42.05</v>
          </cell>
          <cell r="AC411">
            <v>40.75</v>
          </cell>
          <cell r="AD411">
            <v>40.75</v>
          </cell>
          <cell r="AE411">
            <v>41.26</v>
          </cell>
          <cell r="AF411">
            <v>0</v>
          </cell>
          <cell r="AG411">
            <v>54.63</v>
          </cell>
          <cell r="AH411">
            <v>54.63</v>
          </cell>
          <cell r="AI411">
            <v>55.3</v>
          </cell>
          <cell r="AJ411">
            <v>55.98</v>
          </cell>
          <cell r="AK411">
            <v>51.52</v>
          </cell>
          <cell r="AL411">
            <v>54.97</v>
          </cell>
          <cell r="AM411">
            <v>54.97</v>
          </cell>
          <cell r="AN411">
            <v>55.3</v>
          </cell>
          <cell r="AO411">
            <v>56.68</v>
          </cell>
          <cell r="AP411">
            <v>55.98</v>
          </cell>
          <cell r="AQ411">
            <v>56.68</v>
          </cell>
          <cell r="AR411">
            <v>57.4</v>
          </cell>
          <cell r="AS411">
            <v>58.13</v>
          </cell>
          <cell r="AT411">
            <v>56.33</v>
          </cell>
          <cell r="AU411">
            <v>56.33</v>
          </cell>
          <cell r="AV411">
            <v>57.04</v>
          </cell>
          <cell r="AX411">
            <v>39.520000000000003</v>
          </cell>
          <cell r="AY411">
            <v>54.63</v>
          </cell>
          <cell r="AZ411">
            <v>0.17</v>
          </cell>
          <cell r="BA411">
            <v>0.12</v>
          </cell>
          <cell r="BB411" t="str">
            <v>#_NA</v>
          </cell>
          <cell r="BC411" t="str">
            <v>#_NA</v>
          </cell>
          <cell r="BD411" t="str">
            <v>#_NA</v>
          </cell>
          <cell r="BE411" t="str">
            <v>-</v>
          </cell>
          <cell r="BF411" t="str">
            <v>-</v>
          </cell>
          <cell r="BG411">
            <v>5.6820000000000002E-2</v>
          </cell>
          <cell r="BH411">
            <v>0.54669999999999996</v>
          </cell>
          <cell r="BI411">
            <v>16.89</v>
          </cell>
          <cell r="BJ411" t="str">
            <v>-</v>
          </cell>
          <cell r="BK411">
            <v>0.57799999999999996</v>
          </cell>
          <cell r="BL411">
            <v>15.73</v>
          </cell>
          <cell r="BM411" t="str">
            <v>-</v>
          </cell>
          <cell r="BN411" t="str">
            <v>SIM</v>
          </cell>
          <cell r="BO411" t="str">
            <v>NÃO</v>
          </cell>
          <cell r="BP411" t="str">
            <v>MS|G|NACIONAL|Sim|Positiva</v>
          </cell>
          <cell r="BR411" t="str">
            <v>TBD</v>
          </cell>
          <cell r="BS411">
            <v>0</v>
          </cell>
          <cell r="BT411" t="str">
            <v>#ERRO</v>
          </cell>
          <cell r="BU411">
            <v>15.73</v>
          </cell>
          <cell r="BV411" t="str">
            <v>-</v>
          </cell>
          <cell r="BX411" t="str">
            <v>TBD</v>
          </cell>
          <cell r="BY411" t="str">
            <v>TBD</v>
          </cell>
          <cell r="BZ411" t="str">
            <v>TBD</v>
          </cell>
          <cell r="CA411" t="str">
            <v>#ERRO</v>
          </cell>
          <cell r="CB411" t="str">
            <v>-</v>
          </cell>
        </row>
        <row r="412">
          <cell r="A412" t="str">
            <v>22832-0</v>
          </cell>
          <cell r="B412" t="str">
            <v>22832-0</v>
          </cell>
          <cell r="C412">
            <v>7896714294285</v>
          </cell>
          <cell r="D412" t="str">
            <v>HEMIFUM BISOPROLOL 5MG BL X 30 CPRV</v>
          </cell>
          <cell r="E412" t="str">
            <v>SIM</v>
          </cell>
          <cell r="F412" t="str">
            <v>G</v>
          </cell>
          <cell r="G412" t="str">
            <v>LANCAMENTOS GENERICOS</v>
          </cell>
          <cell r="H412">
            <v>0</v>
          </cell>
          <cell r="I412">
            <v>60</v>
          </cell>
          <cell r="J412" t="str">
            <v>Monitorado</v>
          </cell>
          <cell r="K412" t="str">
            <v>Positiva</v>
          </cell>
          <cell r="L412" t="str">
            <v>Sim</v>
          </cell>
          <cell r="M412" t="str">
            <v>NACIONAL</v>
          </cell>
          <cell r="N412" t="str">
            <v>NACIONAL</v>
          </cell>
          <cell r="P412">
            <v>49.4</v>
          </cell>
          <cell r="Q412">
            <v>49.4</v>
          </cell>
          <cell r="R412">
            <v>50</v>
          </cell>
          <cell r="S412">
            <v>50.62</v>
          </cell>
          <cell r="T412">
            <v>46.59</v>
          </cell>
          <cell r="U412">
            <v>49.7</v>
          </cell>
          <cell r="V412">
            <v>49.7</v>
          </cell>
          <cell r="W412">
            <v>50</v>
          </cell>
          <cell r="X412">
            <v>51.25</v>
          </cell>
          <cell r="Y412">
            <v>50.62</v>
          </cell>
          <cell r="Z412">
            <v>51.25</v>
          </cell>
          <cell r="AA412">
            <v>51.9</v>
          </cell>
          <cell r="AB412">
            <v>52.56</v>
          </cell>
          <cell r="AC412">
            <v>50.93</v>
          </cell>
          <cell r="AD412">
            <v>50.93</v>
          </cell>
          <cell r="AE412">
            <v>51.57</v>
          </cell>
          <cell r="AF412">
            <v>0</v>
          </cell>
          <cell r="AG412">
            <v>68.290000000000006</v>
          </cell>
          <cell r="AH412">
            <v>68.290000000000006</v>
          </cell>
          <cell r="AI412">
            <v>69.12</v>
          </cell>
          <cell r="AJ412">
            <v>69.98</v>
          </cell>
          <cell r="AK412">
            <v>64.41</v>
          </cell>
          <cell r="AL412">
            <v>68.709999999999994</v>
          </cell>
          <cell r="AM412">
            <v>68.709999999999994</v>
          </cell>
          <cell r="AN412">
            <v>69.12</v>
          </cell>
          <cell r="AO412">
            <v>70.849999999999994</v>
          </cell>
          <cell r="AP412">
            <v>69.98</v>
          </cell>
          <cell r="AQ412">
            <v>70.849999999999994</v>
          </cell>
          <cell r="AR412">
            <v>71.75</v>
          </cell>
          <cell r="AS412">
            <v>72.66</v>
          </cell>
          <cell r="AT412">
            <v>70.41</v>
          </cell>
          <cell r="AU412">
            <v>70.41</v>
          </cell>
          <cell r="AV412">
            <v>71.290000000000006</v>
          </cell>
          <cell r="AX412">
            <v>49.4</v>
          </cell>
          <cell r="AY412">
            <v>68.290000000000006</v>
          </cell>
          <cell r="AZ412">
            <v>0.17</v>
          </cell>
          <cell r="BA412">
            <v>0.12</v>
          </cell>
          <cell r="BB412" t="str">
            <v>#_NA</v>
          </cell>
          <cell r="BC412" t="str">
            <v>#_NA</v>
          </cell>
          <cell r="BD412" t="str">
            <v>#_NA</v>
          </cell>
          <cell r="BE412" t="str">
            <v>-</v>
          </cell>
          <cell r="BF412" t="str">
            <v>-</v>
          </cell>
          <cell r="BG412">
            <v>5.6820000000000002E-2</v>
          </cell>
          <cell r="BH412">
            <v>0.57520000000000004</v>
          </cell>
          <cell r="BI412">
            <v>19.79</v>
          </cell>
          <cell r="BJ412" t="str">
            <v>-</v>
          </cell>
          <cell r="BK412">
            <v>0.60440000000000005</v>
          </cell>
          <cell r="BL412">
            <v>18.43</v>
          </cell>
          <cell r="BM412" t="str">
            <v>-</v>
          </cell>
          <cell r="BN412" t="str">
            <v>SIM</v>
          </cell>
          <cell r="BO412" t="str">
            <v>NÃO</v>
          </cell>
          <cell r="BP412" t="str">
            <v>MS|G|NACIONAL|Sim|Positiva</v>
          </cell>
          <cell r="BR412" t="str">
            <v>TBD</v>
          </cell>
          <cell r="BS412">
            <v>0</v>
          </cell>
          <cell r="BT412" t="str">
            <v>#ERRO</v>
          </cell>
          <cell r="BU412">
            <v>18.43</v>
          </cell>
          <cell r="BV412" t="str">
            <v>-</v>
          </cell>
          <cell r="BX412" t="str">
            <v>TBD</v>
          </cell>
          <cell r="BY412" t="str">
            <v>TBD</v>
          </cell>
          <cell r="BZ412" t="str">
            <v>TBD</v>
          </cell>
          <cell r="CA412" t="str">
            <v>#ERRO</v>
          </cell>
          <cell r="CB412" t="str">
            <v>-</v>
          </cell>
        </row>
        <row r="413">
          <cell r="A413" t="str">
            <v>22830-0</v>
          </cell>
          <cell r="B413" t="str">
            <v>22830-0</v>
          </cell>
          <cell r="C413">
            <v>7896714294261</v>
          </cell>
          <cell r="D413" t="str">
            <v>HEMIFUM BISOPROLOL 10MG BL X 30 CPRV</v>
          </cell>
          <cell r="E413" t="str">
            <v>SIM</v>
          </cell>
          <cell r="F413" t="str">
            <v>G</v>
          </cell>
          <cell r="G413" t="str">
            <v>LANCAMENTOS GENERICOS</v>
          </cell>
          <cell r="H413">
            <v>0</v>
          </cell>
          <cell r="I413">
            <v>60</v>
          </cell>
          <cell r="J413" t="str">
            <v>Monitorado</v>
          </cell>
          <cell r="K413" t="str">
            <v>Positiva</v>
          </cell>
          <cell r="L413" t="str">
            <v>Sim</v>
          </cell>
          <cell r="M413" t="str">
            <v>NACIONAL</v>
          </cell>
          <cell r="N413" t="str">
            <v>NACIONAL</v>
          </cell>
          <cell r="P413">
            <v>59.28</v>
          </cell>
          <cell r="Q413">
            <v>59.28</v>
          </cell>
          <cell r="R413">
            <v>60</v>
          </cell>
          <cell r="S413">
            <v>60.74</v>
          </cell>
          <cell r="T413">
            <v>55.91</v>
          </cell>
          <cell r="U413">
            <v>59.64</v>
          </cell>
          <cell r="V413">
            <v>59.64</v>
          </cell>
          <cell r="W413">
            <v>60</v>
          </cell>
          <cell r="X413">
            <v>61.5</v>
          </cell>
          <cell r="Y413">
            <v>60.74</v>
          </cell>
          <cell r="Z413">
            <v>61.5</v>
          </cell>
          <cell r="AA413">
            <v>62.28</v>
          </cell>
          <cell r="AB413">
            <v>63.08</v>
          </cell>
          <cell r="AC413">
            <v>61.12</v>
          </cell>
          <cell r="AD413">
            <v>61.12</v>
          </cell>
          <cell r="AE413">
            <v>61.89</v>
          </cell>
          <cell r="AF413">
            <v>0</v>
          </cell>
          <cell r="AG413">
            <v>81.95</v>
          </cell>
          <cell r="AH413">
            <v>81.95</v>
          </cell>
          <cell r="AI413">
            <v>82.95</v>
          </cell>
          <cell r="AJ413">
            <v>83.97</v>
          </cell>
          <cell r="AK413">
            <v>77.290000000000006</v>
          </cell>
          <cell r="AL413">
            <v>82.45</v>
          </cell>
          <cell r="AM413">
            <v>82.45</v>
          </cell>
          <cell r="AN413">
            <v>82.95</v>
          </cell>
          <cell r="AO413">
            <v>85.02</v>
          </cell>
          <cell r="AP413">
            <v>83.97</v>
          </cell>
          <cell r="AQ413">
            <v>85.02</v>
          </cell>
          <cell r="AR413">
            <v>86.1</v>
          </cell>
          <cell r="AS413">
            <v>87.2</v>
          </cell>
          <cell r="AT413">
            <v>84.49</v>
          </cell>
          <cell r="AU413">
            <v>84.49</v>
          </cell>
          <cell r="AV413">
            <v>85.56</v>
          </cell>
          <cell r="AX413">
            <v>59.28</v>
          </cell>
          <cell r="AY413">
            <v>81.95</v>
          </cell>
          <cell r="AZ413">
            <v>0.17</v>
          </cell>
          <cell r="BA413">
            <v>0.12</v>
          </cell>
          <cell r="BB413" t="str">
            <v>#_NA</v>
          </cell>
          <cell r="BC413" t="str">
            <v>#_NA</v>
          </cell>
          <cell r="BD413" t="str">
            <v>#_NA</v>
          </cell>
          <cell r="BE413" t="str">
            <v>-</v>
          </cell>
          <cell r="BF413" t="str">
            <v>-</v>
          </cell>
          <cell r="BG413">
            <v>5.6820000000000002E-2</v>
          </cell>
          <cell r="BH413">
            <v>0.59789999999999999</v>
          </cell>
          <cell r="BI413">
            <v>22.48</v>
          </cell>
          <cell r="BJ413" t="str">
            <v>-</v>
          </cell>
          <cell r="BK413">
            <v>0.62560000000000004</v>
          </cell>
          <cell r="BL413">
            <v>20.93</v>
          </cell>
          <cell r="BM413" t="str">
            <v>-</v>
          </cell>
          <cell r="BN413" t="str">
            <v>SIM</v>
          </cell>
          <cell r="BO413" t="str">
            <v>NÃO</v>
          </cell>
          <cell r="BP413" t="str">
            <v>MS|G|NACIONAL|Sim|Positiva</v>
          </cell>
          <cell r="BR413" t="str">
            <v>TBD</v>
          </cell>
          <cell r="BS413">
            <v>0</v>
          </cell>
          <cell r="BT413" t="str">
            <v>#ERRO</v>
          </cell>
          <cell r="BU413">
            <v>20.93</v>
          </cell>
          <cell r="BV413" t="str">
            <v>-</v>
          </cell>
          <cell r="BX413" t="str">
            <v>TBD</v>
          </cell>
          <cell r="BY413" t="str">
            <v>TBD</v>
          </cell>
          <cell r="BZ413" t="str">
            <v>TBD</v>
          </cell>
          <cell r="CA413" t="str">
            <v>#ERRO</v>
          </cell>
          <cell r="CB413" t="str">
            <v>-</v>
          </cell>
        </row>
        <row r="414">
          <cell r="A414" t="str">
            <v>22887-0</v>
          </cell>
          <cell r="B414" t="str">
            <v>22887-0</v>
          </cell>
          <cell r="C414">
            <v>7896714294575</v>
          </cell>
          <cell r="D414" t="str">
            <v>FOSFATO DE SITAGLIPTINA 25MG BL X30 CPRV</v>
          </cell>
          <cell r="E414" t="str">
            <v>SIM</v>
          </cell>
          <cell r="F414" t="str">
            <v>G</v>
          </cell>
          <cell r="G414" t="str">
            <v>LANCAMENTOS GENERICOS</v>
          </cell>
          <cell r="H414">
            <v>2</v>
          </cell>
          <cell r="I414">
            <v>60</v>
          </cell>
          <cell r="J414" t="str">
            <v>Monitorado</v>
          </cell>
          <cell r="K414" t="str">
            <v>Positiva</v>
          </cell>
          <cell r="L414" t="str">
            <v>Não</v>
          </cell>
          <cell r="M414" t="str">
            <v>IMPORTADO</v>
          </cell>
          <cell r="N414" t="str">
            <v>IMPORTADO</v>
          </cell>
          <cell r="P414">
            <v>35.369999999999997</v>
          </cell>
          <cell r="Q414">
            <v>35.369999999999997</v>
          </cell>
          <cell r="R414">
            <v>35.799999999999997</v>
          </cell>
          <cell r="S414">
            <v>36.25</v>
          </cell>
          <cell r="T414">
            <v>33.36</v>
          </cell>
          <cell r="U414">
            <v>35.590000000000003</v>
          </cell>
          <cell r="V414">
            <v>35.590000000000003</v>
          </cell>
          <cell r="W414">
            <v>35.799999999999997</v>
          </cell>
          <cell r="X414">
            <v>36.700000000000003</v>
          </cell>
          <cell r="Y414">
            <v>36.25</v>
          </cell>
          <cell r="Z414">
            <v>36.700000000000003</v>
          </cell>
          <cell r="AA414">
            <v>37.159999999999997</v>
          </cell>
          <cell r="AB414">
            <v>37.64</v>
          </cell>
          <cell r="AC414">
            <v>36.47</v>
          </cell>
          <cell r="AD414">
            <v>36.47</v>
          </cell>
          <cell r="AE414">
            <v>36.93</v>
          </cell>
          <cell r="AF414">
            <v>0</v>
          </cell>
          <cell r="AG414">
            <v>48.9</v>
          </cell>
          <cell r="AH414">
            <v>48.9</v>
          </cell>
          <cell r="AI414">
            <v>49.49</v>
          </cell>
          <cell r="AJ414">
            <v>50.11</v>
          </cell>
          <cell r="AK414">
            <v>46.12</v>
          </cell>
          <cell r="AL414">
            <v>49.2</v>
          </cell>
          <cell r="AM414">
            <v>49.2</v>
          </cell>
          <cell r="AN414">
            <v>49.49</v>
          </cell>
          <cell r="AO414">
            <v>50.74</v>
          </cell>
          <cell r="AP414">
            <v>50.11</v>
          </cell>
          <cell r="AQ414">
            <v>50.74</v>
          </cell>
          <cell r="AR414">
            <v>51.37</v>
          </cell>
          <cell r="AS414">
            <v>52.04</v>
          </cell>
          <cell r="AT414">
            <v>50.42</v>
          </cell>
          <cell r="AU414">
            <v>50.42</v>
          </cell>
          <cell r="AV414">
            <v>51.05</v>
          </cell>
          <cell r="AX414">
            <v>35.369999999999997</v>
          </cell>
          <cell r="AY414">
            <v>48.9</v>
          </cell>
          <cell r="AZ414">
            <v>0.17</v>
          </cell>
          <cell r="BA414">
            <v>0.04</v>
          </cell>
          <cell r="BB414" t="str">
            <v>#_NA</v>
          </cell>
          <cell r="BC414" t="str">
            <v>#_NA</v>
          </cell>
          <cell r="BD414" t="str">
            <v>#_NA</v>
          </cell>
          <cell r="BE414" t="str">
            <v>-</v>
          </cell>
          <cell r="BF414" t="str">
            <v>-</v>
          </cell>
          <cell r="BG414">
            <v>0.13542000000000001</v>
          </cell>
          <cell r="BH414">
            <v>0.33079999999999998</v>
          </cell>
          <cell r="BI414">
            <v>20.46</v>
          </cell>
          <cell r="BJ414" t="str">
            <v>-</v>
          </cell>
          <cell r="BK414">
            <v>0.3901</v>
          </cell>
          <cell r="BL414">
            <v>18.649999999999999</v>
          </cell>
          <cell r="BM414" t="str">
            <v>-</v>
          </cell>
          <cell r="BN414" t="str">
            <v>SIM</v>
          </cell>
          <cell r="BO414" t="str">
            <v>NÃO</v>
          </cell>
          <cell r="BP414" t="str">
            <v>MS|G|IMPORTADO|Não|Positiva</v>
          </cell>
          <cell r="BR414" t="str">
            <v>TBD</v>
          </cell>
          <cell r="BS414">
            <v>0</v>
          </cell>
          <cell r="BT414" t="str">
            <v>#ERRO</v>
          </cell>
          <cell r="BU414">
            <v>18.649999999999999</v>
          </cell>
          <cell r="BV414" t="str">
            <v>-</v>
          </cell>
          <cell r="BX414" t="str">
            <v>TBD</v>
          </cell>
          <cell r="BY414" t="str">
            <v>TBD</v>
          </cell>
          <cell r="BZ414" t="str">
            <v>TBD</v>
          </cell>
          <cell r="CA414" t="str">
            <v>#ERRO</v>
          </cell>
          <cell r="CB414" t="str">
            <v>-</v>
          </cell>
        </row>
        <row r="415">
          <cell r="A415" t="str">
            <v>22888-0</v>
          </cell>
          <cell r="B415" t="str">
            <v>22888-0</v>
          </cell>
          <cell r="C415">
            <v>7896714294582</v>
          </cell>
          <cell r="D415" t="str">
            <v>FOSFATO DE SITAGLIPTINA 50MG BL X30 CPRV</v>
          </cell>
          <cell r="E415" t="str">
            <v>SIM</v>
          </cell>
          <cell r="F415" t="str">
            <v>G</v>
          </cell>
          <cell r="G415" t="str">
            <v>LANCAMENTOS GENERICOS</v>
          </cell>
          <cell r="H415">
            <v>2</v>
          </cell>
          <cell r="I415">
            <v>60</v>
          </cell>
          <cell r="J415" t="str">
            <v>Monitorado</v>
          </cell>
          <cell r="K415" t="str">
            <v>Positiva</v>
          </cell>
          <cell r="L415" t="str">
            <v>Não</v>
          </cell>
          <cell r="M415" t="str">
            <v>IMPORTADO</v>
          </cell>
          <cell r="N415" t="str">
            <v>IMPORTADO</v>
          </cell>
          <cell r="P415">
            <v>70.72</v>
          </cell>
          <cell r="Q415">
            <v>70.72</v>
          </cell>
          <cell r="R415">
            <v>71.59</v>
          </cell>
          <cell r="S415">
            <v>72.47</v>
          </cell>
          <cell r="T415">
            <v>66.7</v>
          </cell>
          <cell r="U415">
            <v>71.150000000000006</v>
          </cell>
          <cell r="V415">
            <v>71.150000000000006</v>
          </cell>
          <cell r="W415">
            <v>71.59</v>
          </cell>
          <cell r="X415">
            <v>73.38</v>
          </cell>
          <cell r="Y415">
            <v>72.47</v>
          </cell>
          <cell r="Z415">
            <v>73.38</v>
          </cell>
          <cell r="AA415">
            <v>74.3</v>
          </cell>
          <cell r="AB415">
            <v>75.260000000000005</v>
          </cell>
          <cell r="AC415">
            <v>72.92</v>
          </cell>
          <cell r="AD415">
            <v>72.92</v>
          </cell>
          <cell r="AE415">
            <v>73.84</v>
          </cell>
          <cell r="AF415">
            <v>0</v>
          </cell>
          <cell r="AG415">
            <v>97.77</v>
          </cell>
          <cell r="AH415">
            <v>97.77</v>
          </cell>
          <cell r="AI415">
            <v>98.97</v>
          </cell>
          <cell r="AJ415">
            <v>100.19</v>
          </cell>
          <cell r="AK415">
            <v>92.21</v>
          </cell>
          <cell r="AL415">
            <v>98.36</v>
          </cell>
          <cell r="AM415">
            <v>98.36</v>
          </cell>
          <cell r="AN415">
            <v>98.97</v>
          </cell>
          <cell r="AO415">
            <v>101.44</v>
          </cell>
          <cell r="AP415">
            <v>100.19</v>
          </cell>
          <cell r="AQ415">
            <v>101.44</v>
          </cell>
          <cell r="AR415">
            <v>102.72</v>
          </cell>
          <cell r="AS415">
            <v>104.04</v>
          </cell>
          <cell r="AT415">
            <v>100.81</v>
          </cell>
          <cell r="AU415">
            <v>100.81</v>
          </cell>
          <cell r="AV415">
            <v>102.08</v>
          </cell>
          <cell r="AX415">
            <v>70.72</v>
          </cell>
          <cell r="AY415">
            <v>97.77</v>
          </cell>
          <cell r="AZ415">
            <v>0.17</v>
          </cell>
          <cell r="BA415">
            <v>0.04</v>
          </cell>
          <cell r="BB415" t="str">
            <v>#_NA</v>
          </cell>
          <cell r="BC415" t="str">
            <v>#_NA</v>
          </cell>
          <cell r="BD415" t="str">
            <v>#_NA</v>
          </cell>
          <cell r="BE415" t="str">
            <v>-</v>
          </cell>
          <cell r="BF415" t="str">
            <v>-</v>
          </cell>
          <cell r="BG415">
            <v>0.13542000000000001</v>
          </cell>
          <cell r="BH415">
            <v>0.37590000000000001</v>
          </cell>
          <cell r="BI415">
            <v>38.159999999999997</v>
          </cell>
          <cell r="BJ415" t="str">
            <v>-</v>
          </cell>
          <cell r="BK415">
            <v>0.40560000000000002</v>
          </cell>
          <cell r="BL415">
            <v>36.340000000000003</v>
          </cell>
          <cell r="BM415" t="str">
            <v>-</v>
          </cell>
          <cell r="BN415" t="str">
            <v>SIM</v>
          </cell>
          <cell r="BO415" t="str">
            <v>NÃO</v>
          </cell>
          <cell r="BP415" t="str">
            <v>MS|G|IMPORTADO|Não|Positiva</v>
          </cell>
          <cell r="BR415" t="str">
            <v>TBD</v>
          </cell>
          <cell r="BS415">
            <v>0</v>
          </cell>
          <cell r="BT415" t="str">
            <v>#ERRO</v>
          </cell>
          <cell r="BU415">
            <v>36.340000000000003</v>
          </cell>
          <cell r="BV415" t="str">
            <v>-</v>
          </cell>
          <cell r="BX415" t="str">
            <v>TBD</v>
          </cell>
          <cell r="BY415" t="str">
            <v>TBD</v>
          </cell>
          <cell r="BZ415" t="str">
            <v>TBD</v>
          </cell>
          <cell r="CA415" t="str">
            <v>#ERRO</v>
          </cell>
          <cell r="CB415" t="str">
            <v>-</v>
          </cell>
        </row>
        <row r="416">
          <cell r="A416" t="str">
            <v>22889-0</v>
          </cell>
          <cell r="B416" t="str">
            <v>22889-0</v>
          </cell>
          <cell r="C416">
            <v>7896714294599</v>
          </cell>
          <cell r="D416" t="str">
            <v>FOSFATO DE SITAGLIPTINA 100MG BLX30 CPRV</v>
          </cell>
          <cell r="E416" t="str">
            <v>SIM</v>
          </cell>
          <cell r="F416" t="str">
            <v>G</v>
          </cell>
          <cell r="G416" t="str">
            <v>LANCAMENTOS GENERICOS</v>
          </cell>
          <cell r="H416">
            <v>2</v>
          </cell>
          <cell r="I416">
            <v>96</v>
          </cell>
          <cell r="J416" t="str">
            <v>Monitorado</v>
          </cell>
          <cell r="K416" t="str">
            <v>Positiva</v>
          </cell>
          <cell r="L416" t="str">
            <v>Não</v>
          </cell>
          <cell r="M416" t="str">
            <v>IMPORTADO</v>
          </cell>
          <cell r="N416" t="str">
            <v>IMPORTADO</v>
          </cell>
          <cell r="P416">
            <v>141.46</v>
          </cell>
          <cell r="Q416">
            <v>141.46</v>
          </cell>
          <cell r="R416">
            <v>143.18</v>
          </cell>
          <cell r="S416">
            <v>144.94999999999999</v>
          </cell>
          <cell r="T416">
            <v>133.41999999999999</v>
          </cell>
          <cell r="U416">
            <v>142.32</v>
          </cell>
          <cell r="V416">
            <v>142.32</v>
          </cell>
          <cell r="W416">
            <v>143.18</v>
          </cell>
          <cell r="X416">
            <v>146.76</v>
          </cell>
          <cell r="Y416">
            <v>144.94999999999999</v>
          </cell>
          <cell r="Z416">
            <v>146.76</v>
          </cell>
          <cell r="AA416">
            <v>148.62</v>
          </cell>
          <cell r="AB416">
            <v>150.53</v>
          </cell>
          <cell r="AC416">
            <v>145.85</v>
          </cell>
          <cell r="AD416">
            <v>145.85</v>
          </cell>
          <cell r="AE416">
            <v>147.69</v>
          </cell>
          <cell r="AF416">
            <v>0</v>
          </cell>
          <cell r="AG416">
            <v>195.56</v>
          </cell>
          <cell r="AH416">
            <v>195.56</v>
          </cell>
          <cell r="AI416">
            <v>197.94</v>
          </cell>
          <cell r="AJ416">
            <v>200.38</v>
          </cell>
          <cell r="AK416">
            <v>184.45</v>
          </cell>
          <cell r="AL416">
            <v>196.75</v>
          </cell>
          <cell r="AM416">
            <v>196.75</v>
          </cell>
          <cell r="AN416">
            <v>197.94</v>
          </cell>
          <cell r="AO416">
            <v>202.89</v>
          </cell>
          <cell r="AP416">
            <v>200.38</v>
          </cell>
          <cell r="AQ416">
            <v>202.89</v>
          </cell>
          <cell r="AR416">
            <v>205.46</v>
          </cell>
          <cell r="AS416">
            <v>208.1</v>
          </cell>
          <cell r="AT416">
            <v>201.63</v>
          </cell>
          <cell r="AU416">
            <v>201.63</v>
          </cell>
          <cell r="AV416">
            <v>204.17</v>
          </cell>
          <cell r="AX416">
            <v>141.46</v>
          </cell>
          <cell r="AY416">
            <v>195.56</v>
          </cell>
          <cell r="AZ416">
            <v>0.17</v>
          </cell>
          <cell r="BA416">
            <v>0.04</v>
          </cell>
          <cell r="BB416" t="str">
            <v>#_NA</v>
          </cell>
          <cell r="BC416" t="str">
            <v>#_NA</v>
          </cell>
          <cell r="BD416" t="str">
            <v>#_NA</v>
          </cell>
          <cell r="BE416" t="str">
            <v>-</v>
          </cell>
          <cell r="BF416" t="str">
            <v>-</v>
          </cell>
          <cell r="BG416">
            <v>0.13542000000000001</v>
          </cell>
          <cell r="BH416">
            <v>0.3735</v>
          </cell>
          <cell r="BI416">
            <v>76.62</v>
          </cell>
          <cell r="BJ416" t="str">
            <v>-</v>
          </cell>
          <cell r="BK416">
            <v>0.40339999999999998</v>
          </cell>
          <cell r="BL416">
            <v>72.959999999999994</v>
          </cell>
          <cell r="BM416" t="str">
            <v>-</v>
          </cell>
          <cell r="BN416" t="str">
            <v>SIM</v>
          </cell>
          <cell r="BO416" t="str">
            <v>NÃO</v>
          </cell>
          <cell r="BP416" t="str">
            <v>MS|G|IMPORTADO|Não|Positiva</v>
          </cell>
          <cell r="BR416" t="str">
            <v>TBD</v>
          </cell>
          <cell r="BS416">
            <v>0</v>
          </cell>
          <cell r="BT416" t="str">
            <v>#ERRO</v>
          </cell>
          <cell r="BU416">
            <v>72.959999999999994</v>
          </cell>
          <cell r="BV416" t="str">
            <v>-</v>
          </cell>
          <cell r="BX416" t="str">
            <v>TBD</v>
          </cell>
          <cell r="BY416" t="str">
            <v>TBD</v>
          </cell>
          <cell r="BZ416" t="str">
            <v>TBD</v>
          </cell>
          <cell r="CA416" t="str">
            <v>#ERRO</v>
          </cell>
          <cell r="CB416" t="str">
            <v>-</v>
          </cell>
        </row>
        <row r="417">
          <cell r="A417" t="str">
            <v>22004-1</v>
          </cell>
          <cell r="B417" t="str">
            <v>22004-1</v>
          </cell>
          <cell r="C417">
            <v>7896714295282</v>
          </cell>
          <cell r="D417" t="str">
            <v>IBUFRAN 400MG CAP GEL MOLE CT BL AL X20</v>
          </cell>
          <cell r="E417" t="str">
            <v>SIM</v>
          </cell>
          <cell r="F417" t="str">
            <v>S</v>
          </cell>
          <cell r="G417" t="str">
            <v>LINHA</v>
          </cell>
          <cell r="H417">
            <v>0</v>
          </cell>
          <cell r="I417">
            <v>24</v>
          </cell>
          <cell r="J417" t="str">
            <v>Liberado</v>
          </cell>
          <cell r="K417" t="str">
            <v>Negativa</v>
          </cell>
          <cell r="L417" t="str">
            <v>Sim</v>
          </cell>
          <cell r="M417" t="str">
            <v>NACIONAL</v>
          </cell>
          <cell r="N417" t="str">
            <v>NACIONAL</v>
          </cell>
          <cell r="P417">
            <v>38.6</v>
          </cell>
          <cell r="Q417">
            <v>44.34</v>
          </cell>
          <cell r="R417">
            <v>44.96</v>
          </cell>
          <cell r="S417">
            <v>45.6</v>
          </cell>
          <cell r="T417">
            <v>41.46</v>
          </cell>
          <cell r="U417">
            <v>44.65</v>
          </cell>
          <cell r="V417">
            <v>38.83</v>
          </cell>
          <cell r="W417">
            <v>39.07</v>
          </cell>
          <cell r="X417">
            <v>46.26</v>
          </cell>
          <cell r="Y417">
            <v>39.549999999999997</v>
          </cell>
          <cell r="Z417">
            <v>40.04</v>
          </cell>
          <cell r="AA417">
            <v>46.94</v>
          </cell>
          <cell r="AB417">
            <v>47.64</v>
          </cell>
          <cell r="AC417">
            <v>45.93</v>
          </cell>
          <cell r="AD417">
            <v>39.799999999999997</v>
          </cell>
          <cell r="AE417">
            <v>46.6</v>
          </cell>
          <cell r="AF417">
            <v>0</v>
          </cell>
          <cell r="AG417">
            <v>53.36</v>
          </cell>
          <cell r="AH417">
            <v>59.1</v>
          </cell>
          <cell r="AI417">
            <v>59.9</v>
          </cell>
          <cell r="AJ417">
            <v>60.72</v>
          </cell>
          <cell r="AK417">
            <v>55.38</v>
          </cell>
          <cell r="AL417">
            <v>59.5</v>
          </cell>
          <cell r="AM417">
            <v>53.68</v>
          </cell>
          <cell r="AN417">
            <v>54.01</v>
          </cell>
          <cell r="AO417">
            <v>61.57</v>
          </cell>
          <cell r="AP417">
            <v>54.68</v>
          </cell>
          <cell r="AQ417">
            <v>55.35</v>
          </cell>
          <cell r="AR417">
            <v>62.45</v>
          </cell>
          <cell r="AS417">
            <v>63.35</v>
          </cell>
          <cell r="AT417">
            <v>61.15</v>
          </cell>
          <cell r="AU417">
            <v>55.02</v>
          </cell>
          <cell r="AV417">
            <v>62.01</v>
          </cell>
          <cell r="AX417">
            <v>44.34</v>
          </cell>
          <cell r="AY417">
            <v>59.1</v>
          </cell>
          <cell r="AZ417">
            <v>0.17</v>
          </cell>
          <cell r="BA417">
            <v>0.12</v>
          </cell>
          <cell r="BB417" t="str">
            <v>#_NA</v>
          </cell>
          <cell r="BC417" t="str">
            <v>#_NA</v>
          </cell>
          <cell r="BD417" t="str">
            <v>#_NA</v>
          </cell>
          <cell r="BE417" t="str">
            <v>-</v>
          </cell>
          <cell r="BF417" t="str">
            <v>-</v>
          </cell>
          <cell r="BG417">
            <v>5.6820000000000002E-2</v>
          </cell>
          <cell r="BH417">
            <v>0.69550000000000001</v>
          </cell>
          <cell r="BI417">
            <v>12.73</v>
          </cell>
          <cell r="BJ417" t="str">
            <v>-</v>
          </cell>
          <cell r="BK417">
            <v>0.74890000000000001</v>
          </cell>
          <cell r="BL417">
            <v>10.5</v>
          </cell>
          <cell r="BM417" t="str">
            <v>-</v>
          </cell>
          <cell r="BN417" t="str">
            <v>NÃO</v>
          </cell>
          <cell r="BO417" t="str">
            <v>NÃO</v>
          </cell>
          <cell r="BP417" t="str">
            <v>MS|S|NACIONAL|Sim|Negativa</v>
          </cell>
          <cell r="BR417" t="str">
            <v>TBD</v>
          </cell>
          <cell r="BS417">
            <v>0</v>
          </cell>
          <cell r="BT417" t="str">
            <v>#ERRO</v>
          </cell>
          <cell r="BU417">
            <v>10.5</v>
          </cell>
          <cell r="BV417" t="str">
            <v>-</v>
          </cell>
          <cell r="BX417" t="str">
            <v>TBD</v>
          </cell>
          <cell r="BY417" t="str">
            <v>TBD</v>
          </cell>
          <cell r="BZ417" t="str">
            <v>TBD</v>
          </cell>
          <cell r="CA417" t="str">
            <v>#ERRO</v>
          </cell>
          <cell r="CB417" t="str">
            <v>-</v>
          </cell>
        </row>
        <row r="418">
          <cell r="A418" t="str">
            <v>22859-0</v>
          </cell>
          <cell r="B418" t="str">
            <v>22859-0</v>
          </cell>
          <cell r="C418">
            <v>7896714275512</v>
          </cell>
          <cell r="D418" t="str">
            <v>IBUFRAN 400MG CAP GEL MOLE CT BL AL X8</v>
          </cell>
          <cell r="E418" t="str">
            <v>SIM</v>
          </cell>
          <cell r="F418" t="str">
            <v>S</v>
          </cell>
          <cell r="G418" t="str">
            <v>LINHA</v>
          </cell>
          <cell r="H418">
            <v>0</v>
          </cell>
          <cell r="I418">
            <v>60</v>
          </cell>
          <cell r="J418" t="str">
            <v>Liberado</v>
          </cell>
          <cell r="K418" t="str">
            <v>Negativa</v>
          </cell>
          <cell r="L418" t="str">
            <v>Sim</v>
          </cell>
          <cell r="M418" t="str">
            <v>NACIONAL</v>
          </cell>
          <cell r="N418" t="str">
            <v>NACIONAL</v>
          </cell>
          <cell r="P418">
            <v>16.13</v>
          </cell>
          <cell r="Q418">
            <v>18.52</v>
          </cell>
          <cell r="R418">
            <v>18.78</v>
          </cell>
          <cell r="S418">
            <v>19.05</v>
          </cell>
          <cell r="T418">
            <v>17.32</v>
          </cell>
          <cell r="U418">
            <v>18.649999999999999</v>
          </cell>
          <cell r="V418">
            <v>16.22</v>
          </cell>
          <cell r="W418">
            <v>16.32</v>
          </cell>
          <cell r="X418">
            <v>19.329999999999998</v>
          </cell>
          <cell r="Y418">
            <v>16.52</v>
          </cell>
          <cell r="Z418">
            <v>16.73</v>
          </cell>
          <cell r="AA418">
            <v>19.61</v>
          </cell>
          <cell r="AB418">
            <v>19.899999999999999</v>
          </cell>
          <cell r="AC418">
            <v>19.190000000000001</v>
          </cell>
          <cell r="AD418">
            <v>16.63</v>
          </cell>
          <cell r="AE418">
            <v>19.47</v>
          </cell>
          <cell r="AF418">
            <v>0</v>
          </cell>
          <cell r="AG418">
            <v>22.3</v>
          </cell>
          <cell r="AH418">
            <v>24.69</v>
          </cell>
          <cell r="AI418">
            <v>25.02</v>
          </cell>
          <cell r="AJ418">
            <v>25.37</v>
          </cell>
          <cell r="AK418">
            <v>23.14</v>
          </cell>
          <cell r="AL418">
            <v>24.85</v>
          </cell>
          <cell r="AM418">
            <v>22.42</v>
          </cell>
          <cell r="AN418">
            <v>22.56</v>
          </cell>
          <cell r="AO418">
            <v>25.73</v>
          </cell>
          <cell r="AP418">
            <v>22.84</v>
          </cell>
          <cell r="AQ418">
            <v>23.13</v>
          </cell>
          <cell r="AR418">
            <v>26.09</v>
          </cell>
          <cell r="AS418">
            <v>26.46</v>
          </cell>
          <cell r="AT418">
            <v>25.55</v>
          </cell>
          <cell r="AU418">
            <v>22.99</v>
          </cell>
          <cell r="AV418">
            <v>25.91</v>
          </cell>
          <cell r="AX418">
            <v>18.52</v>
          </cell>
          <cell r="AY418">
            <v>24.69</v>
          </cell>
          <cell r="AZ418">
            <v>0.17</v>
          </cell>
          <cell r="BA418">
            <v>0.12</v>
          </cell>
          <cell r="BB418" t="str">
            <v>#_NA</v>
          </cell>
          <cell r="BC418" t="str">
            <v>#_NA</v>
          </cell>
          <cell r="BD418" t="str">
            <v>#_NA</v>
          </cell>
          <cell r="BE418" t="str">
            <v>-</v>
          </cell>
          <cell r="BF418" t="str">
            <v>-</v>
          </cell>
          <cell r="BG418">
            <v>5.6820000000000002E-2</v>
          </cell>
          <cell r="BH418">
            <v>0.70660000000000001</v>
          </cell>
          <cell r="BI418">
            <v>5.13</v>
          </cell>
          <cell r="BJ418" t="str">
            <v>-</v>
          </cell>
          <cell r="BK418">
            <v>0.75829999999999997</v>
          </cell>
          <cell r="BL418">
            <v>4.22</v>
          </cell>
          <cell r="BM418" t="str">
            <v>-</v>
          </cell>
          <cell r="BN418" t="str">
            <v>NÃO</v>
          </cell>
          <cell r="BO418" t="str">
            <v>NÃO</v>
          </cell>
          <cell r="BP418" t="str">
            <v>MS|S|NACIONAL|Sim|Negativa</v>
          </cell>
          <cell r="BR418" t="str">
            <v>TBD</v>
          </cell>
          <cell r="BS418">
            <v>0</v>
          </cell>
          <cell r="BT418" t="str">
            <v>#ERRO</v>
          </cell>
          <cell r="BU418">
            <v>4.22</v>
          </cell>
          <cell r="BV418" t="str">
            <v>-</v>
          </cell>
          <cell r="BX418" t="str">
            <v>TBD</v>
          </cell>
          <cell r="BY418" t="str">
            <v>TBD</v>
          </cell>
          <cell r="BZ418" t="str">
            <v>TBD</v>
          </cell>
          <cell r="CA418" t="str">
            <v>#ERRO</v>
          </cell>
          <cell r="CB418" t="str">
            <v>-</v>
          </cell>
        </row>
        <row r="419">
          <cell r="A419" t="str">
            <v>15980-1</v>
          </cell>
          <cell r="B419" t="str">
            <v>15980-1</v>
          </cell>
          <cell r="C419">
            <v>7898095343873</v>
          </cell>
          <cell r="D419" t="str">
            <v>IBUPROFENO 50MG/ML GTS 30ML MTC</v>
          </cell>
          <cell r="E419" t="str">
            <v>SIM</v>
          </cell>
          <cell r="F419" t="str">
            <v>G</v>
          </cell>
          <cell r="G419" t="str">
            <v>LINHA</v>
          </cell>
          <cell r="H419">
            <v>0</v>
          </cell>
          <cell r="I419">
            <v>112</v>
          </cell>
          <cell r="J419" t="str">
            <v>Liberado</v>
          </cell>
          <cell r="K419" t="str">
            <v>Negativa</v>
          </cell>
          <cell r="L419" t="str">
            <v>Sim</v>
          </cell>
          <cell r="M419" t="str">
            <v>NACIONAL</v>
          </cell>
          <cell r="N419" t="str">
            <v>NACIONAL</v>
          </cell>
          <cell r="P419">
            <v>18.61</v>
          </cell>
          <cell r="Q419">
            <v>21.38</v>
          </cell>
          <cell r="R419">
            <v>21.68</v>
          </cell>
          <cell r="S419">
            <v>21.99</v>
          </cell>
          <cell r="T419">
            <v>19.989999999999998</v>
          </cell>
          <cell r="U419">
            <v>21.53</v>
          </cell>
          <cell r="V419">
            <v>18.72</v>
          </cell>
          <cell r="W419">
            <v>18.84</v>
          </cell>
          <cell r="X419">
            <v>22.31</v>
          </cell>
          <cell r="Y419">
            <v>19.07</v>
          </cell>
          <cell r="Z419">
            <v>19.309999999999999</v>
          </cell>
          <cell r="AA419">
            <v>22.63</v>
          </cell>
          <cell r="AB419">
            <v>22.97</v>
          </cell>
          <cell r="AC419">
            <v>22.15</v>
          </cell>
          <cell r="AD419">
            <v>19.190000000000001</v>
          </cell>
          <cell r="AE419">
            <v>22.47</v>
          </cell>
          <cell r="AF419">
            <v>0</v>
          </cell>
          <cell r="AG419">
            <v>25.73</v>
          </cell>
          <cell r="AH419">
            <v>28.5</v>
          </cell>
          <cell r="AI419">
            <v>28.88</v>
          </cell>
          <cell r="AJ419">
            <v>29.28</v>
          </cell>
          <cell r="AK419">
            <v>26.7</v>
          </cell>
          <cell r="AL419">
            <v>28.69</v>
          </cell>
          <cell r="AM419">
            <v>25.88</v>
          </cell>
          <cell r="AN419">
            <v>26.05</v>
          </cell>
          <cell r="AO419">
            <v>29.7</v>
          </cell>
          <cell r="AP419">
            <v>26.36</v>
          </cell>
          <cell r="AQ419">
            <v>26.69</v>
          </cell>
          <cell r="AR419">
            <v>30.11</v>
          </cell>
          <cell r="AS419">
            <v>30.54</v>
          </cell>
          <cell r="AT419">
            <v>29.49</v>
          </cell>
          <cell r="AU419">
            <v>26.53</v>
          </cell>
          <cell r="AV419">
            <v>29.9</v>
          </cell>
          <cell r="AX419">
            <v>21.38</v>
          </cell>
          <cell r="AY419">
            <v>28.5</v>
          </cell>
          <cell r="AZ419">
            <v>0.17</v>
          </cell>
          <cell r="BA419">
            <v>0.12</v>
          </cell>
          <cell r="BB419" t="str">
            <v>#_NA</v>
          </cell>
          <cell r="BC419" t="str">
            <v>#_NA</v>
          </cell>
          <cell r="BD419" t="str">
            <v>#_NA</v>
          </cell>
          <cell r="BE419" t="str">
            <v>-</v>
          </cell>
          <cell r="BF419" t="str">
            <v>-</v>
          </cell>
          <cell r="BG419">
            <v>5.6820000000000002E-2</v>
          </cell>
          <cell r="BH419">
            <v>0.65129999999999999</v>
          </cell>
          <cell r="BI419">
            <v>7.03</v>
          </cell>
          <cell r="BJ419" t="str">
            <v>-</v>
          </cell>
          <cell r="BK419">
            <v>0.7127</v>
          </cell>
          <cell r="BL419">
            <v>5.79</v>
          </cell>
          <cell r="BM419" t="str">
            <v>-</v>
          </cell>
          <cell r="BN419" t="str">
            <v>NÃO</v>
          </cell>
          <cell r="BO419" t="str">
            <v>NÃO</v>
          </cell>
          <cell r="BP419" t="str">
            <v>MS|G|NACIONAL|Sim|Negativa</v>
          </cell>
          <cell r="BR419" t="str">
            <v>TBD</v>
          </cell>
          <cell r="BS419">
            <v>0</v>
          </cell>
          <cell r="BT419" t="str">
            <v>#ERRO</v>
          </cell>
          <cell r="BU419">
            <v>5.79</v>
          </cell>
          <cell r="BV419" t="str">
            <v>-</v>
          </cell>
          <cell r="BX419" t="str">
            <v>TBD</v>
          </cell>
          <cell r="BY419" t="str">
            <v>TBD</v>
          </cell>
          <cell r="BZ419" t="str">
            <v>TBD</v>
          </cell>
          <cell r="CA419" t="str">
            <v>#ERRO</v>
          </cell>
          <cell r="CB419" t="str">
            <v>-</v>
          </cell>
        </row>
        <row r="420">
          <cell r="A420" t="str">
            <v>19490-1</v>
          </cell>
          <cell r="B420" t="str">
            <v>19490-1</v>
          </cell>
          <cell r="C420">
            <v>7898947385778</v>
          </cell>
          <cell r="D420" t="str">
            <v>SUCCINATO METOPROLOL 100MG CT BL 30 CPRV</v>
          </cell>
          <cell r="E420" t="str">
            <v>SIM</v>
          </cell>
          <cell r="F420" t="str">
            <v>G</v>
          </cell>
          <cell r="G420" t="str">
            <v>PRIORITARIO GENERICOS</v>
          </cell>
          <cell r="H420">
            <v>2</v>
          </cell>
          <cell r="I420">
            <v>120</v>
          </cell>
          <cell r="J420" t="str">
            <v>Monitorado</v>
          </cell>
          <cell r="K420" t="str">
            <v>Positiva</v>
          </cell>
          <cell r="L420" t="str">
            <v>Não</v>
          </cell>
          <cell r="M420" t="str">
            <v>IMPORTADO</v>
          </cell>
          <cell r="N420" t="str">
            <v>IMPORTADO</v>
          </cell>
          <cell r="P420">
            <v>61.6</v>
          </cell>
          <cell r="Q420">
            <v>61.6</v>
          </cell>
          <cell r="R420">
            <v>62.35</v>
          </cell>
          <cell r="S420">
            <v>63.12</v>
          </cell>
          <cell r="T420">
            <v>58.1</v>
          </cell>
          <cell r="U420">
            <v>61.98</v>
          </cell>
          <cell r="V420">
            <v>61.98</v>
          </cell>
          <cell r="W420">
            <v>62.35</v>
          </cell>
          <cell r="X420">
            <v>63.91</v>
          </cell>
          <cell r="Y420">
            <v>63.12</v>
          </cell>
          <cell r="Z420">
            <v>63.91</v>
          </cell>
          <cell r="AA420">
            <v>64.72</v>
          </cell>
          <cell r="AB420">
            <v>65.55</v>
          </cell>
          <cell r="AC420">
            <v>63.52</v>
          </cell>
          <cell r="AD420">
            <v>63.52</v>
          </cell>
          <cell r="AE420">
            <v>64.31</v>
          </cell>
          <cell r="AF420">
            <v>0</v>
          </cell>
          <cell r="AG420">
            <v>85.16</v>
          </cell>
          <cell r="AH420">
            <v>85.16</v>
          </cell>
          <cell r="AI420">
            <v>86.2</v>
          </cell>
          <cell r="AJ420">
            <v>87.26</v>
          </cell>
          <cell r="AK420">
            <v>80.319999999999993</v>
          </cell>
          <cell r="AL420">
            <v>85.68</v>
          </cell>
          <cell r="AM420">
            <v>85.68</v>
          </cell>
          <cell r="AN420">
            <v>86.2</v>
          </cell>
          <cell r="AO420">
            <v>88.35</v>
          </cell>
          <cell r="AP420">
            <v>87.26</v>
          </cell>
          <cell r="AQ420">
            <v>88.35</v>
          </cell>
          <cell r="AR420">
            <v>89.47</v>
          </cell>
          <cell r="AS420">
            <v>90.62</v>
          </cell>
          <cell r="AT420">
            <v>87.81</v>
          </cell>
          <cell r="AU420">
            <v>87.81</v>
          </cell>
          <cell r="AV420">
            <v>88.9</v>
          </cell>
          <cell r="AX420">
            <v>61.6</v>
          </cell>
          <cell r="AY420">
            <v>85.16</v>
          </cell>
          <cell r="AZ420">
            <v>0.17</v>
          </cell>
          <cell r="BA420">
            <v>0.04</v>
          </cell>
          <cell r="BB420" t="str">
            <v>#_NA</v>
          </cell>
          <cell r="BC420" t="str">
            <v>#_NA</v>
          </cell>
          <cell r="BD420" t="str">
            <v>#_NA</v>
          </cell>
          <cell r="BE420" t="str">
            <v>-</v>
          </cell>
          <cell r="BF420" t="str">
            <v>-</v>
          </cell>
          <cell r="BG420">
            <v>0.13542000000000001</v>
          </cell>
          <cell r="BH420">
            <v>0.51400000000000001</v>
          </cell>
          <cell r="BI420">
            <v>25.88</v>
          </cell>
          <cell r="BJ420" t="str">
            <v>-</v>
          </cell>
          <cell r="BK420">
            <v>0.53720000000000001</v>
          </cell>
          <cell r="BL420">
            <v>24.65</v>
          </cell>
          <cell r="BM420" t="str">
            <v>-</v>
          </cell>
          <cell r="BN420" t="str">
            <v>NÃO</v>
          </cell>
          <cell r="BO420" t="str">
            <v>NÃO</v>
          </cell>
          <cell r="BP420" t="str">
            <v>MS|G|IMPORTADO|Não|Positiva</v>
          </cell>
          <cell r="BR420" t="str">
            <v>TBD</v>
          </cell>
          <cell r="BS420">
            <v>0</v>
          </cell>
          <cell r="BT420" t="str">
            <v>#ERRO</v>
          </cell>
          <cell r="BU420">
            <v>24.65</v>
          </cell>
          <cell r="BV420" t="str">
            <v>-</v>
          </cell>
          <cell r="BX420" t="str">
            <v>TBD</v>
          </cell>
          <cell r="BY420" t="str">
            <v>TBD</v>
          </cell>
          <cell r="BZ420" t="str">
            <v>TBD</v>
          </cell>
          <cell r="CA420" t="str">
            <v>#ERRO</v>
          </cell>
          <cell r="CB420" t="str">
            <v>-</v>
          </cell>
        </row>
        <row r="421">
          <cell r="A421" t="str">
            <v>22836-1</v>
          </cell>
          <cell r="B421" t="str">
            <v>22836-1</v>
          </cell>
          <cell r="C421">
            <v>7896714294322</v>
          </cell>
          <cell r="D421" t="str">
            <v>NEOGERMINA CT 5FLACON 4BI SUSP</v>
          </cell>
          <cell r="E421" t="str">
            <v>SIM</v>
          </cell>
          <cell r="F421" t="str">
            <v>S</v>
          </cell>
          <cell r="G421" t="str">
            <v>LANCAMENTOS SMART</v>
          </cell>
          <cell r="H421">
            <v>1</v>
          </cell>
          <cell r="I421">
            <v>210</v>
          </cell>
          <cell r="J421" t="str">
            <v>Liberado</v>
          </cell>
          <cell r="K421" t="str">
            <v>Alimento Funcional</v>
          </cell>
          <cell r="L421" t="str">
            <v>Não</v>
          </cell>
          <cell r="M421" t="str">
            <v>IMPORTADO</v>
          </cell>
          <cell r="N421" t="str">
            <v>IMPORTADO</v>
          </cell>
          <cell r="P421">
            <v>36.69</v>
          </cell>
          <cell r="Q421">
            <v>36.69</v>
          </cell>
          <cell r="R421">
            <v>37.14</v>
          </cell>
          <cell r="S421">
            <v>37.6</v>
          </cell>
          <cell r="T421">
            <v>34.61</v>
          </cell>
          <cell r="U421">
            <v>36.909999999999997</v>
          </cell>
          <cell r="V421">
            <v>36.909999999999997</v>
          </cell>
          <cell r="W421">
            <v>37.14</v>
          </cell>
          <cell r="X421">
            <v>38.07</v>
          </cell>
          <cell r="Y421">
            <v>37.6</v>
          </cell>
          <cell r="Z421">
            <v>38.07</v>
          </cell>
          <cell r="AA421">
            <v>38.549999999999997</v>
          </cell>
          <cell r="AB421">
            <v>39.04</v>
          </cell>
          <cell r="AC421">
            <v>37.83</v>
          </cell>
          <cell r="AD421">
            <v>37.83</v>
          </cell>
          <cell r="AE421">
            <v>38.31</v>
          </cell>
          <cell r="AF421">
            <v>0</v>
          </cell>
          <cell r="AG421">
            <v>50.72</v>
          </cell>
          <cell r="AH421">
            <v>50.72</v>
          </cell>
          <cell r="AI421">
            <v>51.34</v>
          </cell>
          <cell r="AJ421">
            <v>51.98</v>
          </cell>
          <cell r="AK421">
            <v>47.85</v>
          </cell>
          <cell r="AL421">
            <v>51.03</v>
          </cell>
          <cell r="AM421">
            <v>51.03</v>
          </cell>
          <cell r="AN421">
            <v>51.34</v>
          </cell>
          <cell r="AO421">
            <v>52.63</v>
          </cell>
          <cell r="AP421">
            <v>51.98</v>
          </cell>
          <cell r="AQ421">
            <v>52.63</v>
          </cell>
          <cell r="AR421">
            <v>53.29</v>
          </cell>
          <cell r="AS421">
            <v>53.97</v>
          </cell>
          <cell r="AT421">
            <v>52.3</v>
          </cell>
          <cell r="AU421">
            <v>52.3</v>
          </cell>
          <cell r="AV421">
            <v>52.96</v>
          </cell>
          <cell r="AX421">
            <v>36.69</v>
          </cell>
          <cell r="AY421">
            <v>50.72</v>
          </cell>
          <cell r="AZ421">
            <v>0.17</v>
          </cell>
          <cell r="BA421">
            <v>0.04</v>
          </cell>
          <cell r="BB421" t="str">
            <v>#_NA</v>
          </cell>
          <cell r="BC421" t="str">
            <v>#_NA</v>
          </cell>
          <cell r="BD421" t="str">
            <v>#_NA</v>
          </cell>
          <cell r="BE421" t="str">
            <v>-</v>
          </cell>
          <cell r="BF421" t="str">
            <v>-</v>
          </cell>
          <cell r="BG421">
            <v>0.13542000000000001</v>
          </cell>
          <cell r="BH421">
            <v>0.45610000000000001</v>
          </cell>
          <cell r="BI421">
            <v>17.25</v>
          </cell>
          <cell r="BJ421" t="str">
            <v>-</v>
          </cell>
          <cell r="BK421">
            <v>0.48199999999999998</v>
          </cell>
          <cell r="BL421">
            <v>16.43</v>
          </cell>
          <cell r="BM421" t="str">
            <v>-</v>
          </cell>
          <cell r="BN421" t="str">
            <v>SIM</v>
          </cell>
          <cell r="BO421" t="str">
            <v>NÃO</v>
          </cell>
          <cell r="BP421" t="str">
            <v>MS|S|IMPORTADO|Não|Alimento Funcional</v>
          </cell>
          <cell r="BR421" t="str">
            <v>TBD</v>
          </cell>
          <cell r="BS421">
            <v>0</v>
          </cell>
          <cell r="BT421" t="str">
            <v>#ERRO</v>
          </cell>
          <cell r="BU421">
            <v>16.43</v>
          </cell>
          <cell r="BV421" t="str">
            <v>-</v>
          </cell>
          <cell r="BX421" t="str">
            <v>TBD</v>
          </cell>
          <cell r="BY421" t="str">
            <v>TBD</v>
          </cell>
          <cell r="BZ421" t="str">
            <v>TBD</v>
          </cell>
          <cell r="CA421" t="str">
            <v>#ERRO</v>
          </cell>
          <cell r="CB421" t="str">
            <v>-</v>
          </cell>
        </row>
        <row r="422">
          <cell r="A422" t="str">
            <v>21619-2</v>
          </cell>
          <cell r="B422" t="str">
            <v>21619-2</v>
          </cell>
          <cell r="C422">
            <v>7896714269900</v>
          </cell>
          <cell r="D422" t="str">
            <v>VIT NEO QUIMICA A-Z MULHER FR 60 CPRV</v>
          </cell>
          <cell r="E422" t="str">
            <v>SIM</v>
          </cell>
          <cell r="F422" t="str">
            <v>S</v>
          </cell>
          <cell r="G422" t="str">
            <v>FOCO SMART</v>
          </cell>
          <cell r="H422">
            <v>5</v>
          </cell>
          <cell r="I422">
            <v>24</v>
          </cell>
          <cell r="J422" t="str">
            <v>Liberado</v>
          </cell>
          <cell r="K422" t="str">
            <v>Alimento funcional</v>
          </cell>
          <cell r="L422" t="str">
            <v>Sim</v>
          </cell>
          <cell r="M422" t="str">
            <v>NACIONAL</v>
          </cell>
          <cell r="N422" t="str">
            <v>NACIONAL</v>
          </cell>
          <cell r="P422">
            <v>59.93</v>
          </cell>
          <cell r="Q422">
            <v>59.93</v>
          </cell>
          <cell r="R422">
            <v>60.66</v>
          </cell>
          <cell r="S422">
            <v>61.41</v>
          </cell>
          <cell r="T422">
            <v>56.52</v>
          </cell>
          <cell r="U422">
            <v>60.29</v>
          </cell>
          <cell r="V422">
            <v>60.29</v>
          </cell>
          <cell r="W422">
            <v>60.66</v>
          </cell>
          <cell r="X422">
            <v>62.18</v>
          </cell>
          <cell r="Y422">
            <v>61.41</v>
          </cell>
          <cell r="Z422">
            <v>62.18</v>
          </cell>
          <cell r="AA422">
            <v>62.96</v>
          </cell>
          <cell r="AB422">
            <v>63.77</v>
          </cell>
          <cell r="AC422">
            <v>61.79</v>
          </cell>
          <cell r="AD422">
            <v>61.79</v>
          </cell>
          <cell r="AE422">
            <v>62.57</v>
          </cell>
          <cell r="AF422">
            <v>0</v>
          </cell>
          <cell r="AG422">
            <v>82.85</v>
          </cell>
          <cell r="AH422">
            <v>82.85</v>
          </cell>
          <cell r="AI422">
            <v>83.86</v>
          </cell>
          <cell r="AJ422">
            <v>84.9</v>
          </cell>
          <cell r="AK422">
            <v>78.14</v>
          </cell>
          <cell r="AL422">
            <v>83.35</v>
          </cell>
          <cell r="AM422">
            <v>83.35</v>
          </cell>
          <cell r="AN422">
            <v>83.86</v>
          </cell>
          <cell r="AO422">
            <v>85.96</v>
          </cell>
          <cell r="AP422">
            <v>84.9</v>
          </cell>
          <cell r="AQ422">
            <v>85.96</v>
          </cell>
          <cell r="AR422">
            <v>87.04</v>
          </cell>
          <cell r="AS422">
            <v>88.16</v>
          </cell>
          <cell r="AT422">
            <v>85.42</v>
          </cell>
          <cell r="AU422">
            <v>85.42</v>
          </cell>
          <cell r="AV422">
            <v>86.5</v>
          </cell>
          <cell r="AX422">
            <v>59.93</v>
          </cell>
          <cell r="AY422">
            <v>82.85</v>
          </cell>
          <cell r="AZ422">
            <v>0.17</v>
          </cell>
          <cell r="BA422">
            <v>0.12</v>
          </cell>
          <cell r="BB422" t="str">
            <v>#_NA</v>
          </cell>
          <cell r="BC422" t="str">
            <v>#_NA</v>
          </cell>
          <cell r="BD422" t="str">
            <v>#_NA</v>
          </cell>
          <cell r="BE422" t="str">
            <v>-</v>
          </cell>
          <cell r="BF422" t="str">
            <v>-</v>
          </cell>
          <cell r="BG422">
            <v>5.6820000000000002E-2</v>
          </cell>
          <cell r="BH422">
            <v>0.77459999999999996</v>
          </cell>
          <cell r="BI422">
            <v>12.74</v>
          </cell>
          <cell r="BJ422" t="str">
            <v>-</v>
          </cell>
          <cell r="BK422">
            <v>0.78539999999999999</v>
          </cell>
          <cell r="BL422">
            <v>12.13</v>
          </cell>
          <cell r="BM422" t="str">
            <v>-</v>
          </cell>
          <cell r="BN422" t="str">
            <v>SIM</v>
          </cell>
          <cell r="BO422" t="str">
            <v>NÃO</v>
          </cell>
          <cell r="BP422" t="str">
            <v>MS|S|NACIONAL|Sim|Alimento funcional</v>
          </cell>
          <cell r="BR422" t="str">
            <v>TBD</v>
          </cell>
          <cell r="BS422">
            <v>0</v>
          </cell>
          <cell r="BT422" t="str">
            <v>#ERRO</v>
          </cell>
          <cell r="BU422">
            <v>12.13</v>
          </cell>
          <cell r="BV422" t="str">
            <v>-</v>
          </cell>
          <cell r="BX422" t="str">
            <v>TBD</v>
          </cell>
          <cell r="BY422" t="str">
            <v>TBD</v>
          </cell>
          <cell r="BZ422" t="str">
            <v>TBD</v>
          </cell>
          <cell r="CA422" t="str">
            <v>#ERRO</v>
          </cell>
          <cell r="CB422" t="str">
            <v>-</v>
          </cell>
        </row>
        <row r="423">
          <cell r="A423" t="str">
            <v>23195-0</v>
          </cell>
          <cell r="B423" t="str">
            <v>23195-0</v>
          </cell>
          <cell r="C423">
            <v>7896714295800</v>
          </cell>
          <cell r="D423" t="str">
            <v>BROMIDRATO VORTIOXETINA 5MG BL 30CPRV C1</v>
          </cell>
          <cell r="E423" t="str">
            <v>#ERRO</v>
          </cell>
          <cell r="F423" t="str">
            <v>G</v>
          </cell>
          <cell r="G423" t="str">
            <v>LANCAMENTOS GENERICOS</v>
          </cell>
          <cell r="H423">
            <v>0</v>
          </cell>
          <cell r="I423">
            <v>70</v>
          </cell>
          <cell r="J423" t="str">
            <v>Monitorado</v>
          </cell>
          <cell r="K423" t="str">
            <v>Negativa</v>
          </cell>
          <cell r="L423" t="str">
            <v>Não</v>
          </cell>
          <cell r="M423" t="str">
            <v>NACIONAL</v>
          </cell>
          <cell r="N423" t="str">
            <v>NACIONAL</v>
          </cell>
          <cell r="P423">
            <v>45.36</v>
          </cell>
          <cell r="Q423">
            <v>52.11</v>
          </cell>
          <cell r="R423">
            <v>52.84</v>
          </cell>
          <cell r="S423">
            <v>53.6</v>
          </cell>
          <cell r="T423">
            <v>48.73</v>
          </cell>
          <cell r="U423">
            <v>52.47</v>
          </cell>
          <cell r="V423">
            <v>45.64</v>
          </cell>
          <cell r="W423">
            <v>45.92</v>
          </cell>
          <cell r="X423">
            <v>54.37</v>
          </cell>
          <cell r="Y423">
            <v>46.48</v>
          </cell>
          <cell r="Z423">
            <v>47.06</v>
          </cell>
          <cell r="AA423">
            <v>55.17</v>
          </cell>
          <cell r="AB423">
            <v>55.99</v>
          </cell>
          <cell r="AC423">
            <v>53.98</v>
          </cell>
          <cell r="AD423">
            <v>46.77</v>
          </cell>
          <cell r="AE423">
            <v>54.77</v>
          </cell>
          <cell r="AF423">
            <v>0</v>
          </cell>
          <cell r="AG423">
            <v>62.71</v>
          </cell>
          <cell r="AH423">
            <v>69.459999999999994</v>
          </cell>
          <cell r="AI423">
            <v>70.400000000000006</v>
          </cell>
          <cell r="AJ423">
            <v>71.38</v>
          </cell>
          <cell r="AK423">
            <v>65.09</v>
          </cell>
          <cell r="AL423">
            <v>69.92</v>
          </cell>
          <cell r="AM423">
            <v>63.09</v>
          </cell>
          <cell r="AN423">
            <v>63.48</v>
          </cell>
          <cell r="AO423">
            <v>72.37</v>
          </cell>
          <cell r="AP423">
            <v>64.260000000000005</v>
          </cell>
          <cell r="AQ423">
            <v>65.06</v>
          </cell>
          <cell r="AR423">
            <v>73.400000000000006</v>
          </cell>
          <cell r="AS423">
            <v>74.45</v>
          </cell>
          <cell r="AT423">
            <v>71.87</v>
          </cell>
          <cell r="AU423">
            <v>64.66</v>
          </cell>
          <cell r="AV423">
            <v>72.88</v>
          </cell>
          <cell r="AX423">
            <v>52.11</v>
          </cell>
          <cell r="AY423">
            <v>69.459999999999994</v>
          </cell>
          <cell r="AZ423">
            <v>0.17</v>
          </cell>
          <cell r="BA423">
            <v>0.12</v>
          </cell>
          <cell r="BB423" t="str">
            <v>#_NA</v>
          </cell>
          <cell r="BC423" t="str">
            <v>#_NA</v>
          </cell>
          <cell r="BD423" t="str">
            <v>#_NA</v>
          </cell>
          <cell r="BE423" t="str">
            <v>-</v>
          </cell>
          <cell r="BF423" t="str">
            <v>-</v>
          </cell>
          <cell r="BG423">
            <v>5.6820000000000002E-2</v>
          </cell>
          <cell r="BH423">
            <v>0.32169999999999999</v>
          </cell>
          <cell r="BI423">
            <v>33.340000000000003</v>
          </cell>
          <cell r="BJ423" t="str">
            <v>-</v>
          </cell>
          <cell r="BK423">
            <v>0.43769999999999998</v>
          </cell>
          <cell r="BL423">
            <v>27.64</v>
          </cell>
          <cell r="BM423" t="str">
            <v>-</v>
          </cell>
          <cell r="BN423" t="str">
            <v>SIM</v>
          </cell>
          <cell r="BO423" t="str">
            <v>NÃO</v>
          </cell>
          <cell r="BP423" t="str">
            <v>MS|G|NACIONAL|Não|Negativa</v>
          </cell>
          <cell r="BR423" t="str">
            <v>TBD</v>
          </cell>
          <cell r="BS423">
            <v>0</v>
          </cell>
          <cell r="BT423" t="str">
            <v>#ERRO</v>
          </cell>
          <cell r="BU423">
            <v>27.64</v>
          </cell>
          <cell r="BV423" t="str">
            <v>-</v>
          </cell>
          <cell r="BX423" t="str">
            <v>TBD</v>
          </cell>
          <cell r="BY423" t="str">
            <v>TBD</v>
          </cell>
          <cell r="BZ423" t="str">
            <v>TBD</v>
          </cell>
          <cell r="CA423" t="str">
            <v>#ERRO</v>
          </cell>
          <cell r="CB423" t="str">
            <v>-</v>
          </cell>
        </row>
        <row r="424">
          <cell r="A424" t="str">
            <v>23000-0</v>
          </cell>
          <cell r="B424" t="str">
            <v>23000-0</v>
          </cell>
          <cell r="C424">
            <v>7896714295268</v>
          </cell>
          <cell r="D424" t="str">
            <v>BROMIDRATO VORTIOXETIN 10MG BL 30CPRV C1</v>
          </cell>
          <cell r="E424" t="str">
            <v>#ERRO</v>
          </cell>
          <cell r="F424" t="str">
            <v>G</v>
          </cell>
          <cell r="G424" t="str">
            <v>LANCAMENTOS GENERICOS</v>
          </cell>
          <cell r="H424">
            <v>0</v>
          </cell>
          <cell r="I424">
            <v>70</v>
          </cell>
          <cell r="J424" t="str">
            <v>Monitorado</v>
          </cell>
          <cell r="K424" t="str">
            <v>Negativa</v>
          </cell>
          <cell r="L424" t="str">
            <v>Não</v>
          </cell>
          <cell r="M424" t="str">
            <v>NACIONAL</v>
          </cell>
          <cell r="N424" t="str">
            <v>NACIONAL</v>
          </cell>
          <cell r="P424">
            <v>74.739999999999995</v>
          </cell>
          <cell r="Q424">
            <v>85.86</v>
          </cell>
          <cell r="R424">
            <v>87.07</v>
          </cell>
          <cell r="S424">
            <v>88.31</v>
          </cell>
          <cell r="T424">
            <v>80.290000000000006</v>
          </cell>
          <cell r="U424">
            <v>86.46</v>
          </cell>
          <cell r="V424">
            <v>75.19</v>
          </cell>
          <cell r="W424">
            <v>75.650000000000006</v>
          </cell>
          <cell r="X424">
            <v>89.59</v>
          </cell>
          <cell r="Y424">
            <v>76.59</v>
          </cell>
          <cell r="Z424">
            <v>77.540000000000006</v>
          </cell>
          <cell r="AA424">
            <v>90.9</v>
          </cell>
          <cell r="AB424">
            <v>92.26</v>
          </cell>
          <cell r="AC424">
            <v>88.94</v>
          </cell>
          <cell r="AD424">
            <v>77.06</v>
          </cell>
          <cell r="AE424">
            <v>90.24</v>
          </cell>
          <cell r="AF424">
            <v>0</v>
          </cell>
          <cell r="AG424">
            <v>103.32</v>
          </cell>
          <cell r="AH424">
            <v>114.44</v>
          </cell>
          <cell r="AI424">
            <v>116</v>
          </cell>
          <cell r="AJ424">
            <v>117.6</v>
          </cell>
          <cell r="AK424">
            <v>107.25</v>
          </cell>
          <cell r="AL424">
            <v>115.22</v>
          </cell>
          <cell r="AM424">
            <v>103.95</v>
          </cell>
          <cell r="AN424">
            <v>104.58</v>
          </cell>
          <cell r="AO424">
            <v>119.25</v>
          </cell>
          <cell r="AP424">
            <v>105.88</v>
          </cell>
          <cell r="AQ424">
            <v>107.19</v>
          </cell>
          <cell r="AR424">
            <v>120.93</v>
          </cell>
          <cell r="AS424">
            <v>122.68</v>
          </cell>
          <cell r="AT424">
            <v>118.41</v>
          </cell>
          <cell r="AU424">
            <v>106.53</v>
          </cell>
          <cell r="AV424">
            <v>120.08</v>
          </cell>
          <cell r="AX424">
            <v>85.86</v>
          </cell>
          <cell r="AY424">
            <v>114.44</v>
          </cell>
          <cell r="AZ424">
            <v>0.17</v>
          </cell>
          <cell r="BA424">
            <v>0.12</v>
          </cell>
          <cell r="BB424" t="str">
            <v>#_NA</v>
          </cell>
          <cell r="BC424" t="str">
            <v>#_NA</v>
          </cell>
          <cell r="BD424" t="str">
            <v>#_NA</v>
          </cell>
          <cell r="BE424" t="str">
            <v>-</v>
          </cell>
          <cell r="BF424" t="str">
            <v>-</v>
          </cell>
          <cell r="BG424">
            <v>5.6820000000000002E-2</v>
          </cell>
          <cell r="BH424">
            <v>0.28210000000000002</v>
          </cell>
          <cell r="BI424">
            <v>58.14</v>
          </cell>
          <cell r="BJ424" t="str">
            <v>-</v>
          </cell>
          <cell r="BK424">
            <v>0.40479999999999999</v>
          </cell>
          <cell r="BL424">
            <v>48.2</v>
          </cell>
          <cell r="BM424" t="str">
            <v>-</v>
          </cell>
          <cell r="BN424" t="str">
            <v>SIM</v>
          </cell>
          <cell r="BO424" t="str">
            <v>NÃO</v>
          </cell>
          <cell r="BP424" t="str">
            <v>MS|G|NACIONAL|Não|Negativa</v>
          </cell>
          <cell r="BR424" t="str">
            <v>TBD</v>
          </cell>
          <cell r="BS424">
            <v>0</v>
          </cell>
          <cell r="BT424" t="str">
            <v>#ERRO</v>
          </cell>
          <cell r="BU424">
            <v>48.2</v>
          </cell>
          <cell r="BV424" t="str">
            <v>-</v>
          </cell>
          <cell r="BX424" t="str">
            <v>TBD</v>
          </cell>
          <cell r="BY424" t="str">
            <v>TBD</v>
          </cell>
          <cell r="BZ424" t="str">
            <v>TBD</v>
          </cell>
          <cell r="CA424" t="str">
            <v>#ERRO</v>
          </cell>
          <cell r="CB424" t="str">
            <v>-</v>
          </cell>
        </row>
        <row r="425">
          <cell r="A425" t="str">
            <v>23192-0</v>
          </cell>
          <cell r="B425" t="str">
            <v>23192-0</v>
          </cell>
          <cell r="C425">
            <v>7896714295770</v>
          </cell>
          <cell r="D425" t="str">
            <v>BROMIDRATO VORTIOXETIN 20MG BL 30CPRV C1</v>
          </cell>
          <cell r="E425" t="str">
            <v>#ERRO</v>
          </cell>
          <cell r="F425" t="str">
            <v>G</v>
          </cell>
          <cell r="G425" t="str">
            <v>LANCAMENTOS GENERICOS</v>
          </cell>
          <cell r="H425">
            <v>0</v>
          </cell>
          <cell r="I425">
            <v>70</v>
          </cell>
          <cell r="J425" t="str">
            <v>Monitorado</v>
          </cell>
          <cell r="K425" t="str">
            <v>Negativa</v>
          </cell>
          <cell r="L425" t="str">
            <v>Não</v>
          </cell>
          <cell r="M425" t="str">
            <v>NACIONAL</v>
          </cell>
          <cell r="N425" t="str">
            <v>NACIONAL</v>
          </cell>
          <cell r="P425">
            <v>175.12</v>
          </cell>
          <cell r="Q425">
            <v>201.16</v>
          </cell>
          <cell r="R425">
            <v>203.99</v>
          </cell>
          <cell r="S425">
            <v>206.9</v>
          </cell>
          <cell r="T425">
            <v>188.12</v>
          </cell>
          <cell r="U425">
            <v>202.57</v>
          </cell>
          <cell r="V425">
            <v>176.18</v>
          </cell>
          <cell r="W425">
            <v>177.25</v>
          </cell>
          <cell r="X425">
            <v>209.9</v>
          </cell>
          <cell r="Y425">
            <v>179.44</v>
          </cell>
          <cell r="Z425">
            <v>181.69</v>
          </cell>
          <cell r="AA425">
            <v>212.98</v>
          </cell>
          <cell r="AB425">
            <v>216.16</v>
          </cell>
          <cell r="AC425">
            <v>208.39</v>
          </cell>
          <cell r="AD425">
            <v>180.56</v>
          </cell>
          <cell r="AE425">
            <v>211.43</v>
          </cell>
          <cell r="AF425">
            <v>0</v>
          </cell>
          <cell r="AG425">
            <v>242.09</v>
          </cell>
          <cell r="AH425">
            <v>268.13</v>
          </cell>
          <cell r="AI425">
            <v>271.77999999999997</v>
          </cell>
          <cell r="AJ425">
            <v>275.52</v>
          </cell>
          <cell r="AK425">
            <v>251.29</v>
          </cell>
          <cell r="AL425">
            <v>269.95</v>
          </cell>
          <cell r="AM425">
            <v>243.56</v>
          </cell>
          <cell r="AN425">
            <v>245.04</v>
          </cell>
          <cell r="AO425">
            <v>279.38</v>
          </cell>
          <cell r="AP425">
            <v>248.07</v>
          </cell>
          <cell r="AQ425">
            <v>251.18</v>
          </cell>
          <cell r="AR425">
            <v>283.33999999999997</v>
          </cell>
          <cell r="AS425">
            <v>287.43</v>
          </cell>
          <cell r="AT425">
            <v>277.44</v>
          </cell>
          <cell r="AU425">
            <v>249.61</v>
          </cell>
          <cell r="AV425">
            <v>281.35000000000002</v>
          </cell>
          <cell r="AX425">
            <v>201.16</v>
          </cell>
          <cell r="AY425">
            <v>268.13</v>
          </cell>
          <cell r="AZ425">
            <v>0.17</v>
          </cell>
          <cell r="BA425">
            <v>0.12</v>
          </cell>
          <cell r="BB425" t="str">
            <v>#_NA</v>
          </cell>
          <cell r="BC425" t="str">
            <v>#_NA</v>
          </cell>
          <cell r="BD425" t="str">
            <v>#_NA</v>
          </cell>
          <cell r="BE425" t="str">
            <v>-</v>
          </cell>
          <cell r="BF425" t="str">
            <v>-</v>
          </cell>
          <cell r="BG425">
            <v>5.6820000000000002E-2</v>
          </cell>
          <cell r="BH425">
            <v>0.28210000000000002</v>
          </cell>
          <cell r="BI425">
            <v>136.21</v>
          </cell>
          <cell r="BJ425" t="str">
            <v>-</v>
          </cell>
          <cell r="BK425">
            <v>0.40479999999999999</v>
          </cell>
          <cell r="BL425">
            <v>112.93</v>
          </cell>
          <cell r="BM425" t="str">
            <v>-</v>
          </cell>
          <cell r="BN425" t="str">
            <v>SIM</v>
          </cell>
          <cell r="BO425" t="str">
            <v>NÃO</v>
          </cell>
          <cell r="BP425" t="str">
            <v>MS|G|NACIONAL|Não|Negativa</v>
          </cell>
          <cell r="BR425" t="str">
            <v>TBD</v>
          </cell>
          <cell r="BS425">
            <v>0</v>
          </cell>
          <cell r="BT425" t="str">
            <v>#ERRO</v>
          </cell>
          <cell r="BU425">
            <v>112.93</v>
          </cell>
          <cell r="BV425" t="str">
            <v>-</v>
          </cell>
          <cell r="BX425" t="str">
            <v>TBD</v>
          </cell>
          <cell r="BY425" t="str">
            <v>TBD</v>
          </cell>
          <cell r="BZ425" t="str">
            <v>TBD</v>
          </cell>
          <cell r="CA425" t="str">
            <v>#ERRO</v>
          </cell>
          <cell r="CB425" t="str">
            <v>-</v>
          </cell>
        </row>
        <row r="426">
          <cell r="A426" t="str">
            <v>23060-0</v>
          </cell>
          <cell r="B426" t="str">
            <v>23060-0</v>
          </cell>
          <cell r="C426">
            <v>7896714295503</v>
          </cell>
          <cell r="D426" t="str">
            <v>TRIMETAZIDINA 35MG 2X15 COM REV LIB PROL</v>
          </cell>
          <cell r="E426" t="str">
            <v>SIM</v>
          </cell>
          <cell r="F426" t="str">
            <v>G</v>
          </cell>
          <cell r="G426" t="str">
            <v>LANCAMENTOS GENERICOS</v>
          </cell>
          <cell r="H426">
            <v>0</v>
          </cell>
          <cell r="I426">
            <v>60</v>
          </cell>
          <cell r="J426" t="str">
            <v>Monitorado</v>
          </cell>
          <cell r="K426" t="str">
            <v>Positiva</v>
          </cell>
          <cell r="L426" t="str">
            <v>Sim</v>
          </cell>
          <cell r="M426" t="str">
            <v>NACIONAL</v>
          </cell>
          <cell r="N426" t="str">
            <v>NACIONAL</v>
          </cell>
          <cell r="P426">
            <v>40.54</v>
          </cell>
          <cell r="Q426">
            <v>40.54</v>
          </cell>
          <cell r="R426">
            <v>41.04</v>
          </cell>
          <cell r="S426">
            <v>41.54</v>
          </cell>
          <cell r="T426">
            <v>38.24</v>
          </cell>
          <cell r="U426">
            <v>40.79</v>
          </cell>
          <cell r="V426">
            <v>40.79</v>
          </cell>
          <cell r="W426">
            <v>41.04</v>
          </cell>
          <cell r="X426">
            <v>42.06</v>
          </cell>
          <cell r="Y426">
            <v>41.54</v>
          </cell>
          <cell r="Z426">
            <v>42.06</v>
          </cell>
          <cell r="AA426">
            <v>42.59</v>
          </cell>
          <cell r="AB426">
            <v>43.14</v>
          </cell>
          <cell r="AC426">
            <v>41.8</v>
          </cell>
          <cell r="AD426">
            <v>41.8</v>
          </cell>
          <cell r="AE426">
            <v>42.33</v>
          </cell>
          <cell r="AF426">
            <v>0</v>
          </cell>
          <cell r="AG426">
            <v>56.04</v>
          </cell>
          <cell r="AH426">
            <v>56.04</v>
          </cell>
          <cell r="AI426">
            <v>56.74</v>
          </cell>
          <cell r="AJ426">
            <v>57.43</v>
          </cell>
          <cell r="AK426">
            <v>52.86</v>
          </cell>
          <cell r="AL426">
            <v>56.39</v>
          </cell>
          <cell r="AM426">
            <v>56.39</v>
          </cell>
          <cell r="AN426">
            <v>56.74</v>
          </cell>
          <cell r="AO426">
            <v>58.15</v>
          </cell>
          <cell r="AP426">
            <v>57.43</v>
          </cell>
          <cell r="AQ426">
            <v>58.15</v>
          </cell>
          <cell r="AR426">
            <v>58.88</v>
          </cell>
          <cell r="AS426">
            <v>59.64</v>
          </cell>
          <cell r="AT426">
            <v>57.79</v>
          </cell>
          <cell r="AU426">
            <v>57.79</v>
          </cell>
          <cell r="AV426">
            <v>58.52</v>
          </cell>
          <cell r="AX426">
            <v>40.54</v>
          </cell>
          <cell r="AY426">
            <v>56.04</v>
          </cell>
          <cell r="AZ426">
            <v>0.17</v>
          </cell>
          <cell r="BA426">
            <v>0.12</v>
          </cell>
          <cell r="BB426" t="str">
            <v>#_NA</v>
          </cell>
          <cell r="BC426" t="str">
            <v>#_NA</v>
          </cell>
          <cell r="BD426" t="str">
            <v>#_NA</v>
          </cell>
          <cell r="BE426" t="str">
            <v>-</v>
          </cell>
          <cell r="BF426" t="str">
            <v>-</v>
          </cell>
          <cell r="BG426">
            <v>5.6820000000000002E-2</v>
          </cell>
          <cell r="BH426">
            <v>0.41510000000000002</v>
          </cell>
          <cell r="BI426">
            <v>22.37</v>
          </cell>
          <cell r="BJ426" t="str">
            <v>-</v>
          </cell>
          <cell r="BK426">
            <v>0.45550000000000002</v>
          </cell>
          <cell r="BL426">
            <v>20.82</v>
          </cell>
          <cell r="BM426" t="str">
            <v>-</v>
          </cell>
          <cell r="BN426" t="str">
            <v>SIM</v>
          </cell>
          <cell r="BO426" t="str">
            <v>NÃO</v>
          </cell>
          <cell r="BP426" t="str">
            <v>MS|G|NACIONAL|Sim|Positiva</v>
          </cell>
          <cell r="BR426" t="str">
            <v>TBD</v>
          </cell>
          <cell r="BS426">
            <v>0</v>
          </cell>
          <cell r="BT426" t="str">
            <v>#ERRO</v>
          </cell>
          <cell r="BU426">
            <v>20.82</v>
          </cell>
          <cell r="BV426" t="str">
            <v>-</v>
          </cell>
          <cell r="BX426" t="str">
            <v>TBD</v>
          </cell>
          <cell r="BY426" t="str">
            <v>TBD</v>
          </cell>
          <cell r="BZ426" t="str">
            <v>TBD</v>
          </cell>
          <cell r="CA426" t="str">
            <v>#ERRO</v>
          </cell>
          <cell r="CB426" t="str">
            <v>-</v>
          </cell>
        </row>
        <row r="427">
          <cell r="A427" t="str">
            <v>23061-0</v>
          </cell>
          <cell r="B427" t="str">
            <v>23061-0</v>
          </cell>
          <cell r="C427">
            <v>7896714295510</v>
          </cell>
          <cell r="D427" t="str">
            <v>TRIMETAZIDINA 35MG 4X15 CPRV LIB PROL</v>
          </cell>
          <cell r="E427" t="str">
            <v>SIM</v>
          </cell>
          <cell r="F427" t="str">
            <v>G</v>
          </cell>
          <cell r="G427" t="str">
            <v>LANCAMENTOS GENERICOS</v>
          </cell>
          <cell r="H427">
            <v>0</v>
          </cell>
          <cell r="I427">
            <v>60</v>
          </cell>
          <cell r="J427" t="str">
            <v>Monitorado</v>
          </cell>
          <cell r="K427" t="str">
            <v>Positiva</v>
          </cell>
          <cell r="L427" t="str">
            <v>Sim</v>
          </cell>
          <cell r="M427" t="str">
            <v>NACIONAL</v>
          </cell>
          <cell r="N427" t="str">
            <v>NACIONAL</v>
          </cell>
          <cell r="P427">
            <v>76.36</v>
          </cell>
          <cell r="Q427">
            <v>76.36</v>
          </cell>
          <cell r="R427">
            <v>77.290000000000006</v>
          </cell>
          <cell r="S427">
            <v>78.25</v>
          </cell>
          <cell r="T427">
            <v>72.02</v>
          </cell>
          <cell r="U427">
            <v>76.819999999999993</v>
          </cell>
          <cell r="V427">
            <v>76.819999999999993</v>
          </cell>
          <cell r="W427">
            <v>77.290000000000006</v>
          </cell>
          <cell r="X427">
            <v>79.23</v>
          </cell>
          <cell r="Y427">
            <v>78.25</v>
          </cell>
          <cell r="Z427">
            <v>79.23</v>
          </cell>
          <cell r="AA427">
            <v>80.23</v>
          </cell>
          <cell r="AB427">
            <v>81.260000000000005</v>
          </cell>
          <cell r="AC427">
            <v>78.73</v>
          </cell>
          <cell r="AD427">
            <v>78.73</v>
          </cell>
          <cell r="AE427">
            <v>79.72</v>
          </cell>
          <cell r="AF427">
            <v>0</v>
          </cell>
          <cell r="AG427">
            <v>105.56</v>
          </cell>
          <cell r="AH427">
            <v>105.56</v>
          </cell>
          <cell r="AI427">
            <v>106.85</v>
          </cell>
          <cell r="AJ427">
            <v>108.18</v>
          </cell>
          <cell r="AK427">
            <v>99.56</v>
          </cell>
          <cell r="AL427">
            <v>106.2</v>
          </cell>
          <cell r="AM427">
            <v>106.2</v>
          </cell>
          <cell r="AN427">
            <v>106.85</v>
          </cell>
          <cell r="AO427">
            <v>109.53</v>
          </cell>
          <cell r="AP427">
            <v>108.18</v>
          </cell>
          <cell r="AQ427">
            <v>109.53</v>
          </cell>
          <cell r="AR427">
            <v>110.91</v>
          </cell>
          <cell r="AS427">
            <v>112.34</v>
          </cell>
          <cell r="AT427">
            <v>108.84</v>
          </cell>
          <cell r="AU427">
            <v>108.84</v>
          </cell>
          <cell r="AV427">
            <v>110.21</v>
          </cell>
          <cell r="AX427">
            <v>76.36</v>
          </cell>
          <cell r="AY427">
            <v>105.56</v>
          </cell>
          <cell r="AZ427">
            <v>0.17</v>
          </cell>
          <cell r="BA427">
            <v>0.12</v>
          </cell>
          <cell r="BB427" t="str">
            <v>#_NA</v>
          </cell>
          <cell r="BC427" t="str">
            <v>#_NA</v>
          </cell>
          <cell r="BD427" t="str">
            <v>#_NA</v>
          </cell>
          <cell r="BE427" t="str">
            <v>-</v>
          </cell>
          <cell r="BF427" t="str">
            <v>-</v>
          </cell>
          <cell r="BG427">
            <v>5.6820000000000002E-2</v>
          </cell>
          <cell r="BH427">
            <v>0.38009999999999999</v>
          </cell>
          <cell r="BI427">
            <v>44.65</v>
          </cell>
          <cell r="BJ427" t="str">
            <v>-</v>
          </cell>
          <cell r="BK427">
            <v>0.42270000000000002</v>
          </cell>
          <cell r="BL427">
            <v>41.58</v>
          </cell>
          <cell r="BM427" t="str">
            <v>-</v>
          </cell>
          <cell r="BN427" t="str">
            <v>SIM</v>
          </cell>
          <cell r="BO427" t="str">
            <v>NÃO</v>
          </cell>
          <cell r="BP427" t="str">
            <v>MS|G|NACIONAL|Sim|Positiva</v>
          </cell>
          <cell r="BR427" t="str">
            <v>TBD</v>
          </cell>
          <cell r="BS427">
            <v>0</v>
          </cell>
          <cell r="BT427" t="str">
            <v>#ERRO</v>
          </cell>
          <cell r="BU427">
            <v>41.58</v>
          </cell>
          <cell r="BV427" t="str">
            <v>-</v>
          </cell>
          <cell r="BX427" t="str">
            <v>TBD</v>
          </cell>
          <cell r="BY427" t="str">
            <v>TBD</v>
          </cell>
          <cell r="BZ427" t="str">
            <v>TBD</v>
          </cell>
          <cell r="CA427" t="str">
            <v>#ERRO</v>
          </cell>
          <cell r="CB427" t="str">
            <v>-</v>
          </cell>
        </row>
        <row r="428">
          <cell r="A428" t="str">
            <v>21988-0</v>
          </cell>
          <cell r="B428" t="str">
            <v>21988-1</v>
          </cell>
          <cell r="C428">
            <v>7896714291444</v>
          </cell>
          <cell r="D428" t="str">
            <v>BILASTINA 2,5MG/ML SOL ORAL PED FR 120ML</v>
          </cell>
          <cell r="E428" t="str">
            <v>#ERRO</v>
          </cell>
          <cell r="F428" t="str">
            <v>G</v>
          </cell>
          <cell r="G428" t="str">
            <v>PRIORITARIO GENERICOS</v>
          </cell>
          <cell r="H428">
            <v>2</v>
          </cell>
          <cell r="I428">
            <v>40</v>
          </cell>
          <cell r="J428" t="str">
            <v>Monitorado</v>
          </cell>
          <cell r="K428" t="str">
            <v>Negativa</v>
          </cell>
          <cell r="L428" t="str">
            <v>Não</v>
          </cell>
          <cell r="M428" t="str">
            <v>IMPORTADO</v>
          </cell>
          <cell r="N428" t="str">
            <v>IMPORTADO</v>
          </cell>
          <cell r="P428">
            <v>31.96</v>
          </cell>
          <cell r="Q428">
            <v>36.71</v>
          </cell>
          <cell r="R428">
            <v>37.229999999999997</v>
          </cell>
          <cell r="S428">
            <v>37.76</v>
          </cell>
          <cell r="T428">
            <v>34.33</v>
          </cell>
          <cell r="U428">
            <v>36.97</v>
          </cell>
          <cell r="V428">
            <v>32.15</v>
          </cell>
          <cell r="W428">
            <v>32.35</v>
          </cell>
          <cell r="X428">
            <v>38.31</v>
          </cell>
          <cell r="Y428">
            <v>32.75</v>
          </cell>
          <cell r="Z428">
            <v>33.159999999999997</v>
          </cell>
          <cell r="AA428">
            <v>38.869999999999997</v>
          </cell>
          <cell r="AB428">
            <v>39.450000000000003</v>
          </cell>
          <cell r="AC428">
            <v>38.03</v>
          </cell>
          <cell r="AD428">
            <v>32.950000000000003</v>
          </cell>
          <cell r="AE428">
            <v>38.590000000000003</v>
          </cell>
          <cell r="AF428">
            <v>0</v>
          </cell>
          <cell r="AG428">
            <v>44.18</v>
          </cell>
          <cell r="AH428">
            <v>48.93</v>
          </cell>
          <cell r="AI428">
            <v>49.6</v>
          </cell>
          <cell r="AJ428">
            <v>50.28</v>
          </cell>
          <cell r="AK428">
            <v>45.86</v>
          </cell>
          <cell r="AL428">
            <v>49.27</v>
          </cell>
          <cell r="AM428">
            <v>44.45</v>
          </cell>
          <cell r="AN428">
            <v>44.72</v>
          </cell>
          <cell r="AO428">
            <v>50.99</v>
          </cell>
          <cell r="AP428">
            <v>45.27</v>
          </cell>
          <cell r="AQ428">
            <v>45.84</v>
          </cell>
          <cell r="AR428">
            <v>51.71</v>
          </cell>
          <cell r="AS428">
            <v>52.46</v>
          </cell>
          <cell r="AT428">
            <v>50.63</v>
          </cell>
          <cell r="AU428">
            <v>45.55</v>
          </cell>
          <cell r="AV428">
            <v>51.35</v>
          </cell>
          <cell r="AX428">
            <v>36.71</v>
          </cell>
          <cell r="AY428">
            <v>48.93</v>
          </cell>
          <cell r="AZ428">
            <v>0.17</v>
          </cell>
          <cell r="BA428">
            <v>0.04</v>
          </cell>
          <cell r="BB428" t="str">
            <v>#_NA</v>
          </cell>
          <cell r="BC428" t="str">
            <v>#_NA</v>
          </cell>
          <cell r="BD428" t="str">
            <v>#_NA</v>
          </cell>
          <cell r="BE428" t="str">
            <v>-</v>
          </cell>
          <cell r="BF428" t="str">
            <v>-</v>
          </cell>
          <cell r="BG428">
            <v>0.13542000000000001</v>
          </cell>
          <cell r="BH428">
            <v>3.3500000000000002E-2</v>
          </cell>
          <cell r="BI428">
            <v>30.68</v>
          </cell>
          <cell r="BJ428" t="str">
            <v>-</v>
          </cell>
          <cell r="BK428">
            <v>8.7599999999999997E-2</v>
          </cell>
          <cell r="BL428">
            <v>28.96</v>
          </cell>
          <cell r="BM428" t="str">
            <v>-</v>
          </cell>
          <cell r="BN428" t="str">
            <v>SIM</v>
          </cell>
          <cell r="BO428" t="str">
            <v>NÃO</v>
          </cell>
          <cell r="BP428" t="str">
            <v>MS|G|IMPORTADO|Não|Negativa</v>
          </cell>
          <cell r="BR428" t="str">
            <v>TBD</v>
          </cell>
          <cell r="BS428">
            <v>0</v>
          </cell>
          <cell r="BT428" t="str">
            <v>#ERRO</v>
          </cell>
          <cell r="BU428">
            <v>28.96</v>
          </cell>
          <cell r="BV428" t="str">
            <v>-</v>
          </cell>
          <cell r="BX428" t="str">
            <v>TBD</v>
          </cell>
          <cell r="BY428" t="str">
            <v>TBD</v>
          </cell>
          <cell r="BZ428" t="str">
            <v>TBD</v>
          </cell>
          <cell r="CA428" t="str">
            <v>#ERRO</v>
          </cell>
          <cell r="CB428" t="str">
            <v>-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0"/>
  <sheetViews>
    <sheetView showGridLines="0" workbookViewId="0">
      <pane ySplit="5" topLeftCell="A6" activePane="bottomLeft" state="frozen"/>
      <selection pane="bottomLeft" activeCell="B6" sqref="B6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11.140625" customWidth="1"/>
    <col min="4" max="4" width="43.85546875" bestFit="1" customWidth="1"/>
    <col min="5" max="5" width="9.85546875" customWidth="1"/>
    <col min="6" max="6" width="10.5703125" bestFit="1" customWidth="1"/>
    <col min="7" max="7" width="15.140625" hidden="1" customWidth="1"/>
    <col min="8" max="8" width="12.5703125" hidden="1" customWidth="1"/>
    <col min="9" max="10" width="18.85546875" hidden="1" customWidth="1"/>
    <col min="11" max="11" width="14.42578125" bestFit="1" customWidth="1"/>
    <col min="12" max="12" width="16.85546875" hidden="1" customWidth="1"/>
    <col min="13" max="13" width="12.140625" customWidth="1"/>
    <col min="14" max="14" width="14.28515625" style="11" hidden="1" customWidth="1"/>
    <col min="15" max="15" width="11.140625" bestFit="1" customWidth="1"/>
    <col min="16" max="16" width="19.5703125" bestFit="1" customWidth="1"/>
    <col min="216" max="216" width="3.42578125" customWidth="1"/>
    <col min="218" max="218" width="14.140625" bestFit="1" customWidth="1"/>
    <col min="219" max="219" width="11.140625" customWidth="1"/>
    <col min="220" max="220" width="47.140625" bestFit="1" customWidth="1"/>
    <col min="221" max="221" width="9.85546875" customWidth="1"/>
    <col min="222" max="222" width="10.5703125" bestFit="1" customWidth="1"/>
    <col min="223" max="228" width="0" hidden="1" customWidth="1"/>
    <col min="229" max="229" width="12.140625" customWidth="1"/>
    <col min="230" max="230" width="16.85546875" customWidth="1"/>
    <col min="231" max="231" width="11.140625" bestFit="1" customWidth="1"/>
    <col min="232" max="232" width="19.5703125" bestFit="1" customWidth="1"/>
    <col min="472" max="472" width="3.42578125" customWidth="1"/>
    <col min="474" max="474" width="14.140625" bestFit="1" customWidth="1"/>
    <col min="475" max="475" width="11.140625" customWidth="1"/>
    <col min="476" max="476" width="47.140625" bestFit="1" customWidth="1"/>
    <col min="477" max="477" width="9.85546875" customWidth="1"/>
    <col min="478" max="478" width="10.5703125" bestFit="1" customWidth="1"/>
    <col min="479" max="484" width="0" hidden="1" customWidth="1"/>
    <col min="485" max="485" width="12.140625" customWidth="1"/>
    <col min="486" max="486" width="16.85546875" customWidth="1"/>
    <col min="487" max="487" width="11.140625" bestFit="1" customWidth="1"/>
    <col min="488" max="488" width="19.5703125" bestFit="1" customWidth="1"/>
    <col min="728" max="728" width="3.42578125" customWidth="1"/>
    <col min="730" max="730" width="14.140625" bestFit="1" customWidth="1"/>
    <col min="731" max="731" width="11.140625" customWidth="1"/>
    <col min="732" max="732" width="47.140625" bestFit="1" customWidth="1"/>
    <col min="733" max="733" width="9.85546875" customWidth="1"/>
    <col min="734" max="734" width="10.5703125" bestFit="1" customWidth="1"/>
    <col min="735" max="740" width="0" hidden="1" customWidth="1"/>
    <col min="741" max="741" width="12.140625" customWidth="1"/>
    <col min="742" max="742" width="16.85546875" customWidth="1"/>
    <col min="743" max="743" width="11.140625" bestFit="1" customWidth="1"/>
    <col min="744" max="744" width="19.5703125" bestFit="1" customWidth="1"/>
    <col min="984" max="984" width="3.42578125" customWidth="1"/>
    <col min="986" max="986" width="14.140625" bestFit="1" customWidth="1"/>
    <col min="987" max="987" width="11.140625" customWidth="1"/>
    <col min="988" max="988" width="47.140625" bestFit="1" customWidth="1"/>
    <col min="989" max="989" width="9.85546875" customWidth="1"/>
    <col min="990" max="990" width="10.5703125" bestFit="1" customWidth="1"/>
    <col min="991" max="996" width="0" hidden="1" customWidth="1"/>
    <col min="997" max="997" width="12.140625" customWidth="1"/>
    <col min="998" max="998" width="16.85546875" customWidth="1"/>
    <col min="999" max="999" width="11.140625" bestFit="1" customWidth="1"/>
    <col min="1000" max="1000" width="19.5703125" bestFit="1" customWidth="1"/>
    <col min="1240" max="1240" width="3.42578125" customWidth="1"/>
    <col min="1242" max="1242" width="14.140625" bestFit="1" customWidth="1"/>
    <col min="1243" max="1243" width="11.140625" customWidth="1"/>
    <col min="1244" max="1244" width="47.140625" bestFit="1" customWidth="1"/>
    <col min="1245" max="1245" width="9.85546875" customWidth="1"/>
    <col min="1246" max="1246" width="10.5703125" bestFit="1" customWidth="1"/>
    <col min="1247" max="1252" width="0" hidden="1" customWidth="1"/>
    <col min="1253" max="1253" width="12.140625" customWidth="1"/>
    <col min="1254" max="1254" width="16.85546875" customWidth="1"/>
    <col min="1255" max="1255" width="11.140625" bestFit="1" customWidth="1"/>
    <col min="1256" max="1256" width="19.5703125" bestFit="1" customWidth="1"/>
    <col min="1496" max="1496" width="3.42578125" customWidth="1"/>
    <col min="1498" max="1498" width="14.140625" bestFit="1" customWidth="1"/>
    <col min="1499" max="1499" width="11.140625" customWidth="1"/>
    <col min="1500" max="1500" width="47.140625" bestFit="1" customWidth="1"/>
    <col min="1501" max="1501" width="9.85546875" customWidth="1"/>
    <col min="1502" max="1502" width="10.5703125" bestFit="1" customWidth="1"/>
    <col min="1503" max="1508" width="0" hidden="1" customWidth="1"/>
    <col min="1509" max="1509" width="12.140625" customWidth="1"/>
    <col min="1510" max="1510" width="16.85546875" customWidth="1"/>
    <col min="1511" max="1511" width="11.140625" bestFit="1" customWidth="1"/>
    <col min="1512" max="1512" width="19.5703125" bestFit="1" customWidth="1"/>
    <col min="1752" max="1752" width="3.42578125" customWidth="1"/>
    <col min="1754" max="1754" width="14.140625" bestFit="1" customWidth="1"/>
    <col min="1755" max="1755" width="11.140625" customWidth="1"/>
    <col min="1756" max="1756" width="47.140625" bestFit="1" customWidth="1"/>
    <col min="1757" max="1757" width="9.85546875" customWidth="1"/>
    <col min="1758" max="1758" width="10.5703125" bestFit="1" customWidth="1"/>
    <col min="1759" max="1764" width="0" hidden="1" customWidth="1"/>
    <col min="1765" max="1765" width="12.140625" customWidth="1"/>
    <col min="1766" max="1766" width="16.85546875" customWidth="1"/>
    <col min="1767" max="1767" width="11.140625" bestFit="1" customWidth="1"/>
    <col min="1768" max="1768" width="19.5703125" bestFit="1" customWidth="1"/>
    <col min="2008" max="2008" width="3.42578125" customWidth="1"/>
    <col min="2010" max="2010" width="14.140625" bestFit="1" customWidth="1"/>
    <col min="2011" max="2011" width="11.140625" customWidth="1"/>
    <col min="2012" max="2012" width="47.140625" bestFit="1" customWidth="1"/>
    <col min="2013" max="2013" width="9.85546875" customWidth="1"/>
    <col min="2014" max="2014" width="10.5703125" bestFit="1" customWidth="1"/>
    <col min="2015" max="2020" width="0" hidden="1" customWidth="1"/>
    <col min="2021" max="2021" width="12.140625" customWidth="1"/>
    <col min="2022" max="2022" width="16.85546875" customWidth="1"/>
    <col min="2023" max="2023" width="11.140625" bestFit="1" customWidth="1"/>
    <col min="2024" max="2024" width="19.5703125" bestFit="1" customWidth="1"/>
    <col min="2264" max="2264" width="3.42578125" customWidth="1"/>
    <col min="2266" max="2266" width="14.140625" bestFit="1" customWidth="1"/>
    <col min="2267" max="2267" width="11.140625" customWidth="1"/>
    <col min="2268" max="2268" width="47.140625" bestFit="1" customWidth="1"/>
    <col min="2269" max="2269" width="9.85546875" customWidth="1"/>
    <col min="2270" max="2270" width="10.5703125" bestFit="1" customWidth="1"/>
    <col min="2271" max="2276" width="0" hidden="1" customWidth="1"/>
    <col min="2277" max="2277" width="12.140625" customWidth="1"/>
    <col min="2278" max="2278" width="16.85546875" customWidth="1"/>
    <col min="2279" max="2279" width="11.140625" bestFit="1" customWidth="1"/>
    <col min="2280" max="2280" width="19.5703125" bestFit="1" customWidth="1"/>
    <col min="2520" max="2520" width="3.42578125" customWidth="1"/>
    <col min="2522" max="2522" width="14.140625" bestFit="1" customWidth="1"/>
    <col min="2523" max="2523" width="11.140625" customWidth="1"/>
    <col min="2524" max="2524" width="47.140625" bestFit="1" customWidth="1"/>
    <col min="2525" max="2525" width="9.85546875" customWidth="1"/>
    <col min="2526" max="2526" width="10.5703125" bestFit="1" customWidth="1"/>
    <col min="2527" max="2532" width="0" hidden="1" customWidth="1"/>
    <col min="2533" max="2533" width="12.140625" customWidth="1"/>
    <col min="2534" max="2534" width="16.85546875" customWidth="1"/>
    <col min="2535" max="2535" width="11.140625" bestFit="1" customWidth="1"/>
    <col min="2536" max="2536" width="19.5703125" bestFit="1" customWidth="1"/>
    <col min="2776" max="2776" width="3.42578125" customWidth="1"/>
    <col min="2778" max="2778" width="14.140625" bestFit="1" customWidth="1"/>
    <col min="2779" max="2779" width="11.140625" customWidth="1"/>
    <col min="2780" max="2780" width="47.140625" bestFit="1" customWidth="1"/>
    <col min="2781" max="2781" width="9.85546875" customWidth="1"/>
    <col min="2782" max="2782" width="10.5703125" bestFit="1" customWidth="1"/>
    <col min="2783" max="2788" width="0" hidden="1" customWidth="1"/>
    <col min="2789" max="2789" width="12.140625" customWidth="1"/>
    <col min="2790" max="2790" width="16.85546875" customWidth="1"/>
    <col min="2791" max="2791" width="11.140625" bestFit="1" customWidth="1"/>
    <col min="2792" max="2792" width="19.5703125" bestFit="1" customWidth="1"/>
    <col min="3032" max="3032" width="3.42578125" customWidth="1"/>
    <col min="3034" max="3034" width="14.140625" bestFit="1" customWidth="1"/>
    <col min="3035" max="3035" width="11.140625" customWidth="1"/>
    <col min="3036" max="3036" width="47.140625" bestFit="1" customWidth="1"/>
    <col min="3037" max="3037" width="9.85546875" customWidth="1"/>
    <col min="3038" max="3038" width="10.5703125" bestFit="1" customWidth="1"/>
    <col min="3039" max="3044" width="0" hidden="1" customWidth="1"/>
    <col min="3045" max="3045" width="12.140625" customWidth="1"/>
    <col min="3046" max="3046" width="16.85546875" customWidth="1"/>
    <col min="3047" max="3047" width="11.140625" bestFit="1" customWidth="1"/>
    <col min="3048" max="3048" width="19.5703125" bestFit="1" customWidth="1"/>
    <col min="3288" max="3288" width="3.42578125" customWidth="1"/>
    <col min="3290" max="3290" width="14.140625" bestFit="1" customWidth="1"/>
    <col min="3291" max="3291" width="11.140625" customWidth="1"/>
    <col min="3292" max="3292" width="47.140625" bestFit="1" customWidth="1"/>
    <col min="3293" max="3293" width="9.85546875" customWidth="1"/>
    <col min="3294" max="3294" width="10.5703125" bestFit="1" customWidth="1"/>
    <col min="3295" max="3300" width="0" hidden="1" customWidth="1"/>
    <col min="3301" max="3301" width="12.140625" customWidth="1"/>
    <col min="3302" max="3302" width="16.85546875" customWidth="1"/>
    <col min="3303" max="3303" width="11.140625" bestFit="1" customWidth="1"/>
    <col min="3304" max="3304" width="19.5703125" bestFit="1" customWidth="1"/>
    <col min="3544" max="3544" width="3.42578125" customWidth="1"/>
    <col min="3546" max="3546" width="14.140625" bestFit="1" customWidth="1"/>
    <col min="3547" max="3547" width="11.140625" customWidth="1"/>
    <col min="3548" max="3548" width="47.140625" bestFit="1" customWidth="1"/>
    <col min="3549" max="3549" width="9.85546875" customWidth="1"/>
    <col min="3550" max="3550" width="10.5703125" bestFit="1" customWidth="1"/>
    <col min="3551" max="3556" width="0" hidden="1" customWidth="1"/>
    <col min="3557" max="3557" width="12.140625" customWidth="1"/>
    <col min="3558" max="3558" width="16.85546875" customWidth="1"/>
    <col min="3559" max="3559" width="11.140625" bestFit="1" customWidth="1"/>
    <col min="3560" max="3560" width="19.5703125" bestFit="1" customWidth="1"/>
    <col min="3800" max="3800" width="3.42578125" customWidth="1"/>
    <col min="3802" max="3802" width="14.140625" bestFit="1" customWidth="1"/>
    <col min="3803" max="3803" width="11.140625" customWidth="1"/>
    <col min="3804" max="3804" width="47.140625" bestFit="1" customWidth="1"/>
    <col min="3805" max="3805" width="9.85546875" customWidth="1"/>
    <col min="3806" max="3806" width="10.5703125" bestFit="1" customWidth="1"/>
    <col min="3807" max="3812" width="0" hidden="1" customWidth="1"/>
    <col min="3813" max="3813" width="12.140625" customWidth="1"/>
    <col min="3814" max="3814" width="16.85546875" customWidth="1"/>
    <col min="3815" max="3815" width="11.140625" bestFit="1" customWidth="1"/>
    <col min="3816" max="3816" width="19.5703125" bestFit="1" customWidth="1"/>
    <col min="4056" max="4056" width="3.42578125" customWidth="1"/>
    <col min="4058" max="4058" width="14.140625" bestFit="1" customWidth="1"/>
    <col min="4059" max="4059" width="11.140625" customWidth="1"/>
    <col min="4060" max="4060" width="47.140625" bestFit="1" customWidth="1"/>
    <col min="4061" max="4061" width="9.85546875" customWidth="1"/>
    <col min="4062" max="4062" width="10.5703125" bestFit="1" customWidth="1"/>
    <col min="4063" max="4068" width="0" hidden="1" customWidth="1"/>
    <col min="4069" max="4069" width="12.140625" customWidth="1"/>
    <col min="4070" max="4070" width="16.85546875" customWidth="1"/>
    <col min="4071" max="4071" width="11.140625" bestFit="1" customWidth="1"/>
    <col min="4072" max="4072" width="19.5703125" bestFit="1" customWidth="1"/>
    <col min="4312" max="4312" width="3.42578125" customWidth="1"/>
    <col min="4314" max="4314" width="14.140625" bestFit="1" customWidth="1"/>
    <col min="4315" max="4315" width="11.140625" customWidth="1"/>
    <col min="4316" max="4316" width="47.140625" bestFit="1" customWidth="1"/>
    <col min="4317" max="4317" width="9.85546875" customWidth="1"/>
    <col min="4318" max="4318" width="10.5703125" bestFit="1" customWidth="1"/>
    <col min="4319" max="4324" width="0" hidden="1" customWidth="1"/>
    <col min="4325" max="4325" width="12.140625" customWidth="1"/>
    <col min="4326" max="4326" width="16.85546875" customWidth="1"/>
    <col min="4327" max="4327" width="11.140625" bestFit="1" customWidth="1"/>
    <col min="4328" max="4328" width="19.5703125" bestFit="1" customWidth="1"/>
    <col min="4568" max="4568" width="3.42578125" customWidth="1"/>
    <col min="4570" max="4570" width="14.140625" bestFit="1" customWidth="1"/>
    <col min="4571" max="4571" width="11.140625" customWidth="1"/>
    <col min="4572" max="4572" width="47.140625" bestFit="1" customWidth="1"/>
    <col min="4573" max="4573" width="9.85546875" customWidth="1"/>
    <col min="4574" max="4574" width="10.5703125" bestFit="1" customWidth="1"/>
    <col min="4575" max="4580" width="0" hidden="1" customWidth="1"/>
    <col min="4581" max="4581" width="12.140625" customWidth="1"/>
    <col min="4582" max="4582" width="16.85546875" customWidth="1"/>
    <col min="4583" max="4583" width="11.140625" bestFit="1" customWidth="1"/>
    <col min="4584" max="4584" width="19.5703125" bestFit="1" customWidth="1"/>
    <col min="4824" max="4824" width="3.42578125" customWidth="1"/>
    <col min="4826" max="4826" width="14.140625" bestFit="1" customWidth="1"/>
    <col min="4827" max="4827" width="11.140625" customWidth="1"/>
    <col min="4828" max="4828" width="47.140625" bestFit="1" customWidth="1"/>
    <col min="4829" max="4829" width="9.85546875" customWidth="1"/>
    <col min="4830" max="4830" width="10.5703125" bestFit="1" customWidth="1"/>
    <col min="4831" max="4836" width="0" hidden="1" customWidth="1"/>
    <col min="4837" max="4837" width="12.140625" customWidth="1"/>
    <col min="4838" max="4838" width="16.85546875" customWidth="1"/>
    <col min="4839" max="4839" width="11.140625" bestFit="1" customWidth="1"/>
    <col min="4840" max="4840" width="19.5703125" bestFit="1" customWidth="1"/>
    <col min="5080" max="5080" width="3.42578125" customWidth="1"/>
    <col min="5082" max="5082" width="14.140625" bestFit="1" customWidth="1"/>
    <col min="5083" max="5083" width="11.140625" customWidth="1"/>
    <col min="5084" max="5084" width="47.140625" bestFit="1" customWidth="1"/>
    <col min="5085" max="5085" width="9.85546875" customWidth="1"/>
    <col min="5086" max="5086" width="10.5703125" bestFit="1" customWidth="1"/>
    <col min="5087" max="5092" width="0" hidden="1" customWidth="1"/>
    <col min="5093" max="5093" width="12.140625" customWidth="1"/>
    <col min="5094" max="5094" width="16.85546875" customWidth="1"/>
    <col min="5095" max="5095" width="11.140625" bestFit="1" customWidth="1"/>
    <col min="5096" max="5096" width="19.5703125" bestFit="1" customWidth="1"/>
    <col min="5336" max="5336" width="3.42578125" customWidth="1"/>
    <col min="5338" max="5338" width="14.140625" bestFit="1" customWidth="1"/>
    <col min="5339" max="5339" width="11.140625" customWidth="1"/>
    <col min="5340" max="5340" width="47.140625" bestFit="1" customWidth="1"/>
    <col min="5341" max="5341" width="9.85546875" customWidth="1"/>
    <col min="5342" max="5342" width="10.5703125" bestFit="1" customWidth="1"/>
    <col min="5343" max="5348" width="0" hidden="1" customWidth="1"/>
    <col min="5349" max="5349" width="12.140625" customWidth="1"/>
    <col min="5350" max="5350" width="16.85546875" customWidth="1"/>
    <col min="5351" max="5351" width="11.140625" bestFit="1" customWidth="1"/>
    <col min="5352" max="5352" width="19.5703125" bestFit="1" customWidth="1"/>
    <col min="5592" max="5592" width="3.42578125" customWidth="1"/>
    <col min="5594" max="5594" width="14.140625" bestFit="1" customWidth="1"/>
    <col min="5595" max="5595" width="11.140625" customWidth="1"/>
    <col min="5596" max="5596" width="47.140625" bestFit="1" customWidth="1"/>
    <col min="5597" max="5597" width="9.85546875" customWidth="1"/>
    <col min="5598" max="5598" width="10.5703125" bestFit="1" customWidth="1"/>
    <col min="5599" max="5604" width="0" hidden="1" customWidth="1"/>
    <col min="5605" max="5605" width="12.140625" customWidth="1"/>
    <col min="5606" max="5606" width="16.85546875" customWidth="1"/>
    <col min="5607" max="5607" width="11.140625" bestFit="1" customWidth="1"/>
    <col min="5608" max="5608" width="19.5703125" bestFit="1" customWidth="1"/>
    <col min="5848" max="5848" width="3.42578125" customWidth="1"/>
    <col min="5850" max="5850" width="14.140625" bestFit="1" customWidth="1"/>
    <col min="5851" max="5851" width="11.140625" customWidth="1"/>
    <col min="5852" max="5852" width="47.140625" bestFit="1" customWidth="1"/>
    <col min="5853" max="5853" width="9.85546875" customWidth="1"/>
    <col min="5854" max="5854" width="10.5703125" bestFit="1" customWidth="1"/>
    <col min="5855" max="5860" width="0" hidden="1" customWidth="1"/>
    <col min="5861" max="5861" width="12.140625" customWidth="1"/>
    <col min="5862" max="5862" width="16.85546875" customWidth="1"/>
    <col min="5863" max="5863" width="11.140625" bestFit="1" customWidth="1"/>
    <col min="5864" max="5864" width="19.5703125" bestFit="1" customWidth="1"/>
    <col min="6104" max="6104" width="3.42578125" customWidth="1"/>
    <col min="6106" max="6106" width="14.140625" bestFit="1" customWidth="1"/>
    <col min="6107" max="6107" width="11.140625" customWidth="1"/>
    <col min="6108" max="6108" width="47.140625" bestFit="1" customWidth="1"/>
    <col min="6109" max="6109" width="9.85546875" customWidth="1"/>
    <col min="6110" max="6110" width="10.5703125" bestFit="1" customWidth="1"/>
    <col min="6111" max="6116" width="0" hidden="1" customWidth="1"/>
    <col min="6117" max="6117" width="12.140625" customWidth="1"/>
    <col min="6118" max="6118" width="16.85546875" customWidth="1"/>
    <col min="6119" max="6119" width="11.140625" bestFit="1" customWidth="1"/>
    <col min="6120" max="6120" width="19.5703125" bestFit="1" customWidth="1"/>
    <col min="6360" max="6360" width="3.42578125" customWidth="1"/>
    <col min="6362" max="6362" width="14.140625" bestFit="1" customWidth="1"/>
    <col min="6363" max="6363" width="11.140625" customWidth="1"/>
    <col min="6364" max="6364" width="47.140625" bestFit="1" customWidth="1"/>
    <col min="6365" max="6365" width="9.85546875" customWidth="1"/>
    <col min="6366" max="6366" width="10.5703125" bestFit="1" customWidth="1"/>
    <col min="6367" max="6372" width="0" hidden="1" customWidth="1"/>
    <col min="6373" max="6373" width="12.140625" customWidth="1"/>
    <col min="6374" max="6374" width="16.85546875" customWidth="1"/>
    <col min="6375" max="6375" width="11.140625" bestFit="1" customWidth="1"/>
    <col min="6376" max="6376" width="19.5703125" bestFit="1" customWidth="1"/>
    <col min="6616" max="6616" width="3.42578125" customWidth="1"/>
    <col min="6618" max="6618" width="14.140625" bestFit="1" customWidth="1"/>
    <col min="6619" max="6619" width="11.140625" customWidth="1"/>
    <col min="6620" max="6620" width="47.140625" bestFit="1" customWidth="1"/>
    <col min="6621" max="6621" width="9.85546875" customWidth="1"/>
    <col min="6622" max="6622" width="10.5703125" bestFit="1" customWidth="1"/>
    <col min="6623" max="6628" width="0" hidden="1" customWidth="1"/>
    <col min="6629" max="6629" width="12.140625" customWidth="1"/>
    <col min="6630" max="6630" width="16.85546875" customWidth="1"/>
    <col min="6631" max="6631" width="11.140625" bestFit="1" customWidth="1"/>
    <col min="6632" max="6632" width="19.5703125" bestFit="1" customWidth="1"/>
    <col min="6872" max="6872" width="3.42578125" customWidth="1"/>
    <col min="6874" max="6874" width="14.140625" bestFit="1" customWidth="1"/>
    <col min="6875" max="6875" width="11.140625" customWidth="1"/>
    <col min="6876" max="6876" width="47.140625" bestFit="1" customWidth="1"/>
    <col min="6877" max="6877" width="9.85546875" customWidth="1"/>
    <col min="6878" max="6878" width="10.5703125" bestFit="1" customWidth="1"/>
    <col min="6879" max="6884" width="0" hidden="1" customWidth="1"/>
    <col min="6885" max="6885" width="12.140625" customWidth="1"/>
    <col min="6886" max="6886" width="16.85546875" customWidth="1"/>
    <col min="6887" max="6887" width="11.140625" bestFit="1" customWidth="1"/>
    <col min="6888" max="6888" width="19.5703125" bestFit="1" customWidth="1"/>
    <col min="7128" max="7128" width="3.42578125" customWidth="1"/>
    <col min="7130" max="7130" width="14.140625" bestFit="1" customWidth="1"/>
    <col min="7131" max="7131" width="11.140625" customWidth="1"/>
    <col min="7132" max="7132" width="47.140625" bestFit="1" customWidth="1"/>
    <col min="7133" max="7133" width="9.85546875" customWidth="1"/>
    <col min="7134" max="7134" width="10.5703125" bestFit="1" customWidth="1"/>
    <col min="7135" max="7140" width="0" hidden="1" customWidth="1"/>
    <col min="7141" max="7141" width="12.140625" customWidth="1"/>
    <col min="7142" max="7142" width="16.85546875" customWidth="1"/>
    <col min="7143" max="7143" width="11.140625" bestFit="1" customWidth="1"/>
    <col min="7144" max="7144" width="19.5703125" bestFit="1" customWidth="1"/>
    <col min="7384" max="7384" width="3.42578125" customWidth="1"/>
    <col min="7386" max="7386" width="14.140625" bestFit="1" customWidth="1"/>
    <col min="7387" max="7387" width="11.140625" customWidth="1"/>
    <col min="7388" max="7388" width="47.140625" bestFit="1" customWidth="1"/>
    <col min="7389" max="7389" width="9.85546875" customWidth="1"/>
    <col min="7390" max="7390" width="10.5703125" bestFit="1" customWidth="1"/>
    <col min="7391" max="7396" width="0" hidden="1" customWidth="1"/>
    <col min="7397" max="7397" width="12.140625" customWidth="1"/>
    <col min="7398" max="7398" width="16.85546875" customWidth="1"/>
    <col min="7399" max="7399" width="11.140625" bestFit="1" customWidth="1"/>
    <col min="7400" max="7400" width="19.5703125" bestFit="1" customWidth="1"/>
    <col min="7640" max="7640" width="3.42578125" customWidth="1"/>
    <col min="7642" max="7642" width="14.140625" bestFit="1" customWidth="1"/>
    <col min="7643" max="7643" width="11.140625" customWidth="1"/>
    <col min="7644" max="7644" width="47.140625" bestFit="1" customWidth="1"/>
    <col min="7645" max="7645" width="9.85546875" customWidth="1"/>
    <col min="7646" max="7646" width="10.5703125" bestFit="1" customWidth="1"/>
    <col min="7647" max="7652" width="0" hidden="1" customWidth="1"/>
    <col min="7653" max="7653" width="12.140625" customWidth="1"/>
    <col min="7654" max="7654" width="16.85546875" customWidth="1"/>
    <col min="7655" max="7655" width="11.140625" bestFit="1" customWidth="1"/>
    <col min="7656" max="7656" width="19.5703125" bestFit="1" customWidth="1"/>
    <col min="7896" max="7896" width="3.42578125" customWidth="1"/>
    <col min="7898" max="7898" width="14.140625" bestFit="1" customWidth="1"/>
    <col min="7899" max="7899" width="11.140625" customWidth="1"/>
    <col min="7900" max="7900" width="47.140625" bestFit="1" customWidth="1"/>
    <col min="7901" max="7901" width="9.85546875" customWidth="1"/>
    <col min="7902" max="7902" width="10.5703125" bestFit="1" customWidth="1"/>
    <col min="7903" max="7908" width="0" hidden="1" customWidth="1"/>
    <col min="7909" max="7909" width="12.140625" customWidth="1"/>
    <col min="7910" max="7910" width="16.85546875" customWidth="1"/>
    <col min="7911" max="7911" width="11.140625" bestFit="1" customWidth="1"/>
    <col min="7912" max="7912" width="19.5703125" bestFit="1" customWidth="1"/>
    <col min="8152" max="8152" width="3.42578125" customWidth="1"/>
    <col min="8154" max="8154" width="14.140625" bestFit="1" customWidth="1"/>
    <col min="8155" max="8155" width="11.140625" customWidth="1"/>
    <col min="8156" max="8156" width="47.140625" bestFit="1" customWidth="1"/>
    <col min="8157" max="8157" width="9.85546875" customWidth="1"/>
    <col min="8158" max="8158" width="10.5703125" bestFit="1" customWidth="1"/>
    <col min="8159" max="8164" width="0" hidden="1" customWidth="1"/>
    <col min="8165" max="8165" width="12.140625" customWidth="1"/>
    <col min="8166" max="8166" width="16.85546875" customWidth="1"/>
    <col min="8167" max="8167" width="11.140625" bestFit="1" customWidth="1"/>
    <col min="8168" max="8168" width="19.5703125" bestFit="1" customWidth="1"/>
    <col min="8408" max="8408" width="3.42578125" customWidth="1"/>
    <col min="8410" max="8410" width="14.140625" bestFit="1" customWidth="1"/>
    <col min="8411" max="8411" width="11.140625" customWidth="1"/>
    <col min="8412" max="8412" width="47.140625" bestFit="1" customWidth="1"/>
    <col min="8413" max="8413" width="9.85546875" customWidth="1"/>
    <col min="8414" max="8414" width="10.5703125" bestFit="1" customWidth="1"/>
    <col min="8415" max="8420" width="0" hidden="1" customWidth="1"/>
    <col min="8421" max="8421" width="12.140625" customWidth="1"/>
    <col min="8422" max="8422" width="16.85546875" customWidth="1"/>
    <col min="8423" max="8423" width="11.140625" bestFit="1" customWidth="1"/>
    <col min="8424" max="8424" width="19.5703125" bestFit="1" customWidth="1"/>
    <col min="8664" max="8664" width="3.42578125" customWidth="1"/>
    <col min="8666" max="8666" width="14.140625" bestFit="1" customWidth="1"/>
    <col min="8667" max="8667" width="11.140625" customWidth="1"/>
    <col min="8668" max="8668" width="47.140625" bestFit="1" customWidth="1"/>
    <col min="8669" max="8669" width="9.85546875" customWidth="1"/>
    <col min="8670" max="8670" width="10.5703125" bestFit="1" customWidth="1"/>
    <col min="8671" max="8676" width="0" hidden="1" customWidth="1"/>
    <col min="8677" max="8677" width="12.140625" customWidth="1"/>
    <col min="8678" max="8678" width="16.85546875" customWidth="1"/>
    <col min="8679" max="8679" width="11.140625" bestFit="1" customWidth="1"/>
    <col min="8680" max="8680" width="19.5703125" bestFit="1" customWidth="1"/>
    <col min="8920" max="8920" width="3.42578125" customWidth="1"/>
    <col min="8922" max="8922" width="14.140625" bestFit="1" customWidth="1"/>
    <col min="8923" max="8923" width="11.140625" customWidth="1"/>
    <col min="8924" max="8924" width="47.140625" bestFit="1" customWidth="1"/>
    <col min="8925" max="8925" width="9.85546875" customWidth="1"/>
    <col min="8926" max="8926" width="10.5703125" bestFit="1" customWidth="1"/>
    <col min="8927" max="8932" width="0" hidden="1" customWidth="1"/>
    <col min="8933" max="8933" width="12.140625" customWidth="1"/>
    <col min="8934" max="8934" width="16.85546875" customWidth="1"/>
    <col min="8935" max="8935" width="11.140625" bestFit="1" customWidth="1"/>
    <col min="8936" max="8936" width="19.5703125" bestFit="1" customWidth="1"/>
    <col min="9176" max="9176" width="3.42578125" customWidth="1"/>
    <col min="9178" max="9178" width="14.140625" bestFit="1" customWidth="1"/>
    <col min="9179" max="9179" width="11.140625" customWidth="1"/>
    <col min="9180" max="9180" width="47.140625" bestFit="1" customWidth="1"/>
    <col min="9181" max="9181" width="9.85546875" customWidth="1"/>
    <col min="9182" max="9182" width="10.5703125" bestFit="1" customWidth="1"/>
    <col min="9183" max="9188" width="0" hidden="1" customWidth="1"/>
    <col min="9189" max="9189" width="12.140625" customWidth="1"/>
    <col min="9190" max="9190" width="16.85546875" customWidth="1"/>
    <col min="9191" max="9191" width="11.140625" bestFit="1" customWidth="1"/>
    <col min="9192" max="9192" width="19.5703125" bestFit="1" customWidth="1"/>
    <col min="9432" max="9432" width="3.42578125" customWidth="1"/>
    <col min="9434" max="9434" width="14.140625" bestFit="1" customWidth="1"/>
    <col min="9435" max="9435" width="11.140625" customWidth="1"/>
    <col min="9436" max="9436" width="47.140625" bestFit="1" customWidth="1"/>
    <col min="9437" max="9437" width="9.85546875" customWidth="1"/>
    <col min="9438" max="9438" width="10.5703125" bestFit="1" customWidth="1"/>
    <col min="9439" max="9444" width="0" hidden="1" customWidth="1"/>
    <col min="9445" max="9445" width="12.140625" customWidth="1"/>
    <col min="9446" max="9446" width="16.85546875" customWidth="1"/>
    <col min="9447" max="9447" width="11.140625" bestFit="1" customWidth="1"/>
    <col min="9448" max="9448" width="19.5703125" bestFit="1" customWidth="1"/>
    <col min="9688" max="9688" width="3.42578125" customWidth="1"/>
    <col min="9690" max="9690" width="14.140625" bestFit="1" customWidth="1"/>
    <col min="9691" max="9691" width="11.140625" customWidth="1"/>
    <col min="9692" max="9692" width="47.140625" bestFit="1" customWidth="1"/>
    <col min="9693" max="9693" width="9.85546875" customWidth="1"/>
    <col min="9694" max="9694" width="10.5703125" bestFit="1" customWidth="1"/>
    <col min="9695" max="9700" width="0" hidden="1" customWidth="1"/>
    <col min="9701" max="9701" width="12.140625" customWidth="1"/>
    <col min="9702" max="9702" width="16.85546875" customWidth="1"/>
    <col min="9703" max="9703" width="11.140625" bestFit="1" customWidth="1"/>
    <col min="9704" max="9704" width="19.5703125" bestFit="1" customWidth="1"/>
    <col min="9944" max="9944" width="3.42578125" customWidth="1"/>
    <col min="9946" max="9946" width="14.140625" bestFit="1" customWidth="1"/>
    <col min="9947" max="9947" width="11.140625" customWidth="1"/>
    <col min="9948" max="9948" width="47.140625" bestFit="1" customWidth="1"/>
    <col min="9949" max="9949" width="9.85546875" customWidth="1"/>
    <col min="9950" max="9950" width="10.5703125" bestFit="1" customWidth="1"/>
    <col min="9951" max="9956" width="0" hidden="1" customWidth="1"/>
    <col min="9957" max="9957" width="12.140625" customWidth="1"/>
    <col min="9958" max="9958" width="16.85546875" customWidth="1"/>
    <col min="9959" max="9959" width="11.140625" bestFit="1" customWidth="1"/>
    <col min="9960" max="9960" width="19.5703125" bestFit="1" customWidth="1"/>
    <col min="10200" max="10200" width="3.42578125" customWidth="1"/>
    <col min="10202" max="10202" width="14.140625" bestFit="1" customWidth="1"/>
    <col min="10203" max="10203" width="11.140625" customWidth="1"/>
    <col min="10204" max="10204" width="47.140625" bestFit="1" customWidth="1"/>
    <col min="10205" max="10205" width="9.85546875" customWidth="1"/>
    <col min="10206" max="10206" width="10.5703125" bestFit="1" customWidth="1"/>
    <col min="10207" max="10212" width="0" hidden="1" customWidth="1"/>
    <col min="10213" max="10213" width="12.140625" customWidth="1"/>
    <col min="10214" max="10214" width="16.85546875" customWidth="1"/>
    <col min="10215" max="10215" width="11.140625" bestFit="1" customWidth="1"/>
    <col min="10216" max="10216" width="19.5703125" bestFit="1" customWidth="1"/>
    <col min="10456" max="10456" width="3.42578125" customWidth="1"/>
    <col min="10458" max="10458" width="14.140625" bestFit="1" customWidth="1"/>
    <col min="10459" max="10459" width="11.140625" customWidth="1"/>
    <col min="10460" max="10460" width="47.140625" bestFit="1" customWidth="1"/>
    <col min="10461" max="10461" width="9.85546875" customWidth="1"/>
    <col min="10462" max="10462" width="10.5703125" bestFit="1" customWidth="1"/>
    <col min="10463" max="10468" width="0" hidden="1" customWidth="1"/>
    <col min="10469" max="10469" width="12.140625" customWidth="1"/>
    <col min="10470" max="10470" width="16.85546875" customWidth="1"/>
    <col min="10471" max="10471" width="11.140625" bestFit="1" customWidth="1"/>
    <col min="10472" max="10472" width="19.5703125" bestFit="1" customWidth="1"/>
    <col min="10712" max="10712" width="3.42578125" customWidth="1"/>
    <col min="10714" max="10714" width="14.140625" bestFit="1" customWidth="1"/>
    <col min="10715" max="10715" width="11.140625" customWidth="1"/>
    <col min="10716" max="10716" width="47.140625" bestFit="1" customWidth="1"/>
    <col min="10717" max="10717" width="9.85546875" customWidth="1"/>
    <col min="10718" max="10718" width="10.5703125" bestFit="1" customWidth="1"/>
    <col min="10719" max="10724" width="0" hidden="1" customWidth="1"/>
    <col min="10725" max="10725" width="12.140625" customWidth="1"/>
    <col min="10726" max="10726" width="16.85546875" customWidth="1"/>
    <col min="10727" max="10727" width="11.140625" bestFit="1" customWidth="1"/>
    <col min="10728" max="10728" width="19.5703125" bestFit="1" customWidth="1"/>
    <col min="10968" max="10968" width="3.42578125" customWidth="1"/>
    <col min="10970" max="10970" width="14.140625" bestFit="1" customWidth="1"/>
    <col min="10971" max="10971" width="11.140625" customWidth="1"/>
    <col min="10972" max="10972" width="47.140625" bestFit="1" customWidth="1"/>
    <col min="10973" max="10973" width="9.85546875" customWidth="1"/>
    <col min="10974" max="10974" width="10.5703125" bestFit="1" customWidth="1"/>
    <col min="10975" max="10980" width="0" hidden="1" customWidth="1"/>
    <col min="10981" max="10981" width="12.140625" customWidth="1"/>
    <col min="10982" max="10982" width="16.85546875" customWidth="1"/>
    <col min="10983" max="10983" width="11.140625" bestFit="1" customWidth="1"/>
    <col min="10984" max="10984" width="19.5703125" bestFit="1" customWidth="1"/>
    <col min="11224" max="11224" width="3.42578125" customWidth="1"/>
    <col min="11226" max="11226" width="14.140625" bestFit="1" customWidth="1"/>
    <col min="11227" max="11227" width="11.140625" customWidth="1"/>
    <col min="11228" max="11228" width="47.140625" bestFit="1" customWidth="1"/>
    <col min="11229" max="11229" width="9.85546875" customWidth="1"/>
    <col min="11230" max="11230" width="10.5703125" bestFit="1" customWidth="1"/>
    <col min="11231" max="11236" width="0" hidden="1" customWidth="1"/>
    <col min="11237" max="11237" width="12.140625" customWidth="1"/>
    <col min="11238" max="11238" width="16.85546875" customWidth="1"/>
    <col min="11239" max="11239" width="11.140625" bestFit="1" customWidth="1"/>
    <col min="11240" max="11240" width="19.5703125" bestFit="1" customWidth="1"/>
    <col min="11480" max="11480" width="3.42578125" customWidth="1"/>
    <col min="11482" max="11482" width="14.140625" bestFit="1" customWidth="1"/>
    <col min="11483" max="11483" width="11.140625" customWidth="1"/>
    <col min="11484" max="11484" width="47.140625" bestFit="1" customWidth="1"/>
    <col min="11485" max="11485" width="9.85546875" customWidth="1"/>
    <col min="11486" max="11486" width="10.5703125" bestFit="1" customWidth="1"/>
    <col min="11487" max="11492" width="0" hidden="1" customWidth="1"/>
    <col min="11493" max="11493" width="12.140625" customWidth="1"/>
    <col min="11494" max="11494" width="16.85546875" customWidth="1"/>
    <col min="11495" max="11495" width="11.140625" bestFit="1" customWidth="1"/>
    <col min="11496" max="11496" width="19.5703125" bestFit="1" customWidth="1"/>
    <col min="11736" max="11736" width="3.42578125" customWidth="1"/>
    <col min="11738" max="11738" width="14.140625" bestFit="1" customWidth="1"/>
    <col min="11739" max="11739" width="11.140625" customWidth="1"/>
    <col min="11740" max="11740" width="47.140625" bestFit="1" customWidth="1"/>
    <col min="11741" max="11741" width="9.85546875" customWidth="1"/>
    <col min="11742" max="11742" width="10.5703125" bestFit="1" customWidth="1"/>
    <col min="11743" max="11748" width="0" hidden="1" customWidth="1"/>
    <col min="11749" max="11749" width="12.140625" customWidth="1"/>
    <col min="11750" max="11750" width="16.85546875" customWidth="1"/>
    <col min="11751" max="11751" width="11.140625" bestFit="1" customWidth="1"/>
    <col min="11752" max="11752" width="19.5703125" bestFit="1" customWidth="1"/>
    <col min="11992" max="11992" width="3.42578125" customWidth="1"/>
    <col min="11994" max="11994" width="14.140625" bestFit="1" customWidth="1"/>
    <col min="11995" max="11995" width="11.140625" customWidth="1"/>
    <col min="11996" max="11996" width="47.140625" bestFit="1" customWidth="1"/>
    <col min="11997" max="11997" width="9.85546875" customWidth="1"/>
    <col min="11998" max="11998" width="10.5703125" bestFit="1" customWidth="1"/>
    <col min="11999" max="12004" width="0" hidden="1" customWidth="1"/>
    <col min="12005" max="12005" width="12.140625" customWidth="1"/>
    <col min="12006" max="12006" width="16.85546875" customWidth="1"/>
    <col min="12007" max="12007" width="11.140625" bestFit="1" customWidth="1"/>
    <col min="12008" max="12008" width="19.5703125" bestFit="1" customWidth="1"/>
    <col min="12248" max="12248" width="3.42578125" customWidth="1"/>
    <col min="12250" max="12250" width="14.140625" bestFit="1" customWidth="1"/>
    <col min="12251" max="12251" width="11.140625" customWidth="1"/>
    <col min="12252" max="12252" width="47.140625" bestFit="1" customWidth="1"/>
    <col min="12253" max="12253" width="9.85546875" customWidth="1"/>
    <col min="12254" max="12254" width="10.5703125" bestFit="1" customWidth="1"/>
    <col min="12255" max="12260" width="0" hidden="1" customWidth="1"/>
    <col min="12261" max="12261" width="12.140625" customWidth="1"/>
    <col min="12262" max="12262" width="16.85546875" customWidth="1"/>
    <col min="12263" max="12263" width="11.140625" bestFit="1" customWidth="1"/>
    <col min="12264" max="12264" width="19.5703125" bestFit="1" customWidth="1"/>
    <col min="12504" max="12504" width="3.42578125" customWidth="1"/>
    <col min="12506" max="12506" width="14.140625" bestFit="1" customWidth="1"/>
    <col min="12507" max="12507" width="11.140625" customWidth="1"/>
    <col min="12508" max="12508" width="47.140625" bestFit="1" customWidth="1"/>
    <col min="12509" max="12509" width="9.85546875" customWidth="1"/>
    <col min="12510" max="12510" width="10.5703125" bestFit="1" customWidth="1"/>
    <col min="12511" max="12516" width="0" hidden="1" customWidth="1"/>
    <col min="12517" max="12517" width="12.140625" customWidth="1"/>
    <col min="12518" max="12518" width="16.85546875" customWidth="1"/>
    <col min="12519" max="12519" width="11.140625" bestFit="1" customWidth="1"/>
    <col min="12520" max="12520" width="19.5703125" bestFit="1" customWidth="1"/>
    <col min="12760" max="12760" width="3.42578125" customWidth="1"/>
    <col min="12762" max="12762" width="14.140625" bestFit="1" customWidth="1"/>
    <col min="12763" max="12763" width="11.140625" customWidth="1"/>
    <col min="12764" max="12764" width="47.140625" bestFit="1" customWidth="1"/>
    <col min="12765" max="12765" width="9.85546875" customWidth="1"/>
    <col min="12766" max="12766" width="10.5703125" bestFit="1" customWidth="1"/>
    <col min="12767" max="12772" width="0" hidden="1" customWidth="1"/>
    <col min="12773" max="12773" width="12.140625" customWidth="1"/>
    <col min="12774" max="12774" width="16.85546875" customWidth="1"/>
    <col min="12775" max="12775" width="11.140625" bestFit="1" customWidth="1"/>
    <col min="12776" max="12776" width="19.5703125" bestFit="1" customWidth="1"/>
    <col min="13016" max="13016" width="3.42578125" customWidth="1"/>
    <col min="13018" max="13018" width="14.140625" bestFit="1" customWidth="1"/>
    <col min="13019" max="13019" width="11.140625" customWidth="1"/>
    <col min="13020" max="13020" width="47.140625" bestFit="1" customWidth="1"/>
    <col min="13021" max="13021" width="9.85546875" customWidth="1"/>
    <col min="13022" max="13022" width="10.5703125" bestFit="1" customWidth="1"/>
    <col min="13023" max="13028" width="0" hidden="1" customWidth="1"/>
    <col min="13029" max="13029" width="12.140625" customWidth="1"/>
    <col min="13030" max="13030" width="16.85546875" customWidth="1"/>
    <col min="13031" max="13031" width="11.140625" bestFit="1" customWidth="1"/>
    <col min="13032" max="13032" width="19.5703125" bestFit="1" customWidth="1"/>
    <col min="13272" max="13272" width="3.42578125" customWidth="1"/>
    <col min="13274" max="13274" width="14.140625" bestFit="1" customWidth="1"/>
    <col min="13275" max="13275" width="11.140625" customWidth="1"/>
    <col min="13276" max="13276" width="47.140625" bestFit="1" customWidth="1"/>
    <col min="13277" max="13277" width="9.85546875" customWidth="1"/>
    <col min="13278" max="13278" width="10.5703125" bestFit="1" customWidth="1"/>
    <col min="13279" max="13284" width="0" hidden="1" customWidth="1"/>
    <col min="13285" max="13285" width="12.140625" customWidth="1"/>
    <col min="13286" max="13286" width="16.85546875" customWidth="1"/>
    <col min="13287" max="13287" width="11.140625" bestFit="1" customWidth="1"/>
    <col min="13288" max="13288" width="19.5703125" bestFit="1" customWidth="1"/>
    <col min="13528" max="13528" width="3.42578125" customWidth="1"/>
    <col min="13530" max="13530" width="14.140625" bestFit="1" customWidth="1"/>
    <col min="13531" max="13531" width="11.140625" customWidth="1"/>
    <col min="13532" max="13532" width="47.140625" bestFit="1" customWidth="1"/>
    <col min="13533" max="13533" width="9.85546875" customWidth="1"/>
    <col min="13534" max="13534" width="10.5703125" bestFit="1" customWidth="1"/>
    <col min="13535" max="13540" width="0" hidden="1" customWidth="1"/>
    <col min="13541" max="13541" width="12.140625" customWidth="1"/>
    <col min="13542" max="13542" width="16.85546875" customWidth="1"/>
    <col min="13543" max="13543" width="11.140625" bestFit="1" customWidth="1"/>
    <col min="13544" max="13544" width="19.5703125" bestFit="1" customWidth="1"/>
    <col min="13784" max="13784" width="3.42578125" customWidth="1"/>
    <col min="13786" max="13786" width="14.140625" bestFit="1" customWidth="1"/>
    <col min="13787" max="13787" width="11.140625" customWidth="1"/>
    <col min="13788" max="13788" width="47.140625" bestFit="1" customWidth="1"/>
    <col min="13789" max="13789" width="9.85546875" customWidth="1"/>
    <col min="13790" max="13790" width="10.5703125" bestFit="1" customWidth="1"/>
    <col min="13791" max="13796" width="0" hidden="1" customWidth="1"/>
    <col min="13797" max="13797" width="12.140625" customWidth="1"/>
    <col min="13798" max="13798" width="16.85546875" customWidth="1"/>
    <col min="13799" max="13799" width="11.140625" bestFit="1" customWidth="1"/>
    <col min="13800" max="13800" width="19.5703125" bestFit="1" customWidth="1"/>
    <col min="14040" max="14040" width="3.42578125" customWidth="1"/>
    <col min="14042" max="14042" width="14.140625" bestFit="1" customWidth="1"/>
    <col min="14043" max="14043" width="11.140625" customWidth="1"/>
    <col min="14044" max="14044" width="47.140625" bestFit="1" customWidth="1"/>
    <col min="14045" max="14045" width="9.85546875" customWidth="1"/>
    <col min="14046" max="14046" width="10.5703125" bestFit="1" customWidth="1"/>
    <col min="14047" max="14052" width="0" hidden="1" customWidth="1"/>
    <col min="14053" max="14053" width="12.140625" customWidth="1"/>
    <col min="14054" max="14054" width="16.85546875" customWidth="1"/>
    <col min="14055" max="14055" width="11.140625" bestFit="1" customWidth="1"/>
    <col min="14056" max="14056" width="19.5703125" bestFit="1" customWidth="1"/>
    <col min="14296" max="14296" width="3.42578125" customWidth="1"/>
    <col min="14298" max="14298" width="14.140625" bestFit="1" customWidth="1"/>
    <col min="14299" max="14299" width="11.140625" customWidth="1"/>
    <col min="14300" max="14300" width="47.140625" bestFit="1" customWidth="1"/>
    <col min="14301" max="14301" width="9.85546875" customWidth="1"/>
    <col min="14302" max="14302" width="10.5703125" bestFit="1" customWidth="1"/>
    <col min="14303" max="14308" width="0" hidden="1" customWidth="1"/>
    <col min="14309" max="14309" width="12.140625" customWidth="1"/>
    <col min="14310" max="14310" width="16.85546875" customWidth="1"/>
    <col min="14311" max="14311" width="11.140625" bestFit="1" customWidth="1"/>
    <col min="14312" max="14312" width="19.5703125" bestFit="1" customWidth="1"/>
    <col min="14552" max="14552" width="3.42578125" customWidth="1"/>
    <col min="14554" max="14554" width="14.140625" bestFit="1" customWidth="1"/>
    <col min="14555" max="14555" width="11.140625" customWidth="1"/>
    <col min="14556" max="14556" width="47.140625" bestFit="1" customWidth="1"/>
    <col min="14557" max="14557" width="9.85546875" customWidth="1"/>
    <col min="14558" max="14558" width="10.5703125" bestFit="1" customWidth="1"/>
    <col min="14559" max="14564" width="0" hidden="1" customWidth="1"/>
    <col min="14565" max="14565" width="12.140625" customWidth="1"/>
    <col min="14566" max="14566" width="16.85546875" customWidth="1"/>
    <col min="14567" max="14567" width="11.140625" bestFit="1" customWidth="1"/>
    <col min="14568" max="14568" width="19.5703125" bestFit="1" customWidth="1"/>
    <col min="14808" max="14808" width="3.42578125" customWidth="1"/>
    <col min="14810" max="14810" width="14.140625" bestFit="1" customWidth="1"/>
    <col min="14811" max="14811" width="11.140625" customWidth="1"/>
    <col min="14812" max="14812" width="47.140625" bestFit="1" customWidth="1"/>
    <col min="14813" max="14813" width="9.85546875" customWidth="1"/>
    <col min="14814" max="14814" width="10.5703125" bestFit="1" customWidth="1"/>
    <col min="14815" max="14820" width="0" hidden="1" customWidth="1"/>
    <col min="14821" max="14821" width="12.140625" customWidth="1"/>
    <col min="14822" max="14822" width="16.85546875" customWidth="1"/>
    <col min="14823" max="14823" width="11.140625" bestFit="1" customWidth="1"/>
    <col min="14824" max="14824" width="19.5703125" bestFit="1" customWidth="1"/>
    <col min="15064" max="15064" width="3.42578125" customWidth="1"/>
    <col min="15066" max="15066" width="14.140625" bestFit="1" customWidth="1"/>
    <col min="15067" max="15067" width="11.140625" customWidth="1"/>
    <col min="15068" max="15068" width="47.140625" bestFit="1" customWidth="1"/>
    <col min="15069" max="15069" width="9.85546875" customWidth="1"/>
    <col min="15070" max="15070" width="10.5703125" bestFit="1" customWidth="1"/>
    <col min="15071" max="15076" width="0" hidden="1" customWidth="1"/>
    <col min="15077" max="15077" width="12.140625" customWidth="1"/>
    <col min="15078" max="15078" width="16.85546875" customWidth="1"/>
    <col min="15079" max="15079" width="11.140625" bestFit="1" customWidth="1"/>
    <col min="15080" max="15080" width="19.5703125" bestFit="1" customWidth="1"/>
    <col min="15320" max="15320" width="3.42578125" customWidth="1"/>
    <col min="15322" max="15322" width="14.140625" bestFit="1" customWidth="1"/>
    <col min="15323" max="15323" width="11.140625" customWidth="1"/>
    <col min="15324" max="15324" width="47.140625" bestFit="1" customWidth="1"/>
    <col min="15325" max="15325" width="9.85546875" customWidth="1"/>
    <col min="15326" max="15326" width="10.5703125" bestFit="1" customWidth="1"/>
    <col min="15327" max="15332" width="0" hidden="1" customWidth="1"/>
    <col min="15333" max="15333" width="12.140625" customWidth="1"/>
    <col min="15334" max="15334" width="16.85546875" customWidth="1"/>
    <col min="15335" max="15335" width="11.140625" bestFit="1" customWidth="1"/>
    <col min="15336" max="15336" width="19.5703125" bestFit="1" customWidth="1"/>
    <col min="15576" max="15576" width="3.42578125" customWidth="1"/>
    <col min="15578" max="15578" width="14.140625" bestFit="1" customWidth="1"/>
    <col min="15579" max="15579" width="11.140625" customWidth="1"/>
    <col min="15580" max="15580" width="47.140625" bestFit="1" customWidth="1"/>
    <col min="15581" max="15581" width="9.85546875" customWidth="1"/>
    <col min="15582" max="15582" width="10.5703125" bestFit="1" customWidth="1"/>
    <col min="15583" max="15588" width="0" hidden="1" customWidth="1"/>
    <col min="15589" max="15589" width="12.140625" customWidth="1"/>
    <col min="15590" max="15590" width="16.85546875" customWidth="1"/>
    <col min="15591" max="15591" width="11.140625" bestFit="1" customWidth="1"/>
    <col min="15592" max="15592" width="19.5703125" bestFit="1" customWidth="1"/>
    <col min="15832" max="15832" width="3.42578125" customWidth="1"/>
    <col min="15834" max="15834" width="14.140625" bestFit="1" customWidth="1"/>
    <col min="15835" max="15835" width="11.140625" customWidth="1"/>
    <col min="15836" max="15836" width="47.140625" bestFit="1" customWidth="1"/>
    <col min="15837" max="15837" width="9.85546875" customWidth="1"/>
    <col min="15838" max="15838" width="10.5703125" bestFit="1" customWidth="1"/>
    <col min="15839" max="15844" width="0" hidden="1" customWidth="1"/>
    <col min="15845" max="15845" width="12.140625" customWidth="1"/>
    <col min="15846" max="15846" width="16.85546875" customWidth="1"/>
    <col min="15847" max="15847" width="11.140625" bestFit="1" customWidth="1"/>
    <col min="15848" max="15848" width="19.5703125" bestFit="1" customWidth="1"/>
    <col min="16088" max="16088" width="3.42578125" customWidth="1"/>
    <col min="16090" max="16090" width="14.140625" bestFit="1" customWidth="1"/>
    <col min="16091" max="16091" width="11.140625" customWidth="1"/>
    <col min="16092" max="16092" width="47.140625" bestFit="1" customWidth="1"/>
    <col min="16093" max="16093" width="9.85546875" customWidth="1"/>
    <col min="16094" max="16094" width="10.5703125" bestFit="1" customWidth="1"/>
    <col min="16095" max="16100" width="0" hidden="1" customWidth="1"/>
    <col min="16101" max="16101" width="12.140625" customWidth="1"/>
    <col min="16102" max="16102" width="16.85546875" customWidth="1"/>
    <col min="16103" max="16103" width="11.140625" bestFit="1" customWidth="1"/>
    <col min="16104" max="16104" width="19.5703125" bestFit="1" customWidth="1"/>
  </cols>
  <sheetData>
    <row r="1" spans="1:16" ht="6.75" customHeight="1" thickBot="1" x14ac:dyDescent="0.3">
      <c r="B1" s="32" t="s">
        <v>623</v>
      </c>
    </row>
    <row r="2" spans="1:16" ht="16.5" thickBot="1" x14ac:dyDescent="0.3">
      <c r="O2" s="21" t="s">
        <v>169</v>
      </c>
      <c r="P2" s="22">
        <f>SUM(P3+P4)</f>
        <v>0</v>
      </c>
    </row>
    <row r="3" spans="1:16" ht="15.75" thickBot="1" x14ac:dyDescent="0.3">
      <c r="D3" s="24"/>
      <c r="F3" s="23"/>
      <c r="O3" s="8" t="s">
        <v>167</v>
      </c>
      <c r="P3" s="9">
        <f>SUM(P6:P264)</f>
        <v>0</v>
      </c>
    </row>
    <row r="4" spans="1:16" ht="15.75" thickBot="1" x14ac:dyDescent="0.3">
      <c r="N4" s="42"/>
      <c r="O4" s="6" t="s">
        <v>166</v>
      </c>
      <c r="P4" s="7">
        <f>SUM(P265:P410)</f>
        <v>0</v>
      </c>
    </row>
    <row r="5" spans="1:16" ht="45" x14ac:dyDescent="0.25">
      <c r="A5" s="35" t="s">
        <v>168</v>
      </c>
      <c r="B5" s="35" t="s">
        <v>0</v>
      </c>
      <c r="C5" s="35" t="s">
        <v>361</v>
      </c>
      <c r="D5" s="35" t="s">
        <v>535</v>
      </c>
      <c r="E5" s="35" t="s">
        <v>359</v>
      </c>
      <c r="F5" s="5" t="s">
        <v>360</v>
      </c>
      <c r="G5" s="1" t="s">
        <v>332</v>
      </c>
      <c r="H5" s="1" t="s">
        <v>358</v>
      </c>
      <c r="I5" s="1" t="s">
        <v>371</v>
      </c>
      <c r="J5" s="1" t="s">
        <v>370</v>
      </c>
      <c r="K5" s="2" t="s">
        <v>331</v>
      </c>
      <c r="L5" s="2" t="s">
        <v>557</v>
      </c>
      <c r="M5" s="2" t="s">
        <v>556</v>
      </c>
      <c r="N5" s="31" t="s">
        <v>606</v>
      </c>
      <c r="O5" s="2" t="s">
        <v>164</v>
      </c>
      <c r="P5" s="4" t="s">
        <v>165</v>
      </c>
    </row>
    <row r="6" spans="1:16" x14ac:dyDescent="0.25">
      <c r="A6" s="36" t="s">
        <v>460</v>
      </c>
      <c r="B6" s="36">
        <v>7896714214146</v>
      </c>
      <c r="C6" s="36" t="s">
        <v>228</v>
      </c>
      <c r="D6" s="37" t="s">
        <v>63</v>
      </c>
      <c r="E6" s="14">
        <v>60</v>
      </c>
      <c r="F6" s="33">
        <v>31.35</v>
      </c>
      <c r="G6" s="16">
        <v>0.59340000000000004</v>
      </c>
      <c r="H6" s="16">
        <v>5.6820000000000002E-2</v>
      </c>
      <c r="I6" s="15">
        <f t="shared" ref="I6:I69" si="0">F6-(F6*G6)</f>
        <v>12.74691</v>
      </c>
      <c r="J6" s="15">
        <f t="shared" ref="J6:J69" si="1">I6-(I6*H6)</f>
        <v>12.022630573799999</v>
      </c>
      <c r="K6" s="17">
        <v>0.61270000000000002</v>
      </c>
      <c r="L6" s="15">
        <f t="shared" ref="L6:L69" si="2">F6-(F6*K6)</f>
        <v>12.141855</v>
      </c>
      <c r="M6" s="18">
        <f t="shared" ref="M6:M69" si="3">L6-(L6*H6)</f>
        <v>11.451954798899999</v>
      </c>
      <c r="N6" s="30">
        <v>0</v>
      </c>
      <c r="O6" s="20"/>
      <c r="P6" s="10">
        <f t="shared" ref="P6:P69" si="4">M6*O6</f>
        <v>0</v>
      </c>
    </row>
    <row r="7" spans="1:16" x14ac:dyDescent="0.25">
      <c r="A7" s="36" t="s">
        <v>460</v>
      </c>
      <c r="B7" s="36">
        <v>7896714214115</v>
      </c>
      <c r="C7" s="36" t="s">
        <v>229</v>
      </c>
      <c r="D7" s="37" t="s">
        <v>64</v>
      </c>
      <c r="E7" s="14">
        <v>60</v>
      </c>
      <c r="F7" s="33">
        <v>23.08</v>
      </c>
      <c r="G7" s="16">
        <v>0.65720000000000001</v>
      </c>
      <c r="H7" s="16">
        <v>5.6820000000000002E-2</v>
      </c>
      <c r="I7" s="15">
        <f t="shared" si="0"/>
        <v>7.9118239999999993</v>
      </c>
      <c r="J7" s="15">
        <f t="shared" si="1"/>
        <v>7.4622741603199989</v>
      </c>
      <c r="K7" s="17">
        <v>0.67349999999999999</v>
      </c>
      <c r="L7" s="15">
        <f t="shared" si="2"/>
        <v>7.5356199999999998</v>
      </c>
      <c r="M7" s="18">
        <f t="shared" si="3"/>
        <v>7.1074460716000001</v>
      </c>
      <c r="N7" s="30">
        <v>0</v>
      </c>
      <c r="O7" s="20"/>
      <c r="P7" s="10">
        <f t="shared" si="4"/>
        <v>0</v>
      </c>
    </row>
    <row r="8" spans="1:16" x14ac:dyDescent="0.25">
      <c r="A8" s="36" t="s">
        <v>460</v>
      </c>
      <c r="B8" s="36">
        <v>7896094932586</v>
      </c>
      <c r="C8" s="36" t="s">
        <v>802</v>
      </c>
      <c r="D8" s="37" t="s">
        <v>804</v>
      </c>
      <c r="E8" s="14">
        <v>24</v>
      </c>
      <c r="F8" s="33">
        <v>32.81</v>
      </c>
      <c r="G8" s="16">
        <v>0.65629999999999999</v>
      </c>
      <c r="H8" s="16">
        <v>5.6820000000000002E-2</v>
      </c>
      <c r="I8" s="15">
        <f t="shared" si="0"/>
        <v>11.276797000000002</v>
      </c>
      <c r="J8" s="15">
        <f t="shared" si="1"/>
        <v>10.636049394460002</v>
      </c>
      <c r="K8" s="17">
        <v>0.67979999999999996</v>
      </c>
      <c r="L8" s="15">
        <f t="shared" si="2"/>
        <v>10.505762000000001</v>
      </c>
      <c r="M8" s="18">
        <f t="shared" si="3"/>
        <v>9.9088246031600011</v>
      </c>
      <c r="N8" s="30">
        <v>0</v>
      </c>
      <c r="O8" s="20"/>
      <c r="P8" s="10">
        <f t="shared" si="4"/>
        <v>0</v>
      </c>
    </row>
    <row r="9" spans="1:16" x14ac:dyDescent="0.25">
      <c r="A9" s="36" t="s">
        <v>460</v>
      </c>
      <c r="B9" s="36">
        <v>7896714265308</v>
      </c>
      <c r="C9" s="36" t="s">
        <v>230</v>
      </c>
      <c r="D9" s="37" t="s">
        <v>65</v>
      </c>
      <c r="E9" s="14">
        <v>100</v>
      </c>
      <c r="F9" s="33">
        <v>26.98</v>
      </c>
      <c r="G9" s="16">
        <v>0.84230000000000005</v>
      </c>
      <c r="H9" s="16">
        <v>5.6820000000000002E-2</v>
      </c>
      <c r="I9" s="15">
        <f t="shared" si="0"/>
        <v>4.2547459999999973</v>
      </c>
      <c r="J9" s="15">
        <f t="shared" si="1"/>
        <v>4.0129913322799977</v>
      </c>
      <c r="K9" s="17">
        <v>0.84989999999999999</v>
      </c>
      <c r="L9" s="15">
        <f t="shared" si="2"/>
        <v>4.0496979999999994</v>
      </c>
      <c r="M9" s="18">
        <f t="shared" si="3"/>
        <v>3.8195941596399994</v>
      </c>
      <c r="N9" s="30">
        <v>0</v>
      </c>
      <c r="O9" s="20"/>
      <c r="P9" s="10">
        <f t="shared" si="4"/>
        <v>0</v>
      </c>
    </row>
    <row r="10" spans="1:16" x14ac:dyDescent="0.25">
      <c r="A10" s="36" t="s">
        <v>460</v>
      </c>
      <c r="B10" s="36">
        <v>7896094932302</v>
      </c>
      <c r="C10" s="36" t="s">
        <v>827</v>
      </c>
      <c r="D10" s="37" t="s">
        <v>829</v>
      </c>
      <c r="E10" s="14">
        <v>72</v>
      </c>
      <c r="F10" s="33">
        <v>68.290000000000006</v>
      </c>
      <c r="G10" s="16">
        <v>0.16259999999999999</v>
      </c>
      <c r="H10" s="16">
        <v>5.6820000000000002E-2</v>
      </c>
      <c r="I10" s="15">
        <f t="shared" si="0"/>
        <v>57.186046000000005</v>
      </c>
      <c r="J10" s="15">
        <f t="shared" si="1"/>
        <v>53.936734866280005</v>
      </c>
      <c r="K10" s="17">
        <v>0.28789999999999999</v>
      </c>
      <c r="L10" s="15">
        <f t="shared" si="2"/>
        <v>48.629309000000006</v>
      </c>
      <c r="M10" s="18">
        <f t="shared" si="3"/>
        <v>45.866191662620004</v>
      </c>
      <c r="N10" s="30">
        <v>0</v>
      </c>
      <c r="O10" s="20"/>
      <c r="P10" s="10">
        <f t="shared" si="4"/>
        <v>0</v>
      </c>
    </row>
    <row r="11" spans="1:16" x14ac:dyDescent="0.25">
      <c r="A11" s="36" t="s">
        <v>460</v>
      </c>
      <c r="B11" s="36">
        <v>7896714231204</v>
      </c>
      <c r="C11" s="36" t="s">
        <v>231</v>
      </c>
      <c r="D11" s="37" t="s">
        <v>372</v>
      </c>
      <c r="E11" s="14">
        <v>60</v>
      </c>
      <c r="F11" s="33">
        <v>33.549999999999997</v>
      </c>
      <c r="G11" s="16">
        <v>0.91500000000000004</v>
      </c>
      <c r="H11" s="16">
        <v>5.6820000000000002E-2</v>
      </c>
      <c r="I11" s="15">
        <f t="shared" si="0"/>
        <v>2.8517499999999991</v>
      </c>
      <c r="J11" s="15">
        <f t="shared" si="1"/>
        <v>2.689713564999999</v>
      </c>
      <c r="K11" s="17">
        <v>0.91900000000000004</v>
      </c>
      <c r="L11" s="15">
        <f t="shared" si="2"/>
        <v>2.7175499999999992</v>
      </c>
      <c r="M11" s="18">
        <f t="shared" si="3"/>
        <v>2.5631388089999994</v>
      </c>
      <c r="N11" s="30">
        <v>0</v>
      </c>
      <c r="O11" s="20"/>
      <c r="P11" s="10">
        <f t="shared" si="4"/>
        <v>0</v>
      </c>
    </row>
    <row r="12" spans="1:16" x14ac:dyDescent="0.25">
      <c r="A12" s="36" t="s">
        <v>460</v>
      </c>
      <c r="B12" s="36">
        <v>7896714205731</v>
      </c>
      <c r="C12" s="36" t="s">
        <v>340</v>
      </c>
      <c r="D12" s="37" t="s">
        <v>66</v>
      </c>
      <c r="E12" s="14">
        <v>30</v>
      </c>
      <c r="F12" s="33">
        <v>30.08</v>
      </c>
      <c r="G12" s="16">
        <v>0.65210000000000001</v>
      </c>
      <c r="H12" s="16">
        <v>5.6820000000000002E-2</v>
      </c>
      <c r="I12" s="15">
        <f t="shared" si="0"/>
        <v>10.464831999999998</v>
      </c>
      <c r="J12" s="15">
        <f t="shared" si="1"/>
        <v>9.870220245759997</v>
      </c>
      <c r="K12" s="17">
        <v>0.66869999999999996</v>
      </c>
      <c r="L12" s="15">
        <f t="shared" si="2"/>
        <v>9.9655039999999993</v>
      </c>
      <c r="M12" s="18">
        <f t="shared" si="3"/>
        <v>9.3992640627199986</v>
      </c>
      <c r="N12" s="30">
        <v>0</v>
      </c>
      <c r="O12" s="20"/>
      <c r="P12" s="10">
        <f t="shared" si="4"/>
        <v>0</v>
      </c>
    </row>
    <row r="13" spans="1:16" x14ac:dyDescent="0.25">
      <c r="A13" s="36" t="s">
        <v>460</v>
      </c>
      <c r="B13" s="36">
        <v>7896714204079</v>
      </c>
      <c r="C13" s="36" t="s">
        <v>232</v>
      </c>
      <c r="D13" s="37" t="s">
        <v>67</v>
      </c>
      <c r="E13" s="14">
        <v>60</v>
      </c>
      <c r="F13" s="33">
        <v>29.25</v>
      </c>
      <c r="G13" s="16">
        <v>0.70469999999999999</v>
      </c>
      <c r="H13" s="16">
        <v>5.6820000000000002E-2</v>
      </c>
      <c r="I13" s="15">
        <f t="shared" si="0"/>
        <v>8.6375250000000001</v>
      </c>
      <c r="J13" s="15">
        <f t="shared" si="1"/>
        <v>8.1467408295000006</v>
      </c>
      <c r="K13" s="17">
        <v>0.71879999999999999</v>
      </c>
      <c r="L13" s="15">
        <f t="shared" si="2"/>
        <v>8.2251000000000012</v>
      </c>
      <c r="M13" s="18">
        <f t="shared" si="3"/>
        <v>7.7577498180000006</v>
      </c>
      <c r="N13" s="30">
        <v>0</v>
      </c>
      <c r="O13" s="20"/>
      <c r="P13" s="10">
        <f t="shared" si="4"/>
        <v>0</v>
      </c>
    </row>
    <row r="14" spans="1:16" ht="15" customHeight="1" x14ac:dyDescent="0.25">
      <c r="A14" s="36" t="s">
        <v>460</v>
      </c>
      <c r="B14" s="36">
        <v>7896714207384</v>
      </c>
      <c r="C14" s="36" t="s">
        <v>341</v>
      </c>
      <c r="D14" s="37" t="s">
        <v>68</v>
      </c>
      <c r="E14" s="14">
        <v>60</v>
      </c>
      <c r="F14" s="33">
        <v>37.64</v>
      </c>
      <c r="G14" s="16">
        <v>0.7954</v>
      </c>
      <c r="H14" s="16">
        <v>5.6820000000000002E-2</v>
      </c>
      <c r="I14" s="15">
        <f t="shared" si="0"/>
        <v>7.7011439999999993</v>
      </c>
      <c r="J14" s="15">
        <f t="shared" si="1"/>
        <v>7.2635649979199997</v>
      </c>
      <c r="K14" s="17">
        <v>0.80510000000000004</v>
      </c>
      <c r="L14" s="15">
        <f t="shared" si="2"/>
        <v>7.336036</v>
      </c>
      <c r="M14" s="18">
        <f t="shared" si="3"/>
        <v>6.9192024344799998</v>
      </c>
      <c r="N14" s="30">
        <v>0</v>
      </c>
      <c r="O14" s="20"/>
      <c r="P14" s="10">
        <f t="shared" si="4"/>
        <v>0</v>
      </c>
    </row>
    <row r="15" spans="1:16" ht="15" customHeight="1" x14ac:dyDescent="0.25">
      <c r="A15" s="36" t="s">
        <v>460</v>
      </c>
      <c r="B15" s="36">
        <v>7896714291963</v>
      </c>
      <c r="C15" s="36" t="s">
        <v>474</v>
      </c>
      <c r="D15" s="37" t="s">
        <v>478</v>
      </c>
      <c r="E15" s="14">
        <v>24</v>
      </c>
      <c r="F15" s="33">
        <v>62.41</v>
      </c>
      <c r="G15" s="16">
        <v>0.45590000000000003</v>
      </c>
      <c r="H15" s="16">
        <v>0.13542000000000001</v>
      </c>
      <c r="I15" s="15">
        <f t="shared" si="0"/>
        <v>33.957280999999995</v>
      </c>
      <c r="J15" s="15">
        <f t="shared" si="1"/>
        <v>29.358786006979994</v>
      </c>
      <c r="K15" s="17">
        <v>0.65010000000000001</v>
      </c>
      <c r="L15" s="15">
        <f t="shared" si="2"/>
        <v>21.837258999999996</v>
      </c>
      <c r="M15" s="18">
        <f t="shared" si="3"/>
        <v>18.880057386219995</v>
      </c>
      <c r="N15" s="30">
        <v>0</v>
      </c>
      <c r="O15" s="20"/>
      <c r="P15" s="10">
        <f t="shared" si="4"/>
        <v>0</v>
      </c>
    </row>
    <row r="16" spans="1:16" ht="15" customHeight="1" x14ac:dyDescent="0.25">
      <c r="A16" s="36" t="s">
        <v>460</v>
      </c>
      <c r="B16" s="36">
        <v>7896714291956</v>
      </c>
      <c r="C16" s="36" t="s">
        <v>475</v>
      </c>
      <c r="D16" s="37" t="s">
        <v>479</v>
      </c>
      <c r="E16" s="14">
        <v>24</v>
      </c>
      <c r="F16" s="33">
        <v>187.24</v>
      </c>
      <c r="G16" s="16">
        <v>0.45879999999999999</v>
      </c>
      <c r="H16" s="16">
        <v>0.13542000000000001</v>
      </c>
      <c r="I16" s="15">
        <f t="shared" si="0"/>
        <v>101.334288</v>
      </c>
      <c r="J16" s="15">
        <f t="shared" si="1"/>
        <v>87.611598719040003</v>
      </c>
      <c r="K16" s="17">
        <v>0.71340000000000003</v>
      </c>
      <c r="L16" s="15">
        <f t="shared" si="2"/>
        <v>53.662983999999994</v>
      </c>
      <c r="M16" s="18">
        <f t="shared" si="3"/>
        <v>46.395942706719993</v>
      </c>
      <c r="N16" s="30">
        <v>0</v>
      </c>
      <c r="O16" s="20"/>
      <c r="P16" s="10">
        <f t="shared" si="4"/>
        <v>0</v>
      </c>
    </row>
    <row r="17" spans="1:16" ht="15" customHeight="1" x14ac:dyDescent="0.25">
      <c r="A17" s="36" t="s">
        <v>460</v>
      </c>
      <c r="B17" s="36">
        <v>7896714291932</v>
      </c>
      <c r="C17" s="36" t="s">
        <v>476</v>
      </c>
      <c r="D17" s="37" t="s">
        <v>480</v>
      </c>
      <c r="E17" s="14">
        <v>24</v>
      </c>
      <c r="F17" s="33">
        <v>187.24</v>
      </c>
      <c r="G17" s="16">
        <v>0.44090000000000001</v>
      </c>
      <c r="H17" s="16">
        <v>0.13542000000000001</v>
      </c>
      <c r="I17" s="15">
        <f t="shared" si="0"/>
        <v>104.685884</v>
      </c>
      <c r="J17" s="15">
        <f t="shared" si="1"/>
        <v>90.509321588719999</v>
      </c>
      <c r="K17" s="17">
        <v>0.67069999999999996</v>
      </c>
      <c r="L17" s="15">
        <f t="shared" si="2"/>
        <v>61.658132000000009</v>
      </c>
      <c r="M17" s="18">
        <f t="shared" si="3"/>
        <v>53.30838776456001</v>
      </c>
      <c r="N17" s="30">
        <v>0</v>
      </c>
      <c r="O17" s="20"/>
      <c r="P17" s="10">
        <f t="shared" si="4"/>
        <v>0</v>
      </c>
    </row>
    <row r="18" spans="1:16" ht="15" customHeight="1" x14ac:dyDescent="0.25">
      <c r="A18" s="36" t="s">
        <v>460</v>
      </c>
      <c r="B18" s="36">
        <v>7896714291949</v>
      </c>
      <c r="C18" s="36" t="s">
        <v>477</v>
      </c>
      <c r="D18" s="37" t="s">
        <v>481</v>
      </c>
      <c r="E18" s="14">
        <v>24</v>
      </c>
      <c r="F18" s="33">
        <v>62.41</v>
      </c>
      <c r="G18" s="16">
        <v>0.46100000000000002</v>
      </c>
      <c r="H18" s="16">
        <v>0.13542000000000001</v>
      </c>
      <c r="I18" s="15">
        <f t="shared" si="0"/>
        <v>33.638989999999993</v>
      </c>
      <c r="J18" s="15">
        <f t="shared" si="1"/>
        <v>29.083597974199993</v>
      </c>
      <c r="K18" s="17">
        <v>0.58840000000000003</v>
      </c>
      <c r="L18" s="15">
        <f t="shared" si="2"/>
        <v>25.687956</v>
      </c>
      <c r="M18" s="18">
        <f t="shared" si="3"/>
        <v>22.209292998479999</v>
      </c>
      <c r="N18" s="30">
        <v>0</v>
      </c>
      <c r="O18" s="20"/>
      <c r="P18" s="10">
        <f t="shared" si="4"/>
        <v>0</v>
      </c>
    </row>
    <row r="19" spans="1:16" x14ac:dyDescent="0.25">
      <c r="A19" s="36" t="s">
        <v>460</v>
      </c>
      <c r="B19" s="36">
        <v>7896714273709</v>
      </c>
      <c r="C19" s="36" t="s">
        <v>435</v>
      </c>
      <c r="D19" s="37" t="s">
        <v>69</v>
      </c>
      <c r="E19" s="14">
        <v>48</v>
      </c>
      <c r="F19" s="33">
        <v>210.34</v>
      </c>
      <c r="G19" s="16">
        <v>0.42249999999999999</v>
      </c>
      <c r="H19" s="16">
        <v>5.6820000000000002E-2</v>
      </c>
      <c r="I19" s="15">
        <f t="shared" si="0"/>
        <v>121.47135</v>
      </c>
      <c r="J19" s="15">
        <f t="shared" si="1"/>
        <v>114.569347893</v>
      </c>
      <c r="K19" s="17">
        <v>0.45</v>
      </c>
      <c r="L19" s="15">
        <f t="shared" si="2"/>
        <v>115.687</v>
      </c>
      <c r="M19" s="18">
        <f t="shared" si="3"/>
        <v>109.11366466</v>
      </c>
      <c r="N19" s="30">
        <v>0</v>
      </c>
      <c r="O19" s="20"/>
      <c r="P19" s="10">
        <f t="shared" si="4"/>
        <v>0</v>
      </c>
    </row>
    <row r="20" spans="1:16" x14ac:dyDescent="0.25">
      <c r="A20" s="36" t="s">
        <v>460</v>
      </c>
      <c r="B20" s="36">
        <v>7896714273723</v>
      </c>
      <c r="C20" s="36" t="s">
        <v>396</v>
      </c>
      <c r="D20" s="37" t="s">
        <v>70</v>
      </c>
      <c r="E20" s="14">
        <v>42</v>
      </c>
      <c r="F20" s="33">
        <v>315.06</v>
      </c>
      <c r="G20" s="16">
        <v>0.50600000000000001</v>
      </c>
      <c r="H20" s="16">
        <v>5.6820000000000002E-2</v>
      </c>
      <c r="I20" s="15">
        <f t="shared" si="0"/>
        <v>155.63963999999999</v>
      </c>
      <c r="J20" s="15">
        <f t="shared" si="1"/>
        <v>146.79619565519999</v>
      </c>
      <c r="K20" s="17">
        <v>0.52949999999999997</v>
      </c>
      <c r="L20" s="15">
        <f t="shared" si="2"/>
        <v>148.23573000000002</v>
      </c>
      <c r="M20" s="18">
        <f t="shared" si="3"/>
        <v>139.81297582140002</v>
      </c>
      <c r="N20" s="30">
        <v>0</v>
      </c>
      <c r="O20" s="20"/>
      <c r="P20" s="10">
        <f t="shared" si="4"/>
        <v>0</v>
      </c>
    </row>
    <row r="21" spans="1:16" x14ac:dyDescent="0.25">
      <c r="A21" s="36" t="s">
        <v>460</v>
      </c>
      <c r="B21" s="36">
        <v>7896714262031</v>
      </c>
      <c r="C21" s="36" t="s">
        <v>342</v>
      </c>
      <c r="D21" s="37" t="s">
        <v>71</v>
      </c>
      <c r="E21" s="14">
        <v>60</v>
      </c>
      <c r="F21" s="33">
        <v>6.33</v>
      </c>
      <c r="G21" s="16">
        <v>0.6653</v>
      </c>
      <c r="H21" s="16">
        <v>5.6820000000000002E-2</v>
      </c>
      <c r="I21" s="15">
        <f t="shared" si="0"/>
        <v>2.1186509999999998</v>
      </c>
      <c r="J21" s="15">
        <f t="shared" si="1"/>
        <v>1.9982692501799999</v>
      </c>
      <c r="K21" s="17">
        <v>0.68220000000000003</v>
      </c>
      <c r="L21" s="15">
        <f t="shared" si="2"/>
        <v>2.0116740000000002</v>
      </c>
      <c r="M21" s="18">
        <f t="shared" si="3"/>
        <v>1.8973706833200001</v>
      </c>
      <c r="N21" s="30">
        <v>0</v>
      </c>
      <c r="O21" s="20"/>
      <c r="P21" s="10">
        <f t="shared" si="4"/>
        <v>0</v>
      </c>
    </row>
    <row r="22" spans="1:16" x14ac:dyDescent="0.25">
      <c r="A22" s="36" t="s">
        <v>460</v>
      </c>
      <c r="B22" s="36">
        <v>7896714215129</v>
      </c>
      <c r="C22" s="36" t="s">
        <v>343</v>
      </c>
      <c r="D22" s="37" t="s">
        <v>72</v>
      </c>
      <c r="E22" s="14">
        <v>60</v>
      </c>
      <c r="F22" s="33">
        <v>14.31</v>
      </c>
      <c r="G22" s="16">
        <v>0.76900000000000002</v>
      </c>
      <c r="H22" s="16">
        <v>5.6820000000000002E-2</v>
      </c>
      <c r="I22" s="15">
        <f t="shared" si="0"/>
        <v>3.3056099999999997</v>
      </c>
      <c r="J22" s="15">
        <f t="shared" si="1"/>
        <v>3.1177852397999999</v>
      </c>
      <c r="K22" s="17">
        <v>0.78029999999999999</v>
      </c>
      <c r="L22" s="15">
        <f t="shared" si="2"/>
        <v>3.1439070000000005</v>
      </c>
      <c r="M22" s="18">
        <f t="shared" si="3"/>
        <v>2.9652702042600003</v>
      </c>
      <c r="N22" s="30">
        <v>0</v>
      </c>
      <c r="O22" s="20"/>
      <c r="P22" s="10">
        <f t="shared" si="4"/>
        <v>0</v>
      </c>
    </row>
    <row r="23" spans="1:16" ht="15" customHeight="1" x14ac:dyDescent="0.25">
      <c r="A23" s="36" t="s">
        <v>460</v>
      </c>
      <c r="B23" s="36">
        <v>7896714273815</v>
      </c>
      <c r="C23" s="36" t="s">
        <v>679</v>
      </c>
      <c r="D23" s="37" t="s">
        <v>678</v>
      </c>
      <c r="E23" s="14">
        <v>42</v>
      </c>
      <c r="F23" s="33">
        <v>108.84</v>
      </c>
      <c r="G23" s="16">
        <v>0.59370000000000001</v>
      </c>
      <c r="H23" s="16">
        <v>0.13542000000000001</v>
      </c>
      <c r="I23" s="15">
        <f t="shared" si="0"/>
        <v>44.221692000000004</v>
      </c>
      <c r="J23" s="15">
        <f t="shared" si="1"/>
        <v>38.233190469360004</v>
      </c>
      <c r="K23" s="17">
        <v>0.61309999999999998</v>
      </c>
      <c r="L23" s="15">
        <f t="shared" si="2"/>
        <v>42.110196000000002</v>
      </c>
      <c r="M23" s="18">
        <f t="shared" si="3"/>
        <v>36.407633257680004</v>
      </c>
      <c r="N23" s="30">
        <v>0</v>
      </c>
      <c r="O23" s="20"/>
      <c r="P23" s="10">
        <f t="shared" si="4"/>
        <v>0</v>
      </c>
    </row>
    <row r="24" spans="1:16" x14ac:dyDescent="0.25">
      <c r="A24" s="36" t="s">
        <v>460</v>
      </c>
      <c r="B24" s="36">
        <v>7896714274126</v>
      </c>
      <c r="C24" s="36" t="s">
        <v>449</v>
      </c>
      <c r="D24" s="37" t="s">
        <v>450</v>
      </c>
      <c r="E24" s="14">
        <v>60</v>
      </c>
      <c r="F24" s="33">
        <v>136.05000000000001</v>
      </c>
      <c r="G24" s="16">
        <v>0.52949999999999997</v>
      </c>
      <c r="H24" s="16">
        <v>0.13542000000000001</v>
      </c>
      <c r="I24" s="15">
        <f t="shared" si="0"/>
        <v>64.011525000000006</v>
      </c>
      <c r="J24" s="15">
        <f t="shared" si="1"/>
        <v>55.343084284500009</v>
      </c>
      <c r="K24" s="17">
        <v>0.55189999999999995</v>
      </c>
      <c r="L24" s="15">
        <f t="shared" si="2"/>
        <v>60.964005000000014</v>
      </c>
      <c r="M24" s="18">
        <f t="shared" si="3"/>
        <v>52.708259442900015</v>
      </c>
      <c r="N24" s="30">
        <v>0</v>
      </c>
      <c r="O24" s="20"/>
      <c r="P24" s="10">
        <f t="shared" si="4"/>
        <v>0</v>
      </c>
    </row>
    <row r="25" spans="1:16" ht="15" customHeight="1" x14ac:dyDescent="0.25">
      <c r="A25" s="36" t="s">
        <v>460</v>
      </c>
      <c r="B25" s="36">
        <v>7896714215891</v>
      </c>
      <c r="C25" s="36" t="s">
        <v>344</v>
      </c>
      <c r="D25" s="37" t="s">
        <v>73</v>
      </c>
      <c r="E25" s="14">
        <v>60</v>
      </c>
      <c r="F25" s="33">
        <v>17.18</v>
      </c>
      <c r="G25" s="16">
        <v>0.79969999999999997</v>
      </c>
      <c r="H25" s="16">
        <v>5.6820000000000002E-2</v>
      </c>
      <c r="I25" s="15">
        <f t="shared" si="0"/>
        <v>3.4411540000000009</v>
      </c>
      <c r="J25" s="15">
        <f t="shared" si="1"/>
        <v>3.2456276297200009</v>
      </c>
      <c r="K25" s="17">
        <v>0.80959999999999999</v>
      </c>
      <c r="L25" s="15">
        <f t="shared" si="2"/>
        <v>3.2710720000000002</v>
      </c>
      <c r="M25" s="18">
        <f t="shared" si="3"/>
        <v>3.08520968896</v>
      </c>
      <c r="N25" s="30">
        <v>0</v>
      </c>
      <c r="O25" s="20"/>
      <c r="P25" s="10">
        <f t="shared" si="4"/>
        <v>0</v>
      </c>
    </row>
    <row r="26" spans="1:16" ht="15" customHeight="1" x14ac:dyDescent="0.25">
      <c r="A26" s="36" t="s">
        <v>460</v>
      </c>
      <c r="B26" s="36">
        <v>7896714208145</v>
      </c>
      <c r="C26" s="36" t="s">
        <v>345</v>
      </c>
      <c r="D26" s="37" t="s">
        <v>74</v>
      </c>
      <c r="E26" s="14">
        <v>60</v>
      </c>
      <c r="F26" s="33">
        <v>33.18</v>
      </c>
      <c r="G26" s="16">
        <v>0.86950000000000005</v>
      </c>
      <c r="H26" s="16">
        <v>5.6820000000000002E-2</v>
      </c>
      <c r="I26" s="15">
        <f t="shared" si="0"/>
        <v>4.3299899999999987</v>
      </c>
      <c r="J26" s="15">
        <f t="shared" si="1"/>
        <v>4.0839599681999985</v>
      </c>
      <c r="K26" s="17">
        <v>0.87560000000000004</v>
      </c>
      <c r="L26" s="15">
        <f t="shared" si="2"/>
        <v>4.1275919999999999</v>
      </c>
      <c r="M26" s="18">
        <f t="shared" si="3"/>
        <v>3.8930622225599998</v>
      </c>
      <c r="N26" s="30">
        <v>0</v>
      </c>
      <c r="O26" s="20"/>
      <c r="P26" s="10">
        <f t="shared" si="4"/>
        <v>0</v>
      </c>
    </row>
    <row r="27" spans="1:16" ht="15" customHeight="1" x14ac:dyDescent="0.25">
      <c r="A27" s="36" t="s">
        <v>460</v>
      </c>
      <c r="B27" s="36">
        <v>7896714215501</v>
      </c>
      <c r="C27" s="36" t="s">
        <v>233</v>
      </c>
      <c r="D27" s="37" t="s">
        <v>75</v>
      </c>
      <c r="E27" s="14">
        <v>24</v>
      </c>
      <c r="F27" s="33">
        <v>54.01</v>
      </c>
      <c r="G27" s="16">
        <v>0.78420000000000001</v>
      </c>
      <c r="H27" s="16">
        <v>5.6820000000000002E-2</v>
      </c>
      <c r="I27" s="15">
        <f t="shared" si="0"/>
        <v>11.655358</v>
      </c>
      <c r="J27" s="15">
        <f t="shared" si="1"/>
        <v>10.99310055844</v>
      </c>
      <c r="K27" s="17">
        <v>0.79449999999999998</v>
      </c>
      <c r="L27" s="15">
        <f t="shared" si="2"/>
        <v>11.099055</v>
      </c>
      <c r="M27" s="18">
        <f t="shared" si="3"/>
        <v>10.468406694900001</v>
      </c>
      <c r="N27" s="30">
        <v>0</v>
      </c>
      <c r="O27" s="20"/>
      <c r="P27" s="10">
        <f t="shared" si="4"/>
        <v>0</v>
      </c>
    </row>
    <row r="28" spans="1:16" ht="15" customHeight="1" x14ac:dyDescent="0.25">
      <c r="A28" s="36" t="s">
        <v>460</v>
      </c>
      <c r="B28" s="36">
        <v>7896714215495</v>
      </c>
      <c r="C28" s="36" t="s">
        <v>234</v>
      </c>
      <c r="D28" s="37" t="s">
        <v>76</v>
      </c>
      <c r="E28" s="14">
        <v>24</v>
      </c>
      <c r="F28" s="33">
        <v>66.510000000000005</v>
      </c>
      <c r="G28" s="16">
        <v>0.79049999999999998</v>
      </c>
      <c r="H28" s="16">
        <v>5.6820000000000002E-2</v>
      </c>
      <c r="I28" s="15">
        <f t="shared" si="0"/>
        <v>13.933845000000005</v>
      </c>
      <c r="J28" s="15">
        <f t="shared" si="1"/>
        <v>13.142123927100005</v>
      </c>
      <c r="K28" s="17">
        <v>0.8004</v>
      </c>
      <c r="L28" s="15">
        <f t="shared" si="2"/>
        <v>13.275396000000001</v>
      </c>
      <c r="M28" s="18">
        <f t="shared" si="3"/>
        <v>12.521087999280001</v>
      </c>
      <c r="N28" s="30">
        <v>0</v>
      </c>
      <c r="O28" s="20"/>
      <c r="P28" s="10">
        <f t="shared" si="4"/>
        <v>0</v>
      </c>
    </row>
    <row r="29" spans="1:16" ht="15" customHeight="1" x14ac:dyDescent="0.25">
      <c r="A29" s="36" t="s">
        <v>460</v>
      </c>
      <c r="B29" s="36">
        <v>7896714211312</v>
      </c>
      <c r="C29" s="36" t="s">
        <v>235</v>
      </c>
      <c r="D29" s="37" t="s">
        <v>77</v>
      </c>
      <c r="E29" s="14">
        <v>60</v>
      </c>
      <c r="F29" s="33">
        <v>23.36</v>
      </c>
      <c r="G29" s="16">
        <v>0.82799999999999996</v>
      </c>
      <c r="H29" s="16">
        <v>5.6820000000000002E-2</v>
      </c>
      <c r="I29" s="15">
        <f t="shared" si="0"/>
        <v>4.0179200000000002</v>
      </c>
      <c r="J29" s="15">
        <f t="shared" si="1"/>
        <v>3.7896217856000001</v>
      </c>
      <c r="K29" s="17">
        <v>0.83609999999999995</v>
      </c>
      <c r="L29" s="15">
        <f t="shared" si="2"/>
        <v>3.8287040000000019</v>
      </c>
      <c r="M29" s="18">
        <f t="shared" si="3"/>
        <v>3.6111570387200018</v>
      </c>
      <c r="N29" s="30">
        <v>0</v>
      </c>
      <c r="O29" s="20"/>
      <c r="P29" s="10">
        <f t="shared" si="4"/>
        <v>0</v>
      </c>
    </row>
    <row r="30" spans="1:16" ht="15" customHeight="1" x14ac:dyDescent="0.25">
      <c r="A30" s="36" t="s">
        <v>460</v>
      </c>
      <c r="B30" s="36">
        <v>7896714211305</v>
      </c>
      <c r="C30" s="36" t="s">
        <v>312</v>
      </c>
      <c r="D30" s="37" t="s">
        <v>313</v>
      </c>
      <c r="E30" s="14">
        <v>60</v>
      </c>
      <c r="F30" s="33">
        <v>35.49</v>
      </c>
      <c r="G30" s="16">
        <v>0.9486</v>
      </c>
      <c r="H30" s="16">
        <v>5.6820000000000002E-2</v>
      </c>
      <c r="I30" s="15">
        <f t="shared" si="0"/>
        <v>1.8241859999999974</v>
      </c>
      <c r="J30" s="15">
        <f t="shared" si="1"/>
        <v>1.7205357514799975</v>
      </c>
      <c r="K30" s="17">
        <v>0.95089999999999997</v>
      </c>
      <c r="L30" s="15">
        <f t="shared" si="2"/>
        <v>1.742559</v>
      </c>
      <c r="M30" s="18">
        <f t="shared" si="3"/>
        <v>1.64354679762</v>
      </c>
      <c r="N30" s="30">
        <v>0</v>
      </c>
      <c r="O30" s="20"/>
      <c r="P30" s="10">
        <f t="shared" si="4"/>
        <v>0</v>
      </c>
    </row>
    <row r="31" spans="1:16" ht="15" customHeight="1" x14ac:dyDescent="0.25">
      <c r="A31" s="36" t="s">
        <v>460</v>
      </c>
      <c r="B31" s="36">
        <v>7896714292229</v>
      </c>
      <c r="C31" s="36" t="s">
        <v>552</v>
      </c>
      <c r="D31" s="37" t="s">
        <v>564</v>
      </c>
      <c r="E31" s="14">
        <v>60</v>
      </c>
      <c r="F31" s="33">
        <v>74.58</v>
      </c>
      <c r="G31" s="16">
        <v>0.53290000000000004</v>
      </c>
      <c r="H31" s="16">
        <v>5.6820000000000002E-2</v>
      </c>
      <c r="I31" s="15">
        <f t="shared" si="0"/>
        <v>34.836317999999999</v>
      </c>
      <c r="J31" s="15">
        <f t="shared" si="1"/>
        <v>32.856918411239995</v>
      </c>
      <c r="K31" s="17">
        <v>0.56510000000000005</v>
      </c>
      <c r="L31" s="15">
        <f t="shared" si="2"/>
        <v>32.434841999999996</v>
      </c>
      <c r="M31" s="18">
        <f t="shared" si="3"/>
        <v>30.591894277559994</v>
      </c>
      <c r="N31" s="30">
        <v>0</v>
      </c>
      <c r="O31" s="20"/>
      <c r="P31" s="10">
        <f t="shared" si="4"/>
        <v>0</v>
      </c>
    </row>
    <row r="32" spans="1:16" x14ac:dyDescent="0.25">
      <c r="A32" s="36" t="s">
        <v>460</v>
      </c>
      <c r="B32" s="36">
        <v>7896714292212</v>
      </c>
      <c r="C32" s="36" t="s">
        <v>551</v>
      </c>
      <c r="D32" s="37" t="s">
        <v>565</v>
      </c>
      <c r="E32" s="14">
        <v>60</v>
      </c>
      <c r="F32" s="33">
        <v>38.659999999999997</v>
      </c>
      <c r="G32" s="16">
        <v>0.5363</v>
      </c>
      <c r="H32" s="16">
        <v>5.6820000000000002E-2</v>
      </c>
      <c r="I32" s="15">
        <f t="shared" si="0"/>
        <v>17.926641999999998</v>
      </c>
      <c r="J32" s="15">
        <f t="shared" si="1"/>
        <v>16.908050201559998</v>
      </c>
      <c r="K32" s="17">
        <v>0.56989999999999996</v>
      </c>
      <c r="L32" s="15">
        <f t="shared" si="2"/>
        <v>16.627666000000001</v>
      </c>
      <c r="M32" s="18">
        <f t="shared" si="3"/>
        <v>15.682882017880001</v>
      </c>
      <c r="N32" s="30">
        <v>0</v>
      </c>
      <c r="O32" s="20"/>
      <c r="P32" s="10">
        <f t="shared" si="4"/>
        <v>0</v>
      </c>
    </row>
    <row r="33" spans="1:16" ht="15" customHeight="1" x14ac:dyDescent="0.25">
      <c r="A33" s="36" t="s">
        <v>460</v>
      </c>
      <c r="B33" s="36">
        <v>7896714292236</v>
      </c>
      <c r="C33" s="36" t="s">
        <v>553</v>
      </c>
      <c r="D33" s="37" t="s">
        <v>566</v>
      </c>
      <c r="E33" s="14">
        <v>60</v>
      </c>
      <c r="F33" s="33">
        <v>75.099999999999994</v>
      </c>
      <c r="G33" s="16">
        <v>0.52739999999999998</v>
      </c>
      <c r="H33" s="16">
        <v>5.6820000000000002E-2</v>
      </c>
      <c r="I33" s="15">
        <f t="shared" si="0"/>
        <v>35.492260000000002</v>
      </c>
      <c r="J33" s="15">
        <f t="shared" si="1"/>
        <v>33.475589786800001</v>
      </c>
      <c r="K33" s="17">
        <v>0.5615</v>
      </c>
      <c r="L33" s="15">
        <f t="shared" si="2"/>
        <v>32.931349999999995</v>
      </c>
      <c r="M33" s="18">
        <f t="shared" si="3"/>
        <v>31.060190692999996</v>
      </c>
      <c r="N33" s="30">
        <v>0</v>
      </c>
      <c r="O33" s="20"/>
      <c r="P33" s="10">
        <f t="shared" si="4"/>
        <v>0</v>
      </c>
    </row>
    <row r="34" spans="1:16" ht="15" customHeight="1" x14ac:dyDescent="0.25">
      <c r="A34" s="36" t="s">
        <v>460</v>
      </c>
      <c r="B34" s="36">
        <v>7896714293103</v>
      </c>
      <c r="C34" s="36" t="s">
        <v>608</v>
      </c>
      <c r="D34" s="37" t="s">
        <v>609</v>
      </c>
      <c r="E34" s="14">
        <v>60</v>
      </c>
      <c r="F34" s="33">
        <v>36.06</v>
      </c>
      <c r="G34" s="16">
        <v>0.4647</v>
      </c>
      <c r="H34" s="16">
        <v>5.6820000000000002E-2</v>
      </c>
      <c r="I34" s="15">
        <f t="shared" si="0"/>
        <v>19.302918000000002</v>
      </c>
      <c r="J34" s="15">
        <f t="shared" si="1"/>
        <v>18.206126199240003</v>
      </c>
      <c r="K34" s="17">
        <v>0.50370000000000004</v>
      </c>
      <c r="L34" s="15">
        <f t="shared" si="2"/>
        <v>17.896577999999998</v>
      </c>
      <c r="M34" s="18">
        <f t="shared" si="3"/>
        <v>16.879694438039998</v>
      </c>
      <c r="N34" s="30">
        <v>0</v>
      </c>
      <c r="O34" s="20"/>
      <c r="P34" s="10">
        <f t="shared" si="4"/>
        <v>0</v>
      </c>
    </row>
    <row r="35" spans="1:16" ht="15" customHeight="1" x14ac:dyDescent="0.25">
      <c r="A35" s="36" t="s">
        <v>460</v>
      </c>
      <c r="B35" s="36">
        <v>7896714293110</v>
      </c>
      <c r="C35" s="36" t="s">
        <v>610</v>
      </c>
      <c r="D35" s="37" t="s">
        <v>611</v>
      </c>
      <c r="E35" s="14">
        <v>60</v>
      </c>
      <c r="F35" s="33">
        <v>72.180000000000007</v>
      </c>
      <c r="G35" s="16">
        <v>0.54520000000000002</v>
      </c>
      <c r="H35" s="16">
        <v>5.6820000000000002E-2</v>
      </c>
      <c r="I35" s="15">
        <f t="shared" si="0"/>
        <v>32.827463999999999</v>
      </c>
      <c r="J35" s="15">
        <f t="shared" si="1"/>
        <v>30.962207495519998</v>
      </c>
      <c r="K35" s="17">
        <v>0.57799999999999996</v>
      </c>
      <c r="L35" s="15">
        <f t="shared" si="2"/>
        <v>30.459960000000002</v>
      </c>
      <c r="M35" s="18">
        <f t="shared" si="3"/>
        <v>28.729225072800002</v>
      </c>
      <c r="N35" s="30">
        <v>0</v>
      </c>
      <c r="O35" s="20"/>
      <c r="P35" s="10">
        <f t="shared" si="4"/>
        <v>0</v>
      </c>
    </row>
    <row r="36" spans="1:16" ht="15" customHeight="1" x14ac:dyDescent="0.25">
      <c r="A36" s="36" t="s">
        <v>460</v>
      </c>
      <c r="B36" s="36">
        <v>7896714234892</v>
      </c>
      <c r="C36" s="36" t="s">
        <v>346</v>
      </c>
      <c r="D36" s="37" t="s">
        <v>78</v>
      </c>
      <c r="E36" s="14">
        <v>24</v>
      </c>
      <c r="F36" s="33">
        <v>98.87</v>
      </c>
      <c r="G36" s="16">
        <v>0.79379999999999995</v>
      </c>
      <c r="H36" s="16">
        <v>5.6820000000000002E-2</v>
      </c>
      <c r="I36" s="15">
        <f t="shared" si="0"/>
        <v>20.386994000000001</v>
      </c>
      <c r="J36" s="15">
        <f t="shared" si="1"/>
        <v>19.228605000920002</v>
      </c>
      <c r="K36" s="17">
        <v>0.80359999999999998</v>
      </c>
      <c r="L36" s="15">
        <f t="shared" si="2"/>
        <v>19.418068000000005</v>
      </c>
      <c r="M36" s="18">
        <f t="shared" si="3"/>
        <v>18.314733376240007</v>
      </c>
      <c r="N36" s="30">
        <v>0</v>
      </c>
      <c r="O36" s="20"/>
      <c r="P36" s="10">
        <f t="shared" si="4"/>
        <v>0</v>
      </c>
    </row>
    <row r="37" spans="1:16" ht="15" customHeight="1" x14ac:dyDescent="0.25">
      <c r="A37" s="36" t="s">
        <v>460</v>
      </c>
      <c r="B37" s="36">
        <v>7896714214337</v>
      </c>
      <c r="C37" s="36" t="s">
        <v>687</v>
      </c>
      <c r="D37" s="37" t="s">
        <v>688</v>
      </c>
      <c r="E37" s="14">
        <v>60</v>
      </c>
      <c r="F37" s="33">
        <v>14.07</v>
      </c>
      <c r="G37" s="16">
        <v>0.72460000000000002</v>
      </c>
      <c r="H37" s="16">
        <v>5.6820000000000002E-2</v>
      </c>
      <c r="I37" s="15">
        <f t="shared" si="0"/>
        <v>3.8748779999999989</v>
      </c>
      <c r="J37" s="15">
        <f t="shared" si="1"/>
        <v>3.654707432039999</v>
      </c>
      <c r="K37" s="17">
        <v>0.73770000000000002</v>
      </c>
      <c r="L37" s="15">
        <f t="shared" si="2"/>
        <v>3.6905610000000006</v>
      </c>
      <c r="M37" s="18">
        <f t="shared" si="3"/>
        <v>3.4808633239800004</v>
      </c>
      <c r="N37" s="30">
        <v>0</v>
      </c>
      <c r="O37" s="20"/>
      <c r="P37" s="10">
        <f t="shared" si="4"/>
        <v>0</v>
      </c>
    </row>
    <row r="38" spans="1:16" ht="15" customHeight="1" x14ac:dyDescent="0.25">
      <c r="A38" s="36" t="s">
        <v>460</v>
      </c>
      <c r="B38" s="36">
        <v>7896714212203</v>
      </c>
      <c r="C38" s="36" t="s">
        <v>236</v>
      </c>
      <c r="D38" s="37" t="s">
        <v>79</v>
      </c>
      <c r="E38" s="14">
        <v>60</v>
      </c>
      <c r="F38" s="33">
        <v>18.96</v>
      </c>
      <c r="G38" s="16">
        <v>0.80220000000000002</v>
      </c>
      <c r="H38" s="16">
        <v>5.6820000000000002E-2</v>
      </c>
      <c r="I38" s="15">
        <f t="shared" si="0"/>
        <v>3.7502879999999994</v>
      </c>
      <c r="J38" s="15">
        <f t="shared" si="1"/>
        <v>3.5371966358399995</v>
      </c>
      <c r="K38" s="17">
        <v>0.81159999999999999</v>
      </c>
      <c r="L38" s="15">
        <f t="shared" si="2"/>
        <v>3.572064000000001</v>
      </c>
      <c r="M38" s="18">
        <f t="shared" si="3"/>
        <v>3.3690993235200009</v>
      </c>
      <c r="N38" s="30">
        <v>0</v>
      </c>
      <c r="O38" s="20"/>
      <c r="P38" s="10">
        <f t="shared" si="4"/>
        <v>0</v>
      </c>
    </row>
    <row r="39" spans="1:16" ht="15" customHeight="1" x14ac:dyDescent="0.25">
      <c r="A39" s="36" t="s">
        <v>460</v>
      </c>
      <c r="B39" s="36">
        <v>7896714212371</v>
      </c>
      <c r="C39" s="36" t="s">
        <v>237</v>
      </c>
      <c r="D39" s="37" t="s">
        <v>80</v>
      </c>
      <c r="E39" s="14">
        <v>60</v>
      </c>
      <c r="F39" s="33">
        <v>31.06</v>
      </c>
      <c r="G39" s="16">
        <v>0.78280000000000005</v>
      </c>
      <c r="H39" s="16">
        <v>5.6820000000000002E-2</v>
      </c>
      <c r="I39" s="15">
        <f t="shared" si="0"/>
        <v>6.7462319999999991</v>
      </c>
      <c r="J39" s="15">
        <f t="shared" si="1"/>
        <v>6.3629110977599987</v>
      </c>
      <c r="K39" s="17">
        <v>0.79310000000000003</v>
      </c>
      <c r="L39" s="15">
        <f t="shared" si="2"/>
        <v>6.4263139999999979</v>
      </c>
      <c r="M39" s="18">
        <f t="shared" si="3"/>
        <v>6.061170838519998</v>
      </c>
      <c r="N39" s="30">
        <v>0</v>
      </c>
      <c r="O39" s="20"/>
      <c r="P39" s="19">
        <f t="shared" si="4"/>
        <v>0</v>
      </c>
    </row>
    <row r="40" spans="1:16" ht="15" customHeight="1" x14ac:dyDescent="0.25">
      <c r="A40" s="36" t="s">
        <v>460</v>
      </c>
      <c r="B40" s="36">
        <v>7896714295268</v>
      </c>
      <c r="C40" s="36" t="s">
        <v>728</v>
      </c>
      <c r="D40" s="37" t="s">
        <v>739</v>
      </c>
      <c r="E40" s="14">
        <v>70</v>
      </c>
      <c r="F40" s="33">
        <v>94.66</v>
      </c>
      <c r="G40" s="16">
        <v>0.1981</v>
      </c>
      <c r="H40" s="16">
        <v>5.6820000000000002E-2</v>
      </c>
      <c r="I40" s="15">
        <f t="shared" si="0"/>
        <v>75.907854</v>
      </c>
      <c r="J40" s="15">
        <f t="shared" si="1"/>
        <v>71.594769735720007</v>
      </c>
      <c r="K40" s="17">
        <v>0.31809999999999999</v>
      </c>
      <c r="L40" s="15">
        <f t="shared" si="2"/>
        <v>64.548653999999999</v>
      </c>
      <c r="M40" s="18">
        <f t="shared" si="3"/>
        <v>60.880999479719996</v>
      </c>
      <c r="N40" s="30">
        <v>0</v>
      </c>
      <c r="O40" s="20"/>
      <c r="P40" s="19">
        <f t="shared" si="4"/>
        <v>0</v>
      </c>
    </row>
    <row r="41" spans="1:16" x14ac:dyDescent="0.25">
      <c r="A41" s="36" t="s">
        <v>460</v>
      </c>
      <c r="B41" s="36">
        <v>7896714295763</v>
      </c>
      <c r="C41" s="36" t="s">
        <v>781</v>
      </c>
      <c r="D41" s="37" t="s">
        <v>787</v>
      </c>
      <c r="E41" s="14">
        <v>28</v>
      </c>
      <c r="F41" s="33">
        <v>113.73</v>
      </c>
      <c r="G41" s="16">
        <v>0.15959999999999999</v>
      </c>
      <c r="H41" s="16">
        <v>5.6820000000000002E-2</v>
      </c>
      <c r="I41" s="15">
        <f t="shared" si="0"/>
        <v>95.578692000000004</v>
      </c>
      <c r="J41" s="15">
        <f t="shared" si="1"/>
        <v>90.147910720560006</v>
      </c>
      <c r="K41" s="17">
        <v>0.2853</v>
      </c>
      <c r="L41" s="15">
        <f t="shared" si="2"/>
        <v>81.282831000000002</v>
      </c>
      <c r="M41" s="18">
        <f t="shared" si="3"/>
        <v>76.664340542580007</v>
      </c>
      <c r="N41" s="30">
        <v>0</v>
      </c>
      <c r="O41" s="20"/>
      <c r="P41" s="19">
        <f t="shared" si="4"/>
        <v>0</v>
      </c>
    </row>
    <row r="42" spans="1:16" ht="15" customHeight="1" x14ac:dyDescent="0.25">
      <c r="A42" s="36" t="s">
        <v>460</v>
      </c>
      <c r="B42" s="36">
        <v>7896714295855</v>
      </c>
      <c r="C42" s="36" t="s">
        <v>782</v>
      </c>
      <c r="D42" s="37" t="s">
        <v>788</v>
      </c>
      <c r="E42" s="14">
        <v>70</v>
      </c>
      <c r="F42" s="33">
        <v>164.11</v>
      </c>
      <c r="G42" s="16">
        <v>0.53869999999999996</v>
      </c>
      <c r="H42" s="16">
        <v>5.6820000000000002E-2</v>
      </c>
      <c r="I42" s="15">
        <f t="shared" si="0"/>
        <v>75.70394300000001</v>
      </c>
      <c r="J42" s="15">
        <f t="shared" si="1"/>
        <v>71.402444958740006</v>
      </c>
      <c r="K42" s="17">
        <v>0.60780000000000001</v>
      </c>
      <c r="L42" s="15">
        <f t="shared" si="2"/>
        <v>64.363942000000009</v>
      </c>
      <c r="M42" s="18">
        <f t="shared" si="3"/>
        <v>60.706782815560011</v>
      </c>
      <c r="N42" s="30">
        <v>0</v>
      </c>
      <c r="O42" s="20"/>
      <c r="P42" s="10">
        <f t="shared" si="4"/>
        <v>0</v>
      </c>
    </row>
    <row r="43" spans="1:16" ht="15" customHeight="1" x14ac:dyDescent="0.25">
      <c r="A43" s="36" t="s">
        <v>460</v>
      </c>
      <c r="B43" s="36">
        <v>7896714295275</v>
      </c>
      <c r="C43" s="36" t="s">
        <v>783</v>
      </c>
      <c r="D43" s="37" t="s">
        <v>789</v>
      </c>
      <c r="E43" s="14">
        <v>28</v>
      </c>
      <c r="F43" s="33">
        <v>284.29000000000002</v>
      </c>
      <c r="G43" s="16">
        <v>0.32290000000000002</v>
      </c>
      <c r="H43" s="16">
        <v>5.6820000000000002E-2</v>
      </c>
      <c r="I43" s="15">
        <f t="shared" si="0"/>
        <v>192.49275900000001</v>
      </c>
      <c r="J43" s="15">
        <f t="shared" si="1"/>
        <v>181.55532043362001</v>
      </c>
      <c r="K43" s="17">
        <v>0.42430000000000001</v>
      </c>
      <c r="L43" s="15">
        <f t="shared" si="2"/>
        <v>163.665753</v>
      </c>
      <c r="M43" s="18">
        <f t="shared" si="3"/>
        <v>154.36626491453998</v>
      </c>
      <c r="N43" s="30">
        <v>0</v>
      </c>
      <c r="O43" s="20"/>
      <c r="P43" s="10">
        <f t="shared" si="4"/>
        <v>0</v>
      </c>
    </row>
    <row r="44" spans="1:16" ht="15" customHeight="1" x14ac:dyDescent="0.25">
      <c r="A44" s="36" t="s">
        <v>460</v>
      </c>
      <c r="B44" s="36">
        <v>7896714295770</v>
      </c>
      <c r="C44" s="36" t="s">
        <v>729</v>
      </c>
      <c r="D44" s="37" t="s">
        <v>740</v>
      </c>
      <c r="E44" s="14">
        <v>70</v>
      </c>
      <c r="F44" s="33">
        <v>221.8</v>
      </c>
      <c r="G44" s="16">
        <v>0.1996</v>
      </c>
      <c r="H44" s="16">
        <v>5.6820000000000002E-2</v>
      </c>
      <c r="I44" s="15">
        <f t="shared" si="0"/>
        <v>177.52872000000002</v>
      </c>
      <c r="J44" s="15">
        <f t="shared" si="1"/>
        <v>167.44153812960002</v>
      </c>
      <c r="K44" s="17">
        <v>0.31940000000000002</v>
      </c>
      <c r="L44" s="15">
        <f t="shared" si="2"/>
        <v>150.95708000000002</v>
      </c>
      <c r="M44" s="18">
        <f t="shared" si="3"/>
        <v>142.37969871440001</v>
      </c>
      <c r="N44" s="30">
        <v>0</v>
      </c>
      <c r="O44" s="20"/>
      <c r="P44" s="10">
        <f t="shared" si="4"/>
        <v>0</v>
      </c>
    </row>
    <row r="45" spans="1:16" ht="15" customHeight="1" x14ac:dyDescent="0.25">
      <c r="A45" s="36" t="s">
        <v>460</v>
      </c>
      <c r="B45" s="36">
        <v>7896714296487</v>
      </c>
      <c r="C45" s="36" t="s">
        <v>784</v>
      </c>
      <c r="D45" s="37" t="s">
        <v>790</v>
      </c>
      <c r="E45" s="14">
        <v>28</v>
      </c>
      <c r="F45" s="33">
        <v>365.23</v>
      </c>
      <c r="G45" s="16">
        <v>0.19700000000000001</v>
      </c>
      <c r="H45" s="16">
        <v>5.6820000000000002E-2</v>
      </c>
      <c r="I45" s="15">
        <f t="shared" si="0"/>
        <v>293.27969000000002</v>
      </c>
      <c r="J45" s="15">
        <f t="shared" si="1"/>
        <v>276.61553801420001</v>
      </c>
      <c r="K45" s="17">
        <v>0.31719999999999998</v>
      </c>
      <c r="L45" s="15">
        <f t="shared" si="2"/>
        <v>249.37904400000002</v>
      </c>
      <c r="M45" s="18">
        <f t="shared" si="3"/>
        <v>235.20932671992003</v>
      </c>
      <c r="N45" s="30">
        <v>0</v>
      </c>
      <c r="O45" s="20"/>
      <c r="P45" s="10">
        <f t="shared" si="4"/>
        <v>0</v>
      </c>
    </row>
    <row r="46" spans="1:16" ht="15" customHeight="1" x14ac:dyDescent="0.25">
      <c r="A46" s="36" t="s">
        <v>460</v>
      </c>
      <c r="B46" s="36">
        <v>7896714295800</v>
      </c>
      <c r="C46" s="36" t="s">
        <v>730</v>
      </c>
      <c r="D46" s="37" t="s">
        <v>741</v>
      </c>
      <c r="E46" s="14">
        <v>70</v>
      </c>
      <c r="F46" s="33">
        <v>57.45</v>
      </c>
      <c r="G46" s="16">
        <v>0.28749999999999998</v>
      </c>
      <c r="H46" s="16">
        <v>5.6820000000000002E-2</v>
      </c>
      <c r="I46" s="15">
        <f t="shared" si="0"/>
        <v>40.933125000000004</v>
      </c>
      <c r="J46" s="15">
        <f t="shared" si="1"/>
        <v>38.607304837500003</v>
      </c>
      <c r="K46" s="17">
        <v>0.39410000000000001</v>
      </c>
      <c r="L46" s="15">
        <f t="shared" si="2"/>
        <v>34.808954999999997</v>
      </c>
      <c r="M46" s="18">
        <f t="shared" si="3"/>
        <v>32.831110176899998</v>
      </c>
      <c r="N46" s="30">
        <v>0</v>
      </c>
      <c r="O46" s="20"/>
      <c r="P46" s="10">
        <f t="shared" si="4"/>
        <v>0</v>
      </c>
    </row>
    <row r="47" spans="1:16" ht="15" customHeight="1" x14ac:dyDescent="0.25">
      <c r="A47" s="36" t="s">
        <v>460</v>
      </c>
      <c r="B47" s="36">
        <v>7896714205687</v>
      </c>
      <c r="C47" s="36" t="s">
        <v>238</v>
      </c>
      <c r="D47" s="37" t="s">
        <v>81</v>
      </c>
      <c r="E47" s="14">
        <v>60</v>
      </c>
      <c r="F47" s="33">
        <v>10.35</v>
      </c>
      <c r="G47" s="16">
        <v>0.79590000000000005</v>
      </c>
      <c r="H47" s="16">
        <v>0.13542000000000001</v>
      </c>
      <c r="I47" s="15">
        <f t="shared" si="0"/>
        <v>2.1124349999999996</v>
      </c>
      <c r="J47" s="15">
        <f t="shared" si="1"/>
        <v>1.8263690522999996</v>
      </c>
      <c r="K47" s="17">
        <v>0.80589999999999995</v>
      </c>
      <c r="L47" s="15">
        <f t="shared" si="2"/>
        <v>2.008935000000001</v>
      </c>
      <c r="M47" s="18">
        <f t="shared" si="3"/>
        <v>1.736885022300001</v>
      </c>
      <c r="N47" s="30">
        <v>0</v>
      </c>
      <c r="O47" s="20"/>
      <c r="P47" s="10">
        <f t="shared" si="4"/>
        <v>0</v>
      </c>
    </row>
    <row r="48" spans="1:16" ht="15" customHeight="1" x14ac:dyDescent="0.25">
      <c r="A48" s="36" t="s">
        <v>460</v>
      </c>
      <c r="B48" s="36">
        <v>7896714202617</v>
      </c>
      <c r="C48" s="36" t="s">
        <v>466</v>
      </c>
      <c r="D48" s="37" t="s">
        <v>467</v>
      </c>
      <c r="E48" s="14">
        <v>60</v>
      </c>
      <c r="F48" s="33">
        <v>38.24</v>
      </c>
      <c r="G48" s="16">
        <v>0.67920000000000003</v>
      </c>
      <c r="H48" s="16">
        <v>5.6820000000000002E-2</v>
      </c>
      <c r="I48" s="15">
        <f t="shared" si="0"/>
        <v>12.267392000000001</v>
      </c>
      <c r="J48" s="15">
        <f t="shared" si="1"/>
        <v>11.57035878656</v>
      </c>
      <c r="K48" s="17">
        <v>0.6946</v>
      </c>
      <c r="L48" s="15">
        <f t="shared" si="2"/>
        <v>11.678495999999999</v>
      </c>
      <c r="M48" s="18">
        <f t="shared" si="3"/>
        <v>11.014923857279999</v>
      </c>
      <c r="N48" s="30">
        <v>0</v>
      </c>
      <c r="O48" s="20"/>
      <c r="P48" s="10">
        <f t="shared" si="4"/>
        <v>0</v>
      </c>
    </row>
    <row r="49" spans="1:16" x14ac:dyDescent="0.25">
      <c r="A49" s="36" t="s">
        <v>460</v>
      </c>
      <c r="B49" s="36">
        <v>7896714274713</v>
      </c>
      <c r="C49" s="36" t="s">
        <v>373</v>
      </c>
      <c r="D49" s="37" t="s">
        <v>374</v>
      </c>
      <c r="E49" s="14">
        <v>24</v>
      </c>
      <c r="F49" s="33">
        <v>31.55</v>
      </c>
      <c r="G49" s="16">
        <v>0.6694</v>
      </c>
      <c r="H49" s="16">
        <v>0.13542000000000001</v>
      </c>
      <c r="I49" s="15">
        <f t="shared" si="0"/>
        <v>10.430430000000001</v>
      </c>
      <c r="J49" s="15">
        <f t="shared" si="1"/>
        <v>9.0179411694000002</v>
      </c>
      <c r="K49" s="17">
        <v>0.68500000000000005</v>
      </c>
      <c r="L49" s="15">
        <f t="shared" si="2"/>
        <v>9.93825</v>
      </c>
      <c r="M49" s="18">
        <f t="shared" si="3"/>
        <v>8.5924121850000006</v>
      </c>
      <c r="N49" s="30">
        <v>0</v>
      </c>
      <c r="O49" s="20"/>
      <c r="P49" s="10">
        <f t="shared" si="4"/>
        <v>0</v>
      </c>
    </row>
    <row r="50" spans="1:16" ht="15" customHeight="1" x14ac:dyDescent="0.25">
      <c r="A50" s="36" t="s">
        <v>460</v>
      </c>
      <c r="B50" s="36">
        <v>7896714294001</v>
      </c>
      <c r="C50" s="36" t="s">
        <v>607</v>
      </c>
      <c r="D50" s="37" t="s">
        <v>658</v>
      </c>
      <c r="E50" s="14">
        <v>60</v>
      </c>
      <c r="F50" s="33">
        <v>33.83</v>
      </c>
      <c r="G50" s="16">
        <v>0.81510000000000005</v>
      </c>
      <c r="H50" s="16">
        <v>5.6820000000000002E-2</v>
      </c>
      <c r="I50" s="15">
        <f t="shared" si="0"/>
        <v>6.2551669999999966</v>
      </c>
      <c r="J50" s="15">
        <f t="shared" si="1"/>
        <v>5.8997484110599965</v>
      </c>
      <c r="K50" s="17">
        <v>0.82789999999999997</v>
      </c>
      <c r="L50" s="15">
        <f t="shared" si="2"/>
        <v>5.8221430000000005</v>
      </c>
      <c r="M50" s="18">
        <f t="shared" si="3"/>
        <v>5.4913288347400009</v>
      </c>
      <c r="N50" s="30">
        <v>0</v>
      </c>
      <c r="O50" s="20"/>
      <c r="P50" s="10">
        <f t="shared" si="4"/>
        <v>0</v>
      </c>
    </row>
    <row r="51" spans="1:16" ht="15" customHeight="1" x14ac:dyDescent="0.25">
      <c r="A51" s="36" t="s">
        <v>460</v>
      </c>
      <c r="B51" s="36">
        <v>7896714215976</v>
      </c>
      <c r="C51" s="36" t="s">
        <v>347</v>
      </c>
      <c r="D51" s="37" t="s">
        <v>82</v>
      </c>
      <c r="E51" s="14">
        <v>60</v>
      </c>
      <c r="F51" s="33">
        <v>66.650000000000006</v>
      </c>
      <c r="G51" s="16">
        <v>0.78639999999999999</v>
      </c>
      <c r="H51" s="16">
        <v>5.6820000000000002E-2</v>
      </c>
      <c r="I51" s="15">
        <f t="shared" si="0"/>
        <v>14.236440000000002</v>
      </c>
      <c r="J51" s="15">
        <f t="shared" si="1"/>
        <v>13.427525479200002</v>
      </c>
      <c r="K51" s="17">
        <v>0.79669999999999996</v>
      </c>
      <c r="L51" s="15">
        <f t="shared" si="2"/>
        <v>13.549945000000001</v>
      </c>
      <c r="M51" s="18">
        <f t="shared" si="3"/>
        <v>12.780037125100002</v>
      </c>
      <c r="N51" s="30">
        <v>0</v>
      </c>
      <c r="O51" s="20"/>
      <c r="P51" s="10">
        <f t="shared" si="4"/>
        <v>0</v>
      </c>
    </row>
    <row r="52" spans="1:16" ht="15" customHeight="1" x14ac:dyDescent="0.25">
      <c r="A52" s="36" t="s">
        <v>460</v>
      </c>
      <c r="B52" s="36">
        <v>7896714226736</v>
      </c>
      <c r="C52" s="36" t="s">
        <v>239</v>
      </c>
      <c r="D52" s="37" t="s">
        <v>83</v>
      </c>
      <c r="E52" s="14">
        <v>60</v>
      </c>
      <c r="F52" s="33">
        <v>118.66</v>
      </c>
      <c r="G52" s="16">
        <v>0.74529999999999996</v>
      </c>
      <c r="H52" s="16">
        <v>5.6820000000000002E-2</v>
      </c>
      <c r="I52" s="15">
        <f t="shared" si="0"/>
        <v>30.222701999999998</v>
      </c>
      <c r="J52" s="15">
        <f t="shared" si="1"/>
        <v>28.505448072359997</v>
      </c>
      <c r="K52" s="17">
        <v>0.75739999999999996</v>
      </c>
      <c r="L52" s="15">
        <f t="shared" si="2"/>
        <v>28.786916000000005</v>
      </c>
      <c r="M52" s="18">
        <f t="shared" si="3"/>
        <v>27.151243432880005</v>
      </c>
      <c r="N52" s="30">
        <v>0</v>
      </c>
      <c r="O52" s="20"/>
      <c r="P52" s="10">
        <f t="shared" si="4"/>
        <v>0</v>
      </c>
    </row>
    <row r="53" spans="1:16" ht="15" customHeight="1" x14ac:dyDescent="0.25">
      <c r="A53" s="36" t="s">
        <v>460</v>
      </c>
      <c r="B53" s="36">
        <v>7896714226699</v>
      </c>
      <c r="C53" s="36" t="s">
        <v>240</v>
      </c>
      <c r="D53" s="37" t="s">
        <v>84</v>
      </c>
      <c r="E53" s="14">
        <v>60</v>
      </c>
      <c r="F53" s="33">
        <v>13.17</v>
      </c>
      <c r="G53" s="16">
        <v>0.91379999999999995</v>
      </c>
      <c r="H53" s="16">
        <v>5.6820000000000002E-2</v>
      </c>
      <c r="I53" s="15">
        <f t="shared" si="0"/>
        <v>1.1352540000000015</v>
      </c>
      <c r="J53" s="15">
        <f t="shared" si="1"/>
        <v>1.0707488677200014</v>
      </c>
      <c r="K53" s="17">
        <v>0.91759999999999997</v>
      </c>
      <c r="L53" s="15">
        <f t="shared" si="2"/>
        <v>1.0852079999999997</v>
      </c>
      <c r="M53" s="18">
        <f t="shared" si="3"/>
        <v>1.0235464814399997</v>
      </c>
      <c r="N53" s="30">
        <v>0</v>
      </c>
      <c r="O53" s="20"/>
      <c r="P53" s="10">
        <f t="shared" si="4"/>
        <v>0</v>
      </c>
    </row>
    <row r="54" spans="1:16" ht="15" customHeight="1" x14ac:dyDescent="0.25">
      <c r="A54" s="36" t="s">
        <v>460</v>
      </c>
      <c r="B54" s="36">
        <v>7896714226705</v>
      </c>
      <c r="C54" s="36" t="s">
        <v>241</v>
      </c>
      <c r="D54" s="37" t="s">
        <v>85</v>
      </c>
      <c r="E54" s="14">
        <v>60</v>
      </c>
      <c r="F54" s="33">
        <v>28.4</v>
      </c>
      <c r="G54" s="16">
        <v>0.93689999999999996</v>
      </c>
      <c r="H54" s="16">
        <v>5.6820000000000002E-2</v>
      </c>
      <c r="I54" s="15">
        <f t="shared" si="0"/>
        <v>1.7920400000000001</v>
      </c>
      <c r="J54" s="15">
        <f t="shared" si="1"/>
        <v>1.6902162872000002</v>
      </c>
      <c r="K54" s="17">
        <v>0.94689999999999996</v>
      </c>
      <c r="L54" s="15">
        <f t="shared" si="2"/>
        <v>1.5080400000000012</v>
      </c>
      <c r="M54" s="18">
        <f t="shared" si="3"/>
        <v>1.4223531672000012</v>
      </c>
      <c r="N54" s="30">
        <v>0</v>
      </c>
      <c r="O54" s="20"/>
      <c r="P54" s="10">
        <f t="shared" si="4"/>
        <v>0</v>
      </c>
    </row>
    <row r="55" spans="1:16" ht="15" customHeight="1" x14ac:dyDescent="0.25">
      <c r="A55" s="36" t="s">
        <v>460</v>
      </c>
      <c r="B55" s="36">
        <v>7896714290348</v>
      </c>
      <c r="C55" s="36" t="s">
        <v>806</v>
      </c>
      <c r="D55" s="37" t="s">
        <v>810</v>
      </c>
      <c r="E55" s="14">
        <v>154</v>
      </c>
      <c r="F55" s="33">
        <v>32.299999999999997</v>
      </c>
      <c r="G55" s="16">
        <v>0.79590000000000005</v>
      </c>
      <c r="H55" s="16">
        <v>0.13542000000000001</v>
      </c>
      <c r="I55" s="15">
        <f t="shared" si="0"/>
        <v>6.5924299999999967</v>
      </c>
      <c r="J55" s="15">
        <f t="shared" si="1"/>
        <v>5.6996831293999968</v>
      </c>
      <c r="K55" s="17">
        <v>0.80589999999999995</v>
      </c>
      <c r="L55" s="15">
        <f t="shared" si="2"/>
        <v>6.2694299999999998</v>
      </c>
      <c r="M55" s="18">
        <f t="shared" si="3"/>
        <v>5.4204237894</v>
      </c>
      <c r="N55" s="30">
        <v>0</v>
      </c>
      <c r="O55" s="20"/>
      <c r="P55" s="10">
        <f t="shared" si="4"/>
        <v>0</v>
      </c>
    </row>
    <row r="56" spans="1:16" ht="15" customHeight="1" x14ac:dyDescent="0.25">
      <c r="A56" s="36" t="s">
        <v>460</v>
      </c>
      <c r="B56" s="36">
        <v>7896714274058</v>
      </c>
      <c r="C56" s="36" t="s">
        <v>242</v>
      </c>
      <c r="D56" s="37" t="s">
        <v>86</v>
      </c>
      <c r="E56" s="14">
        <v>60</v>
      </c>
      <c r="F56" s="33">
        <v>17.52</v>
      </c>
      <c r="G56" s="16">
        <v>0.81759999999999999</v>
      </c>
      <c r="H56" s="16">
        <v>5.6820000000000002E-2</v>
      </c>
      <c r="I56" s="15">
        <f t="shared" si="0"/>
        <v>3.1956480000000003</v>
      </c>
      <c r="J56" s="15">
        <f t="shared" si="1"/>
        <v>3.0140712806400001</v>
      </c>
      <c r="K56" s="17">
        <v>0.82599999999999996</v>
      </c>
      <c r="L56" s="15">
        <f t="shared" si="2"/>
        <v>3.0484800000000014</v>
      </c>
      <c r="M56" s="18">
        <f t="shared" si="3"/>
        <v>2.8752653664000012</v>
      </c>
      <c r="N56" s="30">
        <v>0</v>
      </c>
      <c r="O56" s="20"/>
      <c r="P56" s="10">
        <f t="shared" si="4"/>
        <v>0</v>
      </c>
    </row>
    <row r="57" spans="1:16" ht="15" customHeight="1" x14ac:dyDescent="0.25">
      <c r="A57" s="36" t="s">
        <v>460</v>
      </c>
      <c r="B57" s="36">
        <v>7896714292359</v>
      </c>
      <c r="C57" s="36" t="s">
        <v>539</v>
      </c>
      <c r="D57" s="37" t="s">
        <v>540</v>
      </c>
      <c r="E57" s="14">
        <v>60</v>
      </c>
      <c r="F57" s="33">
        <v>102.45</v>
      </c>
      <c r="G57" s="16">
        <v>0.27829999999999999</v>
      </c>
      <c r="H57" s="16">
        <v>0.13542000000000001</v>
      </c>
      <c r="I57" s="15">
        <f t="shared" si="0"/>
        <v>73.938164999999998</v>
      </c>
      <c r="J57" s="15">
        <f t="shared" si="1"/>
        <v>63.925458695700001</v>
      </c>
      <c r="K57" s="17">
        <v>0.31290000000000001</v>
      </c>
      <c r="L57" s="15">
        <f t="shared" si="2"/>
        <v>70.393394999999998</v>
      </c>
      <c r="M57" s="18">
        <f t="shared" si="3"/>
        <v>60.860721449099998</v>
      </c>
      <c r="N57" s="30">
        <v>0</v>
      </c>
      <c r="O57" s="20"/>
      <c r="P57" s="10">
        <f t="shared" si="4"/>
        <v>0</v>
      </c>
    </row>
    <row r="58" spans="1:16" ht="15" customHeight="1" x14ac:dyDescent="0.25">
      <c r="A58" s="36" t="s">
        <v>460</v>
      </c>
      <c r="B58" s="36">
        <v>7896714290560</v>
      </c>
      <c r="C58" s="36" t="s">
        <v>419</v>
      </c>
      <c r="D58" s="37" t="s">
        <v>420</v>
      </c>
      <c r="E58" s="14">
        <v>24</v>
      </c>
      <c r="F58" s="33">
        <v>37.18</v>
      </c>
      <c r="G58" s="16">
        <v>0.71160000000000001</v>
      </c>
      <c r="H58" s="16">
        <v>5.6820000000000002E-2</v>
      </c>
      <c r="I58" s="15">
        <f t="shared" si="0"/>
        <v>10.722711999999998</v>
      </c>
      <c r="J58" s="15">
        <f t="shared" si="1"/>
        <v>10.113447504159998</v>
      </c>
      <c r="K58" s="17">
        <v>0.72540000000000004</v>
      </c>
      <c r="L58" s="15">
        <f t="shared" si="2"/>
        <v>10.209627999999999</v>
      </c>
      <c r="M58" s="18">
        <f t="shared" si="3"/>
        <v>9.6295169370399982</v>
      </c>
      <c r="N58" s="30">
        <v>0</v>
      </c>
      <c r="O58" s="20"/>
      <c r="P58" s="10">
        <f t="shared" si="4"/>
        <v>0</v>
      </c>
    </row>
    <row r="59" spans="1:16" ht="15" customHeight="1" x14ac:dyDescent="0.25">
      <c r="A59" s="36" t="s">
        <v>460</v>
      </c>
      <c r="B59" s="36">
        <v>7896714290577</v>
      </c>
      <c r="C59" s="36" t="s">
        <v>421</v>
      </c>
      <c r="D59" s="37" t="s">
        <v>422</v>
      </c>
      <c r="E59" s="14">
        <v>24</v>
      </c>
      <c r="F59" s="33">
        <v>60.94</v>
      </c>
      <c r="G59" s="16">
        <v>0.74929999999999997</v>
      </c>
      <c r="H59" s="16">
        <v>5.6820000000000002E-2</v>
      </c>
      <c r="I59" s="15">
        <f t="shared" si="0"/>
        <v>15.277658000000002</v>
      </c>
      <c r="J59" s="15">
        <f t="shared" si="1"/>
        <v>14.409581472440003</v>
      </c>
      <c r="K59" s="17">
        <v>0.76119999999999999</v>
      </c>
      <c r="L59" s="15">
        <f t="shared" si="2"/>
        <v>14.552472000000002</v>
      </c>
      <c r="M59" s="18">
        <f t="shared" si="3"/>
        <v>13.725600540960002</v>
      </c>
      <c r="N59" s="30">
        <v>0</v>
      </c>
      <c r="O59" s="20"/>
      <c r="P59" s="10">
        <f t="shared" si="4"/>
        <v>0</v>
      </c>
    </row>
    <row r="60" spans="1:16" ht="15" customHeight="1" x14ac:dyDescent="0.25">
      <c r="A60" s="36" t="s">
        <v>460</v>
      </c>
      <c r="B60" s="36">
        <v>7896714292472</v>
      </c>
      <c r="C60" s="36" t="s">
        <v>485</v>
      </c>
      <c r="D60" s="37" t="s">
        <v>486</v>
      </c>
      <c r="E60" s="14">
        <v>70</v>
      </c>
      <c r="F60" s="33">
        <v>19.690000000000001</v>
      </c>
      <c r="G60" s="16">
        <v>0.58950000000000002</v>
      </c>
      <c r="H60" s="16">
        <v>5.6820000000000002E-2</v>
      </c>
      <c r="I60" s="15">
        <f t="shared" si="0"/>
        <v>8.0827449999999992</v>
      </c>
      <c r="J60" s="15">
        <f t="shared" si="1"/>
        <v>7.6234834290999993</v>
      </c>
      <c r="K60" s="17">
        <v>0.60899999999999999</v>
      </c>
      <c r="L60" s="15">
        <f t="shared" si="2"/>
        <v>7.6987900000000007</v>
      </c>
      <c r="M60" s="18">
        <f t="shared" si="3"/>
        <v>7.2613447522000003</v>
      </c>
      <c r="N60" s="30">
        <v>0</v>
      </c>
      <c r="O60" s="20"/>
      <c r="P60" s="10">
        <f t="shared" si="4"/>
        <v>0</v>
      </c>
    </row>
    <row r="61" spans="1:16" ht="15" customHeight="1" x14ac:dyDescent="0.25">
      <c r="A61" s="36" t="s">
        <v>460</v>
      </c>
      <c r="B61" s="36">
        <v>7896714292489</v>
      </c>
      <c r="C61" s="36" t="s">
        <v>487</v>
      </c>
      <c r="D61" s="37" t="s">
        <v>488</v>
      </c>
      <c r="E61" s="14">
        <v>70</v>
      </c>
      <c r="F61" s="33">
        <v>36.92</v>
      </c>
      <c r="G61" s="16">
        <v>0.60829999999999995</v>
      </c>
      <c r="H61" s="16">
        <v>5.6820000000000002E-2</v>
      </c>
      <c r="I61" s="15">
        <f t="shared" si="0"/>
        <v>14.461564000000003</v>
      </c>
      <c r="J61" s="15">
        <f t="shared" si="1"/>
        <v>13.639857933520002</v>
      </c>
      <c r="K61" s="17">
        <v>0.62709999999999999</v>
      </c>
      <c r="L61" s="15">
        <f t="shared" si="2"/>
        <v>13.767468000000001</v>
      </c>
      <c r="M61" s="18">
        <f t="shared" si="3"/>
        <v>12.98520046824</v>
      </c>
      <c r="N61" s="30">
        <v>0</v>
      </c>
      <c r="O61" s="20"/>
      <c r="P61" s="10">
        <f t="shared" si="4"/>
        <v>0</v>
      </c>
    </row>
    <row r="62" spans="1:16" ht="15" customHeight="1" x14ac:dyDescent="0.25">
      <c r="A62" s="36" t="s">
        <v>460</v>
      </c>
      <c r="B62" s="36">
        <v>7896714290850</v>
      </c>
      <c r="C62" s="36" t="s">
        <v>731</v>
      </c>
      <c r="D62" s="37" t="s">
        <v>742</v>
      </c>
      <c r="E62" s="14">
        <v>200</v>
      </c>
      <c r="F62" s="33">
        <v>27.7</v>
      </c>
      <c r="G62" s="16">
        <v>0.39240000000000003</v>
      </c>
      <c r="H62" s="16">
        <v>0.13542000000000001</v>
      </c>
      <c r="I62" s="15">
        <f t="shared" si="0"/>
        <v>16.83052</v>
      </c>
      <c r="J62" s="15">
        <f t="shared" si="1"/>
        <v>14.5513309816</v>
      </c>
      <c r="K62" s="17">
        <v>0.42170000000000002</v>
      </c>
      <c r="L62" s="15">
        <f t="shared" si="2"/>
        <v>16.018909999999998</v>
      </c>
      <c r="M62" s="18">
        <f t="shared" si="3"/>
        <v>13.849629207799998</v>
      </c>
      <c r="N62" s="30">
        <v>0</v>
      </c>
      <c r="O62" s="20"/>
      <c r="P62" s="10">
        <f t="shared" si="4"/>
        <v>0</v>
      </c>
    </row>
    <row r="63" spans="1:16" ht="15" customHeight="1" x14ac:dyDescent="0.25">
      <c r="A63" s="36" t="s">
        <v>460</v>
      </c>
      <c r="B63" s="36">
        <v>7896714290867</v>
      </c>
      <c r="C63" s="36" t="s">
        <v>732</v>
      </c>
      <c r="D63" s="37" t="s">
        <v>743</v>
      </c>
      <c r="E63" s="14">
        <v>140</v>
      </c>
      <c r="F63" s="33">
        <v>48.27</v>
      </c>
      <c r="G63" s="16">
        <v>0.41749999999999998</v>
      </c>
      <c r="H63" s="16">
        <v>0.13542000000000001</v>
      </c>
      <c r="I63" s="15">
        <f t="shared" si="0"/>
        <v>28.117275000000003</v>
      </c>
      <c r="J63" s="15">
        <f t="shared" si="1"/>
        <v>24.309633619500001</v>
      </c>
      <c r="K63" s="17">
        <v>0.4456</v>
      </c>
      <c r="L63" s="15">
        <f t="shared" si="2"/>
        <v>26.760888000000001</v>
      </c>
      <c r="M63" s="18">
        <f t="shared" si="3"/>
        <v>23.13692854704</v>
      </c>
      <c r="N63" s="30">
        <v>0</v>
      </c>
      <c r="O63" s="20"/>
      <c r="P63" s="10">
        <f t="shared" si="4"/>
        <v>0</v>
      </c>
    </row>
    <row r="64" spans="1:16" ht="15" customHeight="1" x14ac:dyDescent="0.25">
      <c r="A64" s="36" t="s">
        <v>460</v>
      </c>
      <c r="B64" s="36">
        <v>7896714290874</v>
      </c>
      <c r="C64" s="36" t="s">
        <v>733</v>
      </c>
      <c r="D64" s="37" t="s">
        <v>744</v>
      </c>
      <c r="E64" s="14">
        <v>100</v>
      </c>
      <c r="F64" s="33">
        <v>66.45</v>
      </c>
      <c r="G64" s="16">
        <v>0.46250000000000002</v>
      </c>
      <c r="H64" s="16">
        <v>0.13542000000000001</v>
      </c>
      <c r="I64" s="15">
        <f t="shared" si="0"/>
        <v>35.716875000000002</v>
      </c>
      <c r="J64" s="15">
        <f t="shared" si="1"/>
        <v>30.8800957875</v>
      </c>
      <c r="K64" s="17">
        <v>0.48820000000000002</v>
      </c>
      <c r="L64" s="15">
        <f t="shared" si="2"/>
        <v>34.00911</v>
      </c>
      <c r="M64" s="18">
        <f t="shared" si="3"/>
        <v>29.403596323799999</v>
      </c>
      <c r="N64" s="30">
        <v>0</v>
      </c>
      <c r="O64" s="20"/>
      <c r="P64" s="10">
        <f t="shared" si="4"/>
        <v>0</v>
      </c>
    </row>
    <row r="65" spans="1:16" ht="15" customHeight="1" x14ac:dyDescent="0.25">
      <c r="A65" s="36" t="s">
        <v>460</v>
      </c>
      <c r="B65" s="36">
        <v>7896714274515</v>
      </c>
      <c r="C65" s="36" t="s">
        <v>680</v>
      </c>
      <c r="D65" s="37" t="s">
        <v>365</v>
      </c>
      <c r="E65" s="14">
        <v>60</v>
      </c>
      <c r="F65" s="33">
        <v>60.31</v>
      </c>
      <c r="G65" s="16">
        <v>0.45619999999999999</v>
      </c>
      <c r="H65" s="16">
        <v>0.13542000000000001</v>
      </c>
      <c r="I65" s="15">
        <f t="shared" si="0"/>
        <v>32.796577999999997</v>
      </c>
      <c r="J65" s="15">
        <f t="shared" si="1"/>
        <v>28.355265407239997</v>
      </c>
      <c r="K65" s="17">
        <v>0.48199999999999998</v>
      </c>
      <c r="L65" s="15">
        <f t="shared" si="2"/>
        <v>31.240580000000001</v>
      </c>
      <c r="M65" s="18">
        <f t="shared" si="3"/>
        <v>27.0099806564</v>
      </c>
      <c r="N65" s="30">
        <v>0</v>
      </c>
      <c r="O65" s="20"/>
      <c r="P65" s="10">
        <f t="shared" si="4"/>
        <v>0</v>
      </c>
    </row>
    <row r="66" spans="1:16" ht="15" customHeight="1" x14ac:dyDescent="0.25">
      <c r="A66" s="36" t="s">
        <v>460</v>
      </c>
      <c r="B66" s="36">
        <v>7896714274508</v>
      </c>
      <c r="C66" s="36" t="s">
        <v>689</v>
      </c>
      <c r="D66" s="37" t="s">
        <v>366</v>
      </c>
      <c r="E66" s="14">
        <v>54</v>
      </c>
      <c r="F66" s="33">
        <v>57.61</v>
      </c>
      <c r="G66" s="16">
        <v>0.4798</v>
      </c>
      <c r="H66" s="16">
        <v>0.13542000000000001</v>
      </c>
      <c r="I66" s="15">
        <f t="shared" si="0"/>
        <v>29.968722</v>
      </c>
      <c r="J66" s="15">
        <f t="shared" si="1"/>
        <v>25.91035766676</v>
      </c>
      <c r="K66" s="17">
        <v>0.50449999999999995</v>
      </c>
      <c r="L66" s="15">
        <f t="shared" si="2"/>
        <v>28.545755000000003</v>
      </c>
      <c r="M66" s="18">
        <f t="shared" si="3"/>
        <v>24.680088857900003</v>
      </c>
      <c r="N66" s="30">
        <v>0</v>
      </c>
      <c r="O66" s="20"/>
      <c r="P66" s="10">
        <f t="shared" si="4"/>
        <v>0</v>
      </c>
    </row>
    <row r="67" spans="1:16" ht="15" customHeight="1" x14ac:dyDescent="0.25">
      <c r="A67" s="36" t="s">
        <v>460</v>
      </c>
      <c r="B67" s="36">
        <v>7896714290607</v>
      </c>
      <c r="C67" s="36" t="s">
        <v>793</v>
      </c>
      <c r="D67" s="37" t="s">
        <v>468</v>
      </c>
      <c r="E67" s="14">
        <v>168</v>
      </c>
      <c r="F67" s="33">
        <v>95.66</v>
      </c>
      <c r="G67" s="16">
        <v>0.75239999999999996</v>
      </c>
      <c r="H67" s="16">
        <v>0.13542000000000001</v>
      </c>
      <c r="I67" s="15">
        <f t="shared" si="0"/>
        <v>23.685416000000004</v>
      </c>
      <c r="J67" s="15">
        <f t="shared" si="1"/>
        <v>20.477936965280001</v>
      </c>
      <c r="K67" s="17">
        <v>0.76419999999999999</v>
      </c>
      <c r="L67" s="15">
        <f t="shared" si="2"/>
        <v>22.556628000000003</v>
      </c>
      <c r="M67" s="18">
        <f t="shared" si="3"/>
        <v>19.502009436240002</v>
      </c>
      <c r="N67" s="30">
        <v>0</v>
      </c>
      <c r="O67" s="20"/>
      <c r="P67" s="10">
        <f t="shared" si="4"/>
        <v>0</v>
      </c>
    </row>
    <row r="68" spans="1:16" ht="15" customHeight="1" x14ac:dyDescent="0.25">
      <c r="A68" s="36" t="s">
        <v>460</v>
      </c>
      <c r="B68" s="36">
        <v>7898095341305</v>
      </c>
      <c r="C68" s="36" t="s">
        <v>243</v>
      </c>
      <c r="D68" s="37" t="s">
        <v>87</v>
      </c>
      <c r="E68" s="14">
        <v>60</v>
      </c>
      <c r="F68" s="33">
        <v>32.93</v>
      </c>
      <c r="G68" s="16">
        <v>0.75560000000000005</v>
      </c>
      <c r="H68" s="16">
        <v>5.6820000000000002E-2</v>
      </c>
      <c r="I68" s="15">
        <f t="shared" si="0"/>
        <v>8.0480919999999969</v>
      </c>
      <c r="J68" s="15">
        <f t="shared" si="1"/>
        <v>7.5907994125599974</v>
      </c>
      <c r="K68" s="17">
        <v>0.76719999999999999</v>
      </c>
      <c r="L68" s="15">
        <f t="shared" si="2"/>
        <v>7.6661040000000007</v>
      </c>
      <c r="M68" s="18">
        <f t="shared" si="3"/>
        <v>7.2305159707200009</v>
      </c>
      <c r="N68" s="30">
        <v>0</v>
      </c>
      <c r="O68" s="20"/>
      <c r="P68" s="10">
        <f t="shared" si="4"/>
        <v>0</v>
      </c>
    </row>
    <row r="69" spans="1:16" ht="15" customHeight="1" x14ac:dyDescent="0.25">
      <c r="A69" s="36" t="s">
        <v>460</v>
      </c>
      <c r="B69" s="36">
        <v>7896714221380</v>
      </c>
      <c r="C69" s="36" t="s">
        <v>244</v>
      </c>
      <c r="D69" s="37" t="s">
        <v>88</v>
      </c>
      <c r="E69" s="14">
        <v>60</v>
      </c>
      <c r="F69" s="33">
        <v>43.82</v>
      </c>
      <c r="G69" s="16">
        <v>0.86609999999999998</v>
      </c>
      <c r="H69" s="16">
        <v>5.6820000000000002E-2</v>
      </c>
      <c r="I69" s="15">
        <f t="shared" si="0"/>
        <v>5.8674979999999977</v>
      </c>
      <c r="J69" s="15">
        <f t="shared" si="1"/>
        <v>5.5341067636399979</v>
      </c>
      <c r="K69" s="17">
        <v>0.87250000000000005</v>
      </c>
      <c r="L69" s="15">
        <f t="shared" si="2"/>
        <v>5.5870499999999979</v>
      </c>
      <c r="M69" s="18">
        <f t="shared" si="3"/>
        <v>5.269593818999998</v>
      </c>
      <c r="N69" s="30">
        <v>0</v>
      </c>
      <c r="O69" s="20"/>
      <c r="P69" s="10">
        <f t="shared" si="4"/>
        <v>0</v>
      </c>
    </row>
    <row r="70" spans="1:16" ht="15" customHeight="1" x14ac:dyDescent="0.25">
      <c r="A70" s="36" t="s">
        <v>460</v>
      </c>
      <c r="B70" s="36">
        <v>7896714205762</v>
      </c>
      <c r="C70" s="36" t="s">
        <v>245</v>
      </c>
      <c r="D70" s="37" t="s">
        <v>89</v>
      </c>
      <c r="E70" s="14">
        <v>60</v>
      </c>
      <c r="F70" s="33">
        <v>45.76</v>
      </c>
      <c r="G70" s="16">
        <v>0.72899999999999998</v>
      </c>
      <c r="H70" s="16">
        <v>5.6820000000000002E-2</v>
      </c>
      <c r="I70" s="15">
        <f t="shared" ref="I70:I135" si="5">F70-(F70*G70)</f>
        <v>12.400959999999998</v>
      </c>
      <c r="J70" s="15">
        <f t="shared" ref="J70:J135" si="6">I70-(I70*H70)</f>
        <v>11.696337452799998</v>
      </c>
      <c r="K70" s="17">
        <v>0.7419</v>
      </c>
      <c r="L70" s="15">
        <f t="shared" ref="L70:L135" si="7">F70-(F70*K70)</f>
        <v>11.810656000000002</v>
      </c>
      <c r="M70" s="18">
        <f t="shared" ref="M70:M135" si="8">L70-(L70*H70)</f>
        <v>11.139574526080001</v>
      </c>
      <c r="N70" s="30">
        <v>0</v>
      </c>
      <c r="O70" s="20"/>
      <c r="P70" s="10">
        <f t="shared" ref="P70:P133" si="9">M70*O70</f>
        <v>0</v>
      </c>
    </row>
    <row r="71" spans="1:16" ht="15" customHeight="1" x14ac:dyDescent="0.25">
      <c r="A71" s="36" t="s">
        <v>460</v>
      </c>
      <c r="B71" s="36">
        <v>7896714202921</v>
      </c>
      <c r="C71" s="36" t="s">
        <v>246</v>
      </c>
      <c r="D71" s="37" t="s">
        <v>90</v>
      </c>
      <c r="E71" s="14">
        <v>60</v>
      </c>
      <c r="F71" s="33">
        <v>22.83</v>
      </c>
      <c r="G71" s="16">
        <v>0.57130000000000003</v>
      </c>
      <c r="H71" s="16">
        <v>5.6820000000000002E-2</v>
      </c>
      <c r="I71" s="15">
        <f t="shared" si="5"/>
        <v>9.7872209999999988</v>
      </c>
      <c r="J71" s="15">
        <f t="shared" si="6"/>
        <v>9.2311111027799981</v>
      </c>
      <c r="K71" s="17">
        <v>0.60099999999999998</v>
      </c>
      <c r="L71" s="15">
        <f t="shared" si="7"/>
        <v>9.1091700000000007</v>
      </c>
      <c r="M71" s="18">
        <f t="shared" si="8"/>
        <v>8.5915869606000008</v>
      </c>
      <c r="N71" s="30">
        <v>0</v>
      </c>
      <c r="O71" s="20"/>
      <c r="P71" s="10">
        <f t="shared" si="9"/>
        <v>0</v>
      </c>
    </row>
    <row r="72" spans="1:16" ht="15" customHeight="1" x14ac:dyDescent="0.25">
      <c r="A72" s="36" t="s">
        <v>460</v>
      </c>
      <c r="B72" s="36">
        <v>7896714202891</v>
      </c>
      <c r="C72" s="36" t="s">
        <v>247</v>
      </c>
      <c r="D72" s="37" t="s">
        <v>91</v>
      </c>
      <c r="E72" s="14">
        <v>60</v>
      </c>
      <c r="F72" s="33">
        <v>22.83</v>
      </c>
      <c r="G72" s="16">
        <v>0.57669999999999999</v>
      </c>
      <c r="H72" s="16">
        <v>5.6820000000000002E-2</v>
      </c>
      <c r="I72" s="15">
        <f t="shared" si="5"/>
        <v>9.6639389999999992</v>
      </c>
      <c r="J72" s="15">
        <f t="shared" si="6"/>
        <v>9.1148339860199989</v>
      </c>
      <c r="K72" s="17">
        <v>0.60570000000000002</v>
      </c>
      <c r="L72" s="15">
        <f t="shared" si="7"/>
        <v>9.0018689999999992</v>
      </c>
      <c r="M72" s="18">
        <f t="shared" si="8"/>
        <v>8.4903828034199993</v>
      </c>
      <c r="N72" s="30">
        <v>0</v>
      </c>
      <c r="O72" s="20"/>
      <c r="P72" s="10">
        <f t="shared" si="9"/>
        <v>0</v>
      </c>
    </row>
    <row r="73" spans="1:16" x14ac:dyDescent="0.25">
      <c r="A73" s="36" t="s">
        <v>460</v>
      </c>
      <c r="B73" s="36">
        <v>7896714205182</v>
      </c>
      <c r="C73" s="36" t="s">
        <v>248</v>
      </c>
      <c r="D73" s="37" t="s">
        <v>92</v>
      </c>
      <c r="E73" s="14">
        <v>60</v>
      </c>
      <c r="F73" s="33">
        <v>5.27</v>
      </c>
      <c r="G73" s="16">
        <v>0.40629999999999999</v>
      </c>
      <c r="H73" s="16">
        <v>5.6820000000000002E-2</v>
      </c>
      <c r="I73" s="15">
        <f t="shared" si="5"/>
        <v>3.1287989999999999</v>
      </c>
      <c r="J73" s="15">
        <f t="shared" si="6"/>
        <v>2.9510206408199999</v>
      </c>
      <c r="K73" s="17">
        <v>0.43369999999999997</v>
      </c>
      <c r="L73" s="15">
        <f t="shared" si="7"/>
        <v>2.9844010000000001</v>
      </c>
      <c r="M73" s="18">
        <f t="shared" si="8"/>
        <v>2.8148273351799999</v>
      </c>
      <c r="N73" s="30">
        <v>0</v>
      </c>
      <c r="O73" s="20"/>
      <c r="P73" s="10">
        <f t="shared" si="9"/>
        <v>0</v>
      </c>
    </row>
    <row r="74" spans="1:16" x14ac:dyDescent="0.25">
      <c r="A74" s="36" t="s">
        <v>460</v>
      </c>
      <c r="B74" s="36">
        <v>7896714268873</v>
      </c>
      <c r="C74" s="36" t="s">
        <v>249</v>
      </c>
      <c r="D74" s="37" t="s">
        <v>93</v>
      </c>
      <c r="E74" s="14">
        <v>160</v>
      </c>
      <c r="F74" s="33">
        <v>77.430000000000007</v>
      </c>
      <c r="G74" s="16">
        <v>0.77810000000000001</v>
      </c>
      <c r="H74" s="16">
        <v>0.13542000000000001</v>
      </c>
      <c r="I74" s="15">
        <f t="shared" si="5"/>
        <v>17.181716999999999</v>
      </c>
      <c r="J74" s="15">
        <f t="shared" si="6"/>
        <v>14.85496888386</v>
      </c>
      <c r="K74" s="17">
        <v>0.78859999999999997</v>
      </c>
      <c r="L74" s="15">
        <f t="shared" si="7"/>
        <v>16.368702000000006</v>
      </c>
      <c r="M74" s="18">
        <f t="shared" si="8"/>
        <v>14.152052375160006</v>
      </c>
      <c r="N74" s="30">
        <v>0</v>
      </c>
      <c r="O74" s="20"/>
      <c r="P74" s="10">
        <f t="shared" si="9"/>
        <v>0</v>
      </c>
    </row>
    <row r="75" spans="1:16" ht="15" customHeight="1" x14ac:dyDescent="0.25">
      <c r="A75" s="36" t="s">
        <v>460</v>
      </c>
      <c r="B75" s="36">
        <v>7896714290201</v>
      </c>
      <c r="C75" s="36" t="s">
        <v>444</v>
      </c>
      <c r="D75" s="37" t="s">
        <v>527</v>
      </c>
      <c r="E75" s="14">
        <v>35</v>
      </c>
      <c r="F75" s="33">
        <v>86.43</v>
      </c>
      <c r="G75" s="16">
        <v>0.65029999999999999</v>
      </c>
      <c r="H75" s="16">
        <v>0.13542000000000001</v>
      </c>
      <c r="I75" s="15">
        <f t="shared" si="5"/>
        <v>30.224571000000005</v>
      </c>
      <c r="J75" s="15">
        <f t="shared" si="6"/>
        <v>26.131559595180004</v>
      </c>
      <c r="K75" s="17">
        <v>0.66700000000000004</v>
      </c>
      <c r="L75" s="15">
        <f t="shared" si="7"/>
        <v>28.781190000000002</v>
      </c>
      <c r="M75" s="18">
        <f t="shared" si="8"/>
        <v>24.8836412502</v>
      </c>
      <c r="N75" s="30">
        <v>0</v>
      </c>
      <c r="O75" s="20"/>
      <c r="P75" s="10">
        <f t="shared" si="9"/>
        <v>0</v>
      </c>
    </row>
    <row r="76" spans="1:16" x14ac:dyDescent="0.25">
      <c r="A76" s="36" t="s">
        <v>460</v>
      </c>
      <c r="B76" s="36">
        <v>7896714225890</v>
      </c>
      <c r="C76" s="36" t="s">
        <v>250</v>
      </c>
      <c r="D76" s="37" t="s">
        <v>94</v>
      </c>
      <c r="E76" s="14">
        <v>100</v>
      </c>
      <c r="F76" s="33">
        <v>70.59</v>
      </c>
      <c r="G76" s="16">
        <v>0.35859999999999997</v>
      </c>
      <c r="H76" s="16">
        <v>5.6820000000000002E-2</v>
      </c>
      <c r="I76" s="15">
        <f t="shared" si="5"/>
        <v>45.276426000000001</v>
      </c>
      <c r="J76" s="15">
        <f t="shared" si="6"/>
        <v>42.703819474680003</v>
      </c>
      <c r="K76" s="17">
        <v>0.3891</v>
      </c>
      <c r="L76" s="15">
        <f t="shared" si="7"/>
        <v>43.123431000000004</v>
      </c>
      <c r="M76" s="18">
        <f t="shared" si="8"/>
        <v>40.673157650580002</v>
      </c>
      <c r="N76" s="30">
        <v>0</v>
      </c>
      <c r="O76" s="20"/>
      <c r="P76" s="10">
        <f t="shared" si="9"/>
        <v>0</v>
      </c>
    </row>
    <row r="77" spans="1:16" ht="15" customHeight="1" x14ac:dyDescent="0.25">
      <c r="A77" s="36" t="s">
        <v>460</v>
      </c>
      <c r="B77" s="36">
        <v>7896714217321</v>
      </c>
      <c r="C77" s="36" t="s">
        <v>251</v>
      </c>
      <c r="D77" s="37" t="s">
        <v>95</v>
      </c>
      <c r="E77" s="14">
        <v>60</v>
      </c>
      <c r="F77" s="33">
        <v>34.51</v>
      </c>
      <c r="G77" s="16">
        <v>0.83940000000000003</v>
      </c>
      <c r="H77" s="16">
        <v>5.6820000000000002E-2</v>
      </c>
      <c r="I77" s="15">
        <f t="shared" si="5"/>
        <v>5.542306</v>
      </c>
      <c r="J77" s="15">
        <f t="shared" si="6"/>
        <v>5.2273921730800001</v>
      </c>
      <c r="K77" s="17">
        <v>0.84699999999999998</v>
      </c>
      <c r="L77" s="15">
        <f t="shared" si="7"/>
        <v>5.28003</v>
      </c>
      <c r="M77" s="18">
        <f t="shared" si="8"/>
        <v>4.9800186954000001</v>
      </c>
      <c r="N77" s="30">
        <v>0</v>
      </c>
      <c r="O77" s="20"/>
      <c r="P77" s="10">
        <f t="shared" si="9"/>
        <v>0</v>
      </c>
    </row>
    <row r="78" spans="1:16" ht="15" customHeight="1" x14ac:dyDescent="0.25">
      <c r="A78" s="36" t="s">
        <v>460</v>
      </c>
      <c r="B78" s="36">
        <v>7896714274041</v>
      </c>
      <c r="C78" s="36" t="s">
        <v>348</v>
      </c>
      <c r="D78" s="37" t="s">
        <v>349</v>
      </c>
      <c r="E78" s="14">
        <v>100</v>
      </c>
      <c r="F78" s="33">
        <v>142.29</v>
      </c>
      <c r="G78" s="16">
        <v>0.73580000000000001</v>
      </c>
      <c r="H78" s="16">
        <v>0.13542000000000001</v>
      </c>
      <c r="I78" s="15">
        <f t="shared" si="5"/>
        <v>37.593018000000001</v>
      </c>
      <c r="J78" s="15">
        <f t="shared" si="6"/>
        <v>32.50217150244</v>
      </c>
      <c r="K78" s="17">
        <v>0.74829999999999997</v>
      </c>
      <c r="L78" s="15">
        <f t="shared" si="7"/>
        <v>35.81439300000001</v>
      </c>
      <c r="M78" s="18">
        <f t="shared" si="8"/>
        <v>30.964407899940007</v>
      </c>
      <c r="N78" s="30">
        <v>0</v>
      </c>
      <c r="O78" s="20"/>
      <c r="P78" s="10">
        <f t="shared" si="9"/>
        <v>0</v>
      </c>
    </row>
    <row r="79" spans="1:16" x14ac:dyDescent="0.25">
      <c r="A79" s="36" t="s">
        <v>460</v>
      </c>
      <c r="B79" s="36">
        <v>7896714274034</v>
      </c>
      <c r="C79" s="36" t="s">
        <v>350</v>
      </c>
      <c r="D79" s="37" t="s">
        <v>351</v>
      </c>
      <c r="E79" s="14">
        <v>104</v>
      </c>
      <c r="F79" s="33">
        <v>140.57</v>
      </c>
      <c r="G79" s="16">
        <v>0.76380000000000003</v>
      </c>
      <c r="H79" s="16">
        <v>0.13542000000000001</v>
      </c>
      <c r="I79" s="15">
        <f t="shared" si="5"/>
        <v>33.202633999999989</v>
      </c>
      <c r="J79" s="15">
        <f t="shared" si="6"/>
        <v>28.70633330371999</v>
      </c>
      <c r="K79" s="17">
        <v>0.77510000000000001</v>
      </c>
      <c r="L79" s="15">
        <f t="shared" si="7"/>
        <v>31.614193</v>
      </c>
      <c r="M79" s="18">
        <f t="shared" si="8"/>
        <v>27.332998983940001</v>
      </c>
      <c r="N79" s="30">
        <v>0</v>
      </c>
      <c r="O79" s="20"/>
      <c r="P79" s="10">
        <f t="shared" si="9"/>
        <v>0</v>
      </c>
    </row>
    <row r="80" spans="1:16" ht="15" customHeight="1" x14ac:dyDescent="0.25">
      <c r="A80" s="36" t="s">
        <v>460</v>
      </c>
      <c r="B80" s="36">
        <v>7896714263137</v>
      </c>
      <c r="C80" s="36" t="s">
        <v>397</v>
      </c>
      <c r="D80" s="37" t="s">
        <v>399</v>
      </c>
      <c r="E80" s="14">
        <v>24</v>
      </c>
      <c r="F80" s="33">
        <v>18.53</v>
      </c>
      <c r="G80" s="16">
        <v>0.65329999999999999</v>
      </c>
      <c r="H80" s="16">
        <v>0.13542000000000001</v>
      </c>
      <c r="I80" s="15">
        <f t="shared" si="5"/>
        <v>6.4243509999999997</v>
      </c>
      <c r="J80" s="15">
        <f t="shared" si="6"/>
        <v>5.5543653875799999</v>
      </c>
      <c r="K80" s="17">
        <v>0.67</v>
      </c>
      <c r="L80" s="15">
        <f t="shared" si="7"/>
        <v>6.1149000000000004</v>
      </c>
      <c r="M80" s="18">
        <f t="shared" si="8"/>
        <v>5.2868202420000001</v>
      </c>
      <c r="N80" s="30">
        <v>0</v>
      </c>
      <c r="O80" s="20"/>
      <c r="P80" s="10">
        <f t="shared" si="9"/>
        <v>0</v>
      </c>
    </row>
    <row r="81" spans="1:16" ht="15" customHeight="1" x14ac:dyDescent="0.25">
      <c r="A81" s="36" t="s">
        <v>460</v>
      </c>
      <c r="B81" s="36">
        <v>7896714263144</v>
      </c>
      <c r="C81" s="36" t="s">
        <v>398</v>
      </c>
      <c r="D81" s="37" t="s">
        <v>400</v>
      </c>
      <c r="E81" s="14">
        <v>24</v>
      </c>
      <c r="F81" s="33">
        <v>33.19</v>
      </c>
      <c r="G81" s="16">
        <v>0.58799999999999997</v>
      </c>
      <c r="H81" s="16">
        <v>0.13542000000000001</v>
      </c>
      <c r="I81" s="15">
        <f t="shared" si="5"/>
        <v>13.67428</v>
      </c>
      <c r="J81" s="15">
        <f t="shared" si="6"/>
        <v>11.8225090024</v>
      </c>
      <c r="K81" s="17">
        <v>0.60770000000000002</v>
      </c>
      <c r="L81" s="15">
        <f t="shared" si="7"/>
        <v>13.020436999999998</v>
      </c>
      <c r="M81" s="18">
        <f t="shared" si="8"/>
        <v>11.257209421459997</v>
      </c>
      <c r="N81" s="30">
        <v>0</v>
      </c>
      <c r="O81" s="20"/>
      <c r="P81" s="10">
        <f t="shared" si="9"/>
        <v>0</v>
      </c>
    </row>
    <row r="82" spans="1:16" ht="15" customHeight="1" x14ac:dyDescent="0.25">
      <c r="A82" s="36" t="s">
        <v>460</v>
      </c>
      <c r="B82" s="36">
        <v>7896714255019</v>
      </c>
      <c r="C82" s="36" t="s">
        <v>252</v>
      </c>
      <c r="D82" s="37" t="s">
        <v>96</v>
      </c>
      <c r="E82" s="14">
        <v>60</v>
      </c>
      <c r="F82" s="33">
        <v>29.76</v>
      </c>
      <c r="G82" s="16">
        <v>0.81779999999999997</v>
      </c>
      <c r="H82" s="16">
        <v>5.6820000000000002E-2</v>
      </c>
      <c r="I82" s="15">
        <f t="shared" si="5"/>
        <v>5.4222719999999995</v>
      </c>
      <c r="J82" s="15">
        <f t="shared" si="6"/>
        <v>5.1141785049599999</v>
      </c>
      <c r="K82" s="17">
        <v>0.82650000000000001</v>
      </c>
      <c r="L82" s="15">
        <f t="shared" si="7"/>
        <v>5.1633600000000008</v>
      </c>
      <c r="M82" s="18">
        <f t="shared" si="8"/>
        <v>4.8699778848000008</v>
      </c>
      <c r="N82" s="30">
        <v>0</v>
      </c>
      <c r="O82" s="20"/>
      <c r="P82" s="10">
        <f t="shared" si="9"/>
        <v>0</v>
      </c>
    </row>
    <row r="83" spans="1:16" ht="15" customHeight="1" x14ac:dyDescent="0.25">
      <c r="A83" s="36" t="s">
        <v>460</v>
      </c>
      <c r="B83" s="36">
        <v>7896714255026</v>
      </c>
      <c r="C83" s="36" t="s">
        <v>253</v>
      </c>
      <c r="D83" s="37" t="s">
        <v>97</v>
      </c>
      <c r="E83" s="14">
        <v>60</v>
      </c>
      <c r="F83" s="33">
        <v>72.819999999999993</v>
      </c>
      <c r="G83" s="16">
        <v>0.60309999999999997</v>
      </c>
      <c r="H83" s="16">
        <v>5.6820000000000002E-2</v>
      </c>
      <c r="I83" s="15">
        <f t="shared" si="5"/>
        <v>28.902257999999996</v>
      </c>
      <c r="J83" s="15">
        <f t="shared" si="6"/>
        <v>27.260031700439995</v>
      </c>
      <c r="K83" s="17">
        <v>0.622</v>
      </c>
      <c r="L83" s="15">
        <f t="shared" si="7"/>
        <v>27.525959999999998</v>
      </c>
      <c r="M83" s="18">
        <f t="shared" si="8"/>
        <v>25.961934952799997</v>
      </c>
      <c r="N83" s="30">
        <v>0</v>
      </c>
      <c r="O83" s="20"/>
      <c r="P83" s="10">
        <f t="shared" si="9"/>
        <v>0</v>
      </c>
    </row>
    <row r="84" spans="1:16" ht="15" customHeight="1" x14ac:dyDescent="0.25">
      <c r="A84" s="36" t="s">
        <v>460</v>
      </c>
      <c r="B84" s="36">
        <v>7896714292038</v>
      </c>
      <c r="C84" s="36" t="s">
        <v>522</v>
      </c>
      <c r="D84" s="37" t="s">
        <v>523</v>
      </c>
      <c r="E84" s="14">
        <v>24</v>
      </c>
      <c r="F84" s="33">
        <v>100.53</v>
      </c>
      <c r="G84" s="16">
        <v>0.60629999999999995</v>
      </c>
      <c r="H84" s="16">
        <v>5.6820000000000002E-2</v>
      </c>
      <c r="I84" s="15">
        <f t="shared" si="5"/>
        <v>39.578661000000004</v>
      </c>
      <c r="J84" s="15">
        <f t="shared" si="6"/>
        <v>37.329801481980006</v>
      </c>
      <c r="K84" s="17">
        <v>0.62509999999999999</v>
      </c>
      <c r="L84" s="15">
        <f t="shared" si="7"/>
        <v>37.688697000000005</v>
      </c>
      <c r="M84" s="18">
        <f t="shared" si="8"/>
        <v>35.547225236460008</v>
      </c>
      <c r="N84" s="30">
        <v>0</v>
      </c>
      <c r="O84" s="20"/>
      <c r="P84" s="10">
        <f t="shared" si="9"/>
        <v>0</v>
      </c>
    </row>
    <row r="85" spans="1:16" ht="15" customHeight="1" x14ac:dyDescent="0.25">
      <c r="A85" s="36" t="s">
        <v>460</v>
      </c>
      <c r="B85" s="36">
        <v>7896714232980</v>
      </c>
      <c r="C85" s="36" t="s">
        <v>254</v>
      </c>
      <c r="D85" s="37" t="s">
        <v>98</v>
      </c>
      <c r="E85" s="14">
        <v>60</v>
      </c>
      <c r="F85" s="33">
        <v>16.28</v>
      </c>
      <c r="G85" s="16">
        <v>0.71020000000000005</v>
      </c>
      <c r="H85" s="16">
        <v>5.6820000000000002E-2</v>
      </c>
      <c r="I85" s="15">
        <f t="shared" si="5"/>
        <v>4.7179439999999992</v>
      </c>
      <c r="J85" s="15">
        <f t="shared" si="6"/>
        <v>4.4498704219199992</v>
      </c>
      <c r="K85" s="17">
        <v>0.72389999999999999</v>
      </c>
      <c r="L85" s="15">
        <f t="shared" si="7"/>
        <v>4.4949080000000006</v>
      </c>
      <c r="M85" s="18">
        <f t="shared" si="8"/>
        <v>4.2395073274400001</v>
      </c>
      <c r="N85" s="30">
        <v>0</v>
      </c>
      <c r="O85" s="20"/>
      <c r="P85" s="10">
        <f t="shared" si="9"/>
        <v>0</v>
      </c>
    </row>
    <row r="86" spans="1:16" ht="15" customHeight="1" x14ac:dyDescent="0.25">
      <c r="A86" s="36" t="s">
        <v>460</v>
      </c>
      <c r="B86" s="36">
        <v>7896714232966</v>
      </c>
      <c r="C86" s="36" t="s">
        <v>255</v>
      </c>
      <c r="D86" s="37" t="s">
        <v>99</v>
      </c>
      <c r="E86" s="14">
        <v>60</v>
      </c>
      <c r="F86" s="33">
        <v>12.05</v>
      </c>
      <c r="G86" s="16">
        <v>0.78110000000000002</v>
      </c>
      <c r="H86" s="16">
        <v>5.6820000000000002E-2</v>
      </c>
      <c r="I86" s="15">
        <f t="shared" si="5"/>
        <v>2.6377450000000007</v>
      </c>
      <c r="J86" s="15">
        <f t="shared" si="6"/>
        <v>2.4878683291000008</v>
      </c>
      <c r="K86" s="17">
        <v>0.79149999999999998</v>
      </c>
      <c r="L86" s="15">
        <f t="shared" si="7"/>
        <v>2.5124250000000004</v>
      </c>
      <c r="M86" s="18">
        <f t="shared" si="8"/>
        <v>2.3696690115000005</v>
      </c>
      <c r="N86" s="30">
        <v>0</v>
      </c>
      <c r="O86" s="20"/>
      <c r="P86" s="10">
        <f t="shared" si="9"/>
        <v>0</v>
      </c>
    </row>
    <row r="87" spans="1:16" ht="15" customHeight="1" x14ac:dyDescent="0.25">
      <c r="A87" s="36" t="s">
        <v>460</v>
      </c>
      <c r="B87" s="36">
        <v>7896714296319</v>
      </c>
      <c r="C87" s="36" t="s">
        <v>814</v>
      </c>
      <c r="D87" s="37" t="s">
        <v>817</v>
      </c>
      <c r="E87" s="14">
        <v>60</v>
      </c>
      <c r="F87" s="33">
        <v>15.35</v>
      </c>
      <c r="G87" s="16">
        <v>0.62219999999999998</v>
      </c>
      <c r="H87" s="16">
        <v>5.6820000000000002E-2</v>
      </c>
      <c r="I87" s="15">
        <f t="shared" si="5"/>
        <v>5.7992299999999997</v>
      </c>
      <c r="J87" s="15">
        <f t="shared" si="6"/>
        <v>5.4697177513999993</v>
      </c>
      <c r="K87" s="17">
        <v>0.64029999999999998</v>
      </c>
      <c r="L87" s="15">
        <f t="shared" si="7"/>
        <v>5.5213950000000001</v>
      </c>
      <c r="M87" s="18">
        <f t="shared" si="8"/>
        <v>5.2076693361000004</v>
      </c>
      <c r="N87" s="30">
        <v>0</v>
      </c>
      <c r="O87" s="20"/>
      <c r="P87" s="10">
        <f t="shared" si="9"/>
        <v>0</v>
      </c>
    </row>
    <row r="88" spans="1:16" ht="15" customHeight="1" x14ac:dyDescent="0.25">
      <c r="A88" s="36" t="s">
        <v>460</v>
      </c>
      <c r="B88" s="36">
        <v>7896714221519</v>
      </c>
      <c r="C88" s="36" t="s">
        <v>256</v>
      </c>
      <c r="D88" s="37" t="s">
        <v>830</v>
      </c>
      <c r="E88" s="14">
        <v>60</v>
      </c>
      <c r="F88" s="33">
        <v>22.61</v>
      </c>
      <c r="G88" s="16">
        <v>0.89470000000000005</v>
      </c>
      <c r="H88" s="16">
        <v>5.6820000000000002E-2</v>
      </c>
      <c r="I88" s="15">
        <f t="shared" si="5"/>
        <v>2.3808329999999991</v>
      </c>
      <c r="J88" s="15">
        <f t="shared" si="6"/>
        <v>2.2455540689399993</v>
      </c>
      <c r="K88" s="17">
        <v>0.89970000000000006</v>
      </c>
      <c r="L88" s="15">
        <f t="shared" si="7"/>
        <v>2.2677829999999979</v>
      </c>
      <c r="M88" s="18">
        <f t="shared" si="8"/>
        <v>2.1389275699399981</v>
      </c>
      <c r="N88" s="30">
        <v>0</v>
      </c>
      <c r="O88" s="20"/>
      <c r="P88" s="10">
        <f t="shared" si="9"/>
        <v>0</v>
      </c>
    </row>
    <row r="89" spans="1:16" ht="15" customHeight="1" x14ac:dyDescent="0.25">
      <c r="A89" s="36" t="s">
        <v>460</v>
      </c>
      <c r="B89" s="36">
        <v>7896714296418</v>
      </c>
      <c r="C89" s="36" t="s">
        <v>807</v>
      </c>
      <c r="D89" s="37" t="s">
        <v>811</v>
      </c>
      <c r="E89" s="14">
        <v>90</v>
      </c>
      <c r="F89" s="33">
        <v>23.1</v>
      </c>
      <c r="G89" s="16">
        <v>0.79520000000000002</v>
      </c>
      <c r="H89" s="16">
        <v>5.6820000000000002E-2</v>
      </c>
      <c r="I89" s="15">
        <f t="shared" si="5"/>
        <v>4.7308799999999991</v>
      </c>
      <c r="J89" s="15">
        <f t="shared" si="6"/>
        <v>4.4620713983999991</v>
      </c>
      <c r="K89" s="17">
        <v>0.80489999999999995</v>
      </c>
      <c r="L89" s="15">
        <f t="shared" si="7"/>
        <v>4.5068100000000015</v>
      </c>
      <c r="M89" s="18">
        <f t="shared" si="8"/>
        <v>4.2507330558000014</v>
      </c>
      <c r="N89" s="30">
        <v>0</v>
      </c>
      <c r="O89" s="20"/>
      <c r="P89" s="10">
        <f t="shared" si="9"/>
        <v>0</v>
      </c>
    </row>
    <row r="90" spans="1:16" ht="15" customHeight="1" x14ac:dyDescent="0.25">
      <c r="A90" s="36" t="s">
        <v>460</v>
      </c>
      <c r="B90" s="36">
        <v>7896714297101</v>
      </c>
      <c r="C90" s="36" t="s">
        <v>828</v>
      </c>
      <c r="D90" s="37" t="s">
        <v>831</v>
      </c>
      <c r="E90" s="14">
        <v>72</v>
      </c>
      <c r="F90" s="33">
        <v>26.83</v>
      </c>
      <c r="G90" s="16">
        <v>0.51919999999999999</v>
      </c>
      <c r="H90" s="16">
        <v>5.6820000000000002E-2</v>
      </c>
      <c r="I90" s="15">
        <f t="shared" si="5"/>
        <v>12.899863999999999</v>
      </c>
      <c r="J90" s="15">
        <f t="shared" si="6"/>
        <v>12.16689372752</v>
      </c>
      <c r="K90" s="17">
        <v>0.59130000000000005</v>
      </c>
      <c r="L90" s="15">
        <f t="shared" si="7"/>
        <v>10.965420999999997</v>
      </c>
      <c r="M90" s="18">
        <f t="shared" si="8"/>
        <v>10.342365778779998</v>
      </c>
      <c r="N90" s="30">
        <v>0</v>
      </c>
      <c r="O90" s="20"/>
      <c r="P90" s="10">
        <f t="shared" si="9"/>
        <v>0</v>
      </c>
    </row>
    <row r="91" spans="1:16" ht="15" customHeight="1" x14ac:dyDescent="0.25">
      <c r="A91" s="36" t="s">
        <v>460</v>
      </c>
      <c r="B91" s="38">
        <v>7896714261522</v>
      </c>
      <c r="C91" s="38" t="s">
        <v>257</v>
      </c>
      <c r="D91" s="39" t="s">
        <v>100</v>
      </c>
      <c r="E91" s="14">
        <v>12</v>
      </c>
      <c r="F91" s="33">
        <v>135.78</v>
      </c>
      <c r="G91" s="16">
        <v>0.68089999999999995</v>
      </c>
      <c r="H91" s="16">
        <v>5.6820000000000002E-2</v>
      </c>
      <c r="I91" s="25">
        <f t="shared" si="5"/>
        <v>43.327398000000002</v>
      </c>
      <c r="J91" s="25">
        <f t="shared" si="6"/>
        <v>40.865535245640004</v>
      </c>
      <c r="K91" s="17">
        <v>0.69610000000000005</v>
      </c>
      <c r="L91" s="25">
        <f t="shared" si="7"/>
        <v>41.263541999999987</v>
      </c>
      <c r="M91" s="26">
        <f t="shared" si="8"/>
        <v>38.918947543559987</v>
      </c>
      <c r="N91" s="30">
        <v>0</v>
      </c>
      <c r="O91" s="20"/>
      <c r="P91" s="10">
        <f t="shared" si="9"/>
        <v>0</v>
      </c>
    </row>
    <row r="92" spans="1:16" ht="15" customHeight="1" x14ac:dyDescent="0.25">
      <c r="A92" s="36" t="s">
        <v>460</v>
      </c>
      <c r="B92" s="36">
        <v>7896714261515</v>
      </c>
      <c r="C92" s="36" t="s">
        <v>258</v>
      </c>
      <c r="D92" s="37" t="s">
        <v>101</v>
      </c>
      <c r="E92" s="14">
        <v>60</v>
      </c>
      <c r="F92" s="33">
        <v>21.7</v>
      </c>
      <c r="G92" s="16">
        <v>0.68079999999999996</v>
      </c>
      <c r="H92" s="16">
        <v>5.6820000000000002E-2</v>
      </c>
      <c r="I92" s="15">
        <f t="shared" si="5"/>
        <v>6.9266400000000008</v>
      </c>
      <c r="J92" s="15">
        <f t="shared" si="6"/>
        <v>6.5330683152000004</v>
      </c>
      <c r="K92" s="17">
        <v>0.69610000000000005</v>
      </c>
      <c r="L92" s="15">
        <f t="shared" si="7"/>
        <v>6.5946299999999987</v>
      </c>
      <c r="M92" s="18">
        <f t="shared" si="8"/>
        <v>6.2199231233999983</v>
      </c>
      <c r="N92" s="30">
        <v>0</v>
      </c>
      <c r="O92" s="20"/>
      <c r="P92" s="10">
        <f t="shared" si="9"/>
        <v>0</v>
      </c>
    </row>
    <row r="93" spans="1:16" ht="15" customHeight="1" x14ac:dyDescent="0.25">
      <c r="A93" s="36" t="s">
        <v>460</v>
      </c>
      <c r="B93" s="36">
        <v>7896714292755</v>
      </c>
      <c r="C93" s="36" t="s">
        <v>685</v>
      </c>
      <c r="D93" s="37" t="s">
        <v>686</v>
      </c>
      <c r="E93" s="14">
        <v>100</v>
      </c>
      <c r="F93" s="33">
        <v>12.46</v>
      </c>
      <c r="G93" s="16">
        <v>0.8427</v>
      </c>
      <c r="H93" s="16">
        <v>5.6820000000000002E-2</v>
      </c>
      <c r="I93" s="15">
        <f t="shared" si="5"/>
        <v>1.9599580000000003</v>
      </c>
      <c r="J93" s="15">
        <f t="shared" si="6"/>
        <v>1.8485931864400003</v>
      </c>
      <c r="K93" s="17">
        <v>0.85029999999999994</v>
      </c>
      <c r="L93" s="15">
        <f t="shared" si="7"/>
        <v>1.8652620000000013</v>
      </c>
      <c r="M93" s="18">
        <f t="shared" si="8"/>
        <v>1.7592778131600013</v>
      </c>
      <c r="N93" s="30">
        <v>0</v>
      </c>
      <c r="O93" s="20"/>
      <c r="P93" s="10">
        <f t="shared" si="9"/>
        <v>0</v>
      </c>
    </row>
    <row r="94" spans="1:16" ht="15" customHeight="1" x14ac:dyDescent="0.25">
      <c r="A94" s="36" t="s">
        <v>460</v>
      </c>
      <c r="B94" s="36">
        <v>7896714296074</v>
      </c>
      <c r="C94" s="36" t="s">
        <v>703</v>
      </c>
      <c r="D94" s="37" t="s">
        <v>745</v>
      </c>
      <c r="E94" s="14">
        <v>200</v>
      </c>
      <c r="F94" s="33">
        <v>19.64</v>
      </c>
      <c r="G94" s="16">
        <v>0.9002</v>
      </c>
      <c r="H94" s="16">
        <v>5.6820000000000002E-2</v>
      </c>
      <c r="I94" s="15">
        <f t="shared" si="5"/>
        <v>1.9600720000000003</v>
      </c>
      <c r="J94" s="15">
        <f t="shared" si="6"/>
        <v>1.8487007089600003</v>
      </c>
      <c r="K94" s="17">
        <v>0.90500000000000003</v>
      </c>
      <c r="L94" s="15">
        <f t="shared" si="7"/>
        <v>1.8658000000000001</v>
      </c>
      <c r="M94" s="18">
        <f t="shared" si="8"/>
        <v>1.7597852440000001</v>
      </c>
      <c r="N94" s="30">
        <v>0</v>
      </c>
      <c r="O94" s="20"/>
      <c r="P94" s="10">
        <f t="shared" si="9"/>
        <v>0</v>
      </c>
    </row>
    <row r="95" spans="1:16" x14ac:dyDescent="0.25">
      <c r="A95" s="36" t="s">
        <v>460</v>
      </c>
      <c r="B95" s="36">
        <v>7896714207551</v>
      </c>
      <c r="C95" s="36" t="s">
        <v>260</v>
      </c>
      <c r="D95" s="37" t="s">
        <v>102</v>
      </c>
      <c r="E95" s="14">
        <v>60</v>
      </c>
      <c r="F95" s="33">
        <v>19.86</v>
      </c>
      <c r="G95" s="16">
        <v>0.67930000000000001</v>
      </c>
      <c r="H95" s="16">
        <v>5.6820000000000002E-2</v>
      </c>
      <c r="I95" s="15">
        <f t="shared" si="5"/>
        <v>6.3691019999999998</v>
      </c>
      <c r="J95" s="15">
        <f t="shared" si="6"/>
        <v>6.0072096243599997</v>
      </c>
      <c r="K95" s="17">
        <v>0.69720000000000004</v>
      </c>
      <c r="L95" s="15">
        <f t="shared" si="7"/>
        <v>6.0136079999999996</v>
      </c>
      <c r="M95" s="18">
        <f t="shared" si="8"/>
        <v>5.6719147934399992</v>
      </c>
      <c r="N95" s="30">
        <v>0</v>
      </c>
      <c r="O95" s="20"/>
      <c r="P95" s="10">
        <f t="shared" si="9"/>
        <v>0</v>
      </c>
    </row>
    <row r="96" spans="1:16" x14ac:dyDescent="0.25">
      <c r="A96" s="36" t="s">
        <v>460</v>
      </c>
      <c r="B96" s="36">
        <v>7896714294568</v>
      </c>
      <c r="C96" s="36" t="s">
        <v>558</v>
      </c>
      <c r="D96" s="37" t="s">
        <v>560</v>
      </c>
      <c r="E96" s="14">
        <v>60</v>
      </c>
      <c r="F96" s="33">
        <v>20.54</v>
      </c>
      <c r="G96" s="16">
        <v>0.45519999999999999</v>
      </c>
      <c r="H96" s="16">
        <v>5.6820000000000002E-2</v>
      </c>
      <c r="I96" s="15">
        <f t="shared" si="5"/>
        <v>11.190192</v>
      </c>
      <c r="J96" s="15">
        <f t="shared" si="6"/>
        <v>10.55436529056</v>
      </c>
      <c r="K96" s="17">
        <v>0.4929</v>
      </c>
      <c r="L96" s="15">
        <f t="shared" si="7"/>
        <v>10.415834</v>
      </c>
      <c r="M96" s="18">
        <f t="shared" si="8"/>
        <v>9.8240063121199999</v>
      </c>
      <c r="N96" s="30">
        <v>0</v>
      </c>
      <c r="O96" s="20"/>
      <c r="P96" s="10">
        <f t="shared" si="9"/>
        <v>0</v>
      </c>
    </row>
    <row r="97" spans="1:16" ht="15" customHeight="1" x14ac:dyDescent="0.25">
      <c r="A97" s="36" t="s">
        <v>460</v>
      </c>
      <c r="B97" s="36">
        <v>7896714207575</v>
      </c>
      <c r="C97" s="36" t="s">
        <v>259</v>
      </c>
      <c r="D97" s="37" t="s">
        <v>375</v>
      </c>
      <c r="E97" s="14">
        <v>12</v>
      </c>
      <c r="F97" s="33">
        <v>198.75</v>
      </c>
      <c r="G97" s="16">
        <v>0.20250000000000001</v>
      </c>
      <c r="H97" s="16">
        <v>5.6820000000000002E-2</v>
      </c>
      <c r="I97" s="15">
        <f t="shared" si="5"/>
        <v>158.50312500000001</v>
      </c>
      <c r="J97" s="15">
        <f t="shared" si="6"/>
        <v>149.49697743750002</v>
      </c>
      <c r="K97" s="17">
        <v>0.24049999999999999</v>
      </c>
      <c r="L97" s="15">
        <f t="shared" si="7"/>
        <v>150.950625</v>
      </c>
      <c r="M97" s="18">
        <f t="shared" si="8"/>
        <v>142.3736104875</v>
      </c>
      <c r="N97" s="30">
        <v>0</v>
      </c>
      <c r="O97" s="20"/>
      <c r="P97" s="10">
        <f t="shared" si="9"/>
        <v>0</v>
      </c>
    </row>
    <row r="98" spans="1:16" ht="15" customHeight="1" x14ac:dyDescent="0.25">
      <c r="A98" s="36" t="s">
        <v>460</v>
      </c>
      <c r="B98" s="36">
        <v>7896714295312</v>
      </c>
      <c r="C98" s="36" t="s">
        <v>627</v>
      </c>
      <c r="D98" s="37" t="s">
        <v>628</v>
      </c>
      <c r="E98" s="14">
        <v>60</v>
      </c>
      <c r="F98" s="33">
        <v>17.18</v>
      </c>
      <c r="G98" s="16">
        <v>0.76019999999999999</v>
      </c>
      <c r="H98" s="16">
        <v>5.6820000000000002E-2</v>
      </c>
      <c r="I98" s="15">
        <f t="shared" si="5"/>
        <v>4.119764</v>
      </c>
      <c r="J98" s="15">
        <f t="shared" si="6"/>
        <v>3.88567900952</v>
      </c>
      <c r="K98" s="17">
        <v>0.80130000000000001</v>
      </c>
      <c r="L98" s="15">
        <f t="shared" si="7"/>
        <v>3.4136659999999992</v>
      </c>
      <c r="M98" s="18">
        <f t="shared" si="8"/>
        <v>3.2197014978799992</v>
      </c>
      <c r="N98" s="30">
        <v>0</v>
      </c>
      <c r="O98" s="20"/>
      <c r="P98" s="10">
        <f t="shared" si="9"/>
        <v>0</v>
      </c>
    </row>
    <row r="99" spans="1:16" ht="15" customHeight="1" x14ac:dyDescent="0.25">
      <c r="A99" s="36" t="s">
        <v>460</v>
      </c>
      <c r="B99" s="36">
        <v>7896714295329</v>
      </c>
      <c r="C99" s="36" t="s">
        <v>629</v>
      </c>
      <c r="D99" s="37" t="s">
        <v>630</v>
      </c>
      <c r="E99" s="14">
        <v>60</v>
      </c>
      <c r="F99" s="33">
        <v>30.73</v>
      </c>
      <c r="G99" s="16">
        <v>0.75839999999999996</v>
      </c>
      <c r="H99" s="16">
        <v>5.6820000000000002E-2</v>
      </c>
      <c r="I99" s="15">
        <f t="shared" si="5"/>
        <v>7.4243680000000012</v>
      </c>
      <c r="J99" s="15">
        <f t="shared" si="6"/>
        <v>7.0025154102400009</v>
      </c>
      <c r="K99" s="17">
        <v>0.79979999999999996</v>
      </c>
      <c r="L99" s="15">
        <f t="shared" si="7"/>
        <v>6.1521460000000019</v>
      </c>
      <c r="M99" s="18">
        <f t="shared" si="8"/>
        <v>5.8025810642800018</v>
      </c>
      <c r="N99" s="30">
        <v>0</v>
      </c>
      <c r="O99" s="20"/>
      <c r="P99" s="10">
        <f t="shared" si="9"/>
        <v>0</v>
      </c>
    </row>
    <row r="100" spans="1:16" ht="15" customHeight="1" x14ac:dyDescent="0.25">
      <c r="A100" s="36" t="s">
        <v>460</v>
      </c>
      <c r="B100" s="36">
        <v>7896714292205</v>
      </c>
      <c r="C100" s="36" t="s">
        <v>768</v>
      </c>
      <c r="D100" s="37" t="s">
        <v>774</v>
      </c>
      <c r="E100" s="14">
        <v>60</v>
      </c>
      <c r="F100" s="33">
        <v>92.43</v>
      </c>
      <c r="G100" s="16">
        <v>0.78779999999999994</v>
      </c>
      <c r="H100" s="16">
        <v>5.6820000000000002E-2</v>
      </c>
      <c r="I100" s="15">
        <f t="shared" si="5"/>
        <v>19.613646000000003</v>
      </c>
      <c r="J100" s="15">
        <f t="shared" si="6"/>
        <v>18.499198634280003</v>
      </c>
      <c r="K100" s="17">
        <v>0.80030000000000001</v>
      </c>
      <c r="L100" s="15">
        <f t="shared" si="7"/>
        <v>18.458270999999996</v>
      </c>
      <c r="M100" s="18">
        <f t="shared" si="8"/>
        <v>17.409472041779996</v>
      </c>
      <c r="N100" s="30">
        <v>0</v>
      </c>
      <c r="O100" s="20"/>
      <c r="P100" s="10">
        <f t="shared" si="9"/>
        <v>0</v>
      </c>
    </row>
    <row r="101" spans="1:16" ht="15" customHeight="1" x14ac:dyDescent="0.25">
      <c r="A101" s="36" t="s">
        <v>460</v>
      </c>
      <c r="B101" s="36">
        <v>7896714292175</v>
      </c>
      <c r="C101" s="36" t="s">
        <v>769</v>
      </c>
      <c r="D101" s="37" t="s">
        <v>775</v>
      </c>
      <c r="E101" s="14">
        <v>60</v>
      </c>
      <c r="F101" s="33">
        <v>184.86</v>
      </c>
      <c r="G101" s="16">
        <v>0.79249999999999998</v>
      </c>
      <c r="H101" s="16">
        <v>5.6820000000000002E-2</v>
      </c>
      <c r="I101" s="15">
        <f t="shared" si="5"/>
        <v>38.358450000000005</v>
      </c>
      <c r="J101" s="15">
        <f t="shared" si="6"/>
        <v>36.178922871000005</v>
      </c>
      <c r="K101" s="17">
        <v>0.80469999999999997</v>
      </c>
      <c r="L101" s="15">
        <f t="shared" si="7"/>
        <v>36.103158000000008</v>
      </c>
      <c r="M101" s="18">
        <f t="shared" si="8"/>
        <v>34.051776562440004</v>
      </c>
      <c r="N101" s="30">
        <v>0</v>
      </c>
      <c r="O101" s="20"/>
      <c r="P101" s="10">
        <f t="shared" si="9"/>
        <v>0</v>
      </c>
    </row>
    <row r="102" spans="1:16" ht="15" customHeight="1" x14ac:dyDescent="0.25">
      <c r="A102" s="36" t="s">
        <v>460</v>
      </c>
      <c r="B102" s="36">
        <v>7896714292199</v>
      </c>
      <c r="C102" s="36" t="s">
        <v>785</v>
      </c>
      <c r="D102" s="37" t="s">
        <v>791</v>
      </c>
      <c r="E102" s="14">
        <v>60</v>
      </c>
      <c r="F102" s="33">
        <v>42.47</v>
      </c>
      <c r="G102" s="16">
        <v>0.74919999999999998</v>
      </c>
      <c r="H102" s="16">
        <v>5.6820000000000002E-2</v>
      </c>
      <c r="I102" s="15">
        <f t="shared" si="5"/>
        <v>10.651476000000002</v>
      </c>
      <c r="J102" s="15">
        <f t="shared" si="6"/>
        <v>10.046259133680003</v>
      </c>
      <c r="K102" s="17">
        <v>0.76370000000000005</v>
      </c>
      <c r="L102" s="15">
        <f t="shared" si="7"/>
        <v>10.035660999999998</v>
      </c>
      <c r="M102" s="18">
        <f t="shared" si="8"/>
        <v>9.4654347419799976</v>
      </c>
      <c r="N102" s="30">
        <v>0</v>
      </c>
      <c r="O102" s="20"/>
      <c r="P102" s="10">
        <f t="shared" si="9"/>
        <v>0</v>
      </c>
    </row>
    <row r="103" spans="1:16" ht="15" customHeight="1" x14ac:dyDescent="0.25">
      <c r="A103" s="36" t="s">
        <v>460</v>
      </c>
      <c r="B103" s="36">
        <v>7891142982605</v>
      </c>
      <c r="C103" s="36" t="s">
        <v>786</v>
      </c>
      <c r="D103" s="37" t="s">
        <v>792</v>
      </c>
      <c r="E103" s="14">
        <v>60</v>
      </c>
      <c r="F103" s="33">
        <v>88.17</v>
      </c>
      <c r="G103" s="16">
        <v>0.76670000000000005</v>
      </c>
      <c r="H103" s="16">
        <v>5.6820000000000002E-2</v>
      </c>
      <c r="I103" s="15">
        <f t="shared" si="5"/>
        <v>20.570060999999995</v>
      </c>
      <c r="J103" s="15">
        <f t="shared" si="6"/>
        <v>19.401270133979995</v>
      </c>
      <c r="K103" s="17">
        <v>0.78039999999999998</v>
      </c>
      <c r="L103" s="15">
        <f t="shared" si="7"/>
        <v>19.362132000000003</v>
      </c>
      <c r="M103" s="18">
        <f t="shared" si="8"/>
        <v>18.261975659760001</v>
      </c>
      <c r="N103" s="30">
        <v>0</v>
      </c>
      <c r="O103" s="20"/>
      <c r="P103" s="10">
        <f t="shared" si="9"/>
        <v>0</v>
      </c>
    </row>
    <row r="104" spans="1:16" ht="15" customHeight="1" x14ac:dyDescent="0.25">
      <c r="A104" s="36" t="s">
        <v>460</v>
      </c>
      <c r="B104" s="36">
        <v>7896714292083</v>
      </c>
      <c r="C104" s="36" t="s">
        <v>541</v>
      </c>
      <c r="D104" s="37" t="s">
        <v>543</v>
      </c>
      <c r="E104" s="14">
        <v>64</v>
      </c>
      <c r="F104" s="33">
        <v>67.42</v>
      </c>
      <c r="G104" s="16">
        <v>0.51439999999999997</v>
      </c>
      <c r="H104" s="16">
        <v>0.13542000000000001</v>
      </c>
      <c r="I104" s="15">
        <f t="shared" si="5"/>
        <v>32.739152000000004</v>
      </c>
      <c r="J104" s="15">
        <f t="shared" si="6"/>
        <v>28.305616036160004</v>
      </c>
      <c r="K104" s="17">
        <v>0.53759999999999997</v>
      </c>
      <c r="L104" s="15">
        <f t="shared" si="7"/>
        <v>31.175008000000005</v>
      </c>
      <c r="M104" s="18">
        <f t="shared" si="8"/>
        <v>26.953288416640003</v>
      </c>
      <c r="N104" s="30">
        <v>0</v>
      </c>
      <c r="O104" s="20"/>
      <c r="P104" s="10">
        <f t="shared" si="9"/>
        <v>0</v>
      </c>
    </row>
    <row r="105" spans="1:16" ht="15" customHeight="1" x14ac:dyDescent="0.25">
      <c r="A105" s="36" t="s">
        <v>460</v>
      </c>
      <c r="B105" s="36">
        <v>7896714292120</v>
      </c>
      <c r="C105" s="36" t="s">
        <v>542</v>
      </c>
      <c r="D105" s="37" t="s">
        <v>544</v>
      </c>
      <c r="E105" s="14">
        <v>72</v>
      </c>
      <c r="F105" s="33">
        <v>37.1</v>
      </c>
      <c r="G105" s="16">
        <v>0.44309999999999999</v>
      </c>
      <c r="H105" s="16">
        <v>0.13542000000000001</v>
      </c>
      <c r="I105" s="15">
        <f t="shared" si="5"/>
        <v>20.660990000000002</v>
      </c>
      <c r="J105" s="15">
        <f t="shared" si="6"/>
        <v>17.863078734200002</v>
      </c>
      <c r="K105" s="17">
        <v>0.4698</v>
      </c>
      <c r="L105" s="15">
        <f t="shared" si="7"/>
        <v>19.67042</v>
      </c>
      <c r="M105" s="18">
        <f t="shared" si="8"/>
        <v>17.006651723600001</v>
      </c>
      <c r="N105" s="30">
        <v>0</v>
      </c>
      <c r="O105" s="20"/>
      <c r="P105" s="10">
        <f t="shared" si="9"/>
        <v>0</v>
      </c>
    </row>
    <row r="106" spans="1:16" ht="15" customHeight="1" x14ac:dyDescent="0.25">
      <c r="A106" s="36" t="s">
        <v>460</v>
      </c>
      <c r="B106" s="36">
        <v>7896714291345</v>
      </c>
      <c r="C106" s="36" t="s">
        <v>681</v>
      </c>
      <c r="D106" s="37" t="s">
        <v>545</v>
      </c>
      <c r="E106" s="14">
        <v>48</v>
      </c>
      <c r="F106" s="33">
        <v>75.13</v>
      </c>
      <c r="G106" s="16">
        <v>0.4294</v>
      </c>
      <c r="H106" s="16">
        <v>0.13542000000000001</v>
      </c>
      <c r="I106" s="15">
        <f t="shared" si="5"/>
        <v>42.869177999999998</v>
      </c>
      <c r="J106" s="15">
        <f t="shared" si="6"/>
        <v>37.063833915239996</v>
      </c>
      <c r="K106" s="17">
        <v>0.45660000000000001</v>
      </c>
      <c r="L106" s="15">
        <f t="shared" si="7"/>
        <v>40.825641999999995</v>
      </c>
      <c r="M106" s="18">
        <f t="shared" si="8"/>
        <v>35.297033560359992</v>
      </c>
      <c r="N106" s="30">
        <v>0</v>
      </c>
      <c r="O106" s="20"/>
      <c r="P106" s="10">
        <f t="shared" si="9"/>
        <v>0</v>
      </c>
    </row>
    <row r="107" spans="1:16" ht="15" customHeight="1" x14ac:dyDescent="0.25">
      <c r="A107" s="36" t="s">
        <v>460</v>
      </c>
      <c r="B107" s="36">
        <v>7896714291321</v>
      </c>
      <c r="C107" s="36" t="s">
        <v>682</v>
      </c>
      <c r="D107" s="37" t="s">
        <v>546</v>
      </c>
      <c r="E107" s="14">
        <v>48</v>
      </c>
      <c r="F107" s="33">
        <v>37.93</v>
      </c>
      <c r="G107" s="16">
        <v>0.42330000000000001</v>
      </c>
      <c r="H107" s="16">
        <v>0.13542000000000001</v>
      </c>
      <c r="I107" s="15">
        <f t="shared" si="5"/>
        <v>21.874230999999998</v>
      </c>
      <c r="J107" s="15">
        <f t="shared" si="6"/>
        <v>18.912022637979998</v>
      </c>
      <c r="K107" s="17">
        <v>0.45069999999999999</v>
      </c>
      <c r="L107" s="15">
        <f t="shared" si="7"/>
        <v>20.834949000000002</v>
      </c>
      <c r="M107" s="18">
        <f t="shared" si="8"/>
        <v>18.013480206420002</v>
      </c>
      <c r="N107" s="30">
        <v>0</v>
      </c>
      <c r="O107" s="20"/>
      <c r="P107" s="10">
        <f t="shared" si="9"/>
        <v>0</v>
      </c>
    </row>
    <row r="108" spans="1:16" ht="15" customHeight="1" x14ac:dyDescent="0.25">
      <c r="A108" s="36" t="s">
        <v>460</v>
      </c>
      <c r="B108" s="36">
        <v>7896714273730</v>
      </c>
      <c r="C108" s="36" t="s">
        <v>262</v>
      </c>
      <c r="D108" s="37" t="s">
        <v>103</v>
      </c>
      <c r="E108" s="14">
        <v>70</v>
      </c>
      <c r="F108" s="33">
        <v>70.33</v>
      </c>
      <c r="G108" s="16">
        <v>0.74360000000000004</v>
      </c>
      <c r="H108" s="16">
        <v>5.6820000000000002E-2</v>
      </c>
      <c r="I108" s="15">
        <f t="shared" si="5"/>
        <v>18.032612</v>
      </c>
      <c r="J108" s="15">
        <f t="shared" si="6"/>
        <v>17.00799898616</v>
      </c>
      <c r="K108" s="17">
        <v>0.75580000000000003</v>
      </c>
      <c r="L108" s="15">
        <f t="shared" si="7"/>
        <v>17.174585999999998</v>
      </c>
      <c r="M108" s="18">
        <f t="shared" si="8"/>
        <v>16.198726023479999</v>
      </c>
      <c r="N108" s="30">
        <v>0</v>
      </c>
      <c r="O108" s="20"/>
      <c r="P108" s="10">
        <f t="shared" si="9"/>
        <v>0</v>
      </c>
    </row>
    <row r="109" spans="1:16" ht="15" customHeight="1" x14ac:dyDescent="0.25">
      <c r="A109" s="36" t="s">
        <v>460</v>
      </c>
      <c r="B109" s="36">
        <v>7896714291994</v>
      </c>
      <c r="C109" s="36" t="s">
        <v>547</v>
      </c>
      <c r="D109" s="37" t="s">
        <v>549</v>
      </c>
      <c r="E109" s="14">
        <v>30</v>
      </c>
      <c r="F109" s="33">
        <v>73.599999999999994</v>
      </c>
      <c r="G109" s="16">
        <v>0.3871</v>
      </c>
      <c r="H109" s="16">
        <v>5.6820000000000002E-2</v>
      </c>
      <c r="I109" s="15">
        <f t="shared" si="5"/>
        <v>45.109439999999992</v>
      </c>
      <c r="J109" s="15">
        <f t="shared" si="6"/>
        <v>42.546321619199993</v>
      </c>
      <c r="K109" s="17">
        <v>0.42980000000000002</v>
      </c>
      <c r="L109" s="15">
        <f t="shared" si="7"/>
        <v>41.966719999999995</v>
      </c>
      <c r="M109" s="18">
        <f t="shared" si="8"/>
        <v>39.582170969599993</v>
      </c>
      <c r="N109" s="30">
        <v>0</v>
      </c>
      <c r="O109" s="20"/>
      <c r="P109" s="10">
        <f t="shared" si="9"/>
        <v>0</v>
      </c>
    </row>
    <row r="110" spans="1:16" ht="15" customHeight="1" x14ac:dyDescent="0.25">
      <c r="A110" s="36" t="s">
        <v>460</v>
      </c>
      <c r="B110" s="36">
        <v>7896714292182</v>
      </c>
      <c r="C110" s="36" t="s">
        <v>548</v>
      </c>
      <c r="D110" s="37" t="s">
        <v>550</v>
      </c>
      <c r="E110" s="14">
        <v>30</v>
      </c>
      <c r="F110" s="33">
        <v>73.599999999999994</v>
      </c>
      <c r="G110" s="16">
        <v>0.42870000000000003</v>
      </c>
      <c r="H110" s="16">
        <v>5.6820000000000002E-2</v>
      </c>
      <c r="I110" s="15">
        <f t="shared" si="5"/>
        <v>42.04768</v>
      </c>
      <c r="J110" s="15">
        <f t="shared" si="6"/>
        <v>39.658530822399996</v>
      </c>
      <c r="K110" s="17">
        <v>0.46829999999999999</v>
      </c>
      <c r="L110" s="15">
        <f t="shared" si="7"/>
        <v>39.133119999999998</v>
      </c>
      <c r="M110" s="18">
        <f t="shared" si="8"/>
        <v>36.909576121599997</v>
      </c>
      <c r="N110" s="30">
        <v>0</v>
      </c>
      <c r="O110" s="20"/>
      <c r="P110" s="10">
        <f t="shared" si="9"/>
        <v>0</v>
      </c>
    </row>
    <row r="111" spans="1:16" ht="15" customHeight="1" x14ac:dyDescent="0.25">
      <c r="A111" s="36" t="s">
        <v>460</v>
      </c>
      <c r="B111" s="36">
        <v>7896094919174</v>
      </c>
      <c r="C111" s="36" t="s">
        <v>401</v>
      </c>
      <c r="D111" s="37" t="s">
        <v>404</v>
      </c>
      <c r="E111" s="14">
        <v>60</v>
      </c>
      <c r="F111" s="33">
        <v>89.24</v>
      </c>
      <c r="G111" s="16">
        <v>0.42049999999999998</v>
      </c>
      <c r="H111" s="16">
        <v>5.6820000000000002E-2</v>
      </c>
      <c r="I111" s="15">
        <f t="shared" si="5"/>
        <v>51.714579999999998</v>
      </c>
      <c r="J111" s="15">
        <f t="shared" si="6"/>
        <v>48.776157564399995</v>
      </c>
      <c r="K111" s="17">
        <v>0.44819999999999999</v>
      </c>
      <c r="L111" s="15">
        <f t="shared" si="7"/>
        <v>49.242632</v>
      </c>
      <c r="M111" s="18">
        <f t="shared" si="8"/>
        <v>46.444665649759997</v>
      </c>
      <c r="N111" s="30">
        <v>0</v>
      </c>
      <c r="O111" s="20"/>
      <c r="P111" s="10">
        <f t="shared" si="9"/>
        <v>0</v>
      </c>
    </row>
    <row r="112" spans="1:16" x14ac:dyDescent="0.25">
      <c r="A112" s="36" t="s">
        <v>460</v>
      </c>
      <c r="B112" s="36">
        <v>7896714294599</v>
      </c>
      <c r="C112" s="36" t="s">
        <v>667</v>
      </c>
      <c r="D112" s="37" t="s">
        <v>672</v>
      </c>
      <c r="E112" s="14">
        <v>96</v>
      </c>
      <c r="F112" s="33">
        <v>153.88999999999999</v>
      </c>
      <c r="G112" s="16">
        <v>0.3735</v>
      </c>
      <c r="H112" s="16">
        <v>0.13542000000000001</v>
      </c>
      <c r="I112" s="15">
        <f t="shared" si="5"/>
        <v>96.41208499999999</v>
      </c>
      <c r="J112" s="15">
        <f t="shared" si="6"/>
        <v>83.355960449299985</v>
      </c>
      <c r="K112" s="17">
        <v>0.40339999999999998</v>
      </c>
      <c r="L112" s="15">
        <f t="shared" si="7"/>
        <v>91.810773999999995</v>
      </c>
      <c r="M112" s="18">
        <f t="shared" si="8"/>
        <v>79.377758984919993</v>
      </c>
      <c r="N112" s="30">
        <v>0</v>
      </c>
      <c r="O112" s="20"/>
      <c r="P112" s="10">
        <f t="shared" si="9"/>
        <v>0</v>
      </c>
    </row>
    <row r="113" spans="1:16" x14ac:dyDescent="0.25">
      <c r="A113" s="36" t="s">
        <v>460</v>
      </c>
      <c r="B113" s="36">
        <v>7896714294575</v>
      </c>
      <c r="C113" s="36" t="s">
        <v>668</v>
      </c>
      <c r="D113" s="37" t="s">
        <v>673</v>
      </c>
      <c r="E113" s="14">
        <v>60</v>
      </c>
      <c r="F113" s="33">
        <v>38.479999999999997</v>
      </c>
      <c r="G113" s="16">
        <v>0.33090000000000003</v>
      </c>
      <c r="H113" s="16">
        <v>0.13542000000000001</v>
      </c>
      <c r="I113" s="15">
        <f t="shared" si="5"/>
        <v>25.746967999999995</v>
      </c>
      <c r="J113" s="15">
        <f t="shared" si="6"/>
        <v>22.260313593439996</v>
      </c>
      <c r="K113" s="17">
        <v>0.3901</v>
      </c>
      <c r="L113" s="15">
        <f t="shared" si="7"/>
        <v>23.468951999999998</v>
      </c>
      <c r="M113" s="18">
        <f t="shared" si="8"/>
        <v>20.290786520159998</v>
      </c>
      <c r="N113" s="30">
        <v>0</v>
      </c>
      <c r="O113" s="20"/>
      <c r="P113" s="10">
        <f t="shared" si="9"/>
        <v>0</v>
      </c>
    </row>
    <row r="114" spans="1:16" ht="15" customHeight="1" x14ac:dyDescent="0.25">
      <c r="A114" s="36" t="s">
        <v>460</v>
      </c>
      <c r="B114" s="36">
        <v>7896714294582</v>
      </c>
      <c r="C114" s="36" t="s">
        <v>669</v>
      </c>
      <c r="D114" s="37" t="s">
        <v>674</v>
      </c>
      <c r="E114" s="14">
        <v>60</v>
      </c>
      <c r="F114" s="33">
        <v>76.94</v>
      </c>
      <c r="G114" s="16">
        <v>0.37590000000000001</v>
      </c>
      <c r="H114" s="16">
        <v>0.13542000000000001</v>
      </c>
      <c r="I114" s="15">
        <f t="shared" si="5"/>
        <v>48.018253999999999</v>
      </c>
      <c r="J114" s="15">
        <f t="shared" si="6"/>
        <v>41.515622043320001</v>
      </c>
      <c r="K114" s="17">
        <v>0.40560000000000002</v>
      </c>
      <c r="L114" s="15">
        <f t="shared" si="7"/>
        <v>45.733136000000002</v>
      </c>
      <c r="M114" s="18">
        <f t="shared" si="8"/>
        <v>39.539954722879997</v>
      </c>
      <c r="N114" s="30">
        <v>0</v>
      </c>
      <c r="O114" s="20"/>
      <c r="P114" s="10">
        <f t="shared" si="9"/>
        <v>0</v>
      </c>
    </row>
    <row r="115" spans="1:16" ht="15" customHeight="1" x14ac:dyDescent="0.25">
      <c r="A115" s="36" t="s">
        <v>460</v>
      </c>
      <c r="B115" s="36">
        <v>7896714296500</v>
      </c>
      <c r="C115" s="36" t="s">
        <v>815</v>
      </c>
      <c r="D115" s="37" t="s">
        <v>818</v>
      </c>
      <c r="E115" s="14">
        <v>20</v>
      </c>
      <c r="F115" s="33">
        <v>40.549999999999997</v>
      </c>
      <c r="G115" s="16">
        <v>0.44890000000000002</v>
      </c>
      <c r="H115" s="16">
        <v>0.13542000000000001</v>
      </c>
      <c r="I115" s="15">
        <f t="shared" ref="I115:I116" si="10">F115-(F115*G115)</f>
        <v>22.347104999999999</v>
      </c>
      <c r="J115" s="15">
        <f t="shared" ref="J115:J116" si="11">I115-(I115*H115)</f>
        <v>19.320860040899998</v>
      </c>
      <c r="K115" s="17">
        <v>0.48149999999999998</v>
      </c>
      <c r="L115" s="15">
        <f t="shared" ref="L115:L116" si="12">F115-(F115*K115)</f>
        <v>21.025175000000001</v>
      </c>
      <c r="M115" s="18">
        <f t="shared" ref="M115:M116" si="13">L115-(L115*H115)</f>
        <v>18.177945801500002</v>
      </c>
      <c r="N115" s="30">
        <v>0</v>
      </c>
      <c r="O115" s="20"/>
      <c r="P115" s="10">
        <f t="shared" si="9"/>
        <v>0</v>
      </c>
    </row>
    <row r="116" spans="1:16" ht="15" customHeight="1" x14ac:dyDescent="0.25">
      <c r="A116" s="36" t="s">
        <v>460</v>
      </c>
      <c r="B116" s="36">
        <v>7896714296494</v>
      </c>
      <c r="C116" s="36" t="s">
        <v>816</v>
      </c>
      <c r="D116" s="37" t="s">
        <v>819</v>
      </c>
      <c r="E116" s="14">
        <v>20</v>
      </c>
      <c r="F116" s="33">
        <v>28.64</v>
      </c>
      <c r="G116" s="16">
        <v>0.43980000000000002</v>
      </c>
      <c r="H116" s="16">
        <v>0.13542000000000001</v>
      </c>
      <c r="I116" s="15">
        <f t="shared" si="10"/>
        <v>16.044128000000001</v>
      </c>
      <c r="J116" s="15">
        <f t="shared" si="11"/>
        <v>13.87143218624</v>
      </c>
      <c r="K116" s="17">
        <v>0.47299999999999998</v>
      </c>
      <c r="L116" s="15">
        <f t="shared" si="12"/>
        <v>15.093280000000002</v>
      </c>
      <c r="M116" s="18">
        <f t="shared" si="13"/>
        <v>13.049348022400002</v>
      </c>
      <c r="N116" s="30">
        <v>0</v>
      </c>
      <c r="O116" s="20"/>
      <c r="P116" s="10">
        <f t="shared" si="9"/>
        <v>0</v>
      </c>
    </row>
    <row r="117" spans="1:16" ht="15" customHeight="1" x14ac:dyDescent="0.25">
      <c r="A117" s="36" t="s">
        <v>460</v>
      </c>
      <c r="B117" s="36">
        <v>7896714218892</v>
      </c>
      <c r="C117" s="36" t="s">
        <v>263</v>
      </c>
      <c r="D117" s="37" t="s">
        <v>104</v>
      </c>
      <c r="E117" s="14">
        <v>100</v>
      </c>
      <c r="F117" s="33">
        <v>43.13</v>
      </c>
      <c r="G117" s="16">
        <v>0.73309999999999997</v>
      </c>
      <c r="H117" s="16">
        <v>5.6820000000000002E-2</v>
      </c>
      <c r="I117" s="15">
        <f t="shared" si="5"/>
        <v>11.511397000000002</v>
      </c>
      <c r="J117" s="15">
        <f t="shared" si="6"/>
        <v>10.857319422460002</v>
      </c>
      <c r="K117" s="17">
        <v>0.74580000000000002</v>
      </c>
      <c r="L117" s="15">
        <f t="shared" si="7"/>
        <v>10.963645999999997</v>
      </c>
      <c r="M117" s="18">
        <f t="shared" si="8"/>
        <v>10.340691634279997</v>
      </c>
      <c r="N117" s="30">
        <v>0</v>
      </c>
      <c r="O117" s="20"/>
      <c r="P117" s="10">
        <f t="shared" si="9"/>
        <v>0</v>
      </c>
    </row>
    <row r="118" spans="1:16" ht="15" customHeight="1" x14ac:dyDescent="0.25">
      <c r="A118" s="36" t="s">
        <v>460</v>
      </c>
      <c r="B118" s="36">
        <v>7896714234557</v>
      </c>
      <c r="C118" s="36" t="s">
        <v>264</v>
      </c>
      <c r="D118" s="37" t="s">
        <v>105</v>
      </c>
      <c r="E118" s="14">
        <v>60</v>
      </c>
      <c r="F118" s="33">
        <v>9.36</v>
      </c>
      <c r="G118" s="16">
        <v>0.78120000000000001</v>
      </c>
      <c r="H118" s="16">
        <v>5.6820000000000002E-2</v>
      </c>
      <c r="I118" s="15">
        <f t="shared" si="5"/>
        <v>2.047968</v>
      </c>
      <c r="J118" s="15">
        <f t="shared" si="6"/>
        <v>1.93160245824</v>
      </c>
      <c r="K118" s="17">
        <v>0.79190000000000005</v>
      </c>
      <c r="L118" s="15">
        <f t="shared" si="7"/>
        <v>1.9478159999999995</v>
      </c>
      <c r="M118" s="18">
        <f t="shared" si="8"/>
        <v>1.8371410948799995</v>
      </c>
      <c r="N118" s="30">
        <v>0</v>
      </c>
      <c r="O118" s="20"/>
      <c r="P118" s="10">
        <f t="shared" si="9"/>
        <v>0</v>
      </c>
    </row>
    <row r="119" spans="1:16" ht="15" customHeight="1" x14ac:dyDescent="0.25">
      <c r="A119" s="36" t="s">
        <v>460</v>
      </c>
      <c r="B119" s="36">
        <v>7896714234564</v>
      </c>
      <c r="C119" s="36" t="s">
        <v>265</v>
      </c>
      <c r="D119" s="37" t="s">
        <v>106</v>
      </c>
      <c r="E119" s="14">
        <v>60</v>
      </c>
      <c r="F119" s="33">
        <v>18.309999999999999</v>
      </c>
      <c r="G119" s="16">
        <v>0.8135</v>
      </c>
      <c r="H119" s="16">
        <v>5.6820000000000002E-2</v>
      </c>
      <c r="I119" s="15">
        <f t="shared" si="5"/>
        <v>3.414814999999999</v>
      </c>
      <c r="J119" s="15">
        <f t="shared" si="6"/>
        <v>3.2207852116999991</v>
      </c>
      <c r="K119" s="17">
        <v>0.82210000000000005</v>
      </c>
      <c r="L119" s="15">
        <f t="shared" si="7"/>
        <v>3.2573489999999996</v>
      </c>
      <c r="M119" s="18">
        <f t="shared" si="8"/>
        <v>3.0722664298199995</v>
      </c>
      <c r="N119" s="30">
        <v>0</v>
      </c>
      <c r="O119" s="20"/>
      <c r="P119" s="10">
        <f t="shared" si="9"/>
        <v>0</v>
      </c>
    </row>
    <row r="120" spans="1:16" ht="15" customHeight="1" x14ac:dyDescent="0.25">
      <c r="A120" s="36" t="s">
        <v>460</v>
      </c>
      <c r="B120" s="36">
        <v>7896714217093</v>
      </c>
      <c r="C120" s="36" t="s">
        <v>266</v>
      </c>
      <c r="D120" s="37" t="s">
        <v>107</v>
      </c>
      <c r="E120" s="14">
        <v>60</v>
      </c>
      <c r="F120" s="33">
        <v>3.53</v>
      </c>
      <c r="G120" s="16">
        <v>0.57750000000000001</v>
      </c>
      <c r="H120" s="16">
        <v>5.6820000000000002E-2</v>
      </c>
      <c r="I120" s="15">
        <f t="shared" si="5"/>
        <v>1.491425</v>
      </c>
      <c r="J120" s="15">
        <f t="shared" si="6"/>
        <v>1.4066822315</v>
      </c>
      <c r="K120" s="17">
        <v>0.59609999999999996</v>
      </c>
      <c r="L120" s="15">
        <f t="shared" si="7"/>
        <v>1.425767</v>
      </c>
      <c r="M120" s="18">
        <f t="shared" si="8"/>
        <v>1.3447549190600001</v>
      </c>
      <c r="N120" s="30">
        <v>0</v>
      </c>
      <c r="O120" s="20"/>
      <c r="P120" s="10">
        <f t="shared" si="9"/>
        <v>0</v>
      </c>
    </row>
    <row r="121" spans="1:16" x14ac:dyDescent="0.25">
      <c r="A121" s="36" t="s">
        <v>460</v>
      </c>
      <c r="B121" s="36">
        <v>7896714294520</v>
      </c>
      <c r="C121" s="36" t="s">
        <v>758</v>
      </c>
      <c r="D121" s="37" t="s">
        <v>763</v>
      </c>
      <c r="E121" s="14">
        <v>60</v>
      </c>
      <c r="F121" s="33">
        <v>22.8</v>
      </c>
      <c r="G121" s="16">
        <v>0.72109999999999996</v>
      </c>
      <c r="H121" s="16">
        <v>5.6820000000000002E-2</v>
      </c>
      <c r="I121" s="15">
        <f t="shared" si="5"/>
        <v>6.3589200000000012</v>
      </c>
      <c r="J121" s="15">
        <f t="shared" si="6"/>
        <v>5.9976061656000015</v>
      </c>
      <c r="K121" s="17">
        <v>0.74029999999999996</v>
      </c>
      <c r="L121" s="15">
        <f t="shared" si="7"/>
        <v>5.9211600000000004</v>
      </c>
      <c r="M121" s="18">
        <f t="shared" si="8"/>
        <v>5.5847196887999999</v>
      </c>
      <c r="N121" s="30">
        <v>0</v>
      </c>
      <c r="O121" s="20"/>
      <c r="P121" s="10">
        <f t="shared" si="9"/>
        <v>0</v>
      </c>
    </row>
    <row r="122" spans="1:16" ht="15" customHeight="1" x14ac:dyDescent="0.25">
      <c r="A122" s="36" t="s">
        <v>460</v>
      </c>
      <c r="B122" s="36">
        <v>7896714294537</v>
      </c>
      <c r="C122" s="36" t="s">
        <v>759</v>
      </c>
      <c r="D122" s="37" t="s">
        <v>764</v>
      </c>
      <c r="E122" s="14">
        <v>60</v>
      </c>
      <c r="F122" s="33">
        <v>39.92</v>
      </c>
      <c r="G122" s="16">
        <v>0.65529999999999999</v>
      </c>
      <c r="H122" s="16">
        <v>5.6820000000000002E-2</v>
      </c>
      <c r="I122" s="15">
        <f t="shared" si="5"/>
        <v>13.760424</v>
      </c>
      <c r="J122" s="15">
        <f t="shared" si="6"/>
        <v>12.978556708320001</v>
      </c>
      <c r="K122" s="17">
        <v>0.67889999999999995</v>
      </c>
      <c r="L122" s="15">
        <f t="shared" si="7"/>
        <v>12.818312000000002</v>
      </c>
      <c r="M122" s="18">
        <f t="shared" si="8"/>
        <v>12.089975512160002</v>
      </c>
      <c r="N122" s="30">
        <v>0</v>
      </c>
      <c r="O122" s="20"/>
      <c r="P122" s="10">
        <f t="shared" si="9"/>
        <v>0</v>
      </c>
    </row>
    <row r="123" spans="1:16" x14ac:dyDescent="0.25">
      <c r="A123" s="36" t="s">
        <v>460</v>
      </c>
      <c r="B123" s="36">
        <v>7896714294551</v>
      </c>
      <c r="C123" s="36" t="s">
        <v>760</v>
      </c>
      <c r="D123" s="37" t="s">
        <v>765</v>
      </c>
      <c r="E123" s="14">
        <v>60</v>
      </c>
      <c r="F123" s="33">
        <v>44.29</v>
      </c>
      <c r="G123" s="16">
        <v>0.60560000000000003</v>
      </c>
      <c r="H123" s="16">
        <v>5.6820000000000002E-2</v>
      </c>
      <c r="I123" s="15">
        <f t="shared" si="5"/>
        <v>17.467976</v>
      </c>
      <c r="J123" s="15">
        <f t="shared" si="6"/>
        <v>16.475445603680001</v>
      </c>
      <c r="K123" s="17">
        <v>0.62860000000000005</v>
      </c>
      <c r="L123" s="15">
        <f t="shared" si="7"/>
        <v>16.449305999999996</v>
      </c>
      <c r="M123" s="18">
        <f t="shared" si="8"/>
        <v>15.514656433079997</v>
      </c>
      <c r="N123" s="30">
        <v>0</v>
      </c>
      <c r="O123" s="20"/>
      <c r="P123" s="10">
        <f t="shared" si="9"/>
        <v>0</v>
      </c>
    </row>
    <row r="124" spans="1:16" ht="15" customHeight="1" x14ac:dyDescent="0.25">
      <c r="A124" s="36" t="s">
        <v>460</v>
      </c>
      <c r="B124" s="36">
        <v>7896714294544</v>
      </c>
      <c r="C124" s="36" t="s">
        <v>761</v>
      </c>
      <c r="D124" s="37" t="s">
        <v>766</v>
      </c>
      <c r="E124" s="14">
        <v>36</v>
      </c>
      <c r="F124" s="33">
        <v>83.98</v>
      </c>
      <c r="G124" s="16">
        <v>0.63100000000000001</v>
      </c>
      <c r="H124" s="16">
        <v>5.6820000000000002E-2</v>
      </c>
      <c r="I124" s="15">
        <f t="shared" si="5"/>
        <v>30.988620000000004</v>
      </c>
      <c r="J124" s="15">
        <f t="shared" si="6"/>
        <v>29.227846611600004</v>
      </c>
      <c r="K124" s="17">
        <v>0.65249999999999997</v>
      </c>
      <c r="L124" s="15">
        <f t="shared" si="7"/>
        <v>29.183050000000001</v>
      </c>
      <c r="M124" s="18">
        <f t="shared" si="8"/>
        <v>27.524869099</v>
      </c>
      <c r="N124" s="30">
        <v>0</v>
      </c>
      <c r="O124" s="20"/>
      <c r="P124" s="10">
        <f t="shared" si="9"/>
        <v>0</v>
      </c>
    </row>
    <row r="125" spans="1:16" ht="15" customHeight="1" x14ac:dyDescent="0.25">
      <c r="A125" s="36" t="s">
        <v>460</v>
      </c>
      <c r="B125" s="36">
        <v>7896714228389</v>
      </c>
      <c r="C125" s="36" t="s">
        <v>267</v>
      </c>
      <c r="D125" s="37" t="s">
        <v>108</v>
      </c>
      <c r="E125" s="14">
        <v>60</v>
      </c>
      <c r="F125" s="33">
        <v>28.54</v>
      </c>
      <c r="G125" s="16">
        <v>0.54249999999999998</v>
      </c>
      <c r="H125" s="16">
        <v>5.6820000000000002E-2</v>
      </c>
      <c r="I125" s="15">
        <f t="shared" si="5"/>
        <v>13.05705</v>
      </c>
      <c r="J125" s="15">
        <f t="shared" si="6"/>
        <v>12.315148419</v>
      </c>
      <c r="K125" s="17">
        <v>0.57389999999999997</v>
      </c>
      <c r="L125" s="15">
        <f t="shared" si="7"/>
        <v>12.160893999999999</v>
      </c>
      <c r="M125" s="18">
        <f t="shared" si="8"/>
        <v>11.469912002919999</v>
      </c>
      <c r="N125" s="30">
        <v>0</v>
      </c>
      <c r="O125" s="20"/>
      <c r="P125" s="10">
        <f t="shared" si="9"/>
        <v>0</v>
      </c>
    </row>
    <row r="126" spans="1:16" ht="15" customHeight="1" x14ac:dyDescent="0.25">
      <c r="A126" s="36" t="s">
        <v>460</v>
      </c>
      <c r="B126" s="36">
        <v>7896714294278</v>
      </c>
      <c r="C126" s="36" t="s">
        <v>659</v>
      </c>
      <c r="D126" s="37" t="s">
        <v>660</v>
      </c>
      <c r="E126" s="14">
        <v>60</v>
      </c>
      <c r="F126" s="33">
        <v>51.61</v>
      </c>
      <c r="G126" s="16">
        <v>0.73909999999999998</v>
      </c>
      <c r="H126" s="16">
        <v>5.6820000000000002E-2</v>
      </c>
      <c r="I126" s="15">
        <f t="shared" si="5"/>
        <v>13.465049</v>
      </c>
      <c r="J126" s="15">
        <f t="shared" si="6"/>
        <v>12.699964915820001</v>
      </c>
      <c r="K126" s="17">
        <v>0.75719999999999998</v>
      </c>
      <c r="L126" s="15">
        <f t="shared" si="7"/>
        <v>12.530908000000004</v>
      </c>
      <c r="M126" s="18">
        <f t="shared" si="8"/>
        <v>11.818901807440003</v>
      </c>
      <c r="N126" s="30">
        <v>0</v>
      </c>
      <c r="O126" s="20"/>
      <c r="P126" s="10">
        <f t="shared" si="9"/>
        <v>0</v>
      </c>
    </row>
    <row r="127" spans="1:16" x14ac:dyDescent="0.25">
      <c r="A127" s="36" t="s">
        <v>460</v>
      </c>
      <c r="B127" s="36">
        <v>7896714294261</v>
      </c>
      <c r="C127" s="36" t="s">
        <v>665</v>
      </c>
      <c r="D127" s="37" t="s">
        <v>666</v>
      </c>
      <c r="E127" s="14">
        <v>60</v>
      </c>
      <c r="F127" s="33">
        <v>66.040000000000006</v>
      </c>
      <c r="G127" s="16">
        <v>0.67720000000000002</v>
      </c>
      <c r="H127" s="16">
        <v>5.6820000000000002E-2</v>
      </c>
      <c r="I127" s="15">
        <f t="shared" si="5"/>
        <v>21.317712</v>
      </c>
      <c r="J127" s="15">
        <f t="shared" si="6"/>
        <v>20.106439604160002</v>
      </c>
      <c r="K127" s="17">
        <v>0.69950000000000001</v>
      </c>
      <c r="L127" s="15">
        <f t="shared" si="7"/>
        <v>19.845019999999998</v>
      </c>
      <c r="M127" s="18">
        <f t="shared" si="8"/>
        <v>18.717425963599997</v>
      </c>
      <c r="N127" s="30">
        <v>0</v>
      </c>
      <c r="O127" s="20"/>
      <c r="P127" s="10">
        <f t="shared" si="9"/>
        <v>0</v>
      </c>
    </row>
    <row r="128" spans="1:16" ht="15" customHeight="1" x14ac:dyDescent="0.25">
      <c r="A128" s="36" t="s">
        <v>460</v>
      </c>
      <c r="B128" s="36">
        <v>7896714294308</v>
      </c>
      <c r="C128" s="36" t="s">
        <v>661</v>
      </c>
      <c r="D128" s="37" t="s">
        <v>662</v>
      </c>
      <c r="E128" s="14">
        <v>60</v>
      </c>
      <c r="F128" s="33">
        <v>44.02</v>
      </c>
      <c r="G128" s="16">
        <v>0.63349999999999995</v>
      </c>
      <c r="H128" s="16">
        <v>5.6820000000000002E-2</v>
      </c>
      <c r="I128" s="15">
        <f t="shared" si="5"/>
        <v>16.133330000000004</v>
      </c>
      <c r="J128" s="15">
        <f t="shared" si="6"/>
        <v>15.216634189400004</v>
      </c>
      <c r="K128" s="17">
        <v>0.65869999999999995</v>
      </c>
      <c r="L128" s="15">
        <f t="shared" si="7"/>
        <v>15.024026000000003</v>
      </c>
      <c r="M128" s="18">
        <f t="shared" si="8"/>
        <v>14.170360842680003</v>
      </c>
      <c r="N128" s="30">
        <v>0</v>
      </c>
      <c r="O128" s="20"/>
      <c r="P128" s="10">
        <f t="shared" si="9"/>
        <v>0</v>
      </c>
    </row>
    <row r="129" spans="1:16" ht="15" customHeight="1" x14ac:dyDescent="0.25">
      <c r="A129" s="36" t="s">
        <v>460</v>
      </c>
      <c r="B129" s="36">
        <v>7896714294285</v>
      </c>
      <c r="C129" s="36" t="s">
        <v>663</v>
      </c>
      <c r="D129" s="37" t="s">
        <v>664</v>
      </c>
      <c r="E129" s="14">
        <v>60</v>
      </c>
      <c r="F129" s="33">
        <v>55.01</v>
      </c>
      <c r="G129" s="16">
        <v>0.63629999999999998</v>
      </c>
      <c r="H129" s="16">
        <v>5.6820000000000002E-2</v>
      </c>
      <c r="I129" s="15">
        <f t="shared" si="5"/>
        <v>20.007137</v>
      </c>
      <c r="J129" s="15">
        <f t="shared" si="6"/>
        <v>18.870331475659999</v>
      </c>
      <c r="K129" s="17">
        <v>0.6613</v>
      </c>
      <c r="L129" s="15">
        <f t="shared" si="7"/>
        <v>18.631886999999999</v>
      </c>
      <c r="M129" s="18">
        <f t="shared" si="8"/>
        <v>17.573223180659998</v>
      </c>
      <c r="N129" s="30">
        <v>0</v>
      </c>
      <c r="O129" s="20"/>
      <c r="P129" s="10">
        <f t="shared" si="9"/>
        <v>0</v>
      </c>
    </row>
    <row r="130" spans="1:16" ht="15" customHeight="1" x14ac:dyDescent="0.25">
      <c r="A130" s="36" t="s">
        <v>460</v>
      </c>
      <c r="B130" s="36">
        <v>7896714295633</v>
      </c>
      <c r="C130" s="36" t="s">
        <v>754</v>
      </c>
      <c r="D130" s="37" t="s">
        <v>755</v>
      </c>
      <c r="E130" s="14">
        <v>24</v>
      </c>
      <c r="F130" s="33">
        <v>25.87</v>
      </c>
      <c r="G130" s="16">
        <v>0.34449999999999997</v>
      </c>
      <c r="H130" s="16">
        <v>0.13542000000000001</v>
      </c>
      <c r="I130" s="15">
        <f t="shared" si="5"/>
        <v>16.957785000000001</v>
      </c>
      <c r="J130" s="15">
        <f t="shared" si="6"/>
        <v>14.6613617553</v>
      </c>
      <c r="K130" s="17">
        <v>0.37569999999999998</v>
      </c>
      <c r="L130" s="15">
        <f t="shared" si="7"/>
        <v>16.150641</v>
      </c>
      <c r="M130" s="18">
        <f t="shared" si="8"/>
        <v>13.96352119578</v>
      </c>
      <c r="N130" s="30">
        <v>0</v>
      </c>
      <c r="O130" s="20"/>
      <c r="P130" s="10">
        <f t="shared" si="9"/>
        <v>0</v>
      </c>
    </row>
    <row r="131" spans="1:16" ht="15" customHeight="1" x14ac:dyDescent="0.25">
      <c r="A131" s="36" t="s">
        <v>460</v>
      </c>
      <c r="B131" s="36">
        <v>7896714274539</v>
      </c>
      <c r="C131" s="36" t="s">
        <v>368</v>
      </c>
      <c r="D131" s="37" t="s">
        <v>369</v>
      </c>
      <c r="E131" s="14">
        <v>24</v>
      </c>
      <c r="F131" s="33">
        <v>69.239999999999995</v>
      </c>
      <c r="G131" s="16">
        <v>0.71970000000000001</v>
      </c>
      <c r="H131" s="16">
        <v>0.13542000000000001</v>
      </c>
      <c r="I131" s="15">
        <f t="shared" si="5"/>
        <v>19.407972000000001</v>
      </c>
      <c r="J131" s="15">
        <f t="shared" si="6"/>
        <v>16.779744431760001</v>
      </c>
      <c r="K131" s="17">
        <v>0.73309999999999997</v>
      </c>
      <c r="L131" s="15">
        <f t="shared" si="7"/>
        <v>18.480156000000001</v>
      </c>
      <c r="M131" s="18">
        <f t="shared" si="8"/>
        <v>15.977573274480001</v>
      </c>
      <c r="N131" s="30">
        <v>0</v>
      </c>
      <c r="O131" s="20"/>
      <c r="P131" s="10">
        <f t="shared" si="9"/>
        <v>0</v>
      </c>
    </row>
    <row r="132" spans="1:16" ht="15" customHeight="1" x14ac:dyDescent="0.25">
      <c r="A132" s="36" t="s">
        <v>460</v>
      </c>
      <c r="B132" s="36">
        <v>7896714211978</v>
      </c>
      <c r="C132" s="36" t="s">
        <v>268</v>
      </c>
      <c r="D132" s="37" t="s">
        <v>109</v>
      </c>
      <c r="E132" s="14">
        <v>60</v>
      </c>
      <c r="F132" s="33">
        <v>3.45</v>
      </c>
      <c r="G132" s="16">
        <v>0.62519999999999998</v>
      </c>
      <c r="H132" s="16">
        <v>5.6820000000000002E-2</v>
      </c>
      <c r="I132" s="15">
        <f t="shared" si="5"/>
        <v>1.2930600000000001</v>
      </c>
      <c r="J132" s="15">
        <f t="shared" si="6"/>
        <v>1.2195883308000002</v>
      </c>
      <c r="K132" s="17">
        <v>0.64380000000000004</v>
      </c>
      <c r="L132" s="15">
        <f t="shared" si="7"/>
        <v>1.2288899999999998</v>
      </c>
      <c r="M132" s="18">
        <f t="shared" si="8"/>
        <v>1.1590644701999999</v>
      </c>
      <c r="N132" s="30">
        <v>0</v>
      </c>
      <c r="O132" s="20"/>
      <c r="P132" s="10">
        <f t="shared" si="9"/>
        <v>0</v>
      </c>
    </row>
    <row r="133" spans="1:16" ht="15" customHeight="1" x14ac:dyDescent="0.25">
      <c r="A133" s="36" t="s">
        <v>460</v>
      </c>
      <c r="B133" s="38">
        <v>7896714205779</v>
      </c>
      <c r="C133" s="38" t="s">
        <v>269</v>
      </c>
      <c r="D133" s="39" t="s">
        <v>110</v>
      </c>
      <c r="E133" s="14">
        <v>60</v>
      </c>
      <c r="F133" s="33">
        <v>5.33</v>
      </c>
      <c r="G133" s="16">
        <v>0.72599999999999998</v>
      </c>
      <c r="H133" s="16">
        <v>5.6820000000000002E-2</v>
      </c>
      <c r="I133" s="25">
        <f t="shared" si="5"/>
        <v>1.4604200000000001</v>
      </c>
      <c r="J133" s="25">
        <f t="shared" si="6"/>
        <v>1.3774389356000001</v>
      </c>
      <c r="K133" s="17">
        <v>0.73839999999999995</v>
      </c>
      <c r="L133" s="25">
        <f t="shared" si="7"/>
        <v>1.3943280000000002</v>
      </c>
      <c r="M133" s="26">
        <f t="shared" si="8"/>
        <v>1.3151022830400003</v>
      </c>
      <c r="N133" s="30">
        <v>0</v>
      </c>
      <c r="O133" s="20"/>
      <c r="P133" s="10">
        <f t="shared" si="9"/>
        <v>0</v>
      </c>
    </row>
    <row r="134" spans="1:16" ht="15" customHeight="1" x14ac:dyDescent="0.25">
      <c r="A134" s="36" t="s">
        <v>460</v>
      </c>
      <c r="B134" s="38">
        <v>7898095343880</v>
      </c>
      <c r="C134" s="38" t="s">
        <v>376</v>
      </c>
      <c r="D134" s="39" t="s">
        <v>377</v>
      </c>
      <c r="E134" s="14">
        <v>112</v>
      </c>
      <c r="F134" s="33">
        <v>29.43</v>
      </c>
      <c r="G134" s="16">
        <v>0.71060000000000001</v>
      </c>
      <c r="H134" s="16">
        <v>5.6820000000000002E-2</v>
      </c>
      <c r="I134" s="25">
        <f t="shared" si="5"/>
        <v>8.517042</v>
      </c>
      <c r="J134" s="25">
        <f t="shared" si="6"/>
        <v>8.0331036735599994</v>
      </c>
      <c r="K134" s="17">
        <v>0.72440000000000004</v>
      </c>
      <c r="L134" s="25">
        <f t="shared" si="7"/>
        <v>8.1109079999999985</v>
      </c>
      <c r="M134" s="26">
        <f t="shared" si="8"/>
        <v>7.6500462074399982</v>
      </c>
      <c r="N134" s="30">
        <v>0</v>
      </c>
      <c r="O134" s="20"/>
      <c r="P134" s="10">
        <f t="shared" ref="P134:P197" si="14">M134*O134</f>
        <v>0</v>
      </c>
    </row>
    <row r="135" spans="1:16" ht="15" customHeight="1" x14ac:dyDescent="0.25">
      <c r="A135" s="36" t="s">
        <v>460</v>
      </c>
      <c r="B135" s="38">
        <v>7896714211275</v>
      </c>
      <c r="C135" s="36" t="s">
        <v>270</v>
      </c>
      <c r="D135" s="37" t="s">
        <v>111</v>
      </c>
      <c r="E135" s="14">
        <v>60</v>
      </c>
      <c r="F135" s="33">
        <v>21.58</v>
      </c>
      <c r="G135" s="16">
        <v>0.62229999999999996</v>
      </c>
      <c r="H135" s="16">
        <v>5.6820000000000002E-2</v>
      </c>
      <c r="I135" s="15">
        <f t="shared" si="5"/>
        <v>8.1507660000000008</v>
      </c>
      <c r="J135" s="15">
        <f t="shared" si="6"/>
        <v>7.6876394758800011</v>
      </c>
      <c r="K135" s="17">
        <v>0.64049999999999996</v>
      </c>
      <c r="L135" s="15">
        <f t="shared" si="7"/>
        <v>7.7580100000000005</v>
      </c>
      <c r="M135" s="18">
        <f t="shared" si="8"/>
        <v>7.3171998718000006</v>
      </c>
      <c r="N135" s="30">
        <v>0</v>
      </c>
      <c r="O135" s="20"/>
      <c r="P135" s="10">
        <f t="shared" si="14"/>
        <v>0</v>
      </c>
    </row>
    <row r="136" spans="1:16" ht="15" customHeight="1" x14ac:dyDescent="0.25">
      <c r="A136" s="36" t="s">
        <v>460</v>
      </c>
      <c r="B136" s="36">
        <v>7898095343873</v>
      </c>
      <c r="C136" s="36" t="s">
        <v>646</v>
      </c>
      <c r="D136" s="37" t="s">
        <v>112</v>
      </c>
      <c r="E136" s="14">
        <v>112</v>
      </c>
      <c r="F136" s="33">
        <v>23.58</v>
      </c>
      <c r="G136" s="16">
        <v>0.69830000000000003</v>
      </c>
      <c r="H136" s="16">
        <v>5.6820000000000002E-2</v>
      </c>
      <c r="I136" s="15">
        <f t="shared" ref="I136:I199" si="15">F136-(F136*G136)</f>
        <v>7.1140860000000004</v>
      </c>
      <c r="J136" s="15">
        <f t="shared" ref="J136:J199" si="16">I136-(I136*H136)</f>
        <v>6.7098636334800004</v>
      </c>
      <c r="K136" s="17">
        <v>0.7127</v>
      </c>
      <c r="L136" s="15">
        <f t="shared" ref="L136:L199" si="17">F136-(F136*K136)</f>
        <v>6.7745339999999992</v>
      </c>
      <c r="M136" s="18">
        <f t="shared" ref="M136:M199" si="18">L136-(L136*H136)</f>
        <v>6.3896049781199995</v>
      </c>
      <c r="N136" s="30">
        <v>0</v>
      </c>
      <c r="O136" s="20"/>
      <c r="P136" s="10">
        <f t="shared" si="14"/>
        <v>0</v>
      </c>
    </row>
    <row r="137" spans="1:16" ht="15" customHeight="1" x14ac:dyDescent="0.25">
      <c r="A137" s="36" t="s">
        <v>460</v>
      </c>
      <c r="B137" s="36">
        <v>7896714275192</v>
      </c>
      <c r="C137" s="36" t="s">
        <v>431</v>
      </c>
      <c r="D137" s="37" t="s">
        <v>432</v>
      </c>
      <c r="E137" s="14">
        <v>60</v>
      </c>
      <c r="F137" s="33">
        <v>16.23</v>
      </c>
      <c r="G137" s="16">
        <v>0.92249999999999999</v>
      </c>
      <c r="H137" s="16">
        <v>5.6820000000000002E-2</v>
      </c>
      <c r="I137" s="15">
        <f t="shared" si="15"/>
        <v>1.2578250000000004</v>
      </c>
      <c r="J137" s="15">
        <f t="shared" si="16"/>
        <v>1.1863553835000005</v>
      </c>
      <c r="K137" s="17">
        <v>0.92600000000000005</v>
      </c>
      <c r="L137" s="15">
        <f t="shared" si="17"/>
        <v>1.2010199999999998</v>
      </c>
      <c r="M137" s="18">
        <f t="shared" si="18"/>
        <v>1.1327780435999997</v>
      </c>
      <c r="N137" s="30">
        <v>0</v>
      </c>
      <c r="O137" s="20"/>
      <c r="P137" s="10">
        <f t="shared" si="14"/>
        <v>0</v>
      </c>
    </row>
    <row r="138" spans="1:16" ht="15" customHeight="1" x14ac:dyDescent="0.25">
      <c r="A138" s="36" t="s">
        <v>460</v>
      </c>
      <c r="B138" s="36">
        <v>7896714275208</v>
      </c>
      <c r="C138" s="36" t="s">
        <v>429</v>
      </c>
      <c r="D138" s="37" t="s">
        <v>430</v>
      </c>
      <c r="E138" s="14">
        <v>60</v>
      </c>
      <c r="F138" s="33">
        <v>28.95</v>
      </c>
      <c r="G138" s="16">
        <v>0.93459999999999999</v>
      </c>
      <c r="H138" s="16">
        <v>5.6820000000000002E-2</v>
      </c>
      <c r="I138" s="15">
        <f t="shared" si="15"/>
        <v>1.8933299999999988</v>
      </c>
      <c r="J138" s="15">
        <f t="shared" si="16"/>
        <v>1.785750989399999</v>
      </c>
      <c r="K138" s="17">
        <v>0.93779999999999997</v>
      </c>
      <c r="L138" s="15">
        <f t="shared" si="17"/>
        <v>1.8006899999999995</v>
      </c>
      <c r="M138" s="18">
        <f t="shared" si="18"/>
        <v>1.6983747941999994</v>
      </c>
      <c r="N138" s="30">
        <v>0</v>
      </c>
      <c r="O138" s="20"/>
      <c r="P138" s="10">
        <f t="shared" si="14"/>
        <v>0</v>
      </c>
    </row>
    <row r="139" spans="1:16" ht="15" customHeight="1" x14ac:dyDescent="0.25">
      <c r="A139" s="36" t="s">
        <v>460</v>
      </c>
      <c r="B139" s="36">
        <v>7896714292502</v>
      </c>
      <c r="C139" s="36" t="s">
        <v>528</v>
      </c>
      <c r="D139" s="37" t="s">
        <v>715</v>
      </c>
      <c r="E139" s="14">
        <v>96</v>
      </c>
      <c r="F139" s="33">
        <v>39.72</v>
      </c>
      <c r="G139" s="16">
        <v>0.36759999999999998</v>
      </c>
      <c r="H139" s="16">
        <v>0.13542000000000001</v>
      </c>
      <c r="I139" s="15">
        <f t="shared" si="15"/>
        <v>25.118928</v>
      </c>
      <c r="J139" s="15">
        <f t="shared" si="16"/>
        <v>21.717322770239999</v>
      </c>
      <c r="K139" s="17">
        <v>0.4042</v>
      </c>
      <c r="L139" s="15">
        <f t="shared" si="17"/>
        <v>23.665175999999999</v>
      </c>
      <c r="M139" s="18">
        <f t="shared" si="18"/>
        <v>20.460437866079999</v>
      </c>
      <c r="N139" s="30">
        <v>0</v>
      </c>
      <c r="O139" s="20"/>
      <c r="P139" s="10">
        <f t="shared" si="14"/>
        <v>0</v>
      </c>
    </row>
    <row r="140" spans="1:16" ht="15" customHeight="1" x14ac:dyDescent="0.25">
      <c r="A140" s="36" t="s">
        <v>460</v>
      </c>
      <c r="B140" s="36">
        <v>7896714292519</v>
      </c>
      <c r="C140" s="36" t="s">
        <v>529</v>
      </c>
      <c r="D140" s="37" t="s">
        <v>532</v>
      </c>
      <c r="E140" s="14">
        <v>64</v>
      </c>
      <c r="F140" s="33">
        <v>82.04</v>
      </c>
      <c r="G140" s="16">
        <v>0.40550000000000003</v>
      </c>
      <c r="H140" s="16">
        <v>0.13542000000000001</v>
      </c>
      <c r="I140" s="15">
        <f t="shared" si="15"/>
        <v>48.772780000000004</v>
      </c>
      <c r="J140" s="15">
        <f t="shared" si="16"/>
        <v>42.167970132400001</v>
      </c>
      <c r="K140" s="17">
        <v>0.43390000000000001</v>
      </c>
      <c r="L140" s="15">
        <f t="shared" si="17"/>
        <v>46.442844000000001</v>
      </c>
      <c r="M140" s="18">
        <f t="shared" si="18"/>
        <v>40.153554065519998</v>
      </c>
      <c r="N140" s="30">
        <v>0</v>
      </c>
      <c r="O140" s="20"/>
      <c r="P140" s="19">
        <f t="shared" si="14"/>
        <v>0</v>
      </c>
    </row>
    <row r="141" spans="1:16" ht="15" customHeight="1" x14ac:dyDescent="0.25">
      <c r="A141" s="36" t="s">
        <v>460</v>
      </c>
      <c r="B141" s="36">
        <v>7896714292496</v>
      </c>
      <c r="C141" s="36" t="s">
        <v>530</v>
      </c>
      <c r="D141" s="37" t="s">
        <v>533</v>
      </c>
      <c r="E141" s="14">
        <v>60</v>
      </c>
      <c r="F141" s="33">
        <v>206.12</v>
      </c>
      <c r="G141" s="16">
        <v>0.70879999999999999</v>
      </c>
      <c r="H141" s="16">
        <v>0.13542000000000001</v>
      </c>
      <c r="I141" s="15">
        <f t="shared" si="15"/>
        <v>60.022143999999997</v>
      </c>
      <c r="J141" s="15">
        <f t="shared" si="16"/>
        <v>51.893945259519995</v>
      </c>
      <c r="K141" s="17">
        <v>0.72599999999999998</v>
      </c>
      <c r="L141" s="15">
        <f t="shared" si="17"/>
        <v>56.476879999999994</v>
      </c>
      <c r="M141" s="18">
        <f t="shared" si="18"/>
        <v>48.828780910399992</v>
      </c>
      <c r="N141" s="30">
        <v>0</v>
      </c>
      <c r="O141" s="20"/>
      <c r="P141" s="19">
        <f t="shared" si="14"/>
        <v>0</v>
      </c>
    </row>
    <row r="142" spans="1:16" ht="15" customHeight="1" x14ac:dyDescent="0.25">
      <c r="A142" s="36" t="s">
        <v>460</v>
      </c>
      <c r="B142" s="36">
        <v>7896714292526</v>
      </c>
      <c r="C142" s="36" t="s">
        <v>531</v>
      </c>
      <c r="D142" s="37" t="s">
        <v>534</v>
      </c>
      <c r="E142" s="14">
        <v>60</v>
      </c>
      <c r="F142" s="33">
        <v>412.23</v>
      </c>
      <c r="G142" s="16">
        <v>0.6744</v>
      </c>
      <c r="H142" s="16">
        <v>0.13542000000000001</v>
      </c>
      <c r="I142" s="15">
        <f t="shared" si="15"/>
        <v>134.22208799999999</v>
      </c>
      <c r="J142" s="15">
        <f t="shared" si="16"/>
        <v>116.04573284303999</v>
      </c>
      <c r="K142" s="17">
        <v>0.69359999999999999</v>
      </c>
      <c r="L142" s="15">
        <f t="shared" si="17"/>
        <v>126.30727200000001</v>
      </c>
      <c r="M142" s="18">
        <f t="shared" si="18"/>
        <v>109.20274122576001</v>
      </c>
      <c r="N142" s="30">
        <v>0</v>
      </c>
      <c r="O142" s="20"/>
      <c r="P142" s="19">
        <f t="shared" si="14"/>
        <v>0</v>
      </c>
    </row>
    <row r="143" spans="1:16" x14ac:dyDescent="0.25">
      <c r="A143" s="36" t="s">
        <v>460</v>
      </c>
      <c r="B143" s="36">
        <v>7896714274010</v>
      </c>
      <c r="C143" s="36" t="s">
        <v>697</v>
      </c>
      <c r="D143" s="37" t="s">
        <v>698</v>
      </c>
      <c r="E143" s="14">
        <v>18</v>
      </c>
      <c r="F143" s="33">
        <v>34.58</v>
      </c>
      <c r="G143" s="16">
        <v>0.61370000000000002</v>
      </c>
      <c r="H143" s="16">
        <v>0.13542000000000001</v>
      </c>
      <c r="I143" s="15">
        <f t="shared" si="15"/>
        <v>13.358253999999999</v>
      </c>
      <c r="J143" s="15">
        <f t="shared" si="16"/>
        <v>11.549279243319999</v>
      </c>
      <c r="K143" s="17">
        <v>0.63219999999999998</v>
      </c>
      <c r="L143" s="15">
        <f t="shared" si="17"/>
        <v>12.718523999999999</v>
      </c>
      <c r="M143" s="18">
        <f t="shared" si="18"/>
        <v>10.996181479919999</v>
      </c>
      <c r="N143" s="30">
        <v>0</v>
      </c>
      <c r="O143" s="20"/>
      <c r="P143" s="19">
        <f t="shared" si="14"/>
        <v>0</v>
      </c>
    </row>
    <row r="144" spans="1:16" ht="15" customHeight="1" x14ac:dyDescent="0.25">
      <c r="A144" s="36" t="s">
        <v>460</v>
      </c>
      <c r="B144" s="36">
        <v>7896714293004</v>
      </c>
      <c r="C144" s="36" t="s">
        <v>708</v>
      </c>
      <c r="D144" s="37" t="s">
        <v>710</v>
      </c>
      <c r="E144" s="14">
        <v>192</v>
      </c>
      <c r="F144" s="33">
        <v>50.57</v>
      </c>
      <c r="G144" s="16">
        <v>0.5958</v>
      </c>
      <c r="H144" s="16">
        <v>0.13542000000000001</v>
      </c>
      <c r="I144" s="15">
        <f t="shared" si="15"/>
        <v>20.440394000000001</v>
      </c>
      <c r="J144" s="15">
        <f t="shared" si="16"/>
        <v>17.672355844520002</v>
      </c>
      <c r="K144" s="17">
        <v>0.61570000000000003</v>
      </c>
      <c r="L144" s="15">
        <f t="shared" si="17"/>
        <v>19.434051</v>
      </c>
      <c r="M144" s="18">
        <f t="shared" si="18"/>
        <v>16.802291813579998</v>
      </c>
      <c r="N144" s="30">
        <v>0</v>
      </c>
      <c r="O144" s="20"/>
      <c r="P144" s="19">
        <f t="shared" si="14"/>
        <v>0</v>
      </c>
    </row>
    <row r="145" spans="1:16" ht="15" customHeight="1" x14ac:dyDescent="0.25">
      <c r="A145" s="36" t="s">
        <v>460</v>
      </c>
      <c r="B145" s="36">
        <v>7896714292991</v>
      </c>
      <c r="C145" s="36" t="s">
        <v>709</v>
      </c>
      <c r="D145" s="37" t="s">
        <v>711</v>
      </c>
      <c r="E145" s="14">
        <v>126</v>
      </c>
      <c r="F145" s="33">
        <v>69.19</v>
      </c>
      <c r="G145" s="16">
        <v>0.59670000000000001</v>
      </c>
      <c r="H145" s="16">
        <v>0.13542000000000001</v>
      </c>
      <c r="I145" s="15">
        <f t="shared" si="15"/>
        <v>27.904326999999995</v>
      </c>
      <c r="J145" s="15">
        <f t="shared" si="16"/>
        <v>24.125523037659995</v>
      </c>
      <c r="K145" s="17">
        <v>0.61580000000000001</v>
      </c>
      <c r="L145" s="15">
        <f t="shared" si="17"/>
        <v>26.582797999999997</v>
      </c>
      <c r="M145" s="18">
        <f t="shared" si="18"/>
        <v>22.982955494839999</v>
      </c>
      <c r="N145" s="30">
        <v>0</v>
      </c>
      <c r="O145" s="20"/>
      <c r="P145" s="19">
        <f t="shared" si="14"/>
        <v>0</v>
      </c>
    </row>
    <row r="146" spans="1:16" x14ac:dyDescent="0.25">
      <c r="A146" s="36" t="s">
        <v>460</v>
      </c>
      <c r="B146" s="36">
        <v>7896714296340</v>
      </c>
      <c r="C146" s="36" t="s">
        <v>756</v>
      </c>
      <c r="D146" s="37" t="s">
        <v>757</v>
      </c>
      <c r="E146" s="14">
        <v>96</v>
      </c>
      <c r="F146" s="33">
        <v>160.57</v>
      </c>
      <c r="G146" s="16">
        <v>0.59540000000000004</v>
      </c>
      <c r="H146" s="16">
        <v>0.13542000000000001</v>
      </c>
      <c r="I146" s="15">
        <f t="shared" si="15"/>
        <v>64.966621999999987</v>
      </c>
      <c r="J146" s="15">
        <f t="shared" si="16"/>
        <v>56.168842048759984</v>
      </c>
      <c r="K146" s="17">
        <v>0.65610000000000002</v>
      </c>
      <c r="L146" s="15">
        <f t="shared" si="17"/>
        <v>55.220022999999998</v>
      </c>
      <c r="M146" s="18">
        <f t="shared" si="18"/>
        <v>47.742127485339999</v>
      </c>
      <c r="N146" s="30">
        <v>0</v>
      </c>
      <c r="O146" s="20"/>
      <c r="P146" s="19">
        <f t="shared" si="14"/>
        <v>0</v>
      </c>
    </row>
    <row r="147" spans="1:16" ht="15" customHeight="1" x14ac:dyDescent="0.25">
      <c r="A147" s="36" t="s">
        <v>460</v>
      </c>
      <c r="B147" s="36">
        <v>7896714213040</v>
      </c>
      <c r="C147" s="36" t="s">
        <v>271</v>
      </c>
      <c r="D147" s="37" t="s">
        <v>378</v>
      </c>
      <c r="E147" s="14">
        <v>60</v>
      </c>
      <c r="F147" s="33">
        <v>40.950000000000003</v>
      </c>
      <c r="G147" s="16">
        <v>0.88959999999999995</v>
      </c>
      <c r="H147" s="16">
        <v>5.6820000000000002E-2</v>
      </c>
      <c r="I147" s="15">
        <f t="shared" si="15"/>
        <v>4.5208800000000053</v>
      </c>
      <c r="J147" s="15">
        <f t="shared" si="16"/>
        <v>4.2640035984000049</v>
      </c>
      <c r="K147" s="17">
        <v>0.89490000000000003</v>
      </c>
      <c r="L147" s="15">
        <f t="shared" si="17"/>
        <v>4.3038450000000026</v>
      </c>
      <c r="M147" s="18">
        <f t="shared" si="18"/>
        <v>4.0593005271000022</v>
      </c>
      <c r="N147" s="30">
        <v>0</v>
      </c>
      <c r="O147" s="20"/>
      <c r="P147" s="19">
        <f t="shared" si="14"/>
        <v>0</v>
      </c>
    </row>
    <row r="148" spans="1:16" ht="15" customHeight="1" x14ac:dyDescent="0.25">
      <c r="A148" s="36" t="s">
        <v>460</v>
      </c>
      <c r="B148" s="36">
        <v>7896714208565</v>
      </c>
      <c r="C148" s="36" t="s">
        <v>272</v>
      </c>
      <c r="D148" s="37" t="s">
        <v>113</v>
      </c>
      <c r="E148" s="14">
        <v>60</v>
      </c>
      <c r="F148" s="33">
        <v>7.94</v>
      </c>
      <c r="G148" s="16">
        <v>0.73929999999999996</v>
      </c>
      <c r="H148" s="16">
        <v>5.6820000000000002E-2</v>
      </c>
      <c r="I148" s="15">
        <f t="shared" si="15"/>
        <v>2.0699580000000006</v>
      </c>
      <c r="J148" s="15">
        <f t="shared" si="16"/>
        <v>1.9523429864400006</v>
      </c>
      <c r="K148" s="17">
        <v>0.75739999999999996</v>
      </c>
      <c r="L148" s="15">
        <f t="shared" si="17"/>
        <v>1.9262440000000005</v>
      </c>
      <c r="M148" s="18">
        <f t="shared" si="18"/>
        <v>1.8167948159200005</v>
      </c>
      <c r="N148" s="30">
        <v>0</v>
      </c>
      <c r="O148" s="20"/>
      <c r="P148" s="19">
        <f t="shared" si="14"/>
        <v>0</v>
      </c>
    </row>
    <row r="149" spans="1:16" ht="15" customHeight="1" x14ac:dyDescent="0.25">
      <c r="A149" s="36" t="s">
        <v>460</v>
      </c>
      <c r="B149" s="36">
        <v>7896714293370</v>
      </c>
      <c r="C149" s="36" t="s">
        <v>568</v>
      </c>
      <c r="D149" s="37" t="s">
        <v>569</v>
      </c>
      <c r="E149" s="14">
        <v>112</v>
      </c>
      <c r="F149" s="33">
        <v>11.31</v>
      </c>
      <c r="G149" s="16">
        <v>0.38300000000000001</v>
      </c>
      <c r="H149" s="16">
        <v>5.6820000000000002E-2</v>
      </c>
      <c r="I149" s="15">
        <f t="shared" si="15"/>
        <v>6.9782700000000002</v>
      </c>
      <c r="J149" s="15">
        <f t="shared" si="16"/>
        <v>6.5817646985999998</v>
      </c>
      <c r="K149" s="17">
        <v>0.42530000000000001</v>
      </c>
      <c r="L149" s="15">
        <f t="shared" si="17"/>
        <v>6.4998570000000004</v>
      </c>
      <c r="M149" s="18">
        <f t="shared" si="18"/>
        <v>6.1305351252600007</v>
      </c>
      <c r="N149" s="30">
        <v>0</v>
      </c>
      <c r="O149" s="20"/>
      <c r="P149" s="19">
        <f t="shared" si="14"/>
        <v>0</v>
      </c>
    </row>
    <row r="150" spans="1:16" x14ac:dyDescent="0.25">
      <c r="A150" s="36" t="s">
        <v>460</v>
      </c>
      <c r="B150" s="36">
        <v>7896714295077</v>
      </c>
      <c r="C150" s="36" t="s">
        <v>683</v>
      </c>
      <c r="D150" s="37" t="s">
        <v>570</v>
      </c>
      <c r="E150" s="14">
        <v>60</v>
      </c>
      <c r="F150" s="33">
        <v>19.989999999999998</v>
      </c>
      <c r="G150" s="16">
        <v>0.38229999999999997</v>
      </c>
      <c r="H150" s="16">
        <v>5.6820000000000002E-2</v>
      </c>
      <c r="I150" s="15">
        <f t="shared" si="15"/>
        <v>12.347823</v>
      </c>
      <c r="J150" s="15">
        <f t="shared" si="16"/>
        <v>11.646219697139999</v>
      </c>
      <c r="K150" s="17">
        <v>0.42509999999999998</v>
      </c>
      <c r="L150" s="15">
        <f t="shared" si="17"/>
        <v>11.492251</v>
      </c>
      <c r="M150" s="18">
        <f t="shared" si="18"/>
        <v>10.83926129818</v>
      </c>
      <c r="N150" s="30">
        <v>0</v>
      </c>
      <c r="O150" s="20"/>
      <c r="P150" s="19">
        <f t="shared" si="14"/>
        <v>0</v>
      </c>
    </row>
    <row r="151" spans="1:16" ht="15" customHeight="1" x14ac:dyDescent="0.25">
      <c r="A151" s="36" t="s">
        <v>460</v>
      </c>
      <c r="B151" s="36">
        <v>7896714293387</v>
      </c>
      <c r="C151" s="36" t="s">
        <v>536</v>
      </c>
      <c r="D151" s="37" t="s">
        <v>537</v>
      </c>
      <c r="E151" s="14">
        <v>24</v>
      </c>
      <c r="F151" s="33">
        <v>16.63</v>
      </c>
      <c r="G151" s="16">
        <v>0.36990000000000001</v>
      </c>
      <c r="H151" s="16">
        <v>5.6820000000000002E-2</v>
      </c>
      <c r="I151" s="15">
        <f t="shared" si="15"/>
        <v>10.478562999999999</v>
      </c>
      <c r="J151" s="15">
        <f t="shared" si="16"/>
        <v>9.8831710503399997</v>
      </c>
      <c r="K151" s="17">
        <v>0.4</v>
      </c>
      <c r="L151" s="15">
        <f t="shared" si="17"/>
        <v>9.977999999999998</v>
      </c>
      <c r="M151" s="18">
        <f t="shared" si="18"/>
        <v>9.4110500399999975</v>
      </c>
      <c r="N151" s="30">
        <v>0</v>
      </c>
      <c r="O151" s="20"/>
      <c r="P151" s="19">
        <f t="shared" si="14"/>
        <v>0</v>
      </c>
    </row>
    <row r="152" spans="1:16" ht="15" customHeight="1" x14ac:dyDescent="0.25">
      <c r="A152" s="36" t="s">
        <v>460</v>
      </c>
      <c r="B152" s="36">
        <v>7896714225616</v>
      </c>
      <c r="C152" s="36" t="s">
        <v>273</v>
      </c>
      <c r="D152" s="37" t="s">
        <v>114</v>
      </c>
      <c r="E152" s="14">
        <v>60</v>
      </c>
      <c r="F152" s="33">
        <v>12.67</v>
      </c>
      <c r="G152" s="16">
        <v>0.45660000000000001</v>
      </c>
      <c r="H152" s="16">
        <v>5.6820000000000002E-2</v>
      </c>
      <c r="I152" s="15">
        <f t="shared" si="15"/>
        <v>6.8848779999999996</v>
      </c>
      <c r="J152" s="15">
        <f t="shared" si="16"/>
        <v>6.4936792320399999</v>
      </c>
      <c r="K152" s="17">
        <v>0.48599999999999999</v>
      </c>
      <c r="L152" s="15">
        <f t="shared" si="17"/>
        <v>6.5123800000000003</v>
      </c>
      <c r="M152" s="18">
        <f t="shared" si="18"/>
        <v>6.1423465684000007</v>
      </c>
      <c r="N152" s="30">
        <v>0</v>
      </c>
      <c r="O152" s="20"/>
      <c r="P152" s="19">
        <f t="shared" si="14"/>
        <v>0</v>
      </c>
    </row>
    <row r="153" spans="1:16" ht="15" customHeight="1" x14ac:dyDescent="0.25">
      <c r="A153" s="36" t="s">
        <v>460</v>
      </c>
      <c r="B153" s="36">
        <v>7896714201498</v>
      </c>
      <c r="C153" s="36" t="s">
        <v>274</v>
      </c>
      <c r="D153" s="37" t="s">
        <v>115</v>
      </c>
      <c r="E153" s="14">
        <v>60</v>
      </c>
      <c r="F153" s="33">
        <v>12.71</v>
      </c>
      <c r="G153" s="16">
        <v>0.7329</v>
      </c>
      <c r="H153" s="16">
        <v>5.6820000000000002E-2</v>
      </c>
      <c r="I153" s="15">
        <f t="shared" si="15"/>
        <v>3.3948409999999996</v>
      </c>
      <c r="J153" s="15">
        <f t="shared" si="16"/>
        <v>3.2019461343799995</v>
      </c>
      <c r="K153" s="17">
        <v>0.74560000000000004</v>
      </c>
      <c r="L153" s="15">
        <f t="shared" si="17"/>
        <v>3.2334239999999994</v>
      </c>
      <c r="M153" s="18">
        <f t="shared" si="18"/>
        <v>3.0497008483199997</v>
      </c>
      <c r="N153" s="30">
        <v>0</v>
      </c>
      <c r="O153" s="20"/>
      <c r="P153" s="19">
        <f t="shared" si="14"/>
        <v>0</v>
      </c>
    </row>
    <row r="154" spans="1:16" ht="15" customHeight="1" x14ac:dyDescent="0.25">
      <c r="A154" s="36" t="s">
        <v>460</v>
      </c>
      <c r="B154" s="36">
        <v>7896714203645</v>
      </c>
      <c r="C154" s="36" t="s">
        <v>275</v>
      </c>
      <c r="D154" s="37" t="s">
        <v>116</v>
      </c>
      <c r="E154" s="14">
        <v>60</v>
      </c>
      <c r="F154" s="33">
        <v>14.27</v>
      </c>
      <c r="G154" s="16">
        <v>0.67079999999999995</v>
      </c>
      <c r="H154" s="16">
        <v>5.6820000000000002E-2</v>
      </c>
      <c r="I154" s="15">
        <f t="shared" si="15"/>
        <v>4.6976840000000006</v>
      </c>
      <c r="J154" s="15">
        <f t="shared" si="16"/>
        <v>4.4307615951200008</v>
      </c>
      <c r="K154" s="17">
        <v>0.68640000000000001</v>
      </c>
      <c r="L154" s="15">
        <f t="shared" si="17"/>
        <v>4.4750719999999991</v>
      </c>
      <c r="M154" s="18">
        <f t="shared" si="18"/>
        <v>4.2207984089599995</v>
      </c>
      <c r="N154" s="30">
        <v>0</v>
      </c>
      <c r="O154" s="20"/>
      <c r="P154" s="19">
        <f t="shared" si="14"/>
        <v>0</v>
      </c>
    </row>
    <row r="155" spans="1:16" ht="15" customHeight="1" x14ac:dyDescent="0.25">
      <c r="A155" s="36" t="s">
        <v>460</v>
      </c>
      <c r="B155" s="36">
        <v>7896714205823</v>
      </c>
      <c r="C155" s="36" t="s">
        <v>276</v>
      </c>
      <c r="D155" s="37" t="s">
        <v>117</v>
      </c>
      <c r="E155" s="14">
        <v>60</v>
      </c>
      <c r="F155" s="33">
        <v>7.42</v>
      </c>
      <c r="G155" s="16">
        <v>0.53649999999999998</v>
      </c>
      <c r="H155" s="16">
        <v>5.6820000000000002E-2</v>
      </c>
      <c r="I155" s="15">
        <f t="shared" si="15"/>
        <v>3.4391700000000003</v>
      </c>
      <c r="J155" s="15">
        <f t="shared" si="16"/>
        <v>3.2437563606000004</v>
      </c>
      <c r="K155" s="17">
        <v>0.56850000000000001</v>
      </c>
      <c r="L155" s="15">
        <f t="shared" si="17"/>
        <v>3.2017299999999995</v>
      </c>
      <c r="M155" s="18">
        <f t="shared" si="18"/>
        <v>3.0198077013999995</v>
      </c>
      <c r="N155" s="30">
        <v>0</v>
      </c>
      <c r="O155" s="20"/>
      <c r="P155" s="19">
        <f t="shared" si="14"/>
        <v>0</v>
      </c>
    </row>
    <row r="156" spans="1:16" ht="15" customHeight="1" x14ac:dyDescent="0.25">
      <c r="A156" s="36" t="s">
        <v>460</v>
      </c>
      <c r="B156" s="36">
        <v>7896714205816</v>
      </c>
      <c r="C156" s="36" t="s">
        <v>277</v>
      </c>
      <c r="D156" s="37" t="s">
        <v>118</v>
      </c>
      <c r="E156" s="14">
        <v>60</v>
      </c>
      <c r="F156" s="33">
        <v>51.9</v>
      </c>
      <c r="G156" s="16">
        <v>0.83309999999999995</v>
      </c>
      <c r="H156" s="16">
        <v>5.6820000000000002E-2</v>
      </c>
      <c r="I156" s="15">
        <f t="shared" si="15"/>
        <v>8.6621100000000055</v>
      </c>
      <c r="J156" s="15">
        <f t="shared" si="16"/>
        <v>8.1699289098000047</v>
      </c>
      <c r="K156" s="17">
        <v>0.84099999999999997</v>
      </c>
      <c r="L156" s="15">
        <f t="shared" si="17"/>
        <v>8.2520999999999987</v>
      </c>
      <c r="M156" s="18">
        <f t="shared" si="18"/>
        <v>7.7832156779999986</v>
      </c>
      <c r="N156" s="30">
        <v>0</v>
      </c>
      <c r="O156" s="20"/>
      <c r="P156" s="19">
        <f t="shared" si="14"/>
        <v>0</v>
      </c>
    </row>
    <row r="157" spans="1:16" ht="15" customHeight="1" x14ac:dyDescent="0.25">
      <c r="A157" s="36" t="s">
        <v>460</v>
      </c>
      <c r="B157" s="36">
        <v>7896714205830</v>
      </c>
      <c r="C157" s="36" t="s">
        <v>278</v>
      </c>
      <c r="D157" s="37" t="s">
        <v>119</v>
      </c>
      <c r="E157" s="14">
        <v>60</v>
      </c>
      <c r="F157" s="33">
        <v>21.04</v>
      </c>
      <c r="G157" s="16">
        <v>0.73960000000000004</v>
      </c>
      <c r="H157" s="16">
        <v>5.6820000000000002E-2</v>
      </c>
      <c r="I157" s="15">
        <f t="shared" si="15"/>
        <v>5.4788159999999984</v>
      </c>
      <c r="J157" s="15">
        <f t="shared" si="16"/>
        <v>5.167509674879998</v>
      </c>
      <c r="K157" s="17">
        <v>0.752</v>
      </c>
      <c r="L157" s="15">
        <f t="shared" si="17"/>
        <v>5.2179199999999994</v>
      </c>
      <c r="M157" s="18">
        <f t="shared" si="18"/>
        <v>4.9214377855999993</v>
      </c>
      <c r="N157" s="30">
        <v>0</v>
      </c>
      <c r="O157" s="20"/>
      <c r="P157" s="19">
        <f t="shared" si="14"/>
        <v>0</v>
      </c>
    </row>
    <row r="158" spans="1:16" ht="15" customHeight="1" x14ac:dyDescent="0.25">
      <c r="A158" s="36" t="s">
        <v>460</v>
      </c>
      <c r="B158" s="36">
        <v>7896714225753</v>
      </c>
      <c r="C158" s="36" t="s">
        <v>321</v>
      </c>
      <c r="D158" s="37" t="s">
        <v>379</v>
      </c>
      <c r="E158" s="14">
        <v>50</v>
      </c>
      <c r="F158" s="33">
        <v>11.01</v>
      </c>
      <c r="G158" s="16">
        <v>0.66149999999999998</v>
      </c>
      <c r="H158" s="16">
        <v>5.6820000000000002E-2</v>
      </c>
      <c r="I158" s="15">
        <f t="shared" si="15"/>
        <v>3.7268850000000002</v>
      </c>
      <c r="J158" s="15">
        <f t="shared" si="16"/>
        <v>3.5151233943000002</v>
      </c>
      <c r="K158" s="17">
        <v>0.67710000000000004</v>
      </c>
      <c r="L158" s="15">
        <f t="shared" si="17"/>
        <v>3.555129</v>
      </c>
      <c r="M158" s="18">
        <f t="shared" si="18"/>
        <v>3.3531265702200002</v>
      </c>
      <c r="N158" s="30">
        <v>0</v>
      </c>
      <c r="O158" s="20"/>
      <c r="P158" s="19">
        <f t="shared" si="14"/>
        <v>0</v>
      </c>
    </row>
    <row r="159" spans="1:16" ht="15" customHeight="1" x14ac:dyDescent="0.25">
      <c r="A159" s="36" t="s">
        <v>460</v>
      </c>
      <c r="B159" s="36">
        <v>7896714228853</v>
      </c>
      <c r="C159" s="36" t="s">
        <v>279</v>
      </c>
      <c r="D159" s="37" t="s">
        <v>120</v>
      </c>
      <c r="E159" s="14">
        <v>60</v>
      </c>
      <c r="F159" s="33">
        <v>31.16</v>
      </c>
      <c r="G159" s="16">
        <v>0.93779999999999997</v>
      </c>
      <c r="H159" s="16">
        <v>5.6820000000000002E-2</v>
      </c>
      <c r="I159" s="15">
        <f t="shared" si="15"/>
        <v>1.9381520000000023</v>
      </c>
      <c r="J159" s="15">
        <f t="shared" si="16"/>
        <v>1.8280262033600021</v>
      </c>
      <c r="K159" s="17">
        <v>0.94089999999999996</v>
      </c>
      <c r="L159" s="15">
        <f t="shared" si="17"/>
        <v>1.8415560000000006</v>
      </c>
      <c r="M159" s="18">
        <f t="shared" si="18"/>
        <v>1.7369187880800006</v>
      </c>
      <c r="N159" s="30">
        <v>0</v>
      </c>
      <c r="O159" s="20"/>
      <c r="P159" s="19">
        <f t="shared" si="14"/>
        <v>0</v>
      </c>
    </row>
    <row r="160" spans="1:16" ht="15" customHeight="1" x14ac:dyDescent="0.25">
      <c r="A160" s="36" t="s">
        <v>460</v>
      </c>
      <c r="B160" s="36">
        <v>7896714223049</v>
      </c>
      <c r="C160" s="36" t="s">
        <v>280</v>
      </c>
      <c r="D160" s="37" t="s">
        <v>121</v>
      </c>
      <c r="E160" s="14">
        <v>60</v>
      </c>
      <c r="F160" s="33">
        <v>95.39</v>
      </c>
      <c r="G160" s="16">
        <v>0.35799999999999998</v>
      </c>
      <c r="H160" s="16">
        <v>5.6820000000000002E-2</v>
      </c>
      <c r="I160" s="15">
        <f t="shared" si="15"/>
        <v>61.240380000000002</v>
      </c>
      <c r="J160" s="15">
        <f t="shared" si="16"/>
        <v>57.760701608399998</v>
      </c>
      <c r="K160" s="17">
        <v>0.45029999999999998</v>
      </c>
      <c r="L160" s="15">
        <f t="shared" si="17"/>
        <v>52.435883000000004</v>
      </c>
      <c r="M160" s="18">
        <f t="shared" si="18"/>
        <v>49.456476127940007</v>
      </c>
      <c r="N160" s="30">
        <v>0</v>
      </c>
      <c r="O160" s="20"/>
      <c r="P160" s="19">
        <f t="shared" si="14"/>
        <v>0</v>
      </c>
    </row>
    <row r="161" spans="1:16" ht="15" customHeight="1" x14ac:dyDescent="0.25">
      <c r="A161" s="36" t="s">
        <v>460</v>
      </c>
      <c r="B161" s="36">
        <v>7896714223131</v>
      </c>
      <c r="C161" s="36" t="s">
        <v>281</v>
      </c>
      <c r="D161" s="37" t="s">
        <v>122</v>
      </c>
      <c r="E161" s="14">
        <v>60</v>
      </c>
      <c r="F161" s="33">
        <v>93.35</v>
      </c>
      <c r="G161" s="16">
        <v>0.37009999999999998</v>
      </c>
      <c r="H161" s="16">
        <v>5.6820000000000002E-2</v>
      </c>
      <c r="I161" s="15">
        <f t="shared" si="15"/>
        <v>58.801164999999997</v>
      </c>
      <c r="J161" s="15">
        <f t="shared" si="16"/>
        <v>55.460082804700001</v>
      </c>
      <c r="K161" s="17">
        <v>0.40010000000000001</v>
      </c>
      <c r="L161" s="15">
        <f t="shared" si="17"/>
        <v>56.000664999999998</v>
      </c>
      <c r="M161" s="18">
        <f t="shared" si="18"/>
        <v>52.818707214699998</v>
      </c>
      <c r="N161" s="30">
        <v>0</v>
      </c>
      <c r="O161" s="20"/>
      <c r="P161" s="19">
        <f t="shared" si="14"/>
        <v>0</v>
      </c>
    </row>
    <row r="162" spans="1:16" ht="15" customHeight="1" x14ac:dyDescent="0.25">
      <c r="A162" s="36" t="s">
        <v>460</v>
      </c>
      <c r="B162" s="36">
        <v>7896714245393</v>
      </c>
      <c r="C162" s="36" t="s">
        <v>282</v>
      </c>
      <c r="D162" s="37" t="s">
        <v>380</v>
      </c>
      <c r="E162" s="14">
        <v>60</v>
      </c>
      <c r="F162" s="33">
        <v>51.33</v>
      </c>
      <c r="G162" s="16">
        <v>0.88090000000000002</v>
      </c>
      <c r="H162" s="16">
        <v>5.6820000000000002E-2</v>
      </c>
      <c r="I162" s="15">
        <f t="shared" si="15"/>
        <v>6.1134029999999981</v>
      </c>
      <c r="J162" s="15">
        <f t="shared" si="16"/>
        <v>5.7660394415399985</v>
      </c>
      <c r="K162" s="17">
        <v>0.88660000000000005</v>
      </c>
      <c r="L162" s="15">
        <f t="shared" si="17"/>
        <v>5.8208219999999997</v>
      </c>
      <c r="M162" s="18">
        <f t="shared" si="18"/>
        <v>5.4900828939599995</v>
      </c>
      <c r="N162" s="30">
        <v>0</v>
      </c>
      <c r="O162" s="20"/>
      <c r="P162" s="19">
        <f t="shared" si="14"/>
        <v>0</v>
      </c>
    </row>
    <row r="163" spans="1:16" ht="15" customHeight="1" x14ac:dyDescent="0.25">
      <c r="A163" s="36" t="s">
        <v>460</v>
      </c>
      <c r="B163" s="36">
        <v>7896714245478</v>
      </c>
      <c r="C163" s="36" t="s">
        <v>283</v>
      </c>
      <c r="D163" s="37" t="s">
        <v>381</v>
      </c>
      <c r="E163" s="14">
        <v>60</v>
      </c>
      <c r="F163" s="33">
        <v>102.05</v>
      </c>
      <c r="G163" s="16">
        <v>0.84060000000000001</v>
      </c>
      <c r="H163" s="16">
        <v>5.6820000000000002E-2</v>
      </c>
      <c r="I163" s="15">
        <f t="shared" si="15"/>
        <v>16.266769999999994</v>
      </c>
      <c r="J163" s="15">
        <f t="shared" si="16"/>
        <v>15.342492128599995</v>
      </c>
      <c r="K163" s="17">
        <v>0.84819999999999995</v>
      </c>
      <c r="L163" s="15">
        <f t="shared" si="17"/>
        <v>15.491190000000003</v>
      </c>
      <c r="M163" s="18">
        <f t="shared" si="18"/>
        <v>14.610980584200004</v>
      </c>
      <c r="N163" s="30">
        <v>0</v>
      </c>
      <c r="O163" s="20"/>
      <c r="P163" s="19">
        <f t="shared" si="14"/>
        <v>0</v>
      </c>
    </row>
    <row r="164" spans="1:16" ht="15" customHeight="1" x14ac:dyDescent="0.25">
      <c r="A164" s="36" t="s">
        <v>460</v>
      </c>
      <c r="B164" s="36">
        <v>7896714202693</v>
      </c>
      <c r="C164" s="36" t="s">
        <v>367</v>
      </c>
      <c r="D164" s="37" t="s">
        <v>123</v>
      </c>
      <c r="E164" s="14">
        <v>60</v>
      </c>
      <c r="F164" s="33">
        <v>34.11</v>
      </c>
      <c r="G164" s="16">
        <v>0.57240000000000002</v>
      </c>
      <c r="H164" s="16">
        <v>5.6820000000000002E-2</v>
      </c>
      <c r="I164" s="15">
        <f t="shared" si="15"/>
        <v>14.585435999999998</v>
      </c>
      <c r="J164" s="15">
        <f t="shared" si="16"/>
        <v>13.756691526479997</v>
      </c>
      <c r="K164" s="17">
        <v>0.5927</v>
      </c>
      <c r="L164" s="15">
        <f t="shared" si="17"/>
        <v>13.893003</v>
      </c>
      <c r="M164" s="18">
        <f t="shared" si="18"/>
        <v>13.10360256954</v>
      </c>
      <c r="N164" s="30">
        <v>0</v>
      </c>
      <c r="O164" s="20"/>
      <c r="P164" s="19">
        <f t="shared" si="14"/>
        <v>0</v>
      </c>
    </row>
    <row r="165" spans="1:16" ht="15" customHeight="1" x14ac:dyDescent="0.25">
      <c r="A165" s="36" t="s">
        <v>460</v>
      </c>
      <c r="B165" s="36">
        <v>7896714205809</v>
      </c>
      <c r="C165" s="36" t="s">
        <v>284</v>
      </c>
      <c r="D165" s="37" t="s">
        <v>124</v>
      </c>
      <c r="E165" s="14">
        <v>60</v>
      </c>
      <c r="F165" s="33">
        <v>11.66</v>
      </c>
      <c r="G165" s="16">
        <v>0.61529999999999996</v>
      </c>
      <c r="H165" s="16">
        <v>5.6820000000000002E-2</v>
      </c>
      <c r="I165" s="15">
        <f t="shared" si="15"/>
        <v>4.485602000000001</v>
      </c>
      <c r="J165" s="15">
        <f t="shared" si="16"/>
        <v>4.230730094360001</v>
      </c>
      <c r="K165" s="17">
        <v>0.63349999999999995</v>
      </c>
      <c r="L165" s="15">
        <f t="shared" si="17"/>
        <v>4.2733900000000009</v>
      </c>
      <c r="M165" s="18">
        <f t="shared" si="18"/>
        <v>4.030575980200001</v>
      </c>
      <c r="N165" s="30">
        <v>0</v>
      </c>
      <c r="O165" s="20"/>
      <c r="P165" s="19">
        <f t="shared" si="14"/>
        <v>0</v>
      </c>
    </row>
    <row r="166" spans="1:16" ht="15" customHeight="1" x14ac:dyDescent="0.25">
      <c r="A166" s="36" t="s">
        <v>460</v>
      </c>
      <c r="B166" s="36">
        <v>7896714290997</v>
      </c>
      <c r="C166" s="36" t="s">
        <v>446</v>
      </c>
      <c r="D166" s="37" t="s">
        <v>447</v>
      </c>
      <c r="E166" s="14">
        <v>30</v>
      </c>
      <c r="F166" s="33">
        <v>108.51</v>
      </c>
      <c r="G166" s="16">
        <v>0.55069999999999997</v>
      </c>
      <c r="H166" s="16">
        <v>5.6820000000000002E-2</v>
      </c>
      <c r="I166" s="15">
        <f t="shared" si="15"/>
        <v>48.753543000000008</v>
      </c>
      <c r="J166" s="15">
        <f t="shared" si="16"/>
        <v>45.983366686740005</v>
      </c>
      <c r="K166" s="17">
        <v>0.70679999999999998</v>
      </c>
      <c r="L166" s="15">
        <f t="shared" si="17"/>
        <v>31.815132000000006</v>
      </c>
      <c r="M166" s="18">
        <f t="shared" si="18"/>
        <v>30.007396199760006</v>
      </c>
      <c r="N166" s="30">
        <v>0</v>
      </c>
      <c r="O166" s="20"/>
      <c r="P166" s="19">
        <f t="shared" si="14"/>
        <v>0</v>
      </c>
    </row>
    <row r="167" spans="1:16" x14ac:dyDescent="0.25">
      <c r="A167" s="36" t="s">
        <v>460</v>
      </c>
      <c r="B167" s="36">
        <v>7896714274393</v>
      </c>
      <c r="C167" s="36" t="s">
        <v>433</v>
      </c>
      <c r="D167" s="37" t="s">
        <v>434</v>
      </c>
      <c r="E167" s="14">
        <v>30</v>
      </c>
      <c r="F167" s="33">
        <v>80.81</v>
      </c>
      <c r="G167" s="16">
        <v>0.58750000000000002</v>
      </c>
      <c r="H167" s="16">
        <v>5.6820000000000002E-2</v>
      </c>
      <c r="I167" s="15">
        <f t="shared" si="15"/>
        <v>33.334125</v>
      </c>
      <c r="J167" s="15">
        <f t="shared" si="16"/>
        <v>31.440080017500001</v>
      </c>
      <c r="K167" s="17">
        <v>0.73060000000000003</v>
      </c>
      <c r="L167" s="15">
        <f t="shared" si="17"/>
        <v>21.770213999999996</v>
      </c>
      <c r="M167" s="18">
        <f t="shared" si="18"/>
        <v>20.533230440519997</v>
      </c>
      <c r="N167" s="30">
        <v>0</v>
      </c>
      <c r="O167" s="20"/>
      <c r="P167" s="19">
        <f t="shared" si="14"/>
        <v>0</v>
      </c>
    </row>
    <row r="168" spans="1:16" ht="15" customHeight="1" x14ac:dyDescent="0.25">
      <c r="A168" s="36" t="s">
        <v>460</v>
      </c>
      <c r="B168" s="36">
        <v>7896714274133</v>
      </c>
      <c r="C168" s="36" t="s">
        <v>322</v>
      </c>
      <c r="D168" s="37" t="s">
        <v>382</v>
      </c>
      <c r="E168" s="14">
        <v>60</v>
      </c>
      <c r="F168" s="33">
        <v>98.96</v>
      </c>
      <c r="G168" s="16">
        <v>0.55259999999999998</v>
      </c>
      <c r="H168" s="16">
        <v>0.13542000000000001</v>
      </c>
      <c r="I168" s="15">
        <f t="shared" si="15"/>
        <v>44.274704</v>
      </c>
      <c r="J168" s="15">
        <f t="shared" si="16"/>
        <v>38.279023584320001</v>
      </c>
      <c r="K168" s="17">
        <v>0.57389999999999997</v>
      </c>
      <c r="L168" s="15">
        <f t="shared" si="17"/>
        <v>42.166856000000003</v>
      </c>
      <c r="M168" s="18">
        <f t="shared" si="18"/>
        <v>36.456620360480002</v>
      </c>
      <c r="N168" s="30">
        <v>0</v>
      </c>
      <c r="O168" s="20"/>
      <c r="P168" s="19">
        <f t="shared" si="14"/>
        <v>0</v>
      </c>
    </row>
    <row r="169" spans="1:16" ht="15" customHeight="1" x14ac:dyDescent="0.25">
      <c r="A169" s="36" t="s">
        <v>460</v>
      </c>
      <c r="B169" s="36">
        <v>7896714274140</v>
      </c>
      <c r="C169" s="36" t="s">
        <v>323</v>
      </c>
      <c r="D169" s="37" t="s">
        <v>383</v>
      </c>
      <c r="E169" s="14">
        <v>60</v>
      </c>
      <c r="F169" s="33">
        <v>197.99</v>
      </c>
      <c r="G169" s="16">
        <v>0.5927</v>
      </c>
      <c r="H169" s="16">
        <v>0.13542000000000001</v>
      </c>
      <c r="I169" s="15">
        <f t="shared" si="15"/>
        <v>80.641327000000004</v>
      </c>
      <c r="J169" s="15">
        <f t="shared" si="16"/>
        <v>69.72087849766001</v>
      </c>
      <c r="K169" s="17">
        <v>0.61209999999999998</v>
      </c>
      <c r="L169" s="15">
        <f t="shared" si="17"/>
        <v>76.800321000000011</v>
      </c>
      <c r="M169" s="18">
        <f t="shared" si="18"/>
        <v>66.400021530180013</v>
      </c>
      <c r="N169" s="30">
        <v>0</v>
      </c>
      <c r="O169" s="20"/>
      <c r="P169" s="19">
        <f t="shared" si="14"/>
        <v>0</v>
      </c>
    </row>
    <row r="170" spans="1:16" ht="15" customHeight="1" x14ac:dyDescent="0.25">
      <c r="A170" s="36" t="s">
        <v>460</v>
      </c>
      <c r="B170" s="36">
        <v>7896714290355</v>
      </c>
      <c r="C170" s="36" t="s">
        <v>436</v>
      </c>
      <c r="D170" s="37" t="s">
        <v>440</v>
      </c>
      <c r="E170" s="14">
        <v>54</v>
      </c>
      <c r="F170" s="33">
        <v>54.77</v>
      </c>
      <c r="G170" s="16">
        <v>0.66120000000000001</v>
      </c>
      <c r="H170" s="16">
        <v>0.13542000000000001</v>
      </c>
      <c r="I170" s="15">
        <f t="shared" si="15"/>
        <v>18.556075999999997</v>
      </c>
      <c r="J170" s="15">
        <f t="shared" si="16"/>
        <v>16.043212188079998</v>
      </c>
      <c r="K170" s="17">
        <v>0.67730000000000001</v>
      </c>
      <c r="L170" s="15">
        <f t="shared" si="17"/>
        <v>17.674278999999999</v>
      </c>
      <c r="M170" s="18">
        <f t="shared" si="18"/>
        <v>15.280828137819999</v>
      </c>
      <c r="N170" s="30">
        <v>0</v>
      </c>
      <c r="O170" s="20"/>
      <c r="P170" s="19">
        <f t="shared" si="14"/>
        <v>0</v>
      </c>
    </row>
    <row r="171" spans="1:16" ht="15" customHeight="1" x14ac:dyDescent="0.25">
      <c r="A171" s="36" t="s">
        <v>460</v>
      </c>
      <c r="B171" s="36">
        <v>7896714214405</v>
      </c>
      <c r="C171" s="36" t="s">
        <v>285</v>
      </c>
      <c r="D171" s="37" t="s">
        <v>125</v>
      </c>
      <c r="E171" s="14">
        <v>60</v>
      </c>
      <c r="F171" s="33">
        <v>22.43</v>
      </c>
      <c r="G171" s="16">
        <v>0.40110000000000001</v>
      </c>
      <c r="H171" s="16">
        <v>5.6820000000000002E-2</v>
      </c>
      <c r="I171" s="15">
        <f t="shared" si="15"/>
        <v>13.433327</v>
      </c>
      <c r="J171" s="15">
        <f t="shared" si="16"/>
        <v>12.67004535986</v>
      </c>
      <c r="K171" s="17">
        <v>0.42949999999999999</v>
      </c>
      <c r="L171" s="15">
        <f t="shared" si="17"/>
        <v>12.796315</v>
      </c>
      <c r="M171" s="18">
        <f t="shared" si="18"/>
        <v>12.0692283817</v>
      </c>
      <c r="N171" s="30">
        <v>0</v>
      </c>
      <c r="O171" s="20"/>
      <c r="P171" s="19">
        <f t="shared" si="14"/>
        <v>0</v>
      </c>
    </row>
    <row r="172" spans="1:16" ht="15" customHeight="1" x14ac:dyDescent="0.25">
      <c r="A172" s="36" t="s">
        <v>460</v>
      </c>
      <c r="B172" s="36">
        <v>7896714214399</v>
      </c>
      <c r="C172" s="36" t="s">
        <v>286</v>
      </c>
      <c r="D172" s="37" t="s">
        <v>126</v>
      </c>
      <c r="E172" s="14">
        <v>60</v>
      </c>
      <c r="F172" s="33">
        <v>53.22</v>
      </c>
      <c r="G172" s="16">
        <v>0.50619999999999998</v>
      </c>
      <c r="H172" s="16">
        <v>5.6820000000000002E-2</v>
      </c>
      <c r="I172" s="15">
        <f t="shared" si="15"/>
        <v>26.280035999999999</v>
      </c>
      <c r="J172" s="15">
        <f t="shared" si="16"/>
        <v>24.786804354479997</v>
      </c>
      <c r="K172" s="17">
        <v>0.52969999999999995</v>
      </c>
      <c r="L172" s="15">
        <f t="shared" si="17"/>
        <v>25.029366000000003</v>
      </c>
      <c r="M172" s="18">
        <f t="shared" si="18"/>
        <v>23.607197423880002</v>
      </c>
      <c r="N172" s="30">
        <v>0</v>
      </c>
      <c r="O172" s="20"/>
      <c r="P172" s="19">
        <f t="shared" si="14"/>
        <v>0</v>
      </c>
    </row>
    <row r="173" spans="1:16" ht="15" customHeight="1" x14ac:dyDescent="0.25">
      <c r="A173" s="36" t="s">
        <v>460</v>
      </c>
      <c r="B173" s="36">
        <v>7896714223841</v>
      </c>
      <c r="C173" s="36" t="s">
        <v>287</v>
      </c>
      <c r="D173" s="37" t="s">
        <v>127</v>
      </c>
      <c r="E173" s="14">
        <v>60</v>
      </c>
      <c r="F173" s="33">
        <v>20.07</v>
      </c>
      <c r="G173" s="16">
        <v>0.90239999999999998</v>
      </c>
      <c r="H173" s="16">
        <v>5.6820000000000002E-2</v>
      </c>
      <c r="I173" s="15">
        <f t="shared" si="15"/>
        <v>1.958832000000001</v>
      </c>
      <c r="J173" s="15">
        <f t="shared" si="16"/>
        <v>1.8475311657600009</v>
      </c>
      <c r="K173" s="17">
        <v>0.90700000000000003</v>
      </c>
      <c r="L173" s="15">
        <f t="shared" si="17"/>
        <v>1.8665099999999981</v>
      </c>
      <c r="M173" s="18">
        <f t="shared" si="18"/>
        <v>1.7604549017999982</v>
      </c>
      <c r="N173" s="30">
        <v>0</v>
      </c>
      <c r="O173" s="20"/>
      <c r="P173" s="19">
        <f t="shared" si="14"/>
        <v>0</v>
      </c>
    </row>
    <row r="174" spans="1:16" ht="15" customHeight="1" x14ac:dyDescent="0.25">
      <c r="A174" s="36" t="s">
        <v>460</v>
      </c>
      <c r="B174" s="36">
        <v>7896714229829</v>
      </c>
      <c r="C174" s="36" t="s">
        <v>288</v>
      </c>
      <c r="D174" s="37" t="s">
        <v>128</v>
      </c>
      <c r="E174" s="14">
        <v>60</v>
      </c>
      <c r="F174" s="33">
        <v>18.86</v>
      </c>
      <c r="G174" s="16">
        <v>0.5272</v>
      </c>
      <c r="H174" s="16">
        <v>5.6820000000000002E-2</v>
      </c>
      <c r="I174" s="15">
        <f t="shared" si="15"/>
        <v>8.9170079999999992</v>
      </c>
      <c r="J174" s="15">
        <f t="shared" si="16"/>
        <v>8.4103436054399996</v>
      </c>
      <c r="K174" s="17">
        <v>0.54949999999999999</v>
      </c>
      <c r="L174" s="15">
        <f t="shared" si="17"/>
        <v>8.4964300000000001</v>
      </c>
      <c r="M174" s="18">
        <f t="shared" si="18"/>
        <v>8.0136628474000009</v>
      </c>
      <c r="N174" s="30">
        <v>0</v>
      </c>
      <c r="O174" s="20"/>
      <c r="P174" s="19">
        <f t="shared" si="14"/>
        <v>0</v>
      </c>
    </row>
    <row r="175" spans="1:16" ht="15" customHeight="1" x14ac:dyDescent="0.25">
      <c r="A175" s="36" t="s">
        <v>460</v>
      </c>
      <c r="B175" s="38">
        <v>7896714206080</v>
      </c>
      <c r="C175" s="38" t="s">
        <v>612</v>
      </c>
      <c r="D175" s="39" t="s">
        <v>384</v>
      </c>
      <c r="E175" s="14">
        <v>112</v>
      </c>
      <c r="F175" s="33">
        <v>23.43</v>
      </c>
      <c r="G175" s="16">
        <v>0.67930000000000001</v>
      </c>
      <c r="H175" s="16">
        <v>5.6820000000000002E-2</v>
      </c>
      <c r="I175" s="25">
        <f t="shared" si="15"/>
        <v>7.5140010000000004</v>
      </c>
      <c r="J175" s="25">
        <f t="shared" si="16"/>
        <v>7.0870554631800005</v>
      </c>
      <c r="K175" s="17">
        <v>0.6946</v>
      </c>
      <c r="L175" s="25">
        <f t="shared" si="17"/>
        <v>7.1555220000000013</v>
      </c>
      <c r="M175" s="26">
        <f t="shared" si="18"/>
        <v>6.7489452399600012</v>
      </c>
      <c r="N175" s="30">
        <v>0</v>
      </c>
      <c r="O175" s="20"/>
      <c r="P175" s="10">
        <f t="shared" si="14"/>
        <v>0</v>
      </c>
    </row>
    <row r="176" spans="1:16" ht="15" customHeight="1" x14ac:dyDescent="0.25">
      <c r="A176" s="36" t="s">
        <v>460</v>
      </c>
      <c r="B176" s="38">
        <v>7896714224688</v>
      </c>
      <c r="C176" s="38" t="s">
        <v>289</v>
      </c>
      <c r="D176" s="39" t="s">
        <v>129</v>
      </c>
      <c r="E176" s="14">
        <v>60</v>
      </c>
      <c r="F176" s="33">
        <v>24.57</v>
      </c>
      <c r="G176" s="16">
        <v>0.61029999999999995</v>
      </c>
      <c r="H176" s="16">
        <v>5.6820000000000002E-2</v>
      </c>
      <c r="I176" s="25">
        <f t="shared" si="15"/>
        <v>9.5749290000000009</v>
      </c>
      <c r="J176" s="25">
        <f t="shared" si="16"/>
        <v>9.0308815342200006</v>
      </c>
      <c r="K176" s="17">
        <v>0.65700000000000003</v>
      </c>
      <c r="L176" s="25">
        <f t="shared" si="17"/>
        <v>8.4275099999999981</v>
      </c>
      <c r="M176" s="26">
        <f t="shared" si="18"/>
        <v>7.9486588817999984</v>
      </c>
      <c r="N176" s="30">
        <v>0</v>
      </c>
      <c r="O176" s="20"/>
      <c r="P176" s="10">
        <f t="shared" si="14"/>
        <v>0</v>
      </c>
    </row>
    <row r="177" spans="1:16" ht="15" customHeight="1" x14ac:dyDescent="0.25">
      <c r="A177" s="36" t="s">
        <v>460</v>
      </c>
      <c r="B177" s="38">
        <v>7896714265766</v>
      </c>
      <c r="C177" s="38" t="s">
        <v>290</v>
      </c>
      <c r="D177" s="39" t="s">
        <v>130</v>
      </c>
      <c r="E177" s="14">
        <v>60</v>
      </c>
      <c r="F177" s="33">
        <v>17.829999999999998</v>
      </c>
      <c r="G177" s="16">
        <v>0.42070000000000002</v>
      </c>
      <c r="H177" s="16">
        <v>5.6820000000000002E-2</v>
      </c>
      <c r="I177" s="25">
        <f t="shared" si="15"/>
        <v>10.328918999999999</v>
      </c>
      <c r="J177" s="25">
        <f t="shared" si="16"/>
        <v>9.7420298224199993</v>
      </c>
      <c r="K177" s="17">
        <v>0.44829999999999998</v>
      </c>
      <c r="L177" s="25">
        <f t="shared" si="17"/>
        <v>9.8368109999999991</v>
      </c>
      <c r="M177" s="26">
        <f t="shared" si="18"/>
        <v>9.2778833989799985</v>
      </c>
      <c r="N177" s="30">
        <v>0</v>
      </c>
      <c r="O177" s="20"/>
      <c r="P177" s="10">
        <f t="shared" si="14"/>
        <v>0</v>
      </c>
    </row>
    <row r="178" spans="1:16" ht="15" customHeight="1" x14ac:dyDescent="0.25">
      <c r="A178" s="36" t="s">
        <v>460</v>
      </c>
      <c r="B178" s="36">
        <v>7896714273426</v>
      </c>
      <c r="C178" s="36" t="s">
        <v>291</v>
      </c>
      <c r="D178" s="37" t="s">
        <v>131</v>
      </c>
      <c r="E178" s="14">
        <v>70</v>
      </c>
      <c r="F178" s="33">
        <v>54.28</v>
      </c>
      <c r="G178" s="16">
        <v>0.61399999999999999</v>
      </c>
      <c r="H178" s="16">
        <v>5.6820000000000002E-2</v>
      </c>
      <c r="I178" s="15">
        <f t="shared" si="15"/>
        <v>20.952080000000002</v>
      </c>
      <c r="J178" s="15">
        <f t="shared" si="16"/>
        <v>19.761582814400001</v>
      </c>
      <c r="K178" s="17">
        <v>0.63649999999999995</v>
      </c>
      <c r="L178" s="15">
        <f t="shared" si="17"/>
        <v>19.730780000000003</v>
      </c>
      <c r="M178" s="18">
        <f t="shared" si="18"/>
        <v>18.609677080400004</v>
      </c>
      <c r="N178" s="30">
        <v>0</v>
      </c>
      <c r="O178" s="20"/>
      <c r="P178" s="19">
        <f t="shared" si="14"/>
        <v>0</v>
      </c>
    </row>
    <row r="179" spans="1:16" ht="15" customHeight="1" x14ac:dyDescent="0.25">
      <c r="A179" s="36" t="s">
        <v>460</v>
      </c>
      <c r="B179" s="36">
        <v>7896714262321</v>
      </c>
      <c r="C179" s="36" t="s">
        <v>636</v>
      </c>
      <c r="D179" s="37" t="s">
        <v>640</v>
      </c>
      <c r="E179" s="14">
        <v>60</v>
      </c>
      <c r="F179" s="33">
        <v>51.48</v>
      </c>
      <c r="G179" s="16">
        <v>0.31850000000000001</v>
      </c>
      <c r="H179" s="16">
        <v>5.6820000000000002E-2</v>
      </c>
      <c r="I179" s="15">
        <f t="shared" si="15"/>
        <v>35.083619999999996</v>
      </c>
      <c r="J179" s="15">
        <f t="shared" si="16"/>
        <v>33.090168711599993</v>
      </c>
      <c r="K179" s="17">
        <v>0.435</v>
      </c>
      <c r="L179" s="15">
        <f t="shared" si="17"/>
        <v>29.086199999999998</v>
      </c>
      <c r="M179" s="18">
        <f t="shared" si="18"/>
        <v>27.433522115999999</v>
      </c>
      <c r="N179" s="30">
        <v>0</v>
      </c>
      <c r="O179" s="20"/>
      <c r="P179" s="19">
        <f t="shared" si="14"/>
        <v>0</v>
      </c>
    </row>
    <row r="180" spans="1:16" ht="15" customHeight="1" x14ac:dyDescent="0.25">
      <c r="A180" s="36" t="s">
        <v>460</v>
      </c>
      <c r="B180" s="36">
        <v>7896714295886</v>
      </c>
      <c r="C180" s="36" t="s">
        <v>794</v>
      </c>
      <c r="D180" s="37" t="s">
        <v>798</v>
      </c>
      <c r="E180" s="14">
        <v>100</v>
      </c>
      <c r="F180" s="33">
        <v>17.82</v>
      </c>
      <c r="G180" s="16">
        <v>0.65769999999999995</v>
      </c>
      <c r="H180" s="16">
        <v>5.6820000000000002E-2</v>
      </c>
      <c r="I180" s="15">
        <f t="shared" si="15"/>
        <v>6.0997860000000017</v>
      </c>
      <c r="J180" s="15">
        <f t="shared" si="16"/>
        <v>5.7531961594800016</v>
      </c>
      <c r="K180" s="17">
        <v>0.67390000000000005</v>
      </c>
      <c r="L180" s="15">
        <f t="shared" si="17"/>
        <v>5.811102</v>
      </c>
      <c r="M180" s="18">
        <f t="shared" si="18"/>
        <v>5.4809151843599997</v>
      </c>
      <c r="N180" s="30">
        <v>0</v>
      </c>
      <c r="O180" s="20"/>
      <c r="P180" s="19">
        <f t="shared" si="14"/>
        <v>0</v>
      </c>
    </row>
    <row r="181" spans="1:16" ht="15" customHeight="1" x14ac:dyDescent="0.25">
      <c r="A181" s="36" t="s">
        <v>460</v>
      </c>
      <c r="B181" s="36">
        <v>7896714240442</v>
      </c>
      <c r="C181" s="36" t="s">
        <v>505</v>
      </c>
      <c r="D181" s="37" t="s">
        <v>514</v>
      </c>
      <c r="E181" s="14">
        <v>30</v>
      </c>
      <c r="F181" s="33">
        <v>119.53</v>
      </c>
      <c r="G181" s="16">
        <v>0.77039999999999997</v>
      </c>
      <c r="H181" s="16">
        <v>5.6820000000000002E-2</v>
      </c>
      <c r="I181" s="15">
        <f t="shared" si="15"/>
        <v>27.444088000000008</v>
      </c>
      <c r="J181" s="15">
        <f t="shared" si="16"/>
        <v>25.884714919840007</v>
      </c>
      <c r="K181" s="17">
        <v>0.78139999999999998</v>
      </c>
      <c r="L181" s="15">
        <f t="shared" si="17"/>
        <v>26.129258000000007</v>
      </c>
      <c r="M181" s="18">
        <f t="shared" si="18"/>
        <v>24.644593560440008</v>
      </c>
      <c r="N181" s="30">
        <v>0</v>
      </c>
      <c r="O181" s="20"/>
      <c r="P181" s="19">
        <f t="shared" si="14"/>
        <v>0</v>
      </c>
    </row>
    <row r="182" spans="1:16" ht="15" customHeight="1" x14ac:dyDescent="0.25">
      <c r="A182" s="36" t="s">
        <v>460</v>
      </c>
      <c r="B182" s="36">
        <v>7896714240541</v>
      </c>
      <c r="C182" s="36" t="s">
        <v>506</v>
      </c>
      <c r="D182" s="37" t="s">
        <v>515</v>
      </c>
      <c r="E182" s="14">
        <v>30</v>
      </c>
      <c r="F182" s="33">
        <v>68.27</v>
      </c>
      <c r="G182" s="16">
        <v>0.7994</v>
      </c>
      <c r="H182" s="16">
        <v>5.6820000000000002E-2</v>
      </c>
      <c r="I182" s="15">
        <f t="shared" si="15"/>
        <v>13.694961999999997</v>
      </c>
      <c r="J182" s="15">
        <f t="shared" si="16"/>
        <v>12.916814259159997</v>
      </c>
      <c r="K182" s="17">
        <v>0.80900000000000005</v>
      </c>
      <c r="L182" s="15">
        <f t="shared" si="17"/>
        <v>13.039569999999998</v>
      </c>
      <c r="M182" s="18">
        <f t="shared" si="18"/>
        <v>12.298661632599998</v>
      </c>
      <c r="N182" s="30">
        <v>0</v>
      </c>
      <c r="O182" s="20"/>
      <c r="P182" s="19">
        <f t="shared" si="14"/>
        <v>0</v>
      </c>
    </row>
    <row r="183" spans="1:16" ht="15" customHeight="1" x14ac:dyDescent="0.25">
      <c r="A183" s="36" t="s">
        <v>460</v>
      </c>
      <c r="B183" s="36">
        <v>7896714240688</v>
      </c>
      <c r="C183" s="36" t="s">
        <v>507</v>
      </c>
      <c r="D183" s="37" t="s">
        <v>516</v>
      </c>
      <c r="E183" s="14">
        <v>30</v>
      </c>
      <c r="F183" s="33">
        <v>101.66</v>
      </c>
      <c r="G183" s="16">
        <v>0.83699999999999997</v>
      </c>
      <c r="H183" s="16">
        <v>5.6820000000000002E-2</v>
      </c>
      <c r="I183" s="15">
        <f t="shared" si="15"/>
        <v>16.570580000000007</v>
      </c>
      <c r="J183" s="15">
        <f t="shared" si="16"/>
        <v>15.629039644400006</v>
      </c>
      <c r="K183" s="17">
        <v>0.8448</v>
      </c>
      <c r="L183" s="15">
        <f t="shared" si="17"/>
        <v>15.777631999999997</v>
      </c>
      <c r="M183" s="18">
        <f t="shared" si="18"/>
        <v>14.881146949759998</v>
      </c>
      <c r="N183" s="30">
        <v>0</v>
      </c>
      <c r="O183" s="20"/>
      <c r="P183" s="19">
        <f t="shared" si="14"/>
        <v>0</v>
      </c>
    </row>
    <row r="184" spans="1:16" x14ac:dyDescent="0.25">
      <c r="A184" s="36" t="s">
        <v>460</v>
      </c>
      <c r="B184" s="36">
        <v>7896714294353</v>
      </c>
      <c r="C184" s="36" t="s">
        <v>690</v>
      </c>
      <c r="D184" s="37" t="s">
        <v>694</v>
      </c>
      <c r="E184" s="14">
        <v>60</v>
      </c>
      <c r="F184" s="33">
        <v>40.04</v>
      </c>
      <c r="G184" s="16">
        <v>0.45329999999999998</v>
      </c>
      <c r="H184" s="16">
        <v>5.6820000000000002E-2</v>
      </c>
      <c r="I184" s="15">
        <f t="shared" si="15"/>
        <v>21.889868</v>
      </c>
      <c r="J184" s="15">
        <f t="shared" si="16"/>
        <v>20.64608570024</v>
      </c>
      <c r="K184" s="17">
        <v>0.49070000000000003</v>
      </c>
      <c r="L184" s="15">
        <f t="shared" si="17"/>
        <v>20.392371999999998</v>
      </c>
      <c r="M184" s="18">
        <f t="shared" si="18"/>
        <v>19.23367742296</v>
      </c>
      <c r="N184" s="30">
        <v>0</v>
      </c>
      <c r="O184" s="20"/>
      <c r="P184" s="19">
        <f t="shared" si="14"/>
        <v>0</v>
      </c>
    </row>
    <row r="185" spans="1:16" ht="15" customHeight="1" x14ac:dyDescent="0.25">
      <c r="A185" s="36" t="s">
        <v>460</v>
      </c>
      <c r="B185" s="36">
        <v>7896714294346</v>
      </c>
      <c r="C185" s="36" t="s">
        <v>692</v>
      </c>
      <c r="D185" s="37" t="s">
        <v>696</v>
      </c>
      <c r="E185" s="14">
        <v>60</v>
      </c>
      <c r="F185" s="33">
        <v>45.27</v>
      </c>
      <c r="G185" s="16">
        <v>0.46639999999999998</v>
      </c>
      <c r="H185" s="16">
        <v>5.6820000000000002E-2</v>
      </c>
      <c r="I185" s="15">
        <f t="shared" si="15"/>
        <v>24.156072000000002</v>
      </c>
      <c r="J185" s="15">
        <f t="shared" si="16"/>
        <v>22.783523988960003</v>
      </c>
      <c r="K185" s="17">
        <v>0.50329999999999997</v>
      </c>
      <c r="L185" s="15">
        <f t="shared" si="17"/>
        <v>22.485609000000004</v>
      </c>
      <c r="M185" s="18">
        <f t="shared" si="18"/>
        <v>21.207976696620005</v>
      </c>
      <c r="N185" s="30">
        <v>0</v>
      </c>
      <c r="O185" s="20"/>
      <c r="P185" s="19">
        <f t="shared" si="14"/>
        <v>0</v>
      </c>
    </row>
    <row r="186" spans="1:16" ht="15" customHeight="1" x14ac:dyDescent="0.25">
      <c r="A186" s="36" t="s">
        <v>460</v>
      </c>
      <c r="B186" s="36">
        <v>7896714294339</v>
      </c>
      <c r="C186" s="36" t="s">
        <v>691</v>
      </c>
      <c r="D186" s="37" t="s">
        <v>695</v>
      </c>
      <c r="E186" s="14">
        <v>60</v>
      </c>
      <c r="F186" s="33">
        <v>45.27</v>
      </c>
      <c r="G186" s="16">
        <v>0.50380000000000003</v>
      </c>
      <c r="H186" s="16">
        <v>5.6820000000000002E-2</v>
      </c>
      <c r="I186" s="15">
        <f t="shared" si="15"/>
        <v>22.462973999999999</v>
      </c>
      <c r="J186" s="15">
        <f t="shared" si="16"/>
        <v>21.186627817319998</v>
      </c>
      <c r="K186" s="17">
        <v>0.53790000000000004</v>
      </c>
      <c r="L186" s="15">
        <f t="shared" si="17"/>
        <v>20.919266999999998</v>
      </c>
      <c r="M186" s="18">
        <f t="shared" si="18"/>
        <v>19.73063424906</v>
      </c>
      <c r="N186" s="30">
        <v>0</v>
      </c>
      <c r="O186" s="20"/>
      <c r="P186" s="19">
        <f t="shared" si="14"/>
        <v>0</v>
      </c>
    </row>
    <row r="187" spans="1:16" ht="15" customHeight="1" x14ac:dyDescent="0.25">
      <c r="A187" s="36" t="s">
        <v>460</v>
      </c>
      <c r="B187" s="36">
        <v>7896714249124</v>
      </c>
      <c r="C187" s="36" t="s">
        <v>292</v>
      </c>
      <c r="D187" s="37" t="s">
        <v>132</v>
      </c>
      <c r="E187" s="14">
        <v>60</v>
      </c>
      <c r="F187" s="33">
        <v>48.2</v>
      </c>
      <c r="G187" s="16">
        <v>0.74870000000000003</v>
      </c>
      <c r="H187" s="16">
        <v>5.6820000000000002E-2</v>
      </c>
      <c r="I187" s="15">
        <f t="shared" si="15"/>
        <v>12.112659999999998</v>
      </c>
      <c r="J187" s="15">
        <f t="shared" si="16"/>
        <v>11.424418658799999</v>
      </c>
      <c r="K187" s="17">
        <v>0.76070000000000004</v>
      </c>
      <c r="L187" s="15">
        <f t="shared" si="17"/>
        <v>11.534259999999996</v>
      </c>
      <c r="M187" s="18">
        <f t="shared" si="18"/>
        <v>10.878883346799997</v>
      </c>
      <c r="N187" s="30">
        <v>0</v>
      </c>
      <c r="O187" s="20"/>
      <c r="P187" s="19">
        <f t="shared" si="14"/>
        <v>0</v>
      </c>
    </row>
    <row r="188" spans="1:16" ht="15" customHeight="1" x14ac:dyDescent="0.25">
      <c r="A188" s="36" t="s">
        <v>460</v>
      </c>
      <c r="B188" s="36">
        <v>7896714249001</v>
      </c>
      <c r="C188" s="36" t="s">
        <v>353</v>
      </c>
      <c r="D188" s="37" t="s">
        <v>133</v>
      </c>
      <c r="E188" s="14">
        <v>60</v>
      </c>
      <c r="F188" s="33">
        <v>54.95</v>
      </c>
      <c r="G188" s="16">
        <v>0.70340000000000003</v>
      </c>
      <c r="H188" s="16">
        <v>5.6820000000000002E-2</v>
      </c>
      <c r="I188" s="15">
        <f t="shared" si="15"/>
        <v>16.298169999999999</v>
      </c>
      <c r="J188" s="15">
        <f t="shared" si="16"/>
        <v>15.372107980599999</v>
      </c>
      <c r="K188" s="17">
        <v>0.71750000000000003</v>
      </c>
      <c r="L188" s="15">
        <f t="shared" si="17"/>
        <v>15.523375000000001</v>
      </c>
      <c r="M188" s="18">
        <f t="shared" si="18"/>
        <v>14.641336832500002</v>
      </c>
      <c r="N188" s="30">
        <v>0</v>
      </c>
      <c r="O188" s="20"/>
      <c r="P188" s="19">
        <f t="shared" si="14"/>
        <v>0</v>
      </c>
    </row>
    <row r="189" spans="1:16" ht="15" customHeight="1" x14ac:dyDescent="0.25">
      <c r="A189" s="36" t="s">
        <v>460</v>
      </c>
      <c r="B189" s="36">
        <v>7896714230290</v>
      </c>
      <c r="C189" s="36" t="s">
        <v>293</v>
      </c>
      <c r="D189" s="37" t="s">
        <v>134</v>
      </c>
      <c r="E189" s="14">
        <v>60</v>
      </c>
      <c r="F189" s="33">
        <v>40.08</v>
      </c>
      <c r="G189" s="16">
        <v>0.82220000000000004</v>
      </c>
      <c r="H189" s="16">
        <v>5.6820000000000002E-2</v>
      </c>
      <c r="I189" s="15">
        <f t="shared" si="15"/>
        <v>7.1262240000000006</v>
      </c>
      <c r="J189" s="15">
        <f t="shared" si="16"/>
        <v>6.7213119523200007</v>
      </c>
      <c r="K189" s="17">
        <v>0.8306</v>
      </c>
      <c r="L189" s="15">
        <f t="shared" si="17"/>
        <v>6.7895520000000005</v>
      </c>
      <c r="M189" s="18">
        <f t="shared" si="18"/>
        <v>6.4037696553600005</v>
      </c>
      <c r="N189" s="30">
        <v>0</v>
      </c>
      <c r="O189" s="20"/>
      <c r="P189" s="19">
        <f t="shared" si="14"/>
        <v>0</v>
      </c>
    </row>
    <row r="190" spans="1:16" ht="15" customHeight="1" x14ac:dyDescent="0.25">
      <c r="A190" s="36" t="s">
        <v>460</v>
      </c>
      <c r="B190" s="36">
        <v>7896714262307</v>
      </c>
      <c r="C190" s="36" t="s">
        <v>294</v>
      </c>
      <c r="D190" s="37" t="s">
        <v>135</v>
      </c>
      <c r="E190" s="14">
        <v>60</v>
      </c>
      <c r="F190" s="33">
        <v>30.59</v>
      </c>
      <c r="G190" s="16">
        <v>0.55530000000000002</v>
      </c>
      <c r="H190" s="16">
        <v>5.6820000000000002E-2</v>
      </c>
      <c r="I190" s="15">
        <f t="shared" si="15"/>
        <v>13.603372999999998</v>
      </c>
      <c r="J190" s="15">
        <f t="shared" si="16"/>
        <v>12.830429346139997</v>
      </c>
      <c r="K190" s="17">
        <v>0.57640000000000002</v>
      </c>
      <c r="L190" s="15">
        <f t="shared" si="17"/>
        <v>12.957923999999998</v>
      </c>
      <c r="M190" s="18">
        <f t="shared" si="18"/>
        <v>12.221654758319998</v>
      </c>
      <c r="N190" s="30">
        <v>0</v>
      </c>
      <c r="O190" s="20"/>
      <c r="P190" s="19">
        <f t="shared" si="14"/>
        <v>0</v>
      </c>
    </row>
    <row r="191" spans="1:16" ht="15" customHeight="1" x14ac:dyDescent="0.25">
      <c r="A191" s="36" t="s">
        <v>460</v>
      </c>
      <c r="B191" s="36">
        <v>7896714270913</v>
      </c>
      <c r="C191" s="36" t="s">
        <v>354</v>
      </c>
      <c r="D191" s="37" t="s">
        <v>136</v>
      </c>
      <c r="E191" s="14">
        <v>30</v>
      </c>
      <c r="F191" s="33">
        <v>111.11</v>
      </c>
      <c r="G191" s="16">
        <v>0.54320000000000002</v>
      </c>
      <c r="H191" s="16">
        <v>5.6820000000000002E-2</v>
      </c>
      <c r="I191" s="15">
        <f t="shared" si="15"/>
        <v>50.755047999999995</v>
      </c>
      <c r="J191" s="15">
        <f t="shared" si="16"/>
        <v>47.871146172639996</v>
      </c>
      <c r="K191" s="17">
        <v>0.56499999999999995</v>
      </c>
      <c r="L191" s="15">
        <f t="shared" si="17"/>
        <v>48.332850000000008</v>
      </c>
      <c r="M191" s="18">
        <f t="shared" si="18"/>
        <v>45.586577463000005</v>
      </c>
      <c r="N191" s="30">
        <v>0</v>
      </c>
      <c r="O191" s="20"/>
      <c r="P191" s="19">
        <f t="shared" si="14"/>
        <v>0</v>
      </c>
    </row>
    <row r="192" spans="1:16" ht="15" customHeight="1" x14ac:dyDescent="0.25">
      <c r="A192" s="36" t="s">
        <v>460</v>
      </c>
      <c r="B192" s="36">
        <v>7896714237497</v>
      </c>
      <c r="C192" s="36" t="s">
        <v>355</v>
      </c>
      <c r="D192" s="37" t="s">
        <v>137</v>
      </c>
      <c r="E192" s="14">
        <v>30</v>
      </c>
      <c r="F192" s="33">
        <v>171.66</v>
      </c>
      <c r="G192" s="16">
        <v>0.60909999999999997</v>
      </c>
      <c r="H192" s="16">
        <v>5.6820000000000002E-2</v>
      </c>
      <c r="I192" s="15">
        <f t="shared" si="15"/>
        <v>67.101894000000001</v>
      </c>
      <c r="J192" s="15">
        <f t="shared" si="16"/>
        <v>63.289164382919999</v>
      </c>
      <c r="K192" s="17">
        <v>0.62780000000000002</v>
      </c>
      <c r="L192" s="15">
        <f t="shared" si="17"/>
        <v>63.891852</v>
      </c>
      <c r="M192" s="18">
        <f t="shared" si="18"/>
        <v>60.261516969360002</v>
      </c>
      <c r="N192" s="30">
        <v>0</v>
      </c>
      <c r="O192" s="20"/>
      <c r="P192" s="19">
        <f t="shared" si="14"/>
        <v>0</v>
      </c>
    </row>
    <row r="193" spans="1:16" ht="15" customHeight="1" x14ac:dyDescent="0.25">
      <c r="A193" s="36" t="s">
        <v>460</v>
      </c>
      <c r="B193" s="36">
        <v>7896714237510</v>
      </c>
      <c r="C193" s="36" t="s">
        <v>356</v>
      </c>
      <c r="D193" s="37" t="s">
        <v>138</v>
      </c>
      <c r="E193" s="14">
        <v>12</v>
      </c>
      <c r="F193" s="33">
        <v>371.49</v>
      </c>
      <c r="G193" s="16">
        <v>0.62970000000000004</v>
      </c>
      <c r="H193" s="16">
        <v>5.6820000000000002E-2</v>
      </c>
      <c r="I193" s="15">
        <f t="shared" si="15"/>
        <v>137.562747</v>
      </c>
      <c r="J193" s="15">
        <f t="shared" si="16"/>
        <v>129.74643171546001</v>
      </c>
      <c r="K193" s="17">
        <v>0.64729999999999999</v>
      </c>
      <c r="L193" s="15">
        <f t="shared" si="17"/>
        <v>131.02452300000002</v>
      </c>
      <c r="M193" s="18">
        <f t="shared" si="18"/>
        <v>123.57970960314002</v>
      </c>
      <c r="N193" s="30">
        <v>0</v>
      </c>
      <c r="O193" s="20"/>
      <c r="P193" s="19">
        <f t="shared" si="14"/>
        <v>0</v>
      </c>
    </row>
    <row r="194" spans="1:16" ht="15" customHeight="1" x14ac:dyDescent="0.25">
      <c r="A194" s="36" t="s">
        <v>460</v>
      </c>
      <c r="B194" s="36">
        <v>7896714248714</v>
      </c>
      <c r="C194" s="36" t="s">
        <v>261</v>
      </c>
      <c r="D194" s="37" t="s">
        <v>385</v>
      </c>
      <c r="E194" s="14">
        <v>60</v>
      </c>
      <c r="F194" s="33">
        <v>68.59</v>
      </c>
      <c r="G194" s="16">
        <v>0.86580000000000001</v>
      </c>
      <c r="H194" s="16">
        <v>5.6820000000000002E-2</v>
      </c>
      <c r="I194" s="15">
        <f t="shared" si="15"/>
        <v>9.2047779999999975</v>
      </c>
      <c r="J194" s="15">
        <f t="shared" si="16"/>
        <v>8.6817625140399972</v>
      </c>
      <c r="K194" s="17">
        <v>0.87209999999999999</v>
      </c>
      <c r="L194" s="15">
        <f t="shared" si="17"/>
        <v>8.7726609999999994</v>
      </c>
      <c r="M194" s="18">
        <f t="shared" si="18"/>
        <v>8.2741984019799997</v>
      </c>
      <c r="N194" s="30">
        <v>0</v>
      </c>
      <c r="O194" s="20"/>
      <c r="P194" s="19">
        <f t="shared" si="14"/>
        <v>0</v>
      </c>
    </row>
    <row r="195" spans="1:16" ht="15" customHeight="1" x14ac:dyDescent="0.25">
      <c r="A195" s="36" t="s">
        <v>460</v>
      </c>
      <c r="B195" s="36">
        <v>7896714248837</v>
      </c>
      <c r="C195" s="36" t="s">
        <v>352</v>
      </c>
      <c r="D195" s="37" t="s">
        <v>386</v>
      </c>
      <c r="E195" s="14">
        <v>60</v>
      </c>
      <c r="F195" s="33">
        <v>133.38999999999999</v>
      </c>
      <c r="G195" s="16">
        <v>0.93159999999999998</v>
      </c>
      <c r="H195" s="16">
        <v>5.6820000000000002E-2</v>
      </c>
      <c r="I195" s="15">
        <f t="shared" si="15"/>
        <v>9.1238759999999957</v>
      </c>
      <c r="J195" s="15">
        <f t="shared" si="16"/>
        <v>8.605457365679996</v>
      </c>
      <c r="K195" s="17">
        <v>0.93489999999999995</v>
      </c>
      <c r="L195" s="15">
        <f t="shared" si="17"/>
        <v>8.6836890000000011</v>
      </c>
      <c r="M195" s="18">
        <f t="shared" si="18"/>
        <v>8.1902817910200003</v>
      </c>
      <c r="N195" s="30">
        <v>0</v>
      </c>
      <c r="O195" s="20"/>
      <c r="P195" s="19">
        <f t="shared" si="14"/>
        <v>0</v>
      </c>
    </row>
    <row r="196" spans="1:16" ht="15" customHeight="1" x14ac:dyDescent="0.25">
      <c r="A196" s="36" t="s">
        <v>460</v>
      </c>
      <c r="B196" s="36">
        <v>7896714290478</v>
      </c>
      <c r="C196" s="36" t="s">
        <v>451</v>
      </c>
      <c r="D196" s="37" t="s">
        <v>462</v>
      </c>
      <c r="E196" s="14">
        <v>24</v>
      </c>
      <c r="F196" s="33">
        <v>26.64</v>
      </c>
      <c r="G196" s="16">
        <v>0.83279999999999998</v>
      </c>
      <c r="H196" s="16">
        <v>5.6820000000000002E-2</v>
      </c>
      <c r="I196" s="15">
        <f t="shared" si="15"/>
        <v>4.4542080000000013</v>
      </c>
      <c r="J196" s="15">
        <f t="shared" si="16"/>
        <v>4.2011199014400011</v>
      </c>
      <c r="K196" s="17">
        <v>0.84099999999999997</v>
      </c>
      <c r="L196" s="15">
        <f t="shared" si="17"/>
        <v>4.2357600000000026</v>
      </c>
      <c r="M196" s="18">
        <f t="shared" si="18"/>
        <v>3.9950841168000024</v>
      </c>
      <c r="N196" s="30">
        <v>0</v>
      </c>
      <c r="O196" s="20"/>
      <c r="P196" s="19">
        <f t="shared" si="14"/>
        <v>0</v>
      </c>
    </row>
    <row r="197" spans="1:16" ht="15" customHeight="1" x14ac:dyDescent="0.25">
      <c r="A197" s="36" t="s">
        <v>460</v>
      </c>
      <c r="B197" s="36">
        <v>7896714290492</v>
      </c>
      <c r="C197" s="36" t="s">
        <v>452</v>
      </c>
      <c r="D197" s="37" t="s">
        <v>463</v>
      </c>
      <c r="E197" s="14">
        <v>24</v>
      </c>
      <c r="F197" s="33">
        <v>35.53</v>
      </c>
      <c r="G197" s="16">
        <v>0.78320000000000001</v>
      </c>
      <c r="H197" s="16">
        <v>5.6820000000000002E-2</v>
      </c>
      <c r="I197" s="15">
        <f t="shared" si="15"/>
        <v>7.7029040000000002</v>
      </c>
      <c r="J197" s="15">
        <f t="shared" si="16"/>
        <v>7.2652249947200005</v>
      </c>
      <c r="K197" s="17">
        <v>0.79330000000000001</v>
      </c>
      <c r="L197" s="15">
        <f t="shared" si="17"/>
        <v>7.3440510000000003</v>
      </c>
      <c r="M197" s="18">
        <f t="shared" si="18"/>
        <v>6.9267620221800001</v>
      </c>
      <c r="N197" s="30">
        <v>0</v>
      </c>
      <c r="O197" s="20"/>
      <c r="P197" s="19">
        <f t="shared" si="14"/>
        <v>0</v>
      </c>
    </row>
    <row r="198" spans="1:16" ht="15" customHeight="1" x14ac:dyDescent="0.25">
      <c r="A198" s="36" t="s">
        <v>460</v>
      </c>
      <c r="B198" s="36">
        <v>7896714294377</v>
      </c>
      <c r="C198" s="36" t="s">
        <v>647</v>
      </c>
      <c r="D198" s="37" t="s">
        <v>648</v>
      </c>
      <c r="E198" s="14">
        <v>60</v>
      </c>
      <c r="F198" s="33">
        <v>20.079999999999998</v>
      </c>
      <c r="G198" s="16">
        <v>0.81669999999999998</v>
      </c>
      <c r="H198" s="16">
        <v>5.6820000000000002E-2</v>
      </c>
      <c r="I198" s="15">
        <f t="shared" si="15"/>
        <v>3.6806640000000002</v>
      </c>
      <c r="J198" s="15">
        <f t="shared" si="16"/>
        <v>3.4715286715200002</v>
      </c>
      <c r="K198" s="17">
        <v>0.82550000000000001</v>
      </c>
      <c r="L198" s="15">
        <f t="shared" si="17"/>
        <v>3.5039599999999993</v>
      </c>
      <c r="M198" s="18">
        <f t="shared" si="18"/>
        <v>3.3048649927999993</v>
      </c>
      <c r="N198" s="30">
        <v>0</v>
      </c>
      <c r="O198" s="20"/>
      <c r="P198" s="19">
        <f t="shared" ref="P198:P261" si="19">M198*O198</f>
        <v>0</v>
      </c>
    </row>
    <row r="199" spans="1:16" ht="15" customHeight="1" x14ac:dyDescent="0.25">
      <c r="A199" s="36" t="s">
        <v>460</v>
      </c>
      <c r="B199" s="36">
        <v>7896714294384</v>
      </c>
      <c r="C199" s="36" t="s">
        <v>649</v>
      </c>
      <c r="D199" s="37" t="s">
        <v>650</v>
      </c>
      <c r="E199" s="14">
        <v>12</v>
      </c>
      <c r="F199" s="33">
        <v>200.93</v>
      </c>
      <c r="G199" s="16">
        <v>0.65629999999999999</v>
      </c>
      <c r="H199" s="16">
        <v>5.6820000000000002E-2</v>
      </c>
      <c r="I199" s="15">
        <f t="shared" si="15"/>
        <v>69.059640999999999</v>
      </c>
      <c r="J199" s="15">
        <f t="shared" si="16"/>
        <v>65.135672198379993</v>
      </c>
      <c r="K199" s="17">
        <v>0.67269999999999996</v>
      </c>
      <c r="L199" s="15">
        <f t="shared" si="17"/>
        <v>65.764389000000023</v>
      </c>
      <c r="M199" s="18">
        <f t="shared" si="18"/>
        <v>62.027656417020019</v>
      </c>
      <c r="N199" s="30">
        <v>0</v>
      </c>
      <c r="O199" s="20"/>
      <c r="P199" s="19">
        <f t="shared" si="19"/>
        <v>0</v>
      </c>
    </row>
    <row r="200" spans="1:16" ht="15" customHeight="1" x14ac:dyDescent="0.25">
      <c r="A200" s="36" t="s">
        <v>460</v>
      </c>
      <c r="B200" s="36">
        <v>7896714290362</v>
      </c>
      <c r="C200" s="36" t="s">
        <v>437</v>
      </c>
      <c r="D200" s="37" t="s">
        <v>442</v>
      </c>
      <c r="E200" s="14">
        <v>200</v>
      </c>
      <c r="F200" s="33">
        <v>37.840000000000003</v>
      </c>
      <c r="G200" s="16">
        <v>0.72299999999999998</v>
      </c>
      <c r="H200" s="16">
        <v>0.13542000000000001</v>
      </c>
      <c r="I200" s="15">
        <f t="shared" ref="I200:I263" si="20">F200-(F200*G200)</f>
        <v>10.481680000000001</v>
      </c>
      <c r="J200" s="15">
        <f t="shared" ref="J200:J263" si="21">I200-(I200*H200)</f>
        <v>9.0622508944</v>
      </c>
      <c r="K200" s="17">
        <v>0.73609999999999998</v>
      </c>
      <c r="L200" s="15">
        <f t="shared" ref="L200:L263" si="22">F200-(F200*K200)</f>
        <v>9.9859760000000009</v>
      </c>
      <c r="M200" s="18">
        <f t="shared" ref="M200:M263" si="23">L200-(L200*H200)</f>
        <v>8.6336751300800003</v>
      </c>
      <c r="N200" s="30">
        <v>0</v>
      </c>
      <c r="O200" s="20"/>
      <c r="P200" s="19">
        <f t="shared" si="19"/>
        <v>0</v>
      </c>
    </row>
    <row r="201" spans="1:16" ht="15" customHeight="1" x14ac:dyDescent="0.25">
      <c r="A201" s="36" t="s">
        <v>460</v>
      </c>
      <c r="B201" s="36">
        <v>7896714215013</v>
      </c>
      <c r="C201" s="36" t="s">
        <v>295</v>
      </c>
      <c r="D201" s="37" t="s">
        <v>139</v>
      </c>
      <c r="E201" s="14">
        <v>60</v>
      </c>
      <c r="F201" s="33">
        <v>17.61</v>
      </c>
      <c r="G201" s="16">
        <v>0.81859999999999999</v>
      </c>
      <c r="H201" s="16">
        <v>5.6820000000000002E-2</v>
      </c>
      <c r="I201" s="15">
        <f t="shared" si="20"/>
        <v>3.1944540000000003</v>
      </c>
      <c r="J201" s="15">
        <f t="shared" si="21"/>
        <v>3.0129451237200002</v>
      </c>
      <c r="K201" s="17">
        <v>0.82730000000000004</v>
      </c>
      <c r="L201" s="15">
        <f t="shared" si="22"/>
        <v>3.0412469999999985</v>
      </c>
      <c r="M201" s="18">
        <f t="shared" si="23"/>
        <v>2.8684433454599985</v>
      </c>
      <c r="N201" s="30">
        <v>0</v>
      </c>
      <c r="O201" s="20"/>
      <c r="P201" s="19">
        <f t="shared" si="19"/>
        <v>0</v>
      </c>
    </row>
    <row r="202" spans="1:16" ht="15" customHeight="1" x14ac:dyDescent="0.25">
      <c r="A202" s="36" t="s">
        <v>460</v>
      </c>
      <c r="B202" s="36">
        <v>7896714209456</v>
      </c>
      <c r="C202" s="36" t="s">
        <v>296</v>
      </c>
      <c r="D202" s="37" t="s">
        <v>140</v>
      </c>
      <c r="E202" s="14">
        <v>60</v>
      </c>
      <c r="F202" s="33">
        <v>14</v>
      </c>
      <c r="G202" s="16">
        <v>0.64200000000000002</v>
      </c>
      <c r="H202" s="16">
        <v>5.6820000000000002E-2</v>
      </c>
      <c r="I202" s="15">
        <f t="shared" si="20"/>
        <v>5.0120000000000005</v>
      </c>
      <c r="J202" s="15">
        <f t="shared" si="21"/>
        <v>4.7272181600000005</v>
      </c>
      <c r="K202" s="17">
        <v>0.65910000000000002</v>
      </c>
      <c r="L202" s="15">
        <f t="shared" si="22"/>
        <v>4.7726000000000006</v>
      </c>
      <c r="M202" s="18">
        <f t="shared" si="23"/>
        <v>4.5014208680000003</v>
      </c>
      <c r="N202" s="30">
        <v>0</v>
      </c>
      <c r="O202" s="20"/>
      <c r="P202" s="19">
        <f t="shared" si="19"/>
        <v>0</v>
      </c>
    </row>
    <row r="203" spans="1:16" ht="15" customHeight="1" x14ac:dyDescent="0.25">
      <c r="A203" s="36" t="s">
        <v>460</v>
      </c>
      <c r="B203" s="36">
        <v>7896714295381</v>
      </c>
      <c r="C203" s="36" t="s">
        <v>581</v>
      </c>
      <c r="D203" s="37" t="s">
        <v>588</v>
      </c>
      <c r="E203" s="14">
        <v>60</v>
      </c>
      <c r="F203" s="33">
        <v>17.84</v>
      </c>
      <c r="G203" s="16">
        <v>0.70989999999999998</v>
      </c>
      <c r="H203" s="16">
        <v>5.6820000000000002E-2</v>
      </c>
      <c r="I203" s="15">
        <f t="shared" si="20"/>
        <v>5.1753840000000011</v>
      </c>
      <c r="J203" s="15">
        <f t="shared" si="21"/>
        <v>4.8813186811200007</v>
      </c>
      <c r="K203" s="17">
        <v>0.72419999999999995</v>
      </c>
      <c r="L203" s="15">
        <f t="shared" si="22"/>
        <v>4.9202720000000006</v>
      </c>
      <c r="M203" s="18">
        <f t="shared" si="23"/>
        <v>4.6407021449600006</v>
      </c>
      <c r="N203" s="30">
        <v>0</v>
      </c>
      <c r="O203" s="20"/>
      <c r="P203" s="19">
        <f t="shared" si="19"/>
        <v>0</v>
      </c>
    </row>
    <row r="204" spans="1:16" ht="15" customHeight="1" x14ac:dyDescent="0.25">
      <c r="A204" s="36" t="s">
        <v>460</v>
      </c>
      <c r="B204" s="36">
        <v>7896714295398</v>
      </c>
      <c r="C204" s="36" t="s">
        <v>582</v>
      </c>
      <c r="D204" s="37" t="s">
        <v>589</v>
      </c>
      <c r="E204" s="14">
        <v>60</v>
      </c>
      <c r="F204" s="33">
        <v>32.81</v>
      </c>
      <c r="G204" s="16">
        <v>0.51719999999999999</v>
      </c>
      <c r="H204" s="16">
        <v>5.6820000000000002E-2</v>
      </c>
      <c r="I204" s="15">
        <f t="shared" si="20"/>
        <v>15.840668000000001</v>
      </c>
      <c r="J204" s="15">
        <f t="shared" si="21"/>
        <v>14.940601244240002</v>
      </c>
      <c r="K204" s="17">
        <v>0.5403</v>
      </c>
      <c r="L204" s="15">
        <f t="shared" si="22"/>
        <v>15.082757000000001</v>
      </c>
      <c r="M204" s="18">
        <f t="shared" si="23"/>
        <v>14.225754747260002</v>
      </c>
      <c r="N204" s="30">
        <v>0</v>
      </c>
      <c r="O204" s="20"/>
      <c r="P204" s="19">
        <f t="shared" si="19"/>
        <v>0</v>
      </c>
    </row>
    <row r="205" spans="1:16" ht="15" customHeight="1" x14ac:dyDescent="0.25">
      <c r="A205" s="36" t="s">
        <v>460</v>
      </c>
      <c r="B205" s="36">
        <v>7896714295411</v>
      </c>
      <c r="C205" s="36" t="s">
        <v>583</v>
      </c>
      <c r="D205" s="37" t="s">
        <v>590</v>
      </c>
      <c r="E205" s="14">
        <v>60</v>
      </c>
      <c r="F205" s="33">
        <v>40.92</v>
      </c>
      <c r="G205" s="16">
        <v>0.69040000000000001</v>
      </c>
      <c r="H205" s="16">
        <v>5.6820000000000002E-2</v>
      </c>
      <c r="I205" s="15">
        <f t="shared" si="20"/>
        <v>12.668831999999998</v>
      </c>
      <c r="J205" s="15">
        <f t="shared" si="21"/>
        <v>11.948988965759998</v>
      </c>
      <c r="K205" s="17">
        <v>0.70509999999999995</v>
      </c>
      <c r="L205" s="15">
        <f t="shared" si="22"/>
        <v>12.067308000000004</v>
      </c>
      <c r="M205" s="18">
        <f t="shared" si="23"/>
        <v>11.381643559440004</v>
      </c>
      <c r="N205" s="30">
        <v>0</v>
      </c>
      <c r="O205" s="20"/>
      <c r="P205" s="19">
        <f t="shared" si="19"/>
        <v>0</v>
      </c>
    </row>
    <row r="206" spans="1:16" x14ac:dyDescent="0.25">
      <c r="A206" s="36" t="s">
        <v>460</v>
      </c>
      <c r="B206" s="36">
        <v>7896714295404</v>
      </c>
      <c r="C206" s="36" t="s">
        <v>584</v>
      </c>
      <c r="D206" s="37" t="s">
        <v>591</v>
      </c>
      <c r="E206" s="14">
        <v>60</v>
      </c>
      <c r="F206" s="33">
        <v>31.16</v>
      </c>
      <c r="G206" s="16">
        <v>0.69279999999999997</v>
      </c>
      <c r="H206" s="16">
        <v>5.6820000000000002E-2</v>
      </c>
      <c r="I206" s="15">
        <f t="shared" si="20"/>
        <v>9.5723520000000022</v>
      </c>
      <c r="J206" s="15">
        <f t="shared" si="21"/>
        <v>9.0284509593600024</v>
      </c>
      <c r="K206" s="17">
        <v>0.70730000000000004</v>
      </c>
      <c r="L206" s="15">
        <f t="shared" si="22"/>
        <v>9.1205319999999972</v>
      </c>
      <c r="M206" s="18">
        <f t="shared" si="23"/>
        <v>8.6023033717599979</v>
      </c>
      <c r="N206" s="30">
        <v>0</v>
      </c>
      <c r="O206" s="20"/>
      <c r="P206" s="19">
        <f t="shared" si="19"/>
        <v>0</v>
      </c>
    </row>
    <row r="207" spans="1:16" ht="15" customHeight="1" x14ac:dyDescent="0.25">
      <c r="A207" s="36" t="s">
        <v>460</v>
      </c>
      <c r="B207" s="36">
        <v>7896714295367</v>
      </c>
      <c r="C207" s="36" t="s">
        <v>585</v>
      </c>
      <c r="D207" s="37" t="s">
        <v>592</v>
      </c>
      <c r="E207" s="14">
        <v>60</v>
      </c>
      <c r="F207" s="33">
        <v>6.11</v>
      </c>
      <c r="G207" s="16">
        <v>0.54969999999999997</v>
      </c>
      <c r="H207" s="16">
        <v>5.6820000000000002E-2</v>
      </c>
      <c r="I207" s="15">
        <f t="shared" si="20"/>
        <v>2.7513330000000003</v>
      </c>
      <c r="J207" s="15">
        <f t="shared" si="21"/>
        <v>2.5950022589400001</v>
      </c>
      <c r="K207" s="17">
        <v>0.57089999999999996</v>
      </c>
      <c r="L207" s="15">
        <f t="shared" si="22"/>
        <v>2.6218010000000005</v>
      </c>
      <c r="M207" s="18">
        <f t="shared" si="23"/>
        <v>2.4728302671800004</v>
      </c>
      <c r="N207" s="30">
        <v>0</v>
      </c>
      <c r="O207" s="20"/>
      <c r="P207" s="19">
        <f t="shared" si="19"/>
        <v>0</v>
      </c>
    </row>
    <row r="208" spans="1:16" ht="15" customHeight="1" x14ac:dyDescent="0.25">
      <c r="A208" s="36" t="s">
        <v>460</v>
      </c>
      <c r="B208" s="36">
        <v>7896714295374</v>
      </c>
      <c r="C208" s="36" t="s">
        <v>586</v>
      </c>
      <c r="D208" s="37" t="s">
        <v>593</v>
      </c>
      <c r="E208" s="14">
        <v>60</v>
      </c>
      <c r="F208" s="33">
        <v>12.29</v>
      </c>
      <c r="G208" s="16">
        <v>0.63039999999999996</v>
      </c>
      <c r="H208" s="16">
        <v>5.6820000000000002E-2</v>
      </c>
      <c r="I208" s="15">
        <f t="shared" si="20"/>
        <v>4.5423840000000002</v>
      </c>
      <c r="J208" s="15">
        <f t="shared" si="21"/>
        <v>4.2842857411199997</v>
      </c>
      <c r="K208" s="17">
        <v>0.64790000000000003</v>
      </c>
      <c r="L208" s="15">
        <f t="shared" si="22"/>
        <v>4.3273089999999996</v>
      </c>
      <c r="M208" s="18">
        <f t="shared" si="23"/>
        <v>4.0814313026199995</v>
      </c>
      <c r="N208" s="30">
        <v>0</v>
      </c>
      <c r="O208" s="20"/>
      <c r="P208" s="19">
        <f t="shared" si="19"/>
        <v>0</v>
      </c>
    </row>
    <row r="209" spans="1:16" ht="15" customHeight="1" x14ac:dyDescent="0.25">
      <c r="A209" s="36" t="s">
        <v>460</v>
      </c>
      <c r="B209" s="36">
        <v>7896714212104</v>
      </c>
      <c r="C209" s="36" t="s">
        <v>324</v>
      </c>
      <c r="D209" s="37" t="s">
        <v>141</v>
      </c>
      <c r="E209" s="14">
        <v>60</v>
      </c>
      <c r="F209" s="33">
        <v>20.82</v>
      </c>
      <c r="G209" s="16">
        <v>0.81010000000000004</v>
      </c>
      <c r="H209" s="16">
        <v>5.6820000000000002E-2</v>
      </c>
      <c r="I209" s="15">
        <f t="shared" si="20"/>
        <v>3.9537179999999985</v>
      </c>
      <c r="J209" s="15">
        <f t="shared" si="21"/>
        <v>3.7290677432399986</v>
      </c>
      <c r="K209" s="17">
        <v>0.81920000000000004</v>
      </c>
      <c r="L209" s="15">
        <f t="shared" si="22"/>
        <v>3.7642559999999996</v>
      </c>
      <c r="M209" s="18">
        <f t="shared" si="23"/>
        <v>3.5503709740799998</v>
      </c>
      <c r="N209" s="30">
        <v>0</v>
      </c>
      <c r="O209" s="20"/>
      <c r="P209" s="19">
        <f t="shared" si="19"/>
        <v>0</v>
      </c>
    </row>
    <row r="210" spans="1:16" ht="15" customHeight="1" x14ac:dyDescent="0.25">
      <c r="A210" s="36" t="s">
        <v>460</v>
      </c>
      <c r="B210" s="36">
        <v>7896714212098</v>
      </c>
      <c r="C210" s="36" t="s">
        <v>325</v>
      </c>
      <c r="D210" s="37" t="s">
        <v>142</v>
      </c>
      <c r="E210" s="14">
        <v>60</v>
      </c>
      <c r="F210" s="33">
        <v>39.53</v>
      </c>
      <c r="G210" s="16">
        <v>0.76680000000000004</v>
      </c>
      <c r="H210" s="16">
        <v>5.6820000000000002E-2</v>
      </c>
      <c r="I210" s="15">
        <f t="shared" si="20"/>
        <v>9.2183959999999985</v>
      </c>
      <c r="J210" s="15">
        <f t="shared" si="21"/>
        <v>8.6946067392799993</v>
      </c>
      <c r="K210" s="17">
        <v>0.77790000000000004</v>
      </c>
      <c r="L210" s="15">
        <f t="shared" si="22"/>
        <v>8.7796129999999977</v>
      </c>
      <c r="M210" s="18">
        <f t="shared" si="23"/>
        <v>8.2807553893399977</v>
      </c>
      <c r="N210" s="30">
        <v>0</v>
      </c>
      <c r="O210" s="20"/>
      <c r="P210" s="19">
        <f t="shared" si="19"/>
        <v>0</v>
      </c>
    </row>
    <row r="211" spans="1:16" ht="15" customHeight="1" x14ac:dyDescent="0.25">
      <c r="A211" s="36" t="s">
        <v>460</v>
      </c>
      <c r="B211" s="36">
        <v>7896714212081</v>
      </c>
      <c r="C211" s="36" t="s">
        <v>326</v>
      </c>
      <c r="D211" s="37" t="s">
        <v>143</v>
      </c>
      <c r="E211" s="14">
        <v>60</v>
      </c>
      <c r="F211" s="33">
        <v>14.25</v>
      </c>
      <c r="G211" s="16">
        <v>0.73240000000000005</v>
      </c>
      <c r="H211" s="16">
        <v>5.6820000000000002E-2</v>
      </c>
      <c r="I211" s="15">
        <f t="shared" si="20"/>
        <v>3.8132999999999999</v>
      </c>
      <c r="J211" s="15">
        <f t="shared" si="21"/>
        <v>3.5966282939999998</v>
      </c>
      <c r="K211" s="17">
        <v>0.74509999999999998</v>
      </c>
      <c r="L211" s="15">
        <f t="shared" si="22"/>
        <v>3.6323249999999998</v>
      </c>
      <c r="M211" s="18">
        <f t="shared" si="23"/>
        <v>3.4259362935</v>
      </c>
      <c r="N211" s="30">
        <v>0</v>
      </c>
      <c r="O211" s="20"/>
      <c r="P211" s="19">
        <f t="shared" si="19"/>
        <v>0</v>
      </c>
    </row>
    <row r="212" spans="1:16" ht="15" customHeight="1" x14ac:dyDescent="0.25">
      <c r="A212" s="36" t="s">
        <v>460</v>
      </c>
      <c r="B212" s="36">
        <v>7896714274775</v>
      </c>
      <c r="C212" s="36" t="s">
        <v>387</v>
      </c>
      <c r="D212" s="37" t="s">
        <v>388</v>
      </c>
      <c r="E212" s="14">
        <v>60</v>
      </c>
      <c r="F212" s="33">
        <v>111.76</v>
      </c>
      <c r="G212" s="16">
        <v>0.83750000000000002</v>
      </c>
      <c r="H212" s="16">
        <v>5.6820000000000002E-2</v>
      </c>
      <c r="I212" s="15">
        <f t="shared" si="20"/>
        <v>18.161000000000001</v>
      </c>
      <c r="J212" s="15">
        <f t="shared" si="21"/>
        <v>17.129091980000002</v>
      </c>
      <c r="K212" s="17">
        <v>0.84870000000000001</v>
      </c>
      <c r="L212" s="15">
        <f t="shared" si="22"/>
        <v>16.909288000000004</v>
      </c>
      <c r="M212" s="18">
        <f t="shared" si="23"/>
        <v>15.948502255840003</v>
      </c>
      <c r="N212" s="30">
        <v>0</v>
      </c>
      <c r="O212" s="20"/>
      <c r="P212" s="19">
        <f t="shared" si="19"/>
        <v>0</v>
      </c>
    </row>
    <row r="213" spans="1:16" ht="15" customHeight="1" x14ac:dyDescent="0.25">
      <c r="A213" s="36" t="s">
        <v>460</v>
      </c>
      <c r="B213" s="36">
        <v>7896714296142</v>
      </c>
      <c r="C213" s="36" t="s">
        <v>795</v>
      </c>
      <c r="D213" s="37" t="s">
        <v>799</v>
      </c>
      <c r="E213" s="14">
        <v>108</v>
      </c>
      <c r="F213" s="33">
        <v>84.92</v>
      </c>
      <c r="G213" s="16">
        <v>0.85329999999999995</v>
      </c>
      <c r="H213" s="16">
        <v>0.13542000000000001</v>
      </c>
      <c r="I213" s="15">
        <f t="shared" si="20"/>
        <v>12.457764000000012</v>
      </c>
      <c r="J213" s="15">
        <f t="shared" si="21"/>
        <v>10.77073359912001</v>
      </c>
      <c r="K213" s="17">
        <v>0.86019999999999996</v>
      </c>
      <c r="L213" s="15">
        <f t="shared" si="22"/>
        <v>11.87181600000001</v>
      </c>
      <c r="M213" s="18">
        <f t="shared" si="23"/>
        <v>10.264134677280008</v>
      </c>
      <c r="N213" s="30">
        <v>0</v>
      </c>
      <c r="O213" s="20"/>
      <c r="P213" s="19">
        <f t="shared" si="19"/>
        <v>0</v>
      </c>
    </row>
    <row r="214" spans="1:16" ht="15" customHeight="1" x14ac:dyDescent="0.25">
      <c r="A214" s="36" t="s">
        <v>460</v>
      </c>
      <c r="B214" s="36">
        <v>7896714209852</v>
      </c>
      <c r="C214" s="36" t="s">
        <v>297</v>
      </c>
      <c r="D214" s="37" t="s">
        <v>144</v>
      </c>
      <c r="E214" s="14">
        <v>100</v>
      </c>
      <c r="F214" s="33">
        <v>20.52</v>
      </c>
      <c r="G214" s="16">
        <v>0.73260000000000003</v>
      </c>
      <c r="H214" s="16">
        <v>5.6820000000000002E-2</v>
      </c>
      <c r="I214" s="15">
        <f t="shared" si="20"/>
        <v>5.4870479999999997</v>
      </c>
      <c r="J214" s="15">
        <f t="shared" si="21"/>
        <v>5.1752739326399997</v>
      </c>
      <c r="K214" s="17">
        <v>0.74539999999999995</v>
      </c>
      <c r="L214" s="15">
        <f t="shared" si="22"/>
        <v>5.2243920000000017</v>
      </c>
      <c r="M214" s="18">
        <f t="shared" si="23"/>
        <v>4.9275420465600019</v>
      </c>
      <c r="N214" s="30">
        <v>0</v>
      </c>
      <c r="O214" s="20"/>
      <c r="P214" s="19">
        <f t="shared" si="19"/>
        <v>0</v>
      </c>
    </row>
    <row r="215" spans="1:16" ht="15" customHeight="1" x14ac:dyDescent="0.25">
      <c r="A215" s="36" t="s">
        <v>460</v>
      </c>
      <c r="B215" s="36">
        <v>7896714207018</v>
      </c>
      <c r="C215" s="36" t="s">
        <v>298</v>
      </c>
      <c r="D215" s="37" t="s">
        <v>145</v>
      </c>
      <c r="E215" s="14">
        <v>100</v>
      </c>
      <c r="F215" s="33">
        <v>20.81</v>
      </c>
      <c r="G215" s="16">
        <v>0.71150000000000002</v>
      </c>
      <c r="H215" s="16">
        <v>5.6820000000000002E-2</v>
      </c>
      <c r="I215" s="15">
        <f t="shared" si="20"/>
        <v>6.0036849999999991</v>
      </c>
      <c r="J215" s="15">
        <f t="shared" si="21"/>
        <v>5.662555618299999</v>
      </c>
      <c r="K215" s="17">
        <v>0.72529999999999994</v>
      </c>
      <c r="L215" s="15">
        <f t="shared" si="22"/>
        <v>5.716507</v>
      </c>
      <c r="M215" s="18">
        <f t="shared" si="23"/>
        <v>5.3916950722600001</v>
      </c>
      <c r="N215" s="30">
        <v>0</v>
      </c>
      <c r="O215" s="20"/>
      <c r="P215" s="19">
        <f t="shared" si="19"/>
        <v>0</v>
      </c>
    </row>
    <row r="216" spans="1:16" ht="15" customHeight="1" x14ac:dyDescent="0.25">
      <c r="A216" s="36" t="s">
        <v>460</v>
      </c>
      <c r="B216" s="36">
        <v>7896714290805</v>
      </c>
      <c r="C216" s="36" t="s">
        <v>406</v>
      </c>
      <c r="D216" s="37" t="s">
        <v>412</v>
      </c>
      <c r="E216" s="14">
        <v>60</v>
      </c>
      <c r="F216" s="33">
        <v>163.06</v>
      </c>
      <c r="G216" s="16">
        <v>0.95720000000000005</v>
      </c>
      <c r="H216" s="16">
        <v>5.6820000000000002E-2</v>
      </c>
      <c r="I216" s="15">
        <f t="shared" si="20"/>
        <v>6.9789679999999805</v>
      </c>
      <c r="J216" s="15">
        <f t="shared" si="21"/>
        <v>6.5824230382399813</v>
      </c>
      <c r="K216" s="17">
        <v>0.9597</v>
      </c>
      <c r="L216" s="15">
        <f t="shared" si="22"/>
        <v>6.5713179999999909</v>
      </c>
      <c r="M216" s="18">
        <f t="shared" si="23"/>
        <v>6.1979357112399915</v>
      </c>
      <c r="N216" s="30">
        <v>0</v>
      </c>
      <c r="O216" s="20"/>
      <c r="P216" s="19">
        <f t="shared" si="19"/>
        <v>0</v>
      </c>
    </row>
    <row r="217" spans="1:16" ht="15" customHeight="1" x14ac:dyDescent="0.25">
      <c r="A217" s="36" t="s">
        <v>460</v>
      </c>
      <c r="B217" s="36">
        <v>7896714290812</v>
      </c>
      <c r="C217" s="36" t="s">
        <v>407</v>
      </c>
      <c r="D217" s="37" t="s">
        <v>413</v>
      </c>
      <c r="E217" s="14">
        <v>60</v>
      </c>
      <c r="F217" s="33">
        <v>81.52</v>
      </c>
      <c r="G217" s="16">
        <v>0.94920000000000004</v>
      </c>
      <c r="H217" s="16">
        <v>5.6820000000000002E-2</v>
      </c>
      <c r="I217" s="15">
        <f t="shared" si="20"/>
        <v>4.141216</v>
      </c>
      <c r="J217" s="15">
        <f t="shared" si="21"/>
        <v>3.9059121068799998</v>
      </c>
      <c r="K217" s="17">
        <v>0.9516</v>
      </c>
      <c r="L217" s="15">
        <f t="shared" si="22"/>
        <v>3.9455679999999944</v>
      </c>
      <c r="M217" s="18">
        <f t="shared" si="23"/>
        <v>3.7213808262399946</v>
      </c>
      <c r="N217" s="30">
        <v>0</v>
      </c>
      <c r="O217" s="20"/>
      <c r="P217" s="19">
        <f t="shared" si="19"/>
        <v>0</v>
      </c>
    </row>
    <row r="218" spans="1:16" ht="15" customHeight="1" x14ac:dyDescent="0.25">
      <c r="A218" s="36" t="s">
        <v>460</v>
      </c>
      <c r="B218" s="36">
        <v>7896714290829</v>
      </c>
      <c r="C218" s="36" t="s">
        <v>408</v>
      </c>
      <c r="D218" s="37" t="s">
        <v>414</v>
      </c>
      <c r="E218" s="14">
        <v>60</v>
      </c>
      <c r="F218" s="33">
        <v>163.06</v>
      </c>
      <c r="G218" s="16">
        <v>0.95720000000000005</v>
      </c>
      <c r="H218" s="16">
        <v>5.6820000000000002E-2</v>
      </c>
      <c r="I218" s="15">
        <f t="shared" si="20"/>
        <v>6.9789679999999805</v>
      </c>
      <c r="J218" s="15">
        <f t="shared" si="21"/>
        <v>6.5824230382399813</v>
      </c>
      <c r="K218" s="17">
        <v>0.9597</v>
      </c>
      <c r="L218" s="15">
        <f t="shared" si="22"/>
        <v>6.5713179999999909</v>
      </c>
      <c r="M218" s="18">
        <f t="shared" si="23"/>
        <v>6.1979357112399915</v>
      </c>
      <c r="N218" s="30">
        <v>0</v>
      </c>
      <c r="O218" s="20"/>
      <c r="P218" s="19">
        <f t="shared" si="19"/>
        <v>0</v>
      </c>
    </row>
    <row r="219" spans="1:16" ht="15" customHeight="1" x14ac:dyDescent="0.25">
      <c r="A219" s="36" t="s">
        <v>460</v>
      </c>
      <c r="B219" s="36">
        <v>7896714296081</v>
      </c>
      <c r="C219" s="36" t="s">
        <v>734</v>
      </c>
      <c r="D219" s="37" t="s">
        <v>746</v>
      </c>
      <c r="E219" s="14">
        <v>60</v>
      </c>
      <c r="F219" s="33">
        <v>57.11</v>
      </c>
      <c r="G219" s="16">
        <v>0.64710000000000001</v>
      </c>
      <c r="H219" s="16">
        <v>5.6820000000000002E-2</v>
      </c>
      <c r="I219" s="15">
        <f t="shared" si="20"/>
        <v>20.154119000000001</v>
      </c>
      <c r="J219" s="15">
        <f t="shared" si="21"/>
        <v>19.008961958420002</v>
      </c>
      <c r="K219" s="17">
        <v>0.6714</v>
      </c>
      <c r="L219" s="15">
        <f t="shared" si="22"/>
        <v>18.766345999999999</v>
      </c>
      <c r="M219" s="18">
        <f t="shared" si="23"/>
        <v>17.70004222028</v>
      </c>
      <c r="N219" s="30">
        <v>0</v>
      </c>
      <c r="O219" s="20"/>
      <c r="P219" s="19">
        <f t="shared" si="19"/>
        <v>0</v>
      </c>
    </row>
    <row r="220" spans="1:16" ht="15" customHeight="1" x14ac:dyDescent="0.25">
      <c r="A220" s="36" t="s">
        <v>460</v>
      </c>
      <c r="B220" s="36">
        <v>7896714296098</v>
      </c>
      <c r="C220" s="36" t="s">
        <v>735</v>
      </c>
      <c r="D220" s="37" t="s">
        <v>747</v>
      </c>
      <c r="E220" s="14">
        <v>60</v>
      </c>
      <c r="F220" s="33">
        <v>87.87</v>
      </c>
      <c r="G220" s="16">
        <v>0.63859999999999995</v>
      </c>
      <c r="H220" s="16">
        <v>5.6820000000000002E-2</v>
      </c>
      <c r="I220" s="15">
        <f t="shared" si="20"/>
        <v>31.756218000000004</v>
      </c>
      <c r="J220" s="15">
        <f t="shared" si="21"/>
        <v>29.951829693240004</v>
      </c>
      <c r="K220" s="17">
        <v>0.6633</v>
      </c>
      <c r="L220" s="15">
        <f t="shared" si="22"/>
        <v>29.585829000000004</v>
      </c>
      <c r="M220" s="18">
        <f t="shared" si="23"/>
        <v>27.904762196220005</v>
      </c>
      <c r="N220" s="30">
        <v>0</v>
      </c>
      <c r="O220" s="20"/>
      <c r="P220" s="19">
        <f t="shared" si="19"/>
        <v>0</v>
      </c>
    </row>
    <row r="221" spans="1:16" ht="15" customHeight="1" x14ac:dyDescent="0.25">
      <c r="A221" s="36" t="s">
        <v>460</v>
      </c>
      <c r="B221" s="36">
        <v>7896714290836</v>
      </c>
      <c r="C221" s="36" t="s">
        <v>409</v>
      </c>
      <c r="D221" s="37" t="s">
        <v>415</v>
      </c>
      <c r="E221" s="14">
        <v>60</v>
      </c>
      <c r="F221" s="33">
        <v>81.52</v>
      </c>
      <c r="G221" s="16">
        <v>0.9486</v>
      </c>
      <c r="H221" s="16">
        <v>5.6820000000000002E-2</v>
      </c>
      <c r="I221" s="15">
        <f t="shared" si="20"/>
        <v>4.1901280000000014</v>
      </c>
      <c r="J221" s="15">
        <f t="shared" si="21"/>
        <v>3.9520449270400011</v>
      </c>
      <c r="K221" s="17">
        <v>0.9516</v>
      </c>
      <c r="L221" s="15">
        <f t="shared" si="22"/>
        <v>3.9455679999999944</v>
      </c>
      <c r="M221" s="18">
        <f t="shared" si="23"/>
        <v>3.7213808262399946</v>
      </c>
      <c r="N221" s="30">
        <v>0</v>
      </c>
      <c r="O221" s="20"/>
      <c r="P221" s="19">
        <f t="shared" si="19"/>
        <v>0</v>
      </c>
    </row>
    <row r="222" spans="1:16" ht="15" customHeight="1" x14ac:dyDescent="0.25">
      <c r="A222" s="36" t="s">
        <v>460</v>
      </c>
      <c r="B222" s="36">
        <v>7896714290843</v>
      </c>
      <c r="C222" s="36" t="s">
        <v>410</v>
      </c>
      <c r="D222" s="37" t="s">
        <v>416</v>
      </c>
      <c r="E222" s="14">
        <v>60</v>
      </c>
      <c r="F222" s="33">
        <v>163.06</v>
      </c>
      <c r="G222" s="16">
        <v>0.95720000000000005</v>
      </c>
      <c r="H222" s="16">
        <v>5.6820000000000002E-2</v>
      </c>
      <c r="I222" s="15">
        <f t="shared" si="20"/>
        <v>6.9789679999999805</v>
      </c>
      <c r="J222" s="15">
        <f t="shared" si="21"/>
        <v>6.5824230382399813</v>
      </c>
      <c r="K222" s="17">
        <v>0.9597</v>
      </c>
      <c r="L222" s="15">
        <f t="shared" si="22"/>
        <v>6.5713179999999909</v>
      </c>
      <c r="M222" s="18">
        <f t="shared" si="23"/>
        <v>6.1979357112399915</v>
      </c>
      <c r="N222" s="30">
        <v>0</v>
      </c>
      <c r="O222" s="20"/>
      <c r="P222" s="19">
        <f t="shared" si="19"/>
        <v>0</v>
      </c>
    </row>
    <row r="223" spans="1:16" x14ac:dyDescent="0.25">
      <c r="A223" s="36" t="s">
        <v>460</v>
      </c>
      <c r="B223" s="36">
        <v>7896714290799</v>
      </c>
      <c r="C223" s="36" t="s">
        <v>411</v>
      </c>
      <c r="D223" s="37" t="s">
        <v>443</v>
      </c>
      <c r="E223" s="14">
        <v>60</v>
      </c>
      <c r="F223" s="33">
        <v>58.24</v>
      </c>
      <c r="G223" s="16">
        <v>0.92810000000000004</v>
      </c>
      <c r="H223" s="16">
        <v>5.6820000000000002E-2</v>
      </c>
      <c r="I223" s="15">
        <f t="shared" si="20"/>
        <v>4.1874559999999974</v>
      </c>
      <c r="J223" s="15">
        <f t="shared" si="21"/>
        <v>3.9495247500799975</v>
      </c>
      <c r="K223" s="17">
        <v>0.93230000000000002</v>
      </c>
      <c r="L223" s="15">
        <f t="shared" si="22"/>
        <v>3.9428479999999979</v>
      </c>
      <c r="M223" s="18">
        <f t="shared" si="23"/>
        <v>3.7188153766399981</v>
      </c>
      <c r="N223" s="30">
        <v>0</v>
      </c>
      <c r="O223" s="20"/>
      <c r="P223" s="19">
        <f t="shared" si="19"/>
        <v>0</v>
      </c>
    </row>
    <row r="224" spans="1:16" ht="15" customHeight="1" x14ac:dyDescent="0.25">
      <c r="A224" s="36" t="s">
        <v>460</v>
      </c>
      <c r="B224" s="36">
        <v>7896714291758</v>
      </c>
      <c r="C224" s="36" t="s">
        <v>562</v>
      </c>
      <c r="D224" s="37" t="s">
        <v>567</v>
      </c>
      <c r="E224" s="14">
        <v>96</v>
      </c>
      <c r="F224" s="33">
        <v>35.96</v>
      </c>
      <c r="G224" s="16">
        <v>0.74270000000000003</v>
      </c>
      <c r="H224" s="16">
        <v>0.13542000000000001</v>
      </c>
      <c r="I224" s="15">
        <f t="shared" si="20"/>
        <v>9.2525079999999988</v>
      </c>
      <c r="J224" s="15">
        <f t="shared" si="21"/>
        <v>7.9995333666399988</v>
      </c>
      <c r="K224" s="17">
        <v>0.75490000000000002</v>
      </c>
      <c r="L224" s="15">
        <f t="shared" si="22"/>
        <v>8.813796</v>
      </c>
      <c r="M224" s="18">
        <f t="shared" si="23"/>
        <v>7.6202317456799999</v>
      </c>
      <c r="N224" s="30">
        <v>0</v>
      </c>
      <c r="O224" s="20"/>
      <c r="P224" s="19">
        <f t="shared" si="19"/>
        <v>0</v>
      </c>
    </row>
    <row r="225" spans="1:16" ht="15" customHeight="1" x14ac:dyDescent="0.25">
      <c r="A225" s="36" t="s">
        <v>460</v>
      </c>
      <c r="B225" s="36">
        <v>7896714291741</v>
      </c>
      <c r="C225" s="36" t="s">
        <v>524</v>
      </c>
      <c r="D225" s="37" t="s">
        <v>525</v>
      </c>
      <c r="E225" s="14">
        <v>108</v>
      </c>
      <c r="F225" s="33">
        <v>48.61</v>
      </c>
      <c r="G225" s="16">
        <v>0.51429999999999998</v>
      </c>
      <c r="H225" s="16">
        <v>0.13542000000000001</v>
      </c>
      <c r="I225" s="15">
        <f t="shared" si="20"/>
        <v>23.609877000000001</v>
      </c>
      <c r="J225" s="15">
        <f t="shared" si="21"/>
        <v>20.412627456660001</v>
      </c>
      <c r="K225" s="17">
        <v>0.53790000000000004</v>
      </c>
      <c r="L225" s="15">
        <f t="shared" si="22"/>
        <v>22.462680999999996</v>
      </c>
      <c r="M225" s="18">
        <f t="shared" si="23"/>
        <v>19.420784738979997</v>
      </c>
      <c r="N225" s="30">
        <v>0</v>
      </c>
      <c r="O225" s="20"/>
      <c r="P225" s="19">
        <f t="shared" si="19"/>
        <v>0</v>
      </c>
    </row>
    <row r="226" spans="1:16" ht="15" customHeight="1" x14ac:dyDescent="0.25">
      <c r="A226" s="36" t="s">
        <v>460</v>
      </c>
      <c r="B226" s="36">
        <v>7896714291734</v>
      </c>
      <c r="C226" s="36" t="s">
        <v>508</v>
      </c>
      <c r="D226" s="37" t="s">
        <v>517</v>
      </c>
      <c r="E226" s="14">
        <v>96</v>
      </c>
      <c r="F226" s="33">
        <v>61.54</v>
      </c>
      <c r="G226" s="16">
        <v>0.74350000000000005</v>
      </c>
      <c r="H226" s="16">
        <v>0.13542000000000001</v>
      </c>
      <c r="I226" s="15">
        <f t="shared" si="20"/>
        <v>15.78501</v>
      </c>
      <c r="J226" s="15">
        <f t="shared" si="21"/>
        <v>13.647403945799999</v>
      </c>
      <c r="K226" s="17">
        <v>0.75570000000000004</v>
      </c>
      <c r="L226" s="15">
        <f t="shared" si="22"/>
        <v>15.034222</v>
      </c>
      <c r="M226" s="18">
        <f t="shared" si="23"/>
        <v>12.998287656759999</v>
      </c>
      <c r="N226" s="30">
        <v>0</v>
      </c>
      <c r="O226" s="20"/>
      <c r="P226" s="19">
        <f t="shared" si="19"/>
        <v>0</v>
      </c>
    </row>
    <row r="227" spans="1:16" ht="15" customHeight="1" x14ac:dyDescent="0.25">
      <c r="A227" s="36" t="s">
        <v>460</v>
      </c>
      <c r="B227" s="36">
        <v>7896714291727</v>
      </c>
      <c r="C227" s="36" t="s">
        <v>509</v>
      </c>
      <c r="D227" s="37" t="s">
        <v>518</v>
      </c>
      <c r="E227" s="14">
        <v>96</v>
      </c>
      <c r="F227" s="33">
        <v>91.02</v>
      </c>
      <c r="G227" s="16">
        <v>0.64710000000000001</v>
      </c>
      <c r="H227" s="16">
        <v>0.13542000000000001</v>
      </c>
      <c r="I227" s="15">
        <f t="shared" si="20"/>
        <v>32.120957999999995</v>
      </c>
      <c r="J227" s="15">
        <f t="shared" si="21"/>
        <v>27.771137867639993</v>
      </c>
      <c r="K227" s="17">
        <v>0.66390000000000005</v>
      </c>
      <c r="L227" s="15">
        <f t="shared" si="22"/>
        <v>30.591821999999993</v>
      </c>
      <c r="M227" s="18">
        <f t="shared" si="23"/>
        <v>26.449077464759995</v>
      </c>
      <c r="N227" s="30">
        <v>0</v>
      </c>
      <c r="O227" s="20"/>
      <c r="P227" s="19">
        <f t="shared" si="19"/>
        <v>0</v>
      </c>
    </row>
    <row r="228" spans="1:16" ht="15" customHeight="1" x14ac:dyDescent="0.25">
      <c r="A228" s="36" t="s">
        <v>460</v>
      </c>
      <c r="B228" s="36">
        <v>7896714291512</v>
      </c>
      <c r="C228" s="36" t="s">
        <v>510</v>
      </c>
      <c r="D228" s="37" t="s">
        <v>519</v>
      </c>
      <c r="E228" s="14">
        <v>96</v>
      </c>
      <c r="F228" s="33">
        <v>36.630000000000003</v>
      </c>
      <c r="G228" s="16">
        <v>0.73529999999999995</v>
      </c>
      <c r="H228" s="16">
        <v>0.13542000000000001</v>
      </c>
      <c r="I228" s="15">
        <f t="shared" si="20"/>
        <v>9.695961000000004</v>
      </c>
      <c r="J228" s="15">
        <f t="shared" si="21"/>
        <v>8.3829339613800027</v>
      </c>
      <c r="K228" s="17">
        <v>0.74819999999999998</v>
      </c>
      <c r="L228" s="15">
        <f t="shared" si="22"/>
        <v>9.223434000000001</v>
      </c>
      <c r="M228" s="18">
        <f t="shared" si="23"/>
        <v>7.9743965677200013</v>
      </c>
      <c r="N228" s="30">
        <v>0</v>
      </c>
      <c r="O228" s="20"/>
      <c r="P228" s="19">
        <f t="shared" si="19"/>
        <v>0</v>
      </c>
    </row>
    <row r="229" spans="1:16" ht="15" customHeight="1" x14ac:dyDescent="0.25">
      <c r="A229" s="36" t="s">
        <v>460</v>
      </c>
      <c r="B229" s="36">
        <v>7896714291505</v>
      </c>
      <c r="C229" s="36" t="s">
        <v>511</v>
      </c>
      <c r="D229" s="37" t="s">
        <v>520</v>
      </c>
      <c r="E229" s="14">
        <v>108</v>
      </c>
      <c r="F229" s="33">
        <v>61.73</v>
      </c>
      <c r="G229" s="16">
        <v>0.67430000000000001</v>
      </c>
      <c r="H229" s="16">
        <v>0.13542000000000001</v>
      </c>
      <c r="I229" s="15">
        <f t="shared" si="20"/>
        <v>20.105460999999998</v>
      </c>
      <c r="J229" s="15">
        <f t="shared" si="21"/>
        <v>17.382779471379997</v>
      </c>
      <c r="K229" s="17">
        <v>0.68989999999999996</v>
      </c>
      <c r="L229" s="15">
        <f t="shared" si="22"/>
        <v>19.142473000000003</v>
      </c>
      <c r="M229" s="18">
        <f t="shared" si="23"/>
        <v>16.550199306340001</v>
      </c>
      <c r="N229" s="30">
        <v>0</v>
      </c>
      <c r="O229" s="20"/>
      <c r="P229" s="19">
        <f t="shared" si="19"/>
        <v>0</v>
      </c>
    </row>
    <row r="230" spans="1:16" ht="15" customHeight="1" x14ac:dyDescent="0.25">
      <c r="A230" s="36" t="s">
        <v>460</v>
      </c>
      <c r="B230" s="36">
        <v>7896714273785</v>
      </c>
      <c r="C230" s="36" t="s">
        <v>299</v>
      </c>
      <c r="D230" s="37" t="s">
        <v>146</v>
      </c>
      <c r="E230" s="14">
        <v>60</v>
      </c>
      <c r="F230" s="33">
        <v>19.37</v>
      </c>
      <c r="G230" s="16">
        <v>0.85919999999999996</v>
      </c>
      <c r="H230" s="16">
        <v>5.6820000000000002E-2</v>
      </c>
      <c r="I230" s="15">
        <f t="shared" si="20"/>
        <v>2.7272960000000026</v>
      </c>
      <c r="J230" s="15">
        <f t="shared" si="21"/>
        <v>2.5723310412800027</v>
      </c>
      <c r="K230" s="17">
        <v>0.86570000000000003</v>
      </c>
      <c r="L230" s="15">
        <f t="shared" si="22"/>
        <v>2.6013909999999996</v>
      </c>
      <c r="M230" s="18">
        <f t="shared" si="23"/>
        <v>2.4535799633799997</v>
      </c>
      <c r="N230" s="30">
        <v>0</v>
      </c>
      <c r="O230" s="20"/>
      <c r="P230" s="19">
        <f t="shared" si="19"/>
        <v>0</v>
      </c>
    </row>
    <row r="231" spans="1:16" ht="15" customHeight="1" x14ac:dyDescent="0.25">
      <c r="A231" s="36" t="s">
        <v>460</v>
      </c>
      <c r="B231" s="36">
        <v>7896714227269</v>
      </c>
      <c r="C231" s="36" t="s">
        <v>300</v>
      </c>
      <c r="D231" s="37" t="s">
        <v>147</v>
      </c>
      <c r="E231" s="14">
        <v>60</v>
      </c>
      <c r="F231" s="33">
        <v>19.54</v>
      </c>
      <c r="G231" s="16">
        <v>0.80569999999999997</v>
      </c>
      <c r="H231" s="16">
        <v>5.6820000000000002E-2</v>
      </c>
      <c r="I231" s="15">
        <f t="shared" si="20"/>
        <v>3.7966220000000011</v>
      </c>
      <c r="J231" s="15">
        <f t="shared" si="21"/>
        <v>3.580897937960001</v>
      </c>
      <c r="K231" s="17">
        <v>0.81479999999999997</v>
      </c>
      <c r="L231" s="15">
        <f t="shared" si="22"/>
        <v>3.6188079999999996</v>
      </c>
      <c r="M231" s="18">
        <f t="shared" si="23"/>
        <v>3.4131873294399995</v>
      </c>
      <c r="N231" s="30">
        <v>0</v>
      </c>
      <c r="O231" s="20"/>
      <c r="P231" s="19">
        <f t="shared" si="19"/>
        <v>0</v>
      </c>
    </row>
    <row r="232" spans="1:16" ht="15" customHeight="1" x14ac:dyDescent="0.25">
      <c r="A232" s="36" t="s">
        <v>460</v>
      </c>
      <c r="B232" s="36">
        <v>7896714274751</v>
      </c>
      <c r="C232" s="36" t="s">
        <v>470</v>
      </c>
      <c r="D232" s="37" t="s">
        <v>471</v>
      </c>
      <c r="E232" s="14">
        <v>24</v>
      </c>
      <c r="F232" s="33">
        <v>73.72</v>
      </c>
      <c r="G232" s="16">
        <v>0.59530000000000005</v>
      </c>
      <c r="H232" s="16">
        <v>5.6820000000000002E-2</v>
      </c>
      <c r="I232" s="15">
        <f t="shared" si="20"/>
        <v>29.834483999999996</v>
      </c>
      <c r="J232" s="15">
        <f t="shared" si="21"/>
        <v>28.139288619119995</v>
      </c>
      <c r="K232" s="17">
        <v>0.61460000000000004</v>
      </c>
      <c r="L232" s="15">
        <f t="shared" si="22"/>
        <v>28.411687999999998</v>
      </c>
      <c r="M232" s="18">
        <f t="shared" si="23"/>
        <v>26.797335887839999</v>
      </c>
      <c r="N232" s="30">
        <v>0</v>
      </c>
      <c r="O232" s="20"/>
      <c r="P232" s="19">
        <f t="shared" si="19"/>
        <v>0</v>
      </c>
    </row>
    <row r="233" spans="1:16" ht="15" customHeight="1" x14ac:dyDescent="0.25">
      <c r="A233" s="36" t="s">
        <v>460</v>
      </c>
      <c r="B233" s="36">
        <v>7898947385778</v>
      </c>
      <c r="C233" s="36" t="s">
        <v>651</v>
      </c>
      <c r="D233" s="37" t="s">
        <v>148</v>
      </c>
      <c r="E233" s="14">
        <v>120</v>
      </c>
      <c r="F233" s="33">
        <v>68</v>
      </c>
      <c r="G233" s="16">
        <v>0.50960000000000005</v>
      </c>
      <c r="H233" s="16">
        <v>0.13542000000000001</v>
      </c>
      <c r="I233" s="15">
        <f t="shared" si="20"/>
        <v>33.347199999999994</v>
      </c>
      <c r="J233" s="15">
        <f t="shared" si="21"/>
        <v>28.831322175999993</v>
      </c>
      <c r="K233" s="17">
        <v>0.53290000000000004</v>
      </c>
      <c r="L233" s="15">
        <f t="shared" si="22"/>
        <v>31.762799999999999</v>
      </c>
      <c r="M233" s="18">
        <f t="shared" si="23"/>
        <v>27.461481623999997</v>
      </c>
      <c r="N233" s="30">
        <v>0</v>
      </c>
      <c r="O233" s="20"/>
      <c r="P233" s="19">
        <f t="shared" si="19"/>
        <v>0</v>
      </c>
    </row>
    <row r="234" spans="1:16" ht="15" customHeight="1" x14ac:dyDescent="0.25">
      <c r="A234" s="36" t="s">
        <v>460</v>
      </c>
      <c r="B234" s="36">
        <v>7898947385693</v>
      </c>
      <c r="C234" s="36" t="s">
        <v>645</v>
      </c>
      <c r="D234" s="37" t="s">
        <v>149</v>
      </c>
      <c r="E234" s="14">
        <v>160</v>
      </c>
      <c r="F234" s="33">
        <v>20.66</v>
      </c>
      <c r="G234" s="16">
        <v>0.32979999999999998</v>
      </c>
      <c r="H234" s="16">
        <v>0.13542000000000001</v>
      </c>
      <c r="I234" s="15">
        <f t="shared" si="20"/>
        <v>13.846332</v>
      </c>
      <c r="J234" s="15">
        <f t="shared" si="21"/>
        <v>11.971261720559999</v>
      </c>
      <c r="K234" s="17">
        <v>0.36230000000000001</v>
      </c>
      <c r="L234" s="15">
        <f t="shared" si="22"/>
        <v>13.174882</v>
      </c>
      <c r="M234" s="18">
        <f t="shared" si="23"/>
        <v>11.390739479560001</v>
      </c>
      <c r="N234" s="30">
        <v>0</v>
      </c>
      <c r="O234" s="20"/>
      <c r="P234" s="19">
        <f t="shared" si="19"/>
        <v>0</v>
      </c>
    </row>
    <row r="235" spans="1:16" ht="15" customHeight="1" x14ac:dyDescent="0.25">
      <c r="A235" s="36" t="s">
        <v>460</v>
      </c>
      <c r="B235" s="36">
        <v>7898947385730</v>
      </c>
      <c r="C235" s="36" t="s">
        <v>644</v>
      </c>
      <c r="D235" s="37" t="s">
        <v>150</v>
      </c>
      <c r="E235" s="14">
        <v>120</v>
      </c>
      <c r="F235" s="33">
        <v>41.52</v>
      </c>
      <c r="G235" s="16">
        <v>0.48859999999999998</v>
      </c>
      <c r="H235" s="16">
        <v>0.13542000000000001</v>
      </c>
      <c r="I235" s="15">
        <f t="shared" si="20"/>
        <v>21.233328000000004</v>
      </c>
      <c r="J235" s="15">
        <f t="shared" si="21"/>
        <v>18.357910722240003</v>
      </c>
      <c r="K235" s="17">
        <v>0.51300000000000001</v>
      </c>
      <c r="L235" s="15">
        <f t="shared" si="22"/>
        <v>20.22024</v>
      </c>
      <c r="M235" s="18">
        <f t="shared" si="23"/>
        <v>17.482015099200002</v>
      </c>
      <c r="N235" s="30">
        <v>0</v>
      </c>
      <c r="O235" s="20"/>
      <c r="P235" s="19">
        <f t="shared" si="19"/>
        <v>0</v>
      </c>
    </row>
    <row r="236" spans="1:16" ht="15" customHeight="1" x14ac:dyDescent="0.25">
      <c r="A236" s="36" t="s">
        <v>460</v>
      </c>
      <c r="B236" s="36">
        <v>7896714293622</v>
      </c>
      <c r="C236" s="36" t="s">
        <v>602</v>
      </c>
      <c r="D236" s="37" t="s">
        <v>603</v>
      </c>
      <c r="E236" s="14">
        <v>60</v>
      </c>
      <c r="F236" s="33">
        <v>128.51</v>
      </c>
      <c r="G236" s="16">
        <v>0.64280000000000004</v>
      </c>
      <c r="H236" s="16">
        <v>5.6820000000000002E-2</v>
      </c>
      <c r="I236" s="15">
        <f t="shared" si="20"/>
        <v>45.903771999999989</v>
      </c>
      <c r="J236" s="15">
        <f t="shared" si="21"/>
        <v>43.295519674959991</v>
      </c>
      <c r="K236" s="17">
        <v>0.66269999999999996</v>
      </c>
      <c r="L236" s="15">
        <f t="shared" si="22"/>
        <v>43.346423000000001</v>
      </c>
      <c r="M236" s="18">
        <f t="shared" si="23"/>
        <v>40.883479245140002</v>
      </c>
      <c r="N236" s="30">
        <v>0</v>
      </c>
      <c r="O236" s="20"/>
      <c r="P236" s="19">
        <f t="shared" si="19"/>
        <v>0</v>
      </c>
    </row>
    <row r="237" spans="1:16" x14ac:dyDescent="0.25">
      <c r="A237" s="43" t="s">
        <v>460</v>
      </c>
      <c r="B237" s="43">
        <v>7896714293615</v>
      </c>
      <c r="C237" s="43" t="s">
        <v>604</v>
      </c>
      <c r="D237" s="44" t="s">
        <v>605</v>
      </c>
      <c r="E237" s="45">
        <v>60</v>
      </c>
      <c r="F237" s="46">
        <v>105</v>
      </c>
      <c r="G237" s="47">
        <v>0.5958</v>
      </c>
      <c r="H237" s="47">
        <v>5.6820000000000002E-2</v>
      </c>
      <c r="I237" s="48">
        <f t="shared" si="20"/>
        <v>42.441000000000003</v>
      </c>
      <c r="J237" s="48">
        <f t="shared" si="21"/>
        <v>40.029502380000004</v>
      </c>
      <c r="K237" s="49">
        <v>0.61819999999999997</v>
      </c>
      <c r="L237" s="48">
        <f t="shared" si="22"/>
        <v>40.088999999999999</v>
      </c>
      <c r="M237" s="50">
        <f t="shared" si="23"/>
        <v>37.811143019999996</v>
      </c>
      <c r="N237" s="30">
        <v>0</v>
      </c>
      <c r="O237" s="20"/>
      <c r="P237" s="51">
        <f t="shared" si="19"/>
        <v>0</v>
      </c>
    </row>
    <row r="238" spans="1:16" x14ac:dyDescent="0.25">
      <c r="A238" s="43" t="s">
        <v>460</v>
      </c>
      <c r="B238" s="43">
        <v>7896714291192</v>
      </c>
      <c r="C238" s="43" t="s">
        <v>736</v>
      </c>
      <c r="D238" s="44" t="s">
        <v>538</v>
      </c>
      <c r="E238" s="45">
        <v>60</v>
      </c>
      <c r="F238" s="46">
        <v>73.47</v>
      </c>
      <c r="G238" s="47">
        <v>0.29139999999999999</v>
      </c>
      <c r="H238" s="47">
        <v>5.6820000000000002E-2</v>
      </c>
      <c r="I238" s="48">
        <f t="shared" si="20"/>
        <v>52.060842000000001</v>
      </c>
      <c r="J238" s="48">
        <f t="shared" si="21"/>
        <v>49.102744957559999</v>
      </c>
      <c r="K238" s="49">
        <v>0.32540000000000002</v>
      </c>
      <c r="L238" s="48">
        <f t="shared" si="22"/>
        <v>49.562861999999996</v>
      </c>
      <c r="M238" s="50">
        <f t="shared" si="23"/>
        <v>46.746700181159994</v>
      </c>
      <c r="N238" s="30">
        <v>0</v>
      </c>
      <c r="O238" s="20"/>
      <c r="P238" s="51">
        <f t="shared" si="19"/>
        <v>0</v>
      </c>
    </row>
    <row r="239" spans="1:16" x14ac:dyDescent="0.25">
      <c r="A239" s="43" t="s">
        <v>460</v>
      </c>
      <c r="B239" s="43">
        <v>7896714217116</v>
      </c>
      <c r="C239" s="43" t="s">
        <v>301</v>
      </c>
      <c r="D239" s="44" t="s">
        <v>151</v>
      </c>
      <c r="E239" s="45">
        <v>100</v>
      </c>
      <c r="F239" s="46">
        <v>13.65</v>
      </c>
      <c r="G239" s="47">
        <v>0.58260000000000001</v>
      </c>
      <c r="H239" s="47">
        <v>5.6820000000000002E-2</v>
      </c>
      <c r="I239" s="48">
        <f t="shared" si="20"/>
        <v>5.6975100000000003</v>
      </c>
      <c r="J239" s="48">
        <f t="shared" si="21"/>
        <v>5.3737774818000004</v>
      </c>
      <c r="K239" s="49">
        <v>0.60260000000000002</v>
      </c>
      <c r="L239" s="48">
        <f t="shared" si="22"/>
        <v>5.4245099999999997</v>
      </c>
      <c r="M239" s="50">
        <f t="shared" si="23"/>
        <v>5.1162893417999999</v>
      </c>
      <c r="N239" s="30">
        <v>0</v>
      </c>
      <c r="O239" s="20"/>
      <c r="P239" s="51">
        <f t="shared" si="19"/>
        <v>0</v>
      </c>
    </row>
    <row r="240" spans="1:16" ht="15" customHeight="1" x14ac:dyDescent="0.25">
      <c r="A240" s="36" t="s">
        <v>460</v>
      </c>
      <c r="B240" s="36">
        <v>7896714255934</v>
      </c>
      <c r="C240" s="36" t="s">
        <v>302</v>
      </c>
      <c r="D240" s="37" t="s">
        <v>152</v>
      </c>
      <c r="E240" s="14">
        <v>60</v>
      </c>
      <c r="F240" s="33">
        <v>17.649999999999999</v>
      </c>
      <c r="G240" s="16">
        <v>0.91169999999999995</v>
      </c>
      <c r="H240" s="16">
        <v>5.6820000000000002E-2</v>
      </c>
      <c r="I240" s="15">
        <f t="shared" si="20"/>
        <v>1.5584950000000006</v>
      </c>
      <c r="J240" s="15">
        <f t="shared" si="21"/>
        <v>1.4699413141000006</v>
      </c>
      <c r="K240" s="17">
        <v>0.91569999999999996</v>
      </c>
      <c r="L240" s="15">
        <f t="shared" si="22"/>
        <v>1.4878950000000017</v>
      </c>
      <c r="M240" s="18">
        <f t="shared" si="23"/>
        <v>1.4033528061000016</v>
      </c>
      <c r="N240" s="30">
        <v>0</v>
      </c>
      <c r="O240" s="20"/>
      <c r="P240" s="19">
        <f t="shared" si="19"/>
        <v>0</v>
      </c>
    </row>
    <row r="241" spans="1:16" ht="15" customHeight="1" x14ac:dyDescent="0.25">
      <c r="A241" s="36" t="s">
        <v>460</v>
      </c>
      <c r="B241" s="36">
        <v>7896714255897</v>
      </c>
      <c r="C241" s="36" t="s">
        <v>303</v>
      </c>
      <c r="D241" s="37" t="s">
        <v>153</v>
      </c>
      <c r="E241" s="14">
        <v>60</v>
      </c>
      <c r="F241" s="33">
        <v>24.33</v>
      </c>
      <c r="G241" s="16">
        <v>0.91259999999999997</v>
      </c>
      <c r="H241" s="16">
        <v>5.6820000000000002E-2</v>
      </c>
      <c r="I241" s="15">
        <f t="shared" si="20"/>
        <v>2.1264420000000008</v>
      </c>
      <c r="J241" s="15">
        <f t="shared" si="21"/>
        <v>2.0056175655600006</v>
      </c>
      <c r="K241" s="17">
        <v>0.91690000000000005</v>
      </c>
      <c r="L241" s="15">
        <f t="shared" si="22"/>
        <v>2.0218229999999977</v>
      </c>
      <c r="M241" s="18">
        <f t="shared" si="23"/>
        <v>1.9069430171399979</v>
      </c>
      <c r="N241" s="30">
        <v>0</v>
      </c>
      <c r="O241" s="20"/>
      <c r="P241" s="19">
        <f t="shared" si="19"/>
        <v>0</v>
      </c>
    </row>
    <row r="242" spans="1:16" ht="15" customHeight="1" x14ac:dyDescent="0.25">
      <c r="A242" s="36" t="s">
        <v>460</v>
      </c>
      <c r="B242" s="36">
        <v>7896714255903</v>
      </c>
      <c r="C242" s="36" t="s">
        <v>304</v>
      </c>
      <c r="D242" s="37" t="s">
        <v>154</v>
      </c>
      <c r="E242" s="14">
        <v>60</v>
      </c>
      <c r="F242" s="33">
        <v>30.46</v>
      </c>
      <c r="G242" s="16">
        <v>0.86919999999999997</v>
      </c>
      <c r="H242" s="16">
        <v>5.6820000000000002E-2</v>
      </c>
      <c r="I242" s="15">
        <f t="shared" si="20"/>
        <v>3.9841680000000004</v>
      </c>
      <c r="J242" s="15">
        <f t="shared" si="21"/>
        <v>3.7577875742400004</v>
      </c>
      <c r="K242" s="17">
        <v>0.87549999999999994</v>
      </c>
      <c r="L242" s="15">
        <f t="shared" si="22"/>
        <v>3.792270000000002</v>
      </c>
      <c r="M242" s="18">
        <f t="shared" si="23"/>
        <v>3.576793218600002</v>
      </c>
      <c r="N242" s="30">
        <v>0</v>
      </c>
      <c r="O242" s="20"/>
      <c r="P242" s="19">
        <f t="shared" si="19"/>
        <v>0</v>
      </c>
    </row>
    <row r="243" spans="1:16" x14ac:dyDescent="0.25">
      <c r="A243" s="36" t="s">
        <v>460</v>
      </c>
      <c r="B243" s="36">
        <v>7896714255941</v>
      </c>
      <c r="C243" s="36" t="s">
        <v>305</v>
      </c>
      <c r="D243" s="37" t="s">
        <v>155</v>
      </c>
      <c r="E243" s="14">
        <v>60</v>
      </c>
      <c r="F243" s="33">
        <v>76.61</v>
      </c>
      <c r="G243" s="16">
        <v>0.91830000000000001</v>
      </c>
      <c r="H243" s="16">
        <v>5.6820000000000002E-2</v>
      </c>
      <c r="I243" s="15">
        <f t="shared" si="20"/>
        <v>6.2590370000000064</v>
      </c>
      <c r="J243" s="15">
        <f t="shared" si="21"/>
        <v>5.9033985176600057</v>
      </c>
      <c r="K243" s="17">
        <v>0.92220000000000002</v>
      </c>
      <c r="L243" s="15">
        <f t="shared" si="22"/>
        <v>5.9602579999999961</v>
      </c>
      <c r="M243" s="18">
        <f t="shared" si="23"/>
        <v>5.6215961404399959</v>
      </c>
      <c r="N243" s="30">
        <v>0</v>
      </c>
      <c r="O243" s="20"/>
      <c r="P243" s="19">
        <f t="shared" si="19"/>
        <v>0</v>
      </c>
    </row>
    <row r="244" spans="1:16" x14ac:dyDescent="0.25">
      <c r="A244" s="36" t="s">
        <v>460</v>
      </c>
      <c r="B244" s="36">
        <v>7896714229843</v>
      </c>
      <c r="C244" s="36" t="s">
        <v>327</v>
      </c>
      <c r="D244" s="37" t="s">
        <v>389</v>
      </c>
      <c r="E244" s="14">
        <v>50</v>
      </c>
      <c r="F244" s="33">
        <v>59.78</v>
      </c>
      <c r="G244" s="16">
        <v>0.78749999999999998</v>
      </c>
      <c r="H244" s="16">
        <v>5.6820000000000002E-2</v>
      </c>
      <c r="I244" s="15">
        <f t="shared" si="20"/>
        <v>12.703250000000004</v>
      </c>
      <c r="J244" s="15">
        <f t="shared" si="21"/>
        <v>11.981451335000004</v>
      </c>
      <c r="K244" s="17">
        <v>0.79759999999999998</v>
      </c>
      <c r="L244" s="15">
        <f t="shared" si="22"/>
        <v>12.099471999999999</v>
      </c>
      <c r="M244" s="18">
        <f t="shared" si="23"/>
        <v>11.411980000959998</v>
      </c>
      <c r="N244" s="30">
        <v>0</v>
      </c>
      <c r="O244" s="20"/>
      <c r="P244" s="19">
        <f t="shared" si="19"/>
        <v>0</v>
      </c>
    </row>
    <row r="245" spans="1:16" ht="15" customHeight="1" x14ac:dyDescent="0.25">
      <c r="A245" s="36" t="s">
        <v>460</v>
      </c>
      <c r="B245" s="36">
        <v>7896714241647</v>
      </c>
      <c r="C245" s="36" t="s">
        <v>458</v>
      </c>
      <c r="D245" s="37" t="s">
        <v>459</v>
      </c>
      <c r="E245" s="14">
        <v>50</v>
      </c>
      <c r="F245" s="33">
        <v>76.290000000000006</v>
      </c>
      <c r="G245" s="16">
        <v>0.29920000000000002</v>
      </c>
      <c r="H245" s="16">
        <v>5.6820000000000002E-2</v>
      </c>
      <c r="I245" s="15">
        <f t="shared" si="20"/>
        <v>53.464032000000003</v>
      </c>
      <c r="J245" s="15">
        <f t="shared" si="21"/>
        <v>50.426205701760004</v>
      </c>
      <c r="K245" s="17">
        <v>0.33250000000000002</v>
      </c>
      <c r="L245" s="15">
        <f t="shared" si="22"/>
        <v>50.923575</v>
      </c>
      <c r="M245" s="18">
        <f t="shared" si="23"/>
        <v>48.030097468500003</v>
      </c>
      <c r="N245" s="30">
        <v>0</v>
      </c>
      <c r="O245" s="20"/>
      <c r="P245" s="19">
        <f t="shared" si="19"/>
        <v>0</v>
      </c>
    </row>
    <row r="246" spans="1:16" ht="15" customHeight="1" x14ac:dyDescent="0.25">
      <c r="A246" s="36" t="s">
        <v>460</v>
      </c>
      <c r="B246" s="36">
        <v>7896714295565</v>
      </c>
      <c r="C246" s="36" t="s">
        <v>716</v>
      </c>
      <c r="D246" s="37" t="s">
        <v>722</v>
      </c>
      <c r="E246" s="14">
        <v>24</v>
      </c>
      <c r="F246" s="33">
        <v>81.8</v>
      </c>
      <c r="G246" s="16">
        <v>0.32769999999999999</v>
      </c>
      <c r="H246" s="16">
        <v>0.13542000000000001</v>
      </c>
      <c r="I246" s="15">
        <f t="shared" si="20"/>
        <v>54.994140000000002</v>
      </c>
      <c r="J246" s="15">
        <f t="shared" si="21"/>
        <v>47.546833561200003</v>
      </c>
      <c r="K246" s="17">
        <v>0.35970000000000002</v>
      </c>
      <c r="L246" s="15">
        <f t="shared" si="22"/>
        <v>52.376539999999991</v>
      </c>
      <c r="M246" s="18">
        <f t="shared" si="23"/>
        <v>45.283708953199991</v>
      </c>
      <c r="N246" s="30">
        <v>0</v>
      </c>
      <c r="O246" s="20"/>
      <c r="P246" s="19">
        <f t="shared" si="19"/>
        <v>0</v>
      </c>
    </row>
    <row r="247" spans="1:16" ht="15" customHeight="1" x14ac:dyDescent="0.25">
      <c r="A247" s="36" t="s">
        <v>460</v>
      </c>
      <c r="B247" s="36">
        <v>7896714295572</v>
      </c>
      <c r="C247" s="36" t="s">
        <v>717</v>
      </c>
      <c r="D247" s="37" t="s">
        <v>723</v>
      </c>
      <c r="E247" s="14">
        <v>24</v>
      </c>
      <c r="F247" s="33">
        <v>81.8</v>
      </c>
      <c r="G247" s="16">
        <v>0.35580000000000001</v>
      </c>
      <c r="H247" s="16">
        <v>0.13542000000000001</v>
      </c>
      <c r="I247" s="15">
        <f t="shared" si="20"/>
        <v>52.69556</v>
      </c>
      <c r="J247" s="15">
        <f t="shared" si="21"/>
        <v>45.559527264799996</v>
      </c>
      <c r="K247" s="17">
        <v>0.38640000000000002</v>
      </c>
      <c r="L247" s="15">
        <f t="shared" si="22"/>
        <v>50.192479999999996</v>
      </c>
      <c r="M247" s="18">
        <f t="shared" si="23"/>
        <v>43.395414358399997</v>
      </c>
      <c r="N247" s="30">
        <v>0</v>
      </c>
      <c r="O247" s="20"/>
      <c r="P247" s="19">
        <f t="shared" si="19"/>
        <v>0</v>
      </c>
    </row>
    <row r="248" spans="1:16" ht="15" customHeight="1" x14ac:dyDescent="0.25">
      <c r="A248" s="36" t="s">
        <v>460</v>
      </c>
      <c r="B248" s="36">
        <v>7896714295589</v>
      </c>
      <c r="C248" s="36" t="s">
        <v>718</v>
      </c>
      <c r="D248" s="37" t="s">
        <v>724</v>
      </c>
      <c r="E248" s="14">
        <v>24</v>
      </c>
      <c r="F248" s="33">
        <v>81.8</v>
      </c>
      <c r="G248" s="16">
        <v>0.37569999999999998</v>
      </c>
      <c r="H248" s="16">
        <v>0.13542000000000001</v>
      </c>
      <c r="I248" s="15">
        <f t="shared" si="20"/>
        <v>51.067740000000001</v>
      </c>
      <c r="J248" s="15">
        <f t="shared" si="21"/>
        <v>44.152146649199999</v>
      </c>
      <c r="K248" s="17">
        <v>0.40539999999999998</v>
      </c>
      <c r="L248" s="15">
        <f t="shared" si="22"/>
        <v>48.638280000000002</v>
      </c>
      <c r="M248" s="18">
        <f t="shared" si="23"/>
        <v>42.051684122400005</v>
      </c>
      <c r="N248" s="30">
        <v>0</v>
      </c>
      <c r="O248" s="20"/>
      <c r="P248" s="19">
        <f t="shared" si="19"/>
        <v>0</v>
      </c>
    </row>
    <row r="249" spans="1:16" ht="15" customHeight="1" x14ac:dyDescent="0.25">
      <c r="A249" s="36" t="s">
        <v>460</v>
      </c>
      <c r="B249" s="36">
        <v>7896714223971</v>
      </c>
      <c r="C249" s="36" t="s">
        <v>306</v>
      </c>
      <c r="D249" s="37" t="s">
        <v>156</v>
      </c>
      <c r="E249" s="14">
        <v>60</v>
      </c>
      <c r="F249" s="33">
        <v>46.24</v>
      </c>
      <c r="G249" s="16">
        <v>0.73270000000000002</v>
      </c>
      <c r="H249" s="16">
        <v>5.6820000000000002E-2</v>
      </c>
      <c r="I249" s="15">
        <f t="shared" si="20"/>
        <v>12.359952</v>
      </c>
      <c r="J249" s="15">
        <f t="shared" si="21"/>
        <v>11.65765952736</v>
      </c>
      <c r="K249" s="17">
        <v>0.74550000000000005</v>
      </c>
      <c r="L249" s="15">
        <f t="shared" si="22"/>
        <v>11.768079999999998</v>
      </c>
      <c r="M249" s="18">
        <f t="shared" si="23"/>
        <v>11.099417694399998</v>
      </c>
      <c r="N249" s="30">
        <v>0</v>
      </c>
      <c r="O249" s="20"/>
      <c r="P249" s="19">
        <f t="shared" si="19"/>
        <v>0</v>
      </c>
    </row>
    <row r="250" spans="1:16" ht="15" customHeight="1" x14ac:dyDescent="0.25">
      <c r="A250" s="36" t="s">
        <v>460</v>
      </c>
      <c r="B250" s="36">
        <v>7896714242194</v>
      </c>
      <c r="C250" s="36" t="s">
        <v>357</v>
      </c>
      <c r="D250" s="37" t="s">
        <v>157</v>
      </c>
      <c r="E250" s="14">
        <v>60</v>
      </c>
      <c r="F250" s="33">
        <v>59.82</v>
      </c>
      <c r="G250" s="16">
        <v>0.64959999999999996</v>
      </c>
      <c r="H250" s="16">
        <v>5.6820000000000002E-2</v>
      </c>
      <c r="I250" s="15">
        <f t="shared" si="20"/>
        <v>20.960928000000003</v>
      </c>
      <c r="J250" s="15">
        <f t="shared" si="21"/>
        <v>19.769928071040002</v>
      </c>
      <c r="K250" s="17">
        <v>0.6663</v>
      </c>
      <c r="L250" s="15">
        <f t="shared" si="22"/>
        <v>19.961933999999999</v>
      </c>
      <c r="M250" s="18">
        <f t="shared" si="23"/>
        <v>18.82769691012</v>
      </c>
      <c r="N250" s="30">
        <v>0</v>
      </c>
      <c r="O250" s="20"/>
      <c r="P250" s="19">
        <f t="shared" si="19"/>
        <v>0</v>
      </c>
    </row>
    <row r="251" spans="1:16" ht="15" customHeight="1" x14ac:dyDescent="0.25">
      <c r="A251" s="36" t="s">
        <v>460</v>
      </c>
      <c r="B251" s="36">
        <v>7897322703794</v>
      </c>
      <c r="C251" s="36" t="s">
        <v>328</v>
      </c>
      <c r="D251" s="37" t="s">
        <v>158</v>
      </c>
      <c r="E251" s="14">
        <v>60</v>
      </c>
      <c r="F251" s="33">
        <v>38.159999999999997</v>
      </c>
      <c r="G251" s="16">
        <v>0.69510000000000005</v>
      </c>
      <c r="H251" s="16">
        <v>5.6820000000000002E-2</v>
      </c>
      <c r="I251" s="15">
        <f t="shared" si="20"/>
        <v>11.634983999999996</v>
      </c>
      <c r="J251" s="15">
        <f t="shared" si="21"/>
        <v>10.973884209119996</v>
      </c>
      <c r="K251" s="17">
        <v>0.70950000000000002</v>
      </c>
      <c r="L251" s="15">
        <f t="shared" si="22"/>
        <v>11.085479999999997</v>
      </c>
      <c r="M251" s="18">
        <f t="shared" si="23"/>
        <v>10.455603026399997</v>
      </c>
      <c r="N251" s="30">
        <v>0</v>
      </c>
      <c r="O251" s="20"/>
      <c r="P251" s="19">
        <f t="shared" si="19"/>
        <v>0</v>
      </c>
    </row>
    <row r="252" spans="1:16" ht="15" customHeight="1" x14ac:dyDescent="0.25">
      <c r="A252" s="36" t="s">
        <v>460</v>
      </c>
      <c r="B252" s="36">
        <v>7896714215204</v>
      </c>
      <c r="C252" s="36" t="s">
        <v>329</v>
      </c>
      <c r="D252" s="37" t="s">
        <v>330</v>
      </c>
      <c r="E252" s="14">
        <v>50</v>
      </c>
      <c r="F252" s="33">
        <v>19.059999999999999</v>
      </c>
      <c r="G252" s="16">
        <v>0.67359999999999998</v>
      </c>
      <c r="H252" s="16">
        <v>5.6820000000000002E-2</v>
      </c>
      <c r="I252" s="15">
        <f t="shared" si="20"/>
        <v>6.2211839999999992</v>
      </c>
      <c r="J252" s="15">
        <f t="shared" si="21"/>
        <v>5.8676963251199989</v>
      </c>
      <c r="K252" s="17">
        <v>0.68920000000000003</v>
      </c>
      <c r="L252" s="15">
        <f t="shared" si="22"/>
        <v>5.9238479999999996</v>
      </c>
      <c r="M252" s="18">
        <f t="shared" si="23"/>
        <v>5.5872549566399998</v>
      </c>
      <c r="N252" s="30">
        <v>0</v>
      </c>
      <c r="O252" s="20"/>
      <c r="P252" s="19">
        <f t="shared" si="19"/>
        <v>0</v>
      </c>
    </row>
    <row r="253" spans="1:16" ht="15" customHeight="1" x14ac:dyDescent="0.25">
      <c r="A253" s="36" t="s">
        <v>460</v>
      </c>
      <c r="B253" s="36">
        <v>7896714295503</v>
      </c>
      <c r="C253" s="36" t="s">
        <v>670</v>
      </c>
      <c r="D253" s="37" t="s">
        <v>693</v>
      </c>
      <c r="E253" s="14">
        <v>60</v>
      </c>
      <c r="F253" s="33">
        <v>43.07</v>
      </c>
      <c r="G253" s="16">
        <v>0.41539999999999999</v>
      </c>
      <c r="H253" s="16">
        <v>5.6820000000000002E-2</v>
      </c>
      <c r="I253" s="15">
        <f t="shared" si="20"/>
        <v>25.178722</v>
      </c>
      <c r="J253" s="15">
        <f t="shared" si="21"/>
        <v>23.74806701596</v>
      </c>
      <c r="K253" s="17">
        <v>0.45569999999999999</v>
      </c>
      <c r="L253" s="15">
        <f t="shared" si="22"/>
        <v>23.443000999999999</v>
      </c>
      <c r="M253" s="18">
        <f t="shared" si="23"/>
        <v>22.110969683179999</v>
      </c>
      <c r="N253" s="30">
        <v>0</v>
      </c>
      <c r="O253" s="20"/>
      <c r="P253" s="19">
        <f t="shared" si="19"/>
        <v>0</v>
      </c>
    </row>
    <row r="254" spans="1:16" ht="15" customHeight="1" x14ac:dyDescent="0.25">
      <c r="A254" s="36" t="s">
        <v>460</v>
      </c>
      <c r="B254" s="36">
        <v>7896714295510</v>
      </c>
      <c r="C254" s="36" t="s">
        <v>671</v>
      </c>
      <c r="D254" s="37" t="s">
        <v>675</v>
      </c>
      <c r="E254" s="14">
        <v>60</v>
      </c>
      <c r="F254" s="33">
        <v>81.12</v>
      </c>
      <c r="G254" s="16">
        <v>0.38</v>
      </c>
      <c r="H254" s="16">
        <v>5.6820000000000002E-2</v>
      </c>
      <c r="I254" s="15">
        <f t="shared" si="20"/>
        <v>50.294400000000003</v>
      </c>
      <c r="J254" s="15">
        <f t="shared" si="21"/>
        <v>47.436672192000003</v>
      </c>
      <c r="K254" s="17">
        <v>0.42299999999999999</v>
      </c>
      <c r="L254" s="15">
        <f t="shared" si="22"/>
        <v>46.806240000000003</v>
      </c>
      <c r="M254" s="18">
        <f t="shared" si="23"/>
        <v>44.146709443200002</v>
      </c>
      <c r="N254" s="30">
        <v>0</v>
      </c>
      <c r="O254" s="20"/>
      <c r="P254" s="19">
        <f t="shared" si="19"/>
        <v>0</v>
      </c>
    </row>
    <row r="255" spans="1:16" ht="15" customHeight="1" x14ac:dyDescent="0.25">
      <c r="A255" s="36" t="s">
        <v>460</v>
      </c>
      <c r="B255" s="36">
        <v>7896714292267</v>
      </c>
      <c r="C255" s="36" t="s">
        <v>613</v>
      </c>
      <c r="D255" s="37" t="s">
        <v>614</v>
      </c>
      <c r="E255" s="14">
        <v>30</v>
      </c>
      <c r="F255" s="33">
        <v>24.2</v>
      </c>
      <c r="G255" s="16">
        <v>0.3624</v>
      </c>
      <c r="H255" s="16">
        <v>0.13542000000000001</v>
      </c>
      <c r="I255" s="15">
        <f t="shared" si="20"/>
        <v>15.429919999999999</v>
      </c>
      <c r="J255" s="15">
        <f t="shared" si="21"/>
        <v>13.340400233599999</v>
      </c>
      <c r="K255" s="17">
        <v>0.46550000000000002</v>
      </c>
      <c r="L255" s="15">
        <f t="shared" si="22"/>
        <v>12.934899999999999</v>
      </c>
      <c r="M255" s="18">
        <f t="shared" si="23"/>
        <v>11.183255841999999</v>
      </c>
      <c r="N255" s="30">
        <v>0</v>
      </c>
      <c r="O255" s="20"/>
      <c r="P255" s="19">
        <f t="shared" si="19"/>
        <v>0</v>
      </c>
    </row>
    <row r="256" spans="1:16" ht="15" customHeight="1" x14ac:dyDescent="0.25">
      <c r="A256" s="36" t="s">
        <v>460</v>
      </c>
      <c r="B256" s="36">
        <v>7896714292298</v>
      </c>
      <c r="C256" s="36" t="s">
        <v>615</v>
      </c>
      <c r="D256" s="37" t="s">
        <v>616</v>
      </c>
      <c r="E256" s="14">
        <v>30</v>
      </c>
      <c r="F256" s="33">
        <v>46</v>
      </c>
      <c r="G256" s="16">
        <v>0.36399999999999999</v>
      </c>
      <c r="H256" s="16">
        <v>0.13542000000000001</v>
      </c>
      <c r="I256" s="15">
        <f t="shared" si="20"/>
        <v>29.256</v>
      </c>
      <c r="J256" s="15">
        <f t="shared" si="21"/>
        <v>25.294152480000001</v>
      </c>
      <c r="K256" s="17">
        <v>0.46700000000000003</v>
      </c>
      <c r="L256" s="15">
        <f t="shared" si="22"/>
        <v>24.517999999999997</v>
      </c>
      <c r="M256" s="18">
        <f t="shared" si="23"/>
        <v>21.197772439999998</v>
      </c>
      <c r="N256" s="30">
        <v>0</v>
      </c>
      <c r="O256" s="20"/>
      <c r="P256" s="19">
        <f t="shared" si="19"/>
        <v>0</v>
      </c>
    </row>
    <row r="257" spans="1:16" x14ac:dyDescent="0.25">
      <c r="A257" s="36" t="s">
        <v>460</v>
      </c>
      <c r="B257" s="36">
        <v>7896714292281</v>
      </c>
      <c r="C257" s="36" t="s">
        <v>617</v>
      </c>
      <c r="D257" s="37" t="s">
        <v>618</v>
      </c>
      <c r="E257" s="14">
        <v>30</v>
      </c>
      <c r="F257" s="33">
        <v>54.49</v>
      </c>
      <c r="G257" s="16">
        <v>0.22539999999999999</v>
      </c>
      <c r="H257" s="16">
        <v>0.13542000000000001</v>
      </c>
      <c r="I257" s="15">
        <f t="shared" si="20"/>
        <v>42.207954000000001</v>
      </c>
      <c r="J257" s="15">
        <f t="shared" si="21"/>
        <v>36.492152869320002</v>
      </c>
      <c r="K257" s="17">
        <v>0.35089999999999999</v>
      </c>
      <c r="L257" s="15">
        <f t="shared" si="22"/>
        <v>35.369459000000006</v>
      </c>
      <c r="M257" s="18">
        <f t="shared" si="23"/>
        <v>30.579726862220006</v>
      </c>
      <c r="N257" s="30">
        <v>0</v>
      </c>
      <c r="O257" s="20"/>
      <c r="P257" s="19">
        <f t="shared" si="19"/>
        <v>0</v>
      </c>
    </row>
    <row r="258" spans="1:16" ht="15" customHeight="1" x14ac:dyDescent="0.25">
      <c r="A258" s="36" t="s">
        <v>460</v>
      </c>
      <c r="B258" s="36">
        <v>7896714295862</v>
      </c>
      <c r="C258" s="36" t="s">
        <v>803</v>
      </c>
      <c r="D258" s="37" t="s">
        <v>805</v>
      </c>
      <c r="E258" s="14">
        <v>40</v>
      </c>
      <c r="F258" s="33">
        <v>388.93</v>
      </c>
      <c r="G258" s="16">
        <v>0.39369999999999999</v>
      </c>
      <c r="H258" s="16">
        <v>0.13542000000000001</v>
      </c>
      <c r="I258" s="15">
        <f t="shared" si="20"/>
        <v>235.80825899999999</v>
      </c>
      <c r="J258" s="15">
        <f t="shared" si="21"/>
        <v>203.87510456621999</v>
      </c>
      <c r="K258" s="17">
        <v>0.41039999999999999</v>
      </c>
      <c r="L258" s="15">
        <f t="shared" si="22"/>
        <v>229.31312800000001</v>
      </c>
      <c r="M258" s="18">
        <f t="shared" si="23"/>
        <v>198.25954420624001</v>
      </c>
      <c r="N258" s="30">
        <v>0</v>
      </c>
      <c r="O258" s="20"/>
      <c r="P258" s="19">
        <f t="shared" si="19"/>
        <v>0</v>
      </c>
    </row>
    <row r="259" spans="1:16" ht="15" customHeight="1" x14ac:dyDescent="0.25">
      <c r="A259" s="36" t="s">
        <v>460</v>
      </c>
      <c r="B259" s="36">
        <v>7896714205861</v>
      </c>
      <c r="C259" s="36" t="s">
        <v>307</v>
      </c>
      <c r="D259" s="37" t="s">
        <v>159</v>
      </c>
      <c r="E259" s="14">
        <v>100</v>
      </c>
      <c r="F259" s="33">
        <v>24.08</v>
      </c>
      <c r="G259" s="16">
        <v>0.72550000000000003</v>
      </c>
      <c r="H259" s="16">
        <v>5.6820000000000002E-2</v>
      </c>
      <c r="I259" s="15">
        <f t="shared" si="20"/>
        <v>6.6099599999999974</v>
      </c>
      <c r="J259" s="15">
        <f t="shared" si="21"/>
        <v>6.2343820727999972</v>
      </c>
      <c r="K259" s="17">
        <v>0.73850000000000005</v>
      </c>
      <c r="L259" s="15">
        <f t="shared" si="22"/>
        <v>6.2969200000000001</v>
      </c>
      <c r="M259" s="18">
        <f t="shared" si="23"/>
        <v>5.9391290055999999</v>
      </c>
      <c r="N259" s="30">
        <v>0</v>
      </c>
      <c r="O259" s="20"/>
      <c r="P259" s="19">
        <f t="shared" si="19"/>
        <v>0</v>
      </c>
    </row>
    <row r="260" spans="1:16" ht="15" customHeight="1" x14ac:dyDescent="0.25">
      <c r="A260" s="36" t="s">
        <v>460</v>
      </c>
      <c r="B260" s="36">
        <v>7896714224114</v>
      </c>
      <c r="C260" s="36" t="s">
        <v>308</v>
      </c>
      <c r="D260" s="37" t="s">
        <v>160</v>
      </c>
      <c r="E260" s="14">
        <v>60</v>
      </c>
      <c r="F260" s="33">
        <v>42.12</v>
      </c>
      <c r="G260" s="16">
        <v>0.6048</v>
      </c>
      <c r="H260" s="16">
        <v>5.6820000000000002E-2</v>
      </c>
      <c r="I260" s="15">
        <f t="shared" si="20"/>
        <v>16.645823999999998</v>
      </c>
      <c r="J260" s="15">
        <f t="shared" si="21"/>
        <v>15.700008280319997</v>
      </c>
      <c r="K260" s="17">
        <v>0.62360000000000004</v>
      </c>
      <c r="L260" s="15">
        <f t="shared" si="22"/>
        <v>15.853967999999998</v>
      </c>
      <c r="M260" s="18">
        <f t="shared" si="23"/>
        <v>14.953145538239998</v>
      </c>
      <c r="N260" s="30">
        <v>0</v>
      </c>
      <c r="O260" s="20"/>
      <c r="P260" s="19">
        <f t="shared" si="19"/>
        <v>0</v>
      </c>
    </row>
    <row r="261" spans="1:16" ht="15" customHeight="1" x14ac:dyDescent="0.25">
      <c r="A261" s="36" t="s">
        <v>460</v>
      </c>
      <c r="B261" s="36">
        <v>7896714241319</v>
      </c>
      <c r="C261" s="36" t="s">
        <v>309</v>
      </c>
      <c r="D261" s="37" t="s">
        <v>161</v>
      </c>
      <c r="E261" s="14">
        <v>60</v>
      </c>
      <c r="F261" s="33">
        <v>60.16</v>
      </c>
      <c r="G261" s="16">
        <v>0.57340000000000002</v>
      </c>
      <c r="H261" s="16">
        <v>5.6820000000000002E-2</v>
      </c>
      <c r="I261" s="15">
        <f t="shared" si="20"/>
        <v>25.664255999999995</v>
      </c>
      <c r="J261" s="15">
        <f t="shared" si="21"/>
        <v>24.206012974079997</v>
      </c>
      <c r="K261" s="17">
        <v>0.59379999999999999</v>
      </c>
      <c r="L261" s="15">
        <f t="shared" si="22"/>
        <v>24.436991999999996</v>
      </c>
      <c r="M261" s="18">
        <f t="shared" si="23"/>
        <v>23.048482114559995</v>
      </c>
      <c r="N261" s="30">
        <v>0</v>
      </c>
      <c r="O261" s="20"/>
      <c r="P261" s="19">
        <f t="shared" si="19"/>
        <v>0</v>
      </c>
    </row>
    <row r="262" spans="1:16" ht="15" customHeight="1" x14ac:dyDescent="0.25">
      <c r="A262" s="36" t="s">
        <v>460</v>
      </c>
      <c r="B262" s="36">
        <v>7896714241340</v>
      </c>
      <c r="C262" s="36" t="s">
        <v>310</v>
      </c>
      <c r="D262" s="37" t="s">
        <v>162</v>
      </c>
      <c r="E262" s="14">
        <v>60</v>
      </c>
      <c r="F262" s="33">
        <v>73.28</v>
      </c>
      <c r="G262" s="16">
        <v>0.51839999999999997</v>
      </c>
      <c r="H262" s="16">
        <v>5.6820000000000002E-2</v>
      </c>
      <c r="I262" s="15">
        <f t="shared" si="20"/>
        <v>35.291648000000002</v>
      </c>
      <c r="J262" s="15">
        <f t="shared" si="21"/>
        <v>33.286376560640001</v>
      </c>
      <c r="K262" s="17">
        <v>0.5413</v>
      </c>
      <c r="L262" s="15">
        <f t="shared" si="22"/>
        <v>33.613536000000003</v>
      </c>
      <c r="M262" s="18">
        <f t="shared" si="23"/>
        <v>31.703614884480004</v>
      </c>
      <c r="N262" s="30">
        <v>0</v>
      </c>
      <c r="O262" s="20"/>
      <c r="P262" s="19">
        <f t="shared" ref="P262:P325" si="24">M262*O262</f>
        <v>0</v>
      </c>
    </row>
    <row r="263" spans="1:16" ht="15" customHeight="1" x14ac:dyDescent="0.25">
      <c r="A263" s="36" t="s">
        <v>460</v>
      </c>
      <c r="B263" s="36">
        <v>7896714241289</v>
      </c>
      <c r="C263" s="36" t="s">
        <v>311</v>
      </c>
      <c r="D263" s="37" t="s">
        <v>163</v>
      </c>
      <c r="E263" s="14">
        <v>60</v>
      </c>
      <c r="F263" s="33">
        <v>63.2</v>
      </c>
      <c r="G263" s="16">
        <v>0.69779999999999998</v>
      </c>
      <c r="H263" s="16">
        <v>5.6820000000000002E-2</v>
      </c>
      <c r="I263" s="15">
        <f t="shared" si="20"/>
        <v>19.099040000000002</v>
      </c>
      <c r="J263" s="15">
        <f t="shared" si="21"/>
        <v>18.013832547200003</v>
      </c>
      <c r="K263" s="17">
        <v>0.71209999999999996</v>
      </c>
      <c r="L263" s="15">
        <f t="shared" si="22"/>
        <v>18.195280000000004</v>
      </c>
      <c r="M263" s="18">
        <f t="shared" si="23"/>
        <v>17.161424190400005</v>
      </c>
      <c r="N263" s="30">
        <v>0</v>
      </c>
      <c r="O263" s="20"/>
      <c r="P263" s="19">
        <f t="shared" si="24"/>
        <v>0</v>
      </c>
    </row>
    <row r="264" spans="1:16" ht="15" customHeight="1" x14ac:dyDescent="0.25">
      <c r="A264" s="36" t="s">
        <v>460</v>
      </c>
      <c r="B264" s="36">
        <v>7896714292854</v>
      </c>
      <c r="C264" s="36" t="s">
        <v>563</v>
      </c>
      <c r="D264" s="37" t="s">
        <v>571</v>
      </c>
      <c r="E264" s="14">
        <v>28</v>
      </c>
      <c r="F264" s="33">
        <v>124.13</v>
      </c>
      <c r="G264" s="16">
        <v>0.4859</v>
      </c>
      <c r="H264" s="16">
        <v>5.6820000000000002E-2</v>
      </c>
      <c r="I264" s="15">
        <f t="shared" ref="I264:I327" si="25">F264-(F264*G264)</f>
        <v>63.815232999999999</v>
      </c>
      <c r="J264" s="15">
        <f t="shared" ref="J264:J325" si="26">I264-(I264*H264)</f>
        <v>60.18925146094</v>
      </c>
      <c r="K264" s="17">
        <v>0.51590000000000003</v>
      </c>
      <c r="L264" s="15">
        <f t="shared" ref="L264:L327" si="27">F264-(F264*K264)</f>
        <v>60.091332999999992</v>
      </c>
      <c r="M264" s="18">
        <f t="shared" ref="M264:M327" si="28">L264-(L264*H264)</f>
        <v>56.676943458939995</v>
      </c>
      <c r="N264" s="30">
        <v>0</v>
      </c>
      <c r="O264" s="20"/>
      <c r="P264" s="19">
        <f t="shared" si="24"/>
        <v>0</v>
      </c>
    </row>
    <row r="265" spans="1:16" ht="15" customHeight="1" x14ac:dyDescent="0.25">
      <c r="A265" s="40" t="s">
        <v>461</v>
      </c>
      <c r="B265" s="40">
        <v>7896714225586</v>
      </c>
      <c r="C265" s="40" t="s">
        <v>170</v>
      </c>
      <c r="D265" s="41" t="s">
        <v>1</v>
      </c>
      <c r="E265" s="27">
        <v>60</v>
      </c>
      <c r="F265" s="34">
        <v>25.71</v>
      </c>
      <c r="G265" s="28">
        <v>0.67610000000000003</v>
      </c>
      <c r="H265" s="28">
        <v>5.6820000000000002E-2</v>
      </c>
      <c r="I265" s="13">
        <f t="shared" si="25"/>
        <v>8.3274690000000007</v>
      </c>
      <c r="J265" s="13">
        <f t="shared" si="26"/>
        <v>7.8543022114200003</v>
      </c>
      <c r="K265" s="29">
        <v>0.69169999999999998</v>
      </c>
      <c r="L265" s="13">
        <f t="shared" si="27"/>
        <v>7.9263930000000009</v>
      </c>
      <c r="M265" s="12">
        <f t="shared" si="28"/>
        <v>7.4760153497400008</v>
      </c>
      <c r="N265" s="30">
        <v>0</v>
      </c>
      <c r="O265" s="20"/>
      <c r="P265" s="3">
        <f t="shared" si="24"/>
        <v>0</v>
      </c>
    </row>
    <row r="266" spans="1:16" ht="15" customHeight="1" x14ac:dyDescent="0.25">
      <c r="A266" s="40" t="s">
        <v>461</v>
      </c>
      <c r="B266" s="40">
        <v>7896714231198</v>
      </c>
      <c r="C266" s="40" t="s">
        <v>171</v>
      </c>
      <c r="D266" s="41" t="s">
        <v>2</v>
      </c>
      <c r="E266" s="27">
        <v>60</v>
      </c>
      <c r="F266" s="34">
        <v>24.23</v>
      </c>
      <c r="G266" s="28">
        <v>0.69810000000000005</v>
      </c>
      <c r="H266" s="28">
        <v>5.6820000000000002E-2</v>
      </c>
      <c r="I266" s="13">
        <f t="shared" si="25"/>
        <v>7.3150370000000002</v>
      </c>
      <c r="J266" s="13">
        <f t="shared" si="26"/>
        <v>6.89939659766</v>
      </c>
      <c r="K266" s="29">
        <v>0.71230000000000004</v>
      </c>
      <c r="L266" s="13">
        <f t="shared" si="27"/>
        <v>6.9709709999999987</v>
      </c>
      <c r="M266" s="12">
        <f t="shared" si="28"/>
        <v>6.5748804277799984</v>
      </c>
      <c r="N266" s="30">
        <v>0</v>
      </c>
      <c r="O266" s="20"/>
      <c r="P266" s="3">
        <f t="shared" si="24"/>
        <v>0</v>
      </c>
    </row>
    <row r="267" spans="1:16" ht="15" customHeight="1" x14ac:dyDescent="0.25">
      <c r="A267" s="40" t="s">
        <v>461</v>
      </c>
      <c r="B267" s="40">
        <v>7896714265858</v>
      </c>
      <c r="C267" s="40" t="s">
        <v>390</v>
      </c>
      <c r="D267" s="41" t="s">
        <v>391</v>
      </c>
      <c r="E267" s="27">
        <v>60</v>
      </c>
      <c r="F267" s="34">
        <v>23.1</v>
      </c>
      <c r="G267" s="28">
        <v>0.74460000000000004</v>
      </c>
      <c r="H267" s="28">
        <v>5.6820000000000002E-2</v>
      </c>
      <c r="I267" s="13">
        <f t="shared" si="25"/>
        <v>5.8997399999999978</v>
      </c>
      <c r="J267" s="13">
        <f t="shared" si="26"/>
        <v>5.5645167731999976</v>
      </c>
      <c r="K267" s="29">
        <v>0.75670000000000004</v>
      </c>
      <c r="L267" s="13">
        <f t="shared" si="27"/>
        <v>5.6202299999999994</v>
      </c>
      <c r="M267" s="12">
        <f t="shared" si="28"/>
        <v>5.3008885313999992</v>
      </c>
      <c r="N267" s="30">
        <v>0</v>
      </c>
      <c r="O267" s="20"/>
      <c r="P267" s="3">
        <f t="shared" si="24"/>
        <v>0</v>
      </c>
    </row>
    <row r="268" spans="1:16" x14ac:dyDescent="0.25">
      <c r="A268" s="40" t="s">
        <v>461</v>
      </c>
      <c r="B268" s="40">
        <v>7896714202976</v>
      </c>
      <c r="C268" s="40" t="s">
        <v>314</v>
      </c>
      <c r="D268" s="41" t="s">
        <v>318</v>
      </c>
      <c r="E268" s="27">
        <v>100</v>
      </c>
      <c r="F268" s="34">
        <v>11.84</v>
      </c>
      <c r="G268" s="28">
        <v>0.60799999999999998</v>
      </c>
      <c r="H268" s="28">
        <v>5.6820000000000002E-2</v>
      </c>
      <c r="I268" s="13">
        <f t="shared" si="25"/>
        <v>4.6412800000000001</v>
      </c>
      <c r="J268" s="13">
        <f t="shared" si="26"/>
        <v>4.3775624704</v>
      </c>
      <c r="K268" s="29">
        <v>0.62690000000000001</v>
      </c>
      <c r="L268" s="13">
        <f t="shared" si="27"/>
        <v>4.4175040000000001</v>
      </c>
      <c r="M268" s="12">
        <f t="shared" si="28"/>
        <v>4.1665014227199997</v>
      </c>
      <c r="N268" s="30">
        <v>0</v>
      </c>
      <c r="O268" s="20"/>
      <c r="P268" s="3">
        <f t="shared" si="24"/>
        <v>0</v>
      </c>
    </row>
    <row r="269" spans="1:16" ht="15" customHeight="1" x14ac:dyDescent="0.25">
      <c r="A269" s="40" t="s">
        <v>461</v>
      </c>
      <c r="B269" s="40">
        <v>7896714224459</v>
      </c>
      <c r="C269" s="40" t="s">
        <v>315</v>
      </c>
      <c r="D269" s="41" t="s">
        <v>319</v>
      </c>
      <c r="E269" s="27">
        <v>60</v>
      </c>
      <c r="F269" s="34">
        <v>14.34</v>
      </c>
      <c r="G269" s="28">
        <v>0.56740000000000002</v>
      </c>
      <c r="H269" s="28">
        <v>5.6820000000000002E-2</v>
      </c>
      <c r="I269" s="13">
        <f t="shared" si="25"/>
        <v>6.2034839999999996</v>
      </c>
      <c r="J269" s="13">
        <f t="shared" si="26"/>
        <v>5.8510020391199999</v>
      </c>
      <c r="K269" s="29">
        <v>0.58789999999999998</v>
      </c>
      <c r="L269" s="13">
        <f t="shared" si="27"/>
        <v>5.9095139999999997</v>
      </c>
      <c r="M269" s="12">
        <f t="shared" si="28"/>
        <v>5.5737354145199998</v>
      </c>
      <c r="N269" s="30">
        <v>0</v>
      </c>
      <c r="O269" s="20"/>
      <c r="P269" s="3">
        <f t="shared" si="24"/>
        <v>0</v>
      </c>
    </row>
    <row r="270" spans="1:16" ht="15" customHeight="1" x14ac:dyDescent="0.25">
      <c r="A270" s="40" t="s">
        <v>461</v>
      </c>
      <c r="B270" s="40">
        <v>7896714200699</v>
      </c>
      <c r="C270" s="40" t="s">
        <v>172</v>
      </c>
      <c r="D270" s="41" t="s">
        <v>3</v>
      </c>
      <c r="E270" s="27">
        <v>60</v>
      </c>
      <c r="F270" s="34">
        <v>23.58</v>
      </c>
      <c r="G270" s="28">
        <v>0.73280000000000001</v>
      </c>
      <c r="H270" s="28">
        <v>5.6820000000000002E-2</v>
      </c>
      <c r="I270" s="13">
        <f t="shared" si="25"/>
        <v>6.3005759999999995</v>
      </c>
      <c r="J270" s="13">
        <f t="shared" si="26"/>
        <v>5.9425772716799994</v>
      </c>
      <c r="K270" s="29">
        <v>0.74550000000000005</v>
      </c>
      <c r="L270" s="13">
        <f t="shared" si="27"/>
        <v>6.0011099999999971</v>
      </c>
      <c r="M270" s="12">
        <f t="shared" si="28"/>
        <v>5.660126929799997</v>
      </c>
      <c r="N270" s="30">
        <v>0</v>
      </c>
      <c r="O270" s="20"/>
      <c r="P270" s="3">
        <f t="shared" si="24"/>
        <v>0</v>
      </c>
    </row>
    <row r="271" spans="1:16" ht="15" customHeight="1" x14ac:dyDescent="0.25">
      <c r="A271" s="40" t="s">
        <v>461</v>
      </c>
      <c r="B271" s="40">
        <v>7896714200705</v>
      </c>
      <c r="C271" s="40" t="s">
        <v>173</v>
      </c>
      <c r="D271" s="41" t="s">
        <v>4</v>
      </c>
      <c r="E271" s="27">
        <v>60</v>
      </c>
      <c r="F271" s="34">
        <v>13.51</v>
      </c>
      <c r="G271" s="28">
        <v>0.6835</v>
      </c>
      <c r="H271" s="28">
        <v>5.6820000000000002E-2</v>
      </c>
      <c r="I271" s="13">
        <f t="shared" si="25"/>
        <v>4.2759149999999995</v>
      </c>
      <c r="J271" s="13">
        <f t="shared" si="26"/>
        <v>4.0329575096999992</v>
      </c>
      <c r="K271" s="29">
        <v>0.69850000000000001</v>
      </c>
      <c r="L271" s="13">
        <f t="shared" si="27"/>
        <v>4.0732649999999992</v>
      </c>
      <c r="M271" s="12">
        <f t="shared" si="28"/>
        <v>3.8418220826999994</v>
      </c>
      <c r="N271" s="30">
        <v>0</v>
      </c>
      <c r="O271" s="20"/>
      <c r="P271" s="3">
        <f t="shared" si="24"/>
        <v>0</v>
      </c>
    </row>
    <row r="272" spans="1:16" ht="15" customHeight="1" x14ac:dyDescent="0.25">
      <c r="A272" s="40" t="s">
        <v>461</v>
      </c>
      <c r="B272" s="40">
        <v>7896714290591</v>
      </c>
      <c r="C272" s="40" t="s">
        <v>425</v>
      </c>
      <c r="D272" s="41" t="s">
        <v>426</v>
      </c>
      <c r="E272" s="27">
        <v>24</v>
      </c>
      <c r="F272" s="34">
        <v>39.11</v>
      </c>
      <c r="G272" s="28">
        <v>0.60319999999999996</v>
      </c>
      <c r="H272" s="28">
        <v>5.6820000000000002E-2</v>
      </c>
      <c r="I272" s="13">
        <f t="shared" si="25"/>
        <v>15.518848000000002</v>
      </c>
      <c r="J272" s="13">
        <f t="shared" si="26"/>
        <v>14.637067056640001</v>
      </c>
      <c r="K272" s="29">
        <v>0.62219999999999998</v>
      </c>
      <c r="L272" s="13">
        <f t="shared" si="27"/>
        <v>14.775758</v>
      </c>
      <c r="M272" s="12">
        <f t="shared" si="28"/>
        <v>13.93619943044</v>
      </c>
      <c r="N272" s="30">
        <v>0</v>
      </c>
      <c r="O272" s="20"/>
      <c r="P272" s="3">
        <f t="shared" si="24"/>
        <v>0</v>
      </c>
    </row>
    <row r="273" spans="1:16" ht="15" customHeight="1" x14ac:dyDescent="0.25">
      <c r="A273" s="40" t="s">
        <v>461</v>
      </c>
      <c r="B273" s="40">
        <v>7896714290584</v>
      </c>
      <c r="C273" s="40" t="s">
        <v>423</v>
      </c>
      <c r="D273" s="41" t="s">
        <v>424</v>
      </c>
      <c r="E273" s="27">
        <v>24</v>
      </c>
      <c r="F273" s="34">
        <v>58.57</v>
      </c>
      <c r="G273" s="28">
        <v>0.63260000000000005</v>
      </c>
      <c r="H273" s="28">
        <v>5.6820000000000002E-2</v>
      </c>
      <c r="I273" s="13">
        <f t="shared" si="25"/>
        <v>21.518617999999996</v>
      </c>
      <c r="J273" s="13">
        <f t="shared" si="26"/>
        <v>20.295930125239998</v>
      </c>
      <c r="K273" s="29">
        <v>0.65</v>
      </c>
      <c r="L273" s="13">
        <f t="shared" si="27"/>
        <v>20.499499999999998</v>
      </c>
      <c r="M273" s="12">
        <f t="shared" si="28"/>
        <v>19.334718409999997</v>
      </c>
      <c r="N273" s="30">
        <v>0</v>
      </c>
      <c r="O273" s="20"/>
      <c r="P273" s="3">
        <f t="shared" si="24"/>
        <v>0</v>
      </c>
    </row>
    <row r="274" spans="1:16" ht="15" customHeight="1" x14ac:dyDescent="0.25">
      <c r="A274" s="40" t="s">
        <v>461</v>
      </c>
      <c r="B274" s="40">
        <v>7896714291024</v>
      </c>
      <c r="C274" s="40" t="s">
        <v>596</v>
      </c>
      <c r="D274" s="41" t="s">
        <v>599</v>
      </c>
      <c r="E274" s="27">
        <v>60</v>
      </c>
      <c r="F274" s="34">
        <v>26.86</v>
      </c>
      <c r="G274" s="28">
        <v>0.70940000000000003</v>
      </c>
      <c r="H274" s="28">
        <v>5.6820000000000002E-2</v>
      </c>
      <c r="I274" s="13">
        <f t="shared" si="25"/>
        <v>7.8055160000000008</v>
      </c>
      <c r="J274" s="13">
        <f t="shared" si="26"/>
        <v>7.362006580880001</v>
      </c>
      <c r="K274" s="29">
        <v>0.72340000000000004</v>
      </c>
      <c r="L274" s="13">
        <f t="shared" si="27"/>
        <v>7.4294759999999975</v>
      </c>
      <c r="M274" s="12">
        <f t="shared" si="28"/>
        <v>7.0073331736799975</v>
      </c>
      <c r="N274" s="30">
        <v>0</v>
      </c>
      <c r="O274" s="20"/>
      <c r="P274" s="3">
        <f t="shared" si="24"/>
        <v>0</v>
      </c>
    </row>
    <row r="275" spans="1:16" ht="15" customHeight="1" x14ac:dyDescent="0.25">
      <c r="A275" s="40" t="s">
        <v>461</v>
      </c>
      <c r="B275" s="40">
        <v>7896714291000</v>
      </c>
      <c r="C275" s="40" t="s">
        <v>597</v>
      </c>
      <c r="D275" s="41" t="s">
        <v>600</v>
      </c>
      <c r="E275" s="27">
        <v>12</v>
      </c>
      <c r="F275" s="34">
        <v>102.07</v>
      </c>
      <c r="G275" s="28">
        <v>0.59799999999999998</v>
      </c>
      <c r="H275" s="28">
        <v>5.6820000000000002E-2</v>
      </c>
      <c r="I275" s="13">
        <f t="shared" si="25"/>
        <v>41.032139999999998</v>
      </c>
      <c r="J275" s="13">
        <f t="shared" si="26"/>
        <v>38.700693805199997</v>
      </c>
      <c r="K275" s="29">
        <v>0.61709999999999998</v>
      </c>
      <c r="L275" s="13">
        <f t="shared" si="27"/>
        <v>39.082602999999999</v>
      </c>
      <c r="M275" s="12">
        <f t="shared" si="28"/>
        <v>36.861929497539997</v>
      </c>
      <c r="N275" s="30">
        <v>0</v>
      </c>
      <c r="O275" s="20"/>
      <c r="P275" s="3">
        <f t="shared" si="24"/>
        <v>0</v>
      </c>
    </row>
    <row r="276" spans="1:16" ht="15" customHeight="1" x14ac:dyDescent="0.25">
      <c r="A276" s="40" t="s">
        <v>461</v>
      </c>
      <c r="B276" s="40">
        <v>7896714291017</v>
      </c>
      <c r="C276" s="40" t="s">
        <v>598</v>
      </c>
      <c r="D276" s="41" t="s">
        <v>601</v>
      </c>
      <c r="E276" s="27">
        <v>12</v>
      </c>
      <c r="F276" s="34">
        <v>161.01</v>
      </c>
      <c r="G276" s="28">
        <v>0.74490000000000001</v>
      </c>
      <c r="H276" s="28">
        <v>5.6820000000000002E-2</v>
      </c>
      <c r="I276" s="13">
        <f t="shared" si="25"/>
        <v>41.073650999999998</v>
      </c>
      <c r="J276" s="13">
        <f t="shared" si="26"/>
        <v>38.73984615018</v>
      </c>
      <c r="K276" s="29">
        <v>0.7571</v>
      </c>
      <c r="L276" s="13">
        <f t="shared" si="27"/>
        <v>39.109329000000002</v>
      </c>
      <c r="M276" s="12">
        <f t="shared" si="28"/>
        <v>36.887136926220002</v>
      </c>
      <c r="N276" s="30">
        <v>0</v>
      </c>
      <c r="O276" s="20"/>
      <c r="P276" s="3">
        <f t="shared" si="24"/>
        <v>0</v>
      </c>
    </row>
    <row r="277" spans="1:16" ht="15" customHeight="1" x14ac:dyDescent="0.25">
      <c r="A277" s="40" t="s">
        <v>461</v>
      </c>
      <c r="B277" s="40">
        <v>7896714265124</v>
      </c>
      <c r="C277" s="40" t="s">
        <v>174</v>
      </c>
      <c r="D277" s="41" t="s">
        <v>5</v>
      </c>
      <c r="E277" s="27">
        <v>60</v>
      </c>
      <c r="F277" s="34">
        <v>14.24</v>
      </c>
      <c r="G277" s="28">
        <v>0.55940000000000001</v>
      </c>
      <c r="H277" s="28">
        <v>5.6820000000000002E-2</v>
      </c>
      <c r="I277" s="13">
        <f t="shared" si="25"/>
        <v>6.2741439999999997</v>
      </c>
      <c r="J277" s="13">
        <f t="shared" si="26"/>
        <v>5.9176471379199995</v>
      </c>
      <c r="K277" s="29">
        <v>0.62549999999999994</v>
      </c>
      <c r="L277" s="13">
        <f t="shared" si="27"/>
        <v>5.3328800000000012</v>
      </c>
      <c r="M277" s="12">
        <f t="shared" si="28"/>
        <v>5.0298657584000015</v>
      </c>
      <c r="N277" s="30">
        <v>0</v>
      </c>
      <c r="O277" s="20"/>
      <c r="P277" s="3">
        <f t="shared" si="24"/>
        <v>0</v>
      </c>
    </row>
    <row r="278" spans="1:16" ht="15" customHeight="1" x14ac:dyDescent="0.25">
      <c r="A278" s="40" t="s">
        <v>461</v>
      </c>
      <c r="B278" s="40">
        <v>7896714214764</v>
      </c>
      <c r="C278" s="40" t="s">
        <v>175</v>
      </c>
      <c r="D278" s="41" t="s">
        <v>6</v>
      </c>
      <c r="E278" s="27">
        <v>12</v>
      </c>
      <c r="F278" s="34">
        <v>90.46</v>
      </c>
      <c r="G278" s="28">
        <v>0.56730000000000003</v>
      </c>
      <c r="H278" s="28">
        <v>5.6820000000000002E-2</v>
      </c>
      <c r="I278" s="13">
        <f t="shared" si="25"/>
        <v>39.142041999999996</v>
      </c>
      <c r="J278" s="13">
        <f t="shared" si="26"/>
        <v>36.917991173559997</v>
      </c>
      <c r="K278" s="29">
        <v>0.6321</v>
      </c>
      <c r="L278" s="13">
        <f t="shared" si="27"/>
        <v>33.280234</v>
      </c>
      <c r="M278" s="12">
        <f t="shared" si="28"/>
        <v>31.38925110412</v>
      </c>
      <c r="N278" s="30">
        <v>0</v>
      </c>
      <c r="O278" s="20"/>
      <c r="P278" s="3">
        <f t="shared" si="24"/>
        <v>0</v>
      </c>
    </row>
    <row r="279" spans="1:16" ht="15" customHeight="1" x14ac:dyDescent="0.25">
      <c r="A279" s="40" t="s">
        <v>461</v>
      </c>
      <c r="B279" s="40">
        <v>7896622304847</v>
      </c>
      <c r="C279" s="40" t="s">
        <v>176</v>
      </c>
      <c r="D279" s="41" t="s">
        <v>7</v>
      </c>
      <c r="E279" s="27">
        <v>42</v>
      </c>
      <c r="F279" s="34">
        <v>13.88</v>
      </c>
      <c r="G279" s="28">
        <v>0.65190000000000003</v>
      </c>
      <c r="H279" s="28">
        <v>5.6820000000000002E-2</v>
      </c>
      <c r="I279" s="13">
        <f t="shared" si="25"/>
        <v>4.8316280000000003</v>
      </c>
      <c r="J279" s="13">
        <f t="shared" si="26"/>
        <v>4.5570948970399998</v>
      </c>
      <c r="K279" s="29">
        <v>0.66849999999999998</v>
      </c>
      <c r="L279" s="13">
        <f t="shared" si="27"/>
        <v>4.6012199999999996</v>
      </c>
      <c r="M279" s="12">
        <f t="shared" si="28"/>
        <v>4.3397786795999993</v>
      </c>
      <c r="N279" s="30">
        <v>0</v>
      </c>
      <c r="O279" s="20"/>
      <c r="P279" s="3">
        <f t="shared" si="24"/>
        <v>0</v>
      </c>
    </row>
    <row r="280" spans="1:16" ht="15" customHeight="1" x14ac:dyDescent="0.25">
      <c r="A280" s="40" t="s">
        <v>461</v>
      </c>
      <c r="B280" s="40">
        <v>7896714222394</v>
      </c>
      <c r="C280" s="40" t="s">
        <v>177</v>
      </c>
      <c r="D280" s="41" t="s">
        <v>8</v>
      </c>
      <c r="E280" s="27">
        <v>100</v>
      </c>
      <c r="F280" s="34">
        <v>18.18</v>
      </c>
      <c r="G280" s="28">
        <v>0.72450000000000003</v>
      </c>
      <c r="H280" s="28">
        <v>5.6820000000000002E-2</v>
      </c>
      <c r="I280" s="13">
        <f t="shared" si="25"/>
        <v>5.0085899999999999</v>
      </c>
      <c r="J280" s="13">
        <f t="shared" si="26"/>
        <v>4.7240019161999998</v>
      </c>
      <c r="K280" s="29">
        <v>0.73760000000000003</v>
      </c>
      <c r="L280" s="13">
        <f t="shared" si="27"/>
        <v>4.7704319999999996</v>
      </c>
      <c r="M280" s="12">
        <f t="shared" si="28"/>
        <v>4.4993760537599998</v>
      </c>
      <c r="N280" s="30">
        <v>0</v>
      </c>
      <c r="O280" s="20"/>
      <c r="P280" s="3">
        <f t="shared" si="24"/>
        <v>0</v>
      </c>
    </row>
    <row r="281" spans="1:16" ht="15" customHeight="1" x14ac:dyDescent="0.25">
      <c r="A281" s="40" t="s">
        <v>461</v>
      </c>
      <c r="B281" s="40">
        <v>7896714274423</v>
      </c>
      <c r="C281" s="40" t="s">
        <v>333</v>
      </c>
      <c r="D281" s="41" t="s">
        <v>334</v>
      </c>
      <c r="E281" s="27">
        <v>24</v>
      </c>
      <c r="F281" s="34">
        <v>18.12</v>
      </c>
      <c r="G281" s="28">
        <v>0.55520000000000003</v>
      </c>
      <c r="H281" s="28">
        <v>5.6820000000000002E-2</v>
      </c>
      <c r="I281" s="13">
        <f t="shared" si="25"/>
        <v>8.0597759999999994</v>
      </c>
      <c r="J281" s="13">
        <f t="shared" si="26"/>
        <v>7.6018195276799991</v>
      </c>
      <c r="K281" s="29">
        <v>0.57630000000000003</v>
      </c>
      <c r="L281" s="13">
        <f t="shared" si="27"/>
        <v>7.6774439999999995</v>
      </c>
      <c r="M281" s="12">
        <f t="shared" si="28"/>
        <v>7.2412116319199997</v>
      </c>
      <c r="N281" s="30">
        <v>0</v>
      </c>
      <c r="O281" s="20"/>
      <c r="P281" s="3">
        <f t="shared" si="24"/>
        <v>0</v>
      </c>
    </row>
    <row r="282" spans="1:16" ht="15" customHeight="1" x14ac:dyDescent="0.25">
      <c r="A282" s="40" t="s">
        <v>461</v>
      </c>
      <c r="B282" s="40">
        <v>7896714292816</v>
      </c>
      <c r="C282" s="40" t="s">
        <v>619</v>
      </c>
      <c r="D282" s="41" t="s">
        <v>624</v>
      </c>
      <c r="E282" s="27">
        <v>30</v>
      </c>
      <c r="F282" s="34">
        <v>90.8</v>
      </c>
      <c r="G282" s="28">
        <v>0.51800000000000002</v>
      </c>
      <c r="H282" s="28">
        <v>5.6820000000000002E-2</v>
      </c>
      <c r="I282" s="13">
        <f t="shared" si="25"/>
        <v>43.765599999999999</v>
      </c>
      <c r="J282" s="13">
        <f t="shared" si="26"/>
        <v>41.278838608000001</v>
      </c>
      <c r="K282" s="29">
        <v>0.60040000000000004</v>
      </c>
      <c r="L282" s="13">
        <f t="shared" si="27"/>
        <v>36.283679999999997</v>
      </c>
      <c r="M282" s="12">
        <f t="shared" si="28"/>
        <v>34.222041302399994</v>
      </c>
      <c r="N282" s="30">
        <v>0</v>
      </c>
      <c r="O282" s="20"/>
      <c r="P282" s="3">
        <f t="shared" si="24"/>
        <v>0</v>
      </c>
    </row>
    <row r="283" spans="1:16" ht="15" customHeight="1" x14ac:dyDescent="0.25">
      <c r="A283" s="40" t="s">
        <v>461</v>
      </c>
      <c r="B283" s="40">
        <v>7896714292779</v>
      </c>
      <c r="C283" s="40" t="s">
        <v>620</v>
      </c>
      <c r="D283" s="41" t="s">
        <v>625</v>
      </c>
      <c r="E283" s="27">
        <v>30</v>
      </c>
      <c r="F283" s="34">
        <v>175.67</v>
      </c>
      <c r="G283" s="28">
        <v>0.51080000000000003</v>
      </c>
      <c r="H283" s="28">
        <v>5.6820000000000002E-2</v>
      </c>
      <c r="I283" s="13">
        <f t="shared" si="25"/>
        <v>85.937763999999987</v>
      </c>
      <c r="J283" s="13">
        <f t="shared" si="26"/>
        <v>81.054780249519993</v>
      </c>
      <c r="K283" s="29">
        <v>0.59440000000000004</v>
      </c>
      <c r="L283" s="13">
        <f t="shared" si="27"/>
        <v>71.251751999999982</v>
      </c>
      <c r="M283" s="12">
        <f t="shared" si="28"/>
        <v>67.203227451359979</v>
      </c>
      <c r="N283" s="30">
        <v>0</v>
      </c>
      <c r="O283" s="20"/>
      <c r="P283" s="3">
        <f t="shared" si="24"/>
        <v>0</v>
      </c>
    </row>
    <row r="284" spans="1:16" ht="15" customHeight="1" x14ac:dyDescent="0.25">
      <c r="A284" s="40" t="s">
        <v>461</v>
      </c>
      <c r="B284" s="40">
        <v>7896714203768</v>
      </c>
      <c r="C284" s="40" t="s">
        <v>178</v>
      </c>
      <c r="D284" s="41" t="s">
        <v>438</v>
      </c>
      <c r="E284" s="27">
        <v>60</v>
      </c>
      <c r="F284" s="34">
        <v>84.77</v>
      </c>
      <c r="G284" s="28">
        <v>0.74729999999999996</v>
      </c>
      <c r="H284" s="28">
        <v>5.6820000000000002E-2</v>
      </c>
      <c r="I284" s="13">
        <f t="shared" si="25"/>
        <v>21.421379000000002</v>
      </c>
      <c r="J284" s="13">
        <f t="shared" si="26"/>
        <v>20.204216245220003</v>
      </c>
      <c r="K284" s="29">
        <v>0.75929999999999997</v>
      </c>
      <c r="L284" s="13">
        <f t="shared" si="27"/>
        <v>20.404139000000001</v>
      </c>
      <c r="M284" s="12">
        <f t="shared" si="28"/>
        <v>19.244775822019999</v>
      </c>
      <c r="N284" s="30">
        <v>0</v>
      </c>
      <c r="O284" s="20"/>
      <c r="P284" s="3">
        <f t="shared" si="24"/>
        <v>0</v>
      </c>
    </row>
    <row r="285" spans="1:16" ht="15" customHeight="1" x14ac:dyDescent="0.25">
      <c r="A285" s="40" t="s">
        <v>461</v>
      </c>
      <c r="B285" s="40">
        <v>7896714221847</v>
      </c>
      <c r="C285" s="40" t="s">
        <v>179</v>
      </c>
      <c r="D285" s="41" t="s">
        <v>439</v>
      </c>
      <c r="E285" s="27">
        <v>36</v>
      </c>
      <c r="F285" s="34">
        <v>145.01</v>
      </c>
      <c r="G285" s="28">
        <v>0.71430000000000005</v>
      </c>
      <c r="H285" s="28">
        <v>5.6820000000000002E-2</v>
      </c>
      <c r="I285" s="13">
        <f t="shared" si="25"/>
        <v>41.429356999999996</v>
      </c>
      <c r="J285" s="13">
        <f t="shared" si="26"/>
        <v>39.075340935259995</v>
      </c>
      <c r="K285" s="29">
        <v>0.72789999999999999</v>
      </c>
      <c r="L285" s="13">
        <f t="shared" si="27"/>
        <v>39.457221000000004</v>
      </c>
      <c r="M285" s="12">
        <f t="shared" si="28"/>
        <v>37.215261702780005</v>
      </c>
      <c r="N285" s="30">
        <v>0</v>
      </c>
      <c r="O285" s="20"/>
      <c r="P285" s="3">
        <f t="shared" si="24"/>
        <v>0</v>
      </c>
    </row>
    <row r="286" spans="1:16" x14ac:dyDescent="0.25">
      <c r="A286" s="40" t="s">
        <v>461</v>
      </c>
      <c r="B286" s="40">
        <v>7896714292533</v>
      </c>
      <c r="C286" s="40" t="s">
        <v>559</v>
      </c>
      <c r="D286" s="41" t="s">
        <v>561</v>
      </c>
      <c r="E286" s="27">
        <v>15</v>
      </c>
      <c r="F286" s="34">
        <v>57.82</v>
      </c>
      <c r="G286" s="28">
        <v>0.46239999999999998</v>
      </c>
      <c r="H286" s="28">
        <v>9.0910000000000005E-2</v>
      </c>
      <c r="I286" s="13">
        <f t="shared" si="25"/>
        <v>31.084032000000001</v>
      </c>
      <c r="J286" s="13">
        <f t="shared" si="26"/>
        <v>28.258182650880002</v>
      </c>
      <c r="K286" s="29">
        <v>0.49370000000000003</v>
      </c>
      <c r="L286" s="13">
        <f t="shared" si="27"/>
        <v>29.274265999999997</v>
      </c>
      <c r="M286" s="12">
        <f t="shared" si="28"/>
        <v>26.612942477939995</v>
      </c>
      <c r="N286" s="30">
        <v>0</v>
      </c>
      <c r="O286" s="20"/>
      <c r="P286" s="3">
        <f t="shared" si="24"/>
        <v>0</v>
      </c>
    </row>
    <row r="287" spans="1:16" ht="15" customHeight="1" x14ac:dyDescent="0.25">
      <c r="A287" s="40" t="s">
        <v>461</v>
      </c>
      <c r="B287" s="40">
        <v>7896094932661</v>
      </c>
      <c r="C287" s="40" t="s">
        <v>796</v>
      </c>
      <c r="D287" s="41" t="s">
        <v>800</v>
      </c>
      <c r="E287" s="27">
        <v>60</v>
      </c>
      <c r="F287" s="34">
        <v>16.16</v>
      </c>
      <c r="G287" s="28">
        <v>0.50939999999999996</v>
      </c>
      <c r="H287" s="28">
        <v>5.6820000000000002E-2</v>
      </c>
      <c r="I287" s="13">
        <f t="shared" si="25"/>
        <v>7.928096</v>
      </c>
      <c r="J287" s="13">
        <f t="shared" si="26"/>
        <v>7.4776215852799996</v>
      </c>
      <c r="K287" s="29">
        <v>0.5827</v>
      </c>
      <c r="L287" s="13">
        <f t="shared" si="27"/>
        <v>6.7435679999999998</v>
      </c>
      <c r="M287" s="12">
        <f t="shared" si="28"/>
        <v>6.3603984662399995</v>
      </c>
      <c r="N287" s="30">
        <v>0</v>
      </c>
      <c r="O287" s="20"/>
      <c r="P287" s="3">
        <f t="shared" si="24"/>
        <v>0</v>
      </c>
    </row>
    <row r="288" spans="1:16" ht="15" customHeight="1" x14ac:dyDescent="0.25">
      <c r="A288" s="40" t="s">
        <v>461</v>
      </c>
      <c r="B288" s="40">
        <v>7896714250946</v>
      </c>
      <c r="C288" s="40" t="s">
        <v>180</v>
      </c>
      <c r="D288" s="41" t="s">
        <v>9</v>
      </c>
      <c r="E288" s="27">
        <v>100</v>
      </c>
      <c r="F288" s="34">
        <v>46.47</v>
      </c>
      <c r="G288" s="28">
        <v>0.75039999999999996</v>
      </c>
      <c r="H288" s="28">
        <v>5.6820000000000002E-2</v>
      </c>
      <c r="I288" s="13">
        <f t="shared" si="25"/>
        <v>11.598911999999999</v>
      </c>
      <c r="J288" s="13">
        <f t="shared" si="26"/>
        <v>10.939861820159999</v>
      </c>
      <c r="K288" s="29">
        <v>0.76219999999999999</v>
      </c>
      <c r="L288" s="13">
        <f t="shared" si="27"/>
        <v>11.050566000000003</v>
      </c>
      <c r="M288" s="12">
        <f t="shared" si="28"/>
        <v>10.422672839880004</v>
      </c>
      <c r="N288" s="30">
        <v>0</v>
      </c>
      <c r="O288" s="20"/>
      <c r="P288" s="3">
        <f t="shared" si="24"/>
        <v>0</v>
      </c>
    </row>
    <row r="289" spans="1:16" ht="15" customHeight="1" x14ac:dyDescent="0.25">
      <c r="A289" s="40" t="s">
        <v>461</v>
      </c>
      <c r="B289" s="40">
        <v>7896714292717</v>
      </c>
      <c r="C289" s="40" t="s">
        <v>719</v>
      </c>
      <c r="D289" s="41" t="s">
        <v>725</v>
      </c>
      <c r="E289" s="27">
        <v>100</v>
      </c>
      <c r="F289" s="34">
        <v>37.729999999999997</v>
      </c>
      <c r="G289" s="28">
        <v>0.54020000000000001</v>
      </c>
      <c r="H289" s="28">
        <v>5.6820000000000002E-2</v>
      </c>
      <c r="I289" s="13">
        <f t="shared" si="25"/>
        <v>17.348253999999997</v>
      </c>
      <c r="J289" s="13">
        <f t="shared" si="26"/>
        <v>16.362526207719998</v>
      </c>
      <c r="K289" s="29">
        <v>0.61870000000000003</v>
      </c>
      <c r="L289" s="13">
        <f t="shared" si="27"/>
        <v>14.386448999999999</v>
      </c>
      <c r="M289" s="12">
        <f t="shared" si="28"/>
        <v>13.569010967819999</v>
      </c>
      <c r="N289" s="30">
        <v>0</v>
      </c>
      <c r="O289" s="20"/>
      <c r="P289" s="3">
        <f t="shared" si="24"/>
        <v>0</v>
      </c>
    </row>
    <row r="290" spans="1:16" ht="15" customHeight="1" x14ac:dyDescent="0.25">
      <c r="A290" s="40" t="s">
        <v>461</v>
      </c>
      <c r="B290" s="40">
        <v>7896714250953</v>
      </c>
      <c r="C290" s="40" t="s">
        <v>181</v>
      </c>
      <c r="D290" s="41" t="s">
        <v>10</v>
      </c>
      <c r="E290" s="27">
        <v>60</v>
      </c>
      <c r="F290" s="34">
        <v>31.83</v>
      </c>
      <c r="G290" s="28">
        <v>0.75060000000000004</v>
      </c>
      <c r="H290" s="28">
        <v>5.6820000000000002E-2</v>
      </c>
      <c r="I290" s="13">
        <f t="shared" si="25"/>
        <v>7.9384019999999964</v>
      </c>
      <c r="J290" s="13">
        <f t="shared" si="26"/>
        <v>7.4873419983599963</v>
      </c>
      <c r="K290" s="29">
        <v>0.76239999999999997</v>
      </c>
      <c r="L290" s="13">
        <f t="shared" si="27"/>
        <v>7.5628080000000004</v>
      </c>
      <c r="M290" s="12">
        <f t="shared" si="28"/>
        <v>7.1330892494400002</v>
      </c>
      <c r="N290" s="30">
        <v>0</v>
      </c>
      <c r="O290" s="20"/>
      <c r="P290" s="3">
        <f t="shared" si="24"/>
        <v>0</v>
      </c>
    </row>
    <row r="291" spans="1:16" ht="15" customHeight="1" x14ac:dyDescent="0.25">
      <c r="A291" s="40" t="s">
        <v>461</v>
      </c>
      <c r="B291" s="40">
        <v>7896714267395</v>
      </c>
      <c r="C291" s="40" t="s">
        <v>182</v>
      </c>
      <c r="D291" s="41" t="s">
        <v>11</v>
      </c>
      <c r="E291" s="27">
        <v>60</v>
      </c>
      <c r="F291" s="34">
        <v>14.76</v>
      </c>
      <c r="G291" s="28">
        <v>0.70509999999999995</v>
      </c>
      <c r="H291" s="28">
        <v>5.6820000000000002E-2</v>
      </c>
      <c r="I291" s="13">
        <f t="shared" si="25"/>
        <v>4.3527240000000003</v>
      </c>
      <c r="J291" s="13">
        <f t="shared" si="26"/>
        <v>4.1054022223200004</v>
      </c>
      <c r="K291" s="29">
        <v>0.71899999999999997</v>
      </c>
      <c r="L291" s="13">
        <f t="shared" si="27"/>
        <v>4.1475600000000004</v>
      </c>
      <c r="M291" s="12">
        <f t="shared" si="28"/>
        <v>3.9118956408000005</v>
      </c>
      <c r="N291" s="30">
        <v>0</v>
      </c>
      <c r="O291" s="20"/>
      <c r="P291" s="3">
        <f t="shared" si="24"/>
        <v>0</v>
      </c>
    </row>
    <row r="292" spans="1:16" x14ac:dyDescent="0.25">
      <c r="A292" s="40" t="s">
        <v>461</v>
      </c>
      <c r="B292" s="40">
        <v>7896714203515</v>
      </c>
      <c r="C292" s="40" t="s">
        <v>362</v>
      </c>
      <c r="D292" s="41" t="s">
        <v>363</v>
      </c>
      <c r="E292" s="27">
        <v>112</v>
      </c>
      <c r="F292" s="34">
        <v>10.37</v>
      </c>
      <c r="G292" s="28">
        <v>1.5E-3</v>
      </c>
      <c r="H292" s="28">
        <v>0.13542000000000001</v>
      </c>
      <c r="I292" s="13">
        <f t="shared" si="25"/>
        <v>10.354444999999998</v>
      </c>
      <c r="J292" s="13">
        <f t="shared" si="26"/>
        <v>8.9522460580999983</v>
      </c>
      <c r="K292" s="29">
        <v>0.1081</v>
      </c>
      <c r="L292" s="13">
        <f t="shared" si="27"/>
        <v>9.2490029999999983</v>
      </c>
      <c r="M292" s="12">
        <f t="shared" si="28"/>
        <v>7.9965030137399982</v>
      </c>
      <c r="N292" s="30">
        <v>0</v>
      </c>
      <c r="O292" s="20"/>
      <c r="P292" s="3">
        <f t="shared" si="24"/>
        <v>0</v>
      </c>
    </row>
    <row r="293" spans="1:16" x14ac:dyDescent="0.25">
      <c r="A293" s="40" t="s">
        <v>461</v>
      </c>
      <c r="B293" s="40">
        <v>7896714203492</v>
      </c>
      <c r="C293" s="40" t="s">
        <v>364</v>
      </c>
      <c r="D293" s="41" t="s">
        <v>12</v>
      </c>
      <c r="E293" s="27">
        <v>112</v>
      </c>
      <c r="F293" s="34">
        <v>15.53</v>
      </c>
      <c r="G293" s="28">
        <v>2.3999999999999998E-3</v>
      </c>
      <c r="H293" s="28">
        <v>0.13542000000000001</v>
      </c>
      <c r="I293" s="13">
        <f t="shared" si="25"/>
        <v>15.492728</v>
      </c>
      <c r="J293" s="13">
        <f t="shared" si="26"/>
        <v>13.394702774239999</v>
      </c>
      <c r="K293" s="29">
        <v>0.108</v>
      </c>
      <c r="L293" s="13">
        <f t="shared" si="27"/>
        <v>13.85276</v>
      </c>
      <c r="M293" s="12">
        <f t="shared" si="28"/>
        <v>11.976819240799999</v>
      </c>
      <c r="N293" s="30">
        <v>0</v>
      </c>
      <c r="O293" s="20"/>
      <c r="P293" s="3">
        <f t="shared" si="24"/>
        <v>0</v>
      </c>
    </row>
    <row r="294" spans="1:16" ht="15" customHeight="1" x14ac:dyDescent="0.25">
      <c r="A294" s="40" t="s">
        <v>461</v>
      </c>
      <c r="B294" s="40">
        <v>7896714293356</v>
      </c>
      <c r="C294" s="40" t="s">
        <v>554</v>
      </c>
      <c r="D294" s="41" t="s">
        <v>555</v>
      </c>
      <c r="E294" s="27">
        <v>30</v>
      </c>
      <c r="F294" s="34">
        <v>36.450000000000003</v>
      </c>
      <c r="G294" s="28">
        <v>0.54079999999999995</v>
      </c>
      <c r="H294" s="28">
        <v>5.6820000000000002E-2</v>
      </c>
      <c r="I294" s="13">
        <f t="shared" si="25"/>
        <v>16.737840000000002</v>
      </c>
      <c r="J294" s="13">
        <f t="shared" si="26"/>
        <v>15.786795931200002</v>
      </c>
      <c r="K294" s="29">
        <v>0.56330000000000002</v>
      </c>
      <c r="L294" s="13">
        <f t="shared" si="27"/>
        <v>15.917715000000001</v>
      </c>
      <c r="M294" s="12">
        <f t="shared" si="28"/>
        <v>15.013270433700001</v>
      </c>
      <c r="N294" s="30">
        <v>0</v>
      </c>
      <c r="O294" s="20"/>
      <c r="P294" s="3">
        <f t="shared" si="24"/>
        <v>0</v>
      </c>
    </row>
    <row r="295" spans="1:16" ht="15" customHeight="1" x14ac:dyDescent="0.25">
      <c r="A295" s="40" t="s">
        <v>461</v>
      </c>
      <c r="B295" s="40">
        <v>7896714295152</v>
      </c>
      <c r="C295" s="40" t="s">
        <v>714</v>
      </c>
      <c r="D295" s="41" t="s">
        <v>594</v>
      </c>
      <c r="E295" s="27">
        <v>60</v>
      </c>
      <c r="F295" s="34">
        <v>21.33</v>
      </c>
      <c r="G295" s="28">
        <v>0.3931</v>
      </c>
      <c r="H295" s="28">
        <v>5.6820000000000002E-2</v>
      </c>
      <c r="I295" s="13">
        <f t="shared" si="25"/>
        <v>12.945176999999999</v>
      </c>
      <c r="J295" s="13">
        <f t="shared" si="26"/>
        <v>12.209632042859999</v>
      </c>
      <c r="K295" s="29">
        <v>0.43480000000000002</v>
      </c>
      <c r="L295" s="13">
        <f t="shared" si="27"/>
        <v>12.055715999999999</v>
      </c>
      <c r="M295" s="12">
        <f t="shared" si="28"/>
        <v>11.370710216879999</v>
      </c>
      <c r="N295" s="30">
        <v>0</v>
      </c>
      <c r="O295" s="20"/>
      <c r="P295" s="3">
        <f t="shared" si="24"/>
        <v>0</v>
      </c>
    </row>
    <row r="296" spans="1:16" ht="15" customHeight="1" x14ac:dyDescent="0.25">
      <c r="A296" s="40" t="s">
        <v>461</v>
      </c>
      <c r="B296" s="40">
        <v>7896714295169</v>
      </c>
      <c r="C296" s="40" t="s">
        <v>637</v>
      </c>
      <c r="D296" s="41" t="s">
        <v>641</v>
      </c>
      <c r="E296" s="27">
        <v>112</v>
      </c>
      <c r="F296" s="34">
        <v>11.98</v>
      </c>
      <c r="G296" s="28">
        <v>0.38800000000000001</v>
      </c>
      <c r="H296" s="28">
        <v>5.6820000000000002E-2</v>
      </c>
      <c r="I296" s="13">
        <f t="shared" si="25"/>
        <v>7.3317600000000001</v>
      </c>
      <c r="J296" s="13">
        <f t="shared" si="26"/>
        <v>6.9151693967999996</v>
      </c>
      <c r="K296" s="29">
        <v>0.4304</v>
      </c>
      <c r="L296" s="13">
        <f t="shared" si="27"/>
        <v>6.8238080000000005</v>
      </c>
      <c r="M296" s="12">
        <f t="shared" si="28"/>
        <v>6.4360792294400007</v>
      </c>
      <c r="N296" s="30">
        <v>0</v>
      </c>
      <c r="O296" s="20"/>
      <c r="P296" s="3">
        <f t="shared" si="24"/>
        <v>0</v>
      </c>
    </row>
    <row r="297" spans="1:16" ht="15" customHeight="1" x14ac:dyDescent="0.25">
      <c r="A297" s="40" t="s">
        <v>461</v>
      </c>
      <c r="B297" s="40">
        <v>7896714295176</v>
      </c>
      <c r="C297" s="40" t="s">
        <v>638</v>
      </c>
      <c r="D297" s="41" t="s">
        <v>642</v>
      </c>
      <c r="E297" s="27">
        <v>24</v>
      </c>
      <c r="F297" s="34">
        <v>17.64</v>
      </c>
      <c r="G297" s="28">
        <v>0.37619999999999998</v>
      </c>
      <c r="H297" s="28">
        <v>5.6820000000000002E-2</v>
      </c>
      <c r="I297" s="13">
        <f t="shared" si="25"/>
        <v>11.003832000000001</v>
      </c>
      <c r="J297" s="13">
        <f t="shared" si="26"/>
        <v>10.37859426576</v>
      </c>
      <c r="K297" s="29">
        <v>0.40620000000000001</v>
      </c>
      <c r="L297" s="13">
        <f t="shared" si="27"/>
        <v>10.474632</v>
      </c>
      <c r="M297" s="12">
        <f t="shared" si="28"/>
        <v>9.8794634097599996</v>
      </c>
      <c r="N297" s="30">
        <v>0</v>
      </c>
      <c r="O297" s="20"/>
      <c r="P297" s="3">
        <f t="shared" si="24"/>
        <v>0</v>
      </c>
    </row>
    <row r="298" spans="1:16" ht="15" customHeight="1" x14ac:dyDescent="0.25">
      <c r="A298" s="40" t="s">
        <v>461</v>
      </c>
      <c r="B298" s="40">
        <v>7896714219301</v>
      </c>
      <c r="C298" s="40" t="s">
        <v>183</v>
      </c>
      <c r="D298" s="41" t="s">
        <v>13</v>
      </c>
      <c r="E298" s="27">
        <v>60</v>
      </c>
      <c r="F298" s="34">
        <v>14.45</v>
      </c>
      <c r="G298" s="28">
        <v>0.70469999999999999</v>
      </c>
      <c r="H298" s="28">
        <v>5.6820000000000002E-2</v>
      </c>
      <c r="I298" s="13">
        <f t="shared" si="25"/>
        <v>4.2670849999999998</v>
      </c>
      <c r="J298" s="13">
        <f t="shared" si="26"/>
        <v>4.0246292302999995</v>
      </c>
      <c r="K298" s="29">
        <v>0.71909999999999996</v>
      </c>
      <c r="L298" s="13">
        <f t="shared" si="27"/>
        <v>4.0590050000000009</v>
      </c>
      <c r="M298" s="12">
        <f t="shared" si="28"/>
        <v>3.828372335900001</v>
      </c>
      <c r="N298" s="30">
        <v>0</v>
      </c>
      <c r="O298" s="20"/>
      <c r="P298" s="3">
        <f t="shared" si="24"/>
        <v>0</v>
      </c>
    </row>
    <row r="299" spans="1:16" ht="15" customHeight="1" x14ac:dyDescent="0.25">
      <c r="A299" s="40" t="s">
        <v>461</v>
      </c>
      <c r="B299" s="40">
        <v>7896714219318</v>
      </c>
      <c r="C299" s="40" t="s">
        <v>184</v>
      </c>
      <c r="D299" s="41" t="s">
        <v>14</v>
      </c>
      <c r="E299" s="27">
        <v>60</v>
      </c>
      <c r="F299" s="34">
        <v>20.75</v>
      </c>
      <c r="G299" s="28">
        <v>0.54930000000000001</v>
      </c>
      <c r="H299" s="28">
        <v>5.6820000000000002E-2</v>
      </c>
      <c r="I299" s="13">
        <f t="shared" si="25"/>
        <v>9.3520249999999994</v>
      </c>
      <c r="J299" s="13">
        <f t="shared" si="26"/>
        <v>8.820642939499999</v>
      </c>
      <c r="K299" s="29">
        <v>0.57089999999999996</v>
      </c>
      <c r="L299" s="13">
        <f t="shared" si="27"/>
        <v>8.9038250000000012</v>
      </c>
      <c r="M299" s="12">
        <f t="shared" si="28"/>
        <v>8.3979096635000019</v>
      </c>
      <c r="N299" s="30">
        <v>0</v>
      </c>
      <c r="O299" s="20"/>
      <c r="P299" s="3">
        <f t="shared" si="24"/>
        <v>0</v>
      </c>
    </row>
    <row r="300" spans="1:16" ht="15" customHeight="1" x14ac:dyDescent="0.25">
      <c r="A300" s="40" t="s">
        <v>461</v>
      </c>
      <c r="B300" s="40">
        <v>7896714226033</v>
      </c>
      <c r="C300" s="40" t="s">
        <v>185</v>
      </c>
      <c r="D300" s="41" t="s">
        <v>15</v>
      </c>
      <c r="E300" s="27">
        <v>100</v>
      </c>
      <c r="F300" s="34">
        <v>18.079999999999998</v>
      </c>
      <c r="G300" s="28">
        <v>0.57999999999999996</v>
      </c>
      <c r="H300" s="28">
        <v>5.6820000000000002E-2</v>
      </c>
      <c r="I300" s="13">
        <f t="shared" si="25"/>
        <v>7.5936000000000003</v>
      </c>
      <c r="J300" s="13">
        <f t="shared" si="26"/>
        <v>7.1621316479999999</v>
      </c>
      <c r="K300" s="29">
        <v>0.6</v>
      </c>
      <c r="L300" s="13">
        <f t="shared" si="27"/>
        <v>7.2319999999999993</v>
      </c>
      <c r="M300" s="12">
        <f t="shared" si="28"/>
        <v>6.8210777599999997</v>
      </c>
      <c r="N300" s="30">
        <v>0</v>
      </c>
      <c r="O300" s="20"/>
      <c r="P300" s="3">
        <f t="shared" si="24"/>
        <v>0</v>
      </c>
    </row>
    <row r="301" spans="1:16" ht="15" customHeight="1" x14ac:dyDescent="0.25">
      <c r="A301" s="40" t="s">
        <v>461</v>
      </c>
      <c r="B301" s="40">
        <v>7896714295282</v>
      </c>
      <c r="C301" s="40" t="s">
        <v>652</v>
      </c>
      <c r="D301" s="41" t="s">
        <v>469</v>
      </c>
      <c r="E301" s="27">
        <v>24</v>
      </c>
      <c r="F301" s="34">
        <v>46.53</v>
      </c>
      <c r="G301" s="28">
        <v>0.73640000000000005</v>
      </c>
      <c r="H301" s="28">
        <v>5.6820000000000002E-2</v>
      </c>
      <c r="I301" s="13">
        <f t="shared" si="25"/>
        <v>12.265307999999997</v>
      </c>
      <c r="J301" s="13">
        <f t="shared" si="26"/>
        <v>11.568393199439997</v>
      </c>
      <c r="K301" s="29">
        <v>0.74890000000000001</v>
      </c>
      <c r="L301" s="13">
        <f t="shared" si="27"/>
        <v>11.683683000000002</v>
      </c>
      <c r="M301" s="12">
        <f t="shared" si="28"/>
        <v>11.019816131940003</v>
      </c>
      <c r="N301" s="30">
        <v>0</v>
      </c>
      <c r="O301" s="20"/>
      <c r="P301" s="3">
        <f t="shared" si="24"/>
        <v>0</v>
      </c>
    </row>
    <row r="302" spans="1:16" ht="15" customHeight="1" x14ac:dyDescent="0.25">
      <c r="A302" s="40" t="s">
        <v>461</v>
      </c>
      <c r="B302" s="40">
        <v>7896714275512</v>
      </c>
      <c r="C302" s="40" t="s">
        <v>653</v>
      </c>
      <c r="D302" s="41" t="s">
        <v>405</v>
      </c>
      <c r="E302" s="27">
        <v>60</v>
      </c>
      <c r="F302" s="34">
        <v>19.43</v>
      </c>
      <c r="G302" s="28">
        <v>0.74619999999999997</v>
      </c>
      <c r="H302" s="28">
        <v>5.6820000000000002E-2</v>
      </c>
      <c r="I302" s="13">
        <f t="shared" si="25"/>
        <v>4.9313339999999997</v>
      </c>
      <c r="J302" s="13">
        <f t="shared" si="26"/>
        <v>4.6511356021200001</v>
      </c>
      <c r="K302" s="29">
        <v>0.75829999999999997</v>
      </c>
      <c r="L302" s="13">
        <f t="shared" si="27"/>
        <v>4.6962310000000009</v>
      </c>
      <c r="M302" s="12">
        <f t="shared" si="28"/>
        <v>4.4293911545800011</v>
      </c>
      <c r="N302" s="30">
        <v>0</v>
      </c>
      <c r="O302" s="20"/>
      <c r="P302" s="3">
        <f t="shared" si="24"/>
        <v>0</v>
      </c>
    </row>
    <row r="303" spans="1:16" ht="15" customHeight="1" x14ac:dyDescent="0.25">
      <c r="A303" s="40" t="s">
        <v>461</v>
      </c>
      <c r="B303" s="40">
        <v>7896714201146</v>
      </c>
      <c r="C303" s="40" t="s">
        <v>335</v>
      </c>
      <c r="D303" s="41" t="s">
        <v>16</v>
      </c>
      <c r="E303" s="27">
        <v>60</v>
      </c>
      <c r="F303" s="34">
        <v>40.700000000000003</v>
      </c>
      <c r="G303" s="28">
        <v>0.72489999999999999</v>
      </c>
      <c r="H303" s="28">
        <v>0.13542000000000001</v>
      </c>
      <c r="I303" s="13">
        <f t="shared" si="25"/>
        <v>11.196570000000001</v>
      </c>
      <c r="J303" s="13">
        <f t="shared" si="26"/>
        <v>9.6803304906000012</v>
      </c>
      <c r="K303" s="29">
        <v>0.73799999999999999</v>
      </c>
      <c r="L303" s="13">
        <f t="shared" si="27"/>
        <v>10.663400000000003</v>
      </c>
      <c r="M303" s="12">
        <f t="shared" si="28"/>
        <v>9.2193623720000026</v>
      </c>
      <c r="N303" s="30">
        <v>0</v>
      </c>
      <c r="O303" s="20"/>
      <c r="P303" s="3">
        <f t="shared" si="24"/>
        <v>0</v>
      </c>
    </row>
    <row r="304" spans="1:16" ht="15" customHeight="1" x14ac:dyDescent="0.25">
      <c r="A304" s="40" t="s">
        <v>461</v>
      </c>
      <c r="B304" s="40">
        <v>7896714212838</v>
      </c>
      <c r="C304" s="40" t="s">
        <v>417</v>
      </c>
      <c r="D304" s="41" t="s">
        <v>418</v>
      </c>
      <c r="E304" s="27">
        <v>60</v>
      </c>
      <c r="F304" s="34">
        <v>30.7</v>
      </c>
      <c r="G304" s="28">
        <v>0.78849999999999998</v>
      </c>
      <c r="H304" s="28">
        <v>5.6820000000000002E-2</v>
      </c>
      <c r="I304" s="13">
        <f t="shared" si="25"/>
        <v>6.4930500000000002</v>
      </c>
      <c r="J304" s="13">
        <f t="shared" si="26"/>
        <v>6.1241148990000003</v>
      </c>
      <c r="K304" s="29">
        <v>0.79879999999999995</v>
      </c>
      <c r="L304" s="13">
        <f t="shared" si="27"/>
        <v>6.1768400000000021</v>
      </c>
      <c r="M304" s="12">
        <f t="shared" si="28"/>
        <v>5.8258719512000017</v>
      </c>
      <c r="N304" s="30">
        <v>0</v>
      </c>
      <c r="O304" s="20"/>
      <c r="P304" s="3">
        <f t="shared" si="24"/>
        <v>0</v>
      </c>
    </row>
    <row r="305" spans="1:16" ht="15" customHeight="1" x14ac:dyDescent="0.25">
      <c r="A305" s="40" t="s">
        <v>461</v>
      </c>
      <c r="B305" s="40">
        <v>7896714295336</v>
      </c>
      <c r="C305" s="40" t="s">
        <v>587</v>
      </c>
      <c r="D305" s="41" t="s">
        <v>595</v>
      </c>
      <c r="E305" s="27">
        <v>12</v>
      </c>
      <c r="F305" s="34">
        <v>69.5</v>
      </c>
      <c r="G305" s="28">
        <v>0.62729999999999997</v>
      </c>
      <c r="H305" s="28">
        <v>5.6820000000000002E-2</v>
      </c>
      <c r="I305" s="13">
        <f t="shared" si="25"/>
        <v>25.902650000000001</v>
      </c>
      <c r="J305" s="13">
        <f t="shared" si="26"/>
        <v>24.430861427</v>
      </c>
      <c r="K305" s="29">
        <v>0.64500000000000002</v>
      </c>
      <c r="L305" s="13">
        <f t="shared" si="27"/>
        <v>24.672499999999999</v>
      </c>
      <c r="M305" s="12">
        <f t="shared" si="28"/>
        <v>23.270608549999999</v>
      </c>
      <c r="N305" s="30">
        <v>0</v>
      </c>
      <c r="O305" s="20"/>
      <c r="P305" s="3">
        <f t="shared" si="24"/>
        <v>0</v>
      </c>
    </row>
    <row r="306" spans="1:16" ht="15" customHeight="1" x14ac:dyDescent="0.25">
      <c r="A306" s="40" t="s">
        <v>461</v>
      </c>
      <c r="B306" s="40">
        <v>7896714230160</v>
      </c>
      <c r="C306" s="40" t="s">
        <v>186</v>
      </c>
      <c r="D306" s="41" t="s">
        <v>17</v>
      </c>
      <c r="E306" s="27">
        <v>100</v>
      </c>
      <c r="F306" s="34">
        <v>18.29</v>
      </c>
      <c r="G306" s="28">
        <v>0.6794</v>
      </c>
      <c r="H306" s="28">
        <v>5.6820000000000002E-2</v>
      </c>
      <c r="I306" s="13">
        <f t="shared" si="25"/>
        <v>5.8637739999999994</v>
      </c>
      <c r="J306" s="13">
        <f t="shared" si="26"/>
        <v>5.5305943613199995</v>
      </c>
      <c r="K306" s="29">
        <v>0.6946</v>
      </c>
      <c r="L306" s="13">
        <f t="shared" si="27"/>
        <v>5.5857659999999996</v>
      </c>
      <c r="M306" s="12">
        <f t="shared" si="28"/>
        <v>5.2683827758799993</v>
      </c>
      <c r="N306" s="30">
        <v>0</v>
      </c>
      <c r="O306" s="20"/>
      <c r="P306" s="3">
        <f t="shared" si="24"/>
        <v>0</v>
      </c>
    </row>
    <row r="307" spans="1:16" ht="15" customHeight="1" x14ac:dyDescent="0.25">
      <c r="A307" s="40" t="s">
        <v>461</v>
      </c>
      <c r="B307" s="40">
        <v>7896714221359</v>
      </c>
      <c r="C307" s="40" t="s">
        <v>392</v>
      </c>
      <c r="D307" s="41" t="s">
        <v>18</v>
      </c>
      <c r="E307" s="27">
        <v>60</v>
      </c>
      <c r="F307" s="34">
        <v>97.19</v>
      </c>
      <c r="G307" s="28">
        <v>0.83079999999999998</v>
      </c>
      <c r="H307" s="28">
        <v>5.6820000000000002E-2</v>
      </c>
      <c r="I307" s="13">
        <f t="shared" si="25"/>
        <v>16.444547999999998</v>
      </c>
      <c r="J307" s="13">
        <f t="shared" si="26"/>
        <v>15.510168782639997</v>
      </c>
      <c r="K307" s="29">
        <v>0.83889999999999998</v>
      </c>
      <c r="L307" s="13">
        <f t="shared" si="27"/>
        <v>15.657308999999998</v>
      </c>
      <c r="M307" s="12">
        <f t="shared" si="28"/>
        <v>14.767660702619999</v>
      </c>
      <c r="N307" s="30">
        <v>0</v>
      </c>
      <c r="O307" s="20"/>
      <c r="P307" s="3">
        <f t="shared" si="24"/>
        <v>0</v>
      </c>
    </row>
    <row r="308" spans="1:16" ht="15" customHeight="1" x14ac:dyDescent="0.25">
      <c r="A308" s="40" t="s">
        <v>461</v>
      </c>
      <c r="B308" s="40">
        <v>7896714228679</v>
      </c>
      <c r="C308" s="40" t="s">
        <v>187</v>
      </c>
      <c r="D308" s="41" t="s">
        <v>19</v>
      </c>
      <c r="E308" s="27">
        <v>60</v>
      </c>
      <c r="F308" s="34">
        <v>49.69</v>
      </c>
      <c r="G308" s="28">
        <v>0.90390000000000004</v>
      </c>
      <c r="H308" s="28">
        <v>5.6820000000000002E-2</v>
      </c>
      <c r="I308" s="13">
        <f t="shared" si="25"/>
        <v>4.7752089999999967</v>
      </c>
      <c r="J308" s="13">
        <f t="shared" si="26"/>
        <v>4.5038816246199964</v>
      </c>
      <c r="K308" s="29">
        <v>0.90849999999999997</v>
      </c>
      <c r="L308" s="13">
        <f t="shared" si="27"/>
        <v>4.546635000000002</v>
      </c>
      <c r="M308" s="12">
        <f t="shared" si="28"/>
        <v>4.288295199300002</v>
      </c>
      <c r="N308" s="30">
        <v>0</v>
      </c>
      <c r="O308" s="20"/>
      <c r="P308" s="3">
        <f t="shared" si="24"/>
        <v>0</v>
      </c>
    </row>
    <row r="309" spans="1:16" ht="15" customHeight="1" x14ac:dyDescent="0.25">
      <c r="A309" s="40" t="s">
        <v>461</v>
      </c>
      <c r="B309" s="40">
        <v>7896714236148</v>
      </c>
      <c r="C309" s="40" t="s">
        <v>188</v>
      </c>
      <c r="D309" s="41" t="s">
        <v>20</v>
      </c>
      <c r="E309" s="27">
        <v>60</v>
      </c>
      <c r="F309" s="34">
        <v>7.9</v>
      </c>
      <c r="G309" s="28">
        <v>0.72519999999999996</v>
      </c>
      <c r="H309" s="28">
        <v>5.6820000000000002E-2</v>
      </c>
      <c r="I309" s="13">
        <f t="shared" si="25"/>
        <v>2.1709200000000006</v>
      </c>
      <c r="J309" s="13">
        <f t="shared" si="26"/>
        <v>2.0475683256000008</v>
      </c>
      <c r="K309" s="29">
        <v>0.73839999999999995</v>
      </c>
      <c r="L309" s="13">
        <f t="shared" si="27"/>
        <v>2.0666400000000005</v>
      </c>
      <c r="M309" s="12">
        <f t="shared" si="28"/>
        <v>1.9492135152000005</v>
      </c>
      <c r="N309" s="30">
        <v>0</v>
      </c>
      <c r="O309" s="20"/>
      <c r="P309" s="3">
        <f t="shared" si="24"/>
        <v>0</v>
      </c>
    </row>
    <row r="310" spans="1:16" x14ac:dyDescent="0.25">
      <c r="A310" s="40" t="s">
        <v>461</v>
      </c>
      <c r="B310" s="40">
        <v>7896714273006</v>
      </c>
      <c r="C310" s="40" t="s">
        <v>189</v>
      </c>
      <c r="D310" s="41" t="s">
        <v>21</v>
      </c>
      <c r="E310" s="27">
        <v>50</v>
      </c>
      <c r="F310" s="34">
        <v>46.28</v>
      </c>
      <c r="G310" s="28">
        <v>0.70079999999999998</v>
      </c>
      <c r="H310" s="28">
        <v>5.6820000000000002E-2</v>
      </c>
      <c r="I310" s="13">
        <f t="shared" si="25"/>
        <v>13.846975999999998</v>
      </c>
      <c r="J310" s="13">
        <f t="shared" si="26"/>
        <v>13.060190823679998</v>
      </c>
      <c r="K310" s="29">
        <v>0.71489999999999998</v>
      </c>
      <c r="L310" s="13">
        <f t="shared" si="27"/>
        <v>13.194428000000002</v>
      </c>
      <c r="M310" s="12">
        <f t="shared" si="28"/>
        <v>12.444720601040002</v>
      </c>
      <c r="N310" s="30">
        <v>0</v>
      </c>
      <c r="O310" s="20"/>
      <c r="P310" s="3">
        <f t="shared" si="24"/>
        <v>0</v>
      </c>
    </row>
    <row r="311" spans="1:16" ht="15" customHeight="1" x14ac:dyDescent="0.25">
      <c r="A311" s="40" t="s">
        <v>461</v>
      </c>
      <c r="B311" s="40">
        <v>7896714230054</v>
      </c>
      <c r="C311" s="40" t="s">
        <v>190</v>
      </c>
      <c r="D311" s="41" t="s">
        <v>22</v>
      </c>
      <c r="E311" s="27">
        <v>100</v>
      </c>
      <c r="F311" s="34">
        <v>12.83</v>
      </c>
      <c r="G311" s="28">
        <v>0.69710000000000005</v>
      </c>
      <c r="H311" s="28">
        <v>5.6820000000000002E-2</v>
      </c>
      <c r="I311" s="13">
        <f t="shared" si="25"/>
        <v>3.8862069999999989</v>
      </c>
      <c r="J311" s="13">
        <f t="shared" si="26"/>
        <v>3.6653927182599988</v>
      </c>
      <c r="K311" s="29">
        <v>0.71179999999999999</v>
      </c>
      <c r="L311" s="13">
        <f t="shared" si="27"/>
        <v>3.6976060000000004</v>
      </c>
      <c r="M311" s="12">
        <f t="shared" si="28"/>
        <v>3.4875080270800005</v>
      </c>
      <c r="N311" s="30">
        <v>0</v>
      </c>
      <c r="O311" s="20"/>
      <c r="P311" s="3">
        <f t="shared" si="24"/>
        <v>0</v>
      </c>
    </row>
    <row r="312" spans="1:16" ht="15" customHeight="1" x14ac:dyDescent="0.25">
      <c r="A312" s="40" t="s">
        <v>461</v>
      </c>
      <c r="B312" s="40">
        <v>7896714230504</v>
      </c>
      <c r="C312" s="40" t="s">
        <v>191</v>
      </c>
      <c r="D312" s="41" t="s">
        <v>23</v>
      </c>
      <c r="E312" s="27">
        <v>100</v>
      </c>
      <c r="F312" s="34">
        <v>22.9</v>
      </c>
      <c r="G312" s="28">
        <v>0.73409999999999997</v>
      </c>
      <c r="H312" s="28">
        <v>5.6820000000000002E-2</v>
      </c>
      <c r="I312" s="13">
        <f t="shared" si="25"/>
        <v>6.0891100000000016</v>
      </c>
      <c r="J312" s="13">
        <f t="shared" si="26"/>
        <v>5.7431267698000017</v>
      </c>
      <c r="K312" s="29">
        <v>0.74670000000000003</v>
      </c>
      <c r="L312" s="13">
        <f t="shared" si="27"/>
        <v>5.8005700000000004</v>
      </c>
      <c r="M312" s="12">
        <f t="shared" si="28"/>
        <v>5.4709816126000002</v>
      </c>
      <c r="N312" s="30">
        <v>0</v>
      </c>
      <c r="O312" s="20"/>
      <c r="P312" s="3">
        <f t="shared" si="24"/>
        <v>0</v>
      </c>
    </row>
    <row r="313" spans="1:16" ht="15" customHeight="1" x14ac:dyDescent="0.25">
      <c r="A313" s="40" t="s">
        <v>461</v>
      </c>
      <c r="B313" s="40">
        <v>7896714295466</v>
      </c>
      <c r="C313" s="40" t="s">
        <v>821</v>
      </c>
      <c r="D313" s="41" t="s">
        <v>824</v>
      </c>
      <c r="E313" s="27">
        <v>60</v>
      </c>
      <c r="F313" s="34">
        <v>9.16</v>
      </c>
      <c r="G313" s="28">
        <v>0.3705</v>
      </c>
      <c r="H313" s="28">
        <v>5.6820000000000002E-2</v>
      </c>
      <c r="I313" s="13">
        <f t="shared" si="25"/>
        <v>5.7662200000000006</v>
      </c>
      <c r="J313" s="13">
        <f t="shared" si="26"/>
        <v>5.4385833796000007</v>
      </c>
      <c r="K313" s="29">
        <v>0.4</v>
      </c>
      <c r="L313" s="13">
        <f t="shared" si="27"/>
        <v>5.4960000000000004</v>
      </c>
      <c r="M313" s="12">
        <f t="shared" si="28"/>
        <v>5.1837172800000006</v>
      </c>
      <c r="N313" s="30">
        <v>0</v>
      </c>
      <c r="O313" s="20"/>
      <c r="P313" s="3">
        <f t="shared" si="24"/>
        <v>0</v>
      </c>
    </row>
    <row r="314" spans="1:16" ht="15" customHeight="1" x14ac:dyDescent="0.25">
      <c r="A314" s="40" t="s">
        <v>461</v>
      </c>
      <c r="B314" s="40">
        <v>7896714295473</v>
      </c>
      <c r="C314" s="40" t="s">
        <v>822</v>
      </c>
      <c r="D314" s="41" t="s">
        <v>825</v>
      </c>
      <c r="E314" s="27">
        <v>60</v>
      </c>
      <c r="F314" s="34">
        <v>13.34</v>
      </c>
      <c r="G314" s="28">
        <v>0.36980000000000002</v>
      </c>
      <c r="H314" s="28">
        <v>5.6820000000000002E-2</v>
      </c>
      <c r="I314" s="13">
        <f t="shared" si="25"/>
        <v>8.4068679999999993</v>
      </c>
      <c r="J314" s="13">
        <f t="shared" si="26"/>
        <v>7.929189760239999</v>
      </c>
      <c r="K314" s="29">
        <v>0.4</v>
      </c>
      <c r="L314" s="13">
        <f t="shared" si="27"/>
        <v>8.0039999999999996</v>
      </c>
      <c r="M314" s="12">
        <f t="shared" si="28"/>
        <v>7.5492127199999999</v>
      </c>
      <c r="N314" s="30">
        <v>0</v>
      </c>
      <c r="O314" s="20"/>
      <c r="P314" s="3">
        <f t="shared" si="24"/>
        <v>0</v>
      </c>
    </row>
    <row r="315" spans="1:16" ht="15" customHeight="1" x14ac:dyDescent="0.25">
      <c r="A315" s="40" t="s">
        <v>461</v>
      </c>
      <c r="B315" s="40">
        <v>7896714295480</v>
      </c>
      <c r="C315" s="40" t="s">
        <v>750</v>
      </c>
      <c r="D315" s="41" t="s">
        <v>752</v>
      </c>
      <c r="E315" s="27">
        <v>12</v>
      </c>
      <c r="F315" s="34">
        <v>96.16</v>
      </c>
      <c r="G315" s="28">
        <v>0.36990000000000001</v>
      </c>
      <c r="H315" s="28">
        <v>5.6820000000000002E-2</v>
      </c>
      <c r="I315" s="13">
        <f t="shared" si="25"/>
        <v>60.590415999999998</v>
      </c>
      <c r="J315" s="13">
        <f t="shared" si="26"/>
        <v>57.14766856288</v>
      </c>
      <c r="K315" s="29">
        <v>0.4</v>
      </c>
      <c r="L315" s="13">
        <f t="shared" si="27"/>
        <v>57.695999999999998</v>
      </c>
      <c r="M315" s="12">
        <f t="shared" si="28"/>
        <v>54.417713280000001</v>
      </c>
      <c r="N315" s="30">
        <v>0</v>
      </c>
      <c r="O315" s="20"/>
      <c r="P315" s="3">
        <f t="shared" si="24"/>
        <v>0</v>
      </c>
    </row>
    <row r="316" spans="1:16" x14ac:dyDescent="0.25">
      <c r="A316" s="40" t="s">
        <v>461</v>
      </c>
      <c r="B316" s="40">
        <v>7896714274577</v>
      </c>
      <c r="C316" s="40" t="s">
        <v>684</v>
      </c>
      <c r="D316" s="41" t="s">
        <v>393</v>
      </c>
      <c r="E316" s="27">
        <v>60</v>
      </c>
      <c r="F316" s="34">
        <v>19.98</v>
      </c>
      <c r="G316" s="28">
        <v>0.68899999999999995</v>
      </c>
      <c r="H316" s="28">
        <v>5.6820000000000002E-2</v>
      </c>
      <c r="I316" s="13">
        <f t="shared" si="25"/>
        <v>6.2137800000000016</v>
      </c>
      <c r="J316" s="13">
        <f t="shared" si="26"/>
        <v>5.8607130204000013</v>
      </c>
      <c r="K316" s="29">
        <v>0.70389999999999997</v>
      </c>
      <c r="L316" s="13">
        <f t="shared" si="27"/>
        <v>5.9160780000000006</v>
      </c>
      <c r="M316" s="12">
        <f t="shared" si="28"/>
        <v>5.5799264480400002</v>
      </c>
      <c r="N316" s="30">
        <v>0</v>
      </c>
      <c r="O316" s="20"/>
      <c r="P316" s="3">
        <f t="shared" si="24"/>
        <v>0</v>
      </c>
    </row>
    <row r="317" spans="1:16" ht="15" customHeight="1" x14ac:dyDescent="0.25">
      <c r="A317" s="40" t="s">
        <v>461</v>
      </c>
      <c r="B317" s="40">
        <v>7896714291987</v>
      </c>
      <c r="C317" s="40" t="s">
        <v>499</v>
      </c>
      <c r="D317" s="41" t="s">
        <v>500</v>
      </c>
      <c r="E317" s="27">
        <v>120</v>
      </c>
      <c r="F317" s="34">
        <v>13.08</v>
      </c>
      <c r="G317" s="28">
        <v>0.43080000000000002</v>
      </c>
      <c r="H317" s="28">
        <v>5.6820000000000002E-2</v>
      </c>
      <c r="I317" s="13">
        <f t="shared" si="25"/>
        <v>7.4451359999999998</v>
      </c>
      <c r="J317" s="13">
        <f t="shared" si="26"/>
        <v>7.0221033724800002</v>
      </c>
      <c r="K317" s="29">
        <v>0.45810000000000001</v>
      </c>
      <c r="L317" s="13">
        <f t="shared" si="27"/>
        <v>7.0880520000000002</v>
      </c>
      <c r="M317" s="12">
        <f t="shared" si="28"/>
        <v>6.6853088853600005</v>
      </c>
      <c r="N317" s="30">
        <v>0</v>
      </c>
      <c r="O317" s="20"/>
      <c r="P317" s="3">
        <f t="shared" si="24"/>
        <v>0</v>
      </c>
    </row>
    <row r="318" spans="1:16" ht="15" customHeight="1" x14ac:dyDescent="0.25">
      <c r="A318" s="40" t="s">
        <v>461</v>
      </c>
      <c r="B318" s="40">
        <v>7896714218700</v>
      </c>
      <c r="C318" s="40" t="s">
        <v>192</v>
      </c>
      <c r="D318" s="41" t="s">
        <v>24</v>
      </c>
      <c r="E318" s="27">
        <v>60</v>
      </c>
      <c r="F318" s="34">
        <v>24.9</v>
      </c>
      <c r="G318" s="28">
        <v>0.53600000000000003</v>
      </c>
      <c r="H318" s="28">
        <v>5.6820000000000002E-2</v>
      </c>
      <c r="I318" s="13">
        <f t="shared" si="25"/>
        <v>11.553599999999999</v>
      </c>
      <c r="J318" s="13">
        <f t="shared" si="26"/>
        <v>10.897124448</v>
      </c>
      <c r="K318" s="29">
        <v>0.55830000000000002</v>
      </c>
      <c r="L318" s="13">
        <f t="shared" si="27"/>
        <v>10.998329999999999</v>
      </c>
      <c r="M318" s="12">
        <f t="shared" si="28"/>
        <v>10.3734048894</v>
      </c>
      <c r="N318" s="30">
        <v>0</v>
      </c>
      <c r="O318" s="20"/>
      <c r="P318" s="3">
        <f t="shared" si="24"/>
        <v>0</v>
      </c>
    </row>
    <row r="319" spans="1:16" ht="15" customHeight="1" x14ac:dyDescent="0.25">
      <c r="A319" s="40" t="s">
        <v>461</v>
      </c>
      <c r="B319" s="40">
        <v>7896714200064</v>
      </c>
      <c r="C319" s="40" t="s">
        <v>193</v>
      </c>
      <c r="D319" s="41" t="s">
        <v>25</v>
      </c>
      <c r="E319" s="27">
        <v>60</v>
      </c>
      <c r="F319" s="34">
        <v>17.29</v>
      </c>
      <c r="G319" s="28">
        <v>0.1012</v>
      </c>
      <c r="H319" s="28">
        <v>5.6820000000000002E-2</v>
      </c>
      <c r="I319" s="13">
        <f t="shared" si="25"/>
        <v>15.540251999999999</v>
      </c>
      <c r="J319" s="13">
        <f t="shared" si="26"/>
        <v>14.657254881359998</v>
      </c>
      <c r="K319" s="29">
        <v>0.14380000000000001</v>
      </c>
      <c r="L319" s="13">
        <f t="shared" si="27"/>
        <v>14.803697999999999</v>
      </c>
      <c r="M319" s="12">
        <f t="shared" si="28"/>
        <v>13.962551879639999</v>
      </c>
      <c r="N319" s="30">
        <v>0</v>
      </c>
      <c r="O319" s="20"/>
      <c r="P319" s="3">
        <f t="shared" si="24"/>
        <v>0</v>
      </c>
    </row>
    <row r="320" spans="1:16" x14ac:dyDescent="0.25">
      <c r="A320" s="40" t="s">
        <v>461</v>
      </c>
      <c r="B320" s="40">
        <v>7896714200125</v>
      </c>
      <c r="C320" s="40" t="s">
        <v>194</v>
      </c>
      <c r="D320" s="41" t="s">
        <v>26</v>
      </c>
      <c r="E320" s="27">
        <v>60</v>
      </c>
      <c r="F320" s="34">
        <v>26.76</v>
      </c>
      <c r="G320" s="28">
        <v>0.71789999999999998</v>
      </c>
      <c r="H320" s="28">
        <v>5.6820000000000002E-2</v>
      </c>
      <c r="I320" s="13">
        <f t="shared" si="25"/>
        <v>7.5489960000000025</v>
      </c>
      <c r="J320" s="13">
        <f t="shared" si="26"/>
        <v>7.120062047280002</v>
      </c>
      <c r="K320" s="29">
        <v>0.73140000000000005</v>
      </c>
      <c r="L320" s="13">
        <f t="shared" si="27"/>
        <v>7.1877359999999975</v>
      </c>
      <c r="M320" s="12">
        <f t="shared" si="28"/>
        <v>6.7793288404799972</v>
      </c>
      <c r="N320" s="30">
        <v>0</v>
      </c>
      <c r="O320" s="20"/>
      <c r="P320" s="3">
        <f t="shared" si="24"/>
        <v>0</v>
      </c>
    </row>
    <row r="321" spans="1:16" ht="15" customHeight="1" x14ac:dyDescent="0.25">
      <c r="A321" s="40" t="s">
        <v>461</v>
      </c>
      <c r="B321" s="40">
        <v>7896714201108</v>
      </c>
      <c r="C321" s="40" t="s">
        <v>195</v>
      </c>
      <c r="D321" s="41" t="s">
        <v>27</v>
      </c>
      <c r="E321" s="27">
        <v>60</v>
      </c>
      <c r="F321" s="34">
        <v>10.199999999999999</v>
      </c>
      <c r="G321" s="28">
        <v>0.69689999999999996</v>
      </c>
      <c r="H321" s="28">
        <v>5.6820000000000002E-2</v>
      </c>
      <c r="I321" s="13">
        <f t="shared" si="25"/>
        <v>3.0916199999999998</v>
      </c>
      <c r="J321" s="13">
        <f t="shared" si="26"/>
        <v>2.9159541515999998</v>
      </c>
      <c r="K321" s="29">
        <v>0.71120000000000005</v>
      </c>
      <c r="L321" s="13">
        <f t="shared" si="27"/>
        <v>2.945759999999999</v>
      </c>
      <c r="M321" s="12">
        <f t="shared" si="28"/>
        <v>2.778381916799999</v>
      </c>
      <c r="N321" s="30">
        <v>0</v>
      </c>
      <c r="O321" s="20"/>
      <c r="P321" s="3">
        <f t="shared" si="24"/>
        <v>0</v>
      </c>
    </row>
    <row r="322" spans="1:16" ht="15" customHeight="1" x14ac:dyDescent="0.25">
      <c r="A322" s="40" t="s">
        <v>461</v>
      </c>
      <c r="B322" s="40">
        <v>7896714224053</v>
      </c>
      <c r="C322" s="40" t="s">
        <v>316</v>
      </c>
      <c r="D322" s="41" t="s">
        <v>320</v>
      </c>
      <c r="E322" s="27">
        <v>100</v>
      </c>
      <c r="F322" s="34">
        <v>32.130000000000003</v>
      </c>
      <c r="G322" s="28">
        <v>0.36030000000000001</v>
      </c>
      <c r="H322" s="28">
        <v>5.6820000000000002E-2</v>
      </c>
      <c r="I322" s="13">
        <f t="shared" si="25"/>
        <v>20.553561000000002</v>
      </c>
      <c r="J322" s="13">
        <f t="shared" si="26"/>
        <v>19.385707663980003</v>
      </c>
      <c r="K322" s="29">
        <v>0.39069999999999999</v>
      </c>
      <c r="L322" s="13">
        <f t="shared" si="27"/>
        <v>19.576809000000004</v>
      </c>
      <c r="M322" s="12">
        <f t="shared" si="28"/>
        <v>18.464454712620004</v>
      </c>
      <c r="N322" s="30">
        <v>0</v>
      </c>
      <c r="O322" s="20"/>
      <c r="P322" s="3">
        <f t="shared" si="24"/>
        <v>0</v>
      </c>
    </row>
    <row r="323" spans="1:16" ht="15" customHeight="1" x14ac:dyDescent="0.25">
      <c r="A323" s="40" t="s">
        <v>461</v>
      </c>
      <c r="B323" s="40">
        <v>7896714240206</v>
      </c>
      <c r="C323" s="40" t="s">
        <v>336</v>
      </c>
      <c r="D323" s="41" t="s">
        <v>28</v>
      </c>
      <c r="E323" s="27">
        <v>60</v>
      </c>
      <c r="F323" s="34">
        <v>13.84</v>
      </c>
      <c r="G323" s="28">
        <v>0.82540000000000002</v>
      </c>
      <c r="H323" s="28">
        <v>5.6820000000000002E-2</v>
      </c>
      <c r="I323" s="13">
        <f t="shared" si="25"/>
        <v>2.4164639999999995</v>
      </c>
      <c r="J323" s="13">
        <f t="shared" si="26"/>
        <v>2.2791605155199997</v>
      </c>
      <c r="K323" s="29">
        <v>0.83389999999999997</v>
      </c>
      <c r="L323" s="13">
        <f t="shared" si="27"/>
        <v>2.2988239999999998</v>
      </c>
      <c r="M323" s="12">
        <f t="shared" si="28"/>
        <v>2.1682048203199997</v>
      </c>
      <c r="N323" s="30">
        <v>0</v>
      </c>
      <c r="O323" s="20"/>
      <c r="P323" s="3">
        <f t="shared" si="24"/>
        <v>0</v>
      </c>
    </row>
    <row r="324" spans="1:16" ht="15" customHeight="1" x14ac:dyDescent="0.25">
      <c r="A324" s="40" t="s">
        <v>461</v>
      </c>
      <c r="B324" s="40">
        <v>7896714200545</v>
      </c>
      <c r="C324" s="40" t="s">
        <v>196</v>
      </c>
      <c r="D324" s="41" t="s">
        <v>29</v>
      </c>
      <c r="E324" s="27">
        <v>60</v>
      </c>
      <c r="F324" s="34">
        <v>19.02</v>
      </c>
      <c r="G324" s="28">
        <v>0.745</v>
      </c>
      <c r="H324" s="28">
        <v>5.6820000000000002E-2</v>
      </c>
      <c r="I324" s="13">
        <f t="shared" si="25"/>
        <v>4.8500999999999994</v>
      </c>
      <c r="J324" s="13">
        <f t="shared" si="26"/>
        <v>4.5745173179999998</v>
      </c>
      <c r="K324" s="29">
        <v>0.7571</v>
      </c>
      <c r="L324" s="13">
        <f t="shared" si="27"/>
        <v>4.6199580000000005</v>
      </c>
      <c r="M324" s="12">
        <f t="shared" si="28"/>
        <v>4.3574519864400001</v>
      </c>
      <c r="N324" s="30">
        <v>0</v>
      </c>
      <c r="O324" s="20"/>
      <c r="P324" s="3">
        <f t="shared" si="24"/>
        <v>0</v>
      </c>
    </row>
    <row r="325" spans="1:16" x14ac:dyDescent="0.25">
      <c r="A325" s="40" t="s">
        <v>461</v>
      </c>
      <c r="B325" s="40">
        <v>7896714265742</v>
      </c>
      <c r="C325" s="40" t="s">
        <v>197</v>
      </c>
      <c r="D325" s="41" t="s">
        <v>30</v>
      </c>
      <c r="E325" s="27">
        <v>60</v>
      </c>
      <c r="F325" s="34">
        <v>31.43</v>
      </c>
      <c r="G325" s="28">
        <v>0.66500000000000004</v>
      </c>
      <c r="H325" s="28">
        <v>5.6820000000000002E-2</v>
      </c>
      <c r="I325" s="13">
        <f t="shared" si="25"/>
        <v>10.529049999999998</v>
      </c>
      <c r="J325" s="13">
        <f t="shared" si="26"/>
        <v>9.9307893789999984</v>
      </c>
      <c r="K325" s="29">
        <v>0.68089999999999995</v>
      </c>
      <c r="L325" s="13">
        <f t="shared" si="27"/>
        <v>10.029313000000002</v>
      </c>
      <c r="M325" s="12">
        <f t="shared" si="28"/>
        <v>9.4594474353400013</v>
      </c>
      <c r="N325" s="30">
        <v>0</v>
      </c>
      <c r="O325" s="20"/>
      <c r="P325" s="3">
        <f t="shared" si="24"/>
        <v>0</v>
      </c>
    </row>
    <row r="326" spans="1:16" ht="15" customHeight="1" x14ac:dyDescent="0.25">
      <c r="A326" s="40" t="s">
        <v>461</v>
      </c>
      <c r="B326" s="40">
        <v>7896714221083</v>
      </c>
      <c r="C326" s="40" t="s">
        <v>198</v>
      </c>
      <c r="D326" s="41" t="s">
        <v>394</v>
      </c>
      <c r="E326" s="27">
        <v>50</v>
      </c>
      <c r="F326" s="34">
        <v>40.1</v>
      </c>
      <c r="G326" s="28">
        <v>0.71650000000000003</v>
      </c>
      <c r="H326" s="28">
        <v>5.6820000000000002E-2</v>
      </c>
      <c r="I326" s="13">
        <f t="shared" si="25"/>
        <v>11.36835</v>
      </c>
      <c r="J326" s="13">
        <f>G326-(G326*H326)</f>
        <v>0.67578846999999997</v>
      </c>
      <c r="K326" s="29">
        <v>0.73</v>
      </c>
      <c r="L326" s="13">
        <f t="shared" si="27"/>
        <v>10.827000000000002</v>
      </c>
      <c r="M326" s="12">
        <f t="shared" si="28"/>
        <v>10.211809860000002</v>
      </c>
      <c r="N326" s="30">
        <v>0</v>
      </c>
      <c r="O326" s="20"/>
      <c r="P326" s="3">
        <f t="shared" ref="P326:P389" si="29">M326*O326</f>
        <v>0</v>
      </c>
    </row>
    <row r="327" spans="1:16" ht="15" customHeight="1" x14ac:dyDescent="0.25">
      <c r="A327" s="40" t="s">
        <v>461</v>
      </c>
      <c r="B327" s="40">
        <v>7896714230030</v>
      </c>
      <c r="C327" s="40" t="s">
        <v>199</v>
      </c>
      <c r="D327" s="41" t="s">
        <v>31</v>
      </c>
      <c r="E327" s="27">
        <v>60</v>
      </c>
      <c r="F327" s="34">
        <v>25.57</v>
      </c>
      <c r="G327" s="28">
        <v>0.73709999999999998</v>
      </c>
      <c r="H327" s="28">
        <v>5.6820000000000002E-2</v>
      </c>
      <c r="I327" s="13">
        <f t="shared" si="25"/>
        <v>6.7223530000000018</v>
      </c>
      <c r="J327" s="13">
        <f>G327-(G327*H327)</f>
        <v>0.69521797799999996</v>
      </c>
      <c r="K327" s="29">
        <v>0.74950000000000006</v>
      </c>
      <c r="L327" s="13">
        <f t="shared" si="27"/>
        <v>6.4052849999999992</v>
      </c>
      <c r="M327" s="12">
        <f t="shared" si="28"/>
        <v>6.0413367062999992</v>
      </c>
      <c r="N327" s="30">
        <v>0</v>
      </c>
      <c r="O327" s="20"/>
      <c r="P327" s="3">
        <f t="shared" si="29"/>
        <v>0</v>
      </c>
    </row>
    <row r="328" spans="1:16" ht="15" customHeight="1" x14ac:dyDescent="0.25">
      <c r="A328" s="40" t="s">
        <v>461</v>
      </c>
      <c r="B328" s="40">
        <v>7896714213446</v>
      </c>
      <c r="C328" s="40" t="s">
        <v>200</v>
      </c>
      <c r="D328" s="41" t="s">
        <v>32</v>
      </c>
      <c r="E328" s="27">
        <v>60</v>
      </c>
      <c r="F328" s="34">
        <v>19.52</v>
      </c>
      <c r="G328" s="28">
        <v>0.93210000000000004</v>
      </c>
      <c r="H328" s="28">
        <v>5.6820000000000002E-2</v>
      </c>
      <c r="I328" s="13">
        <f t="shared" ref="I328:I396" si="30">F328-(F328*G328)</f>
        <v>1.3254079999999995</v>
      </c>
      <c r="J328" s="13">
        <f t="shared" ref="J328:J359" si="31">I328-(I328*H328)</f>
        <v>1.2500983174399996</v>
      </c>
      <c r="K328" s="29">
        <v>0.93540000000000001</v>
      </c>
      <c r="L328" s="13">
        <f t="shared" ref="L328:L396" si="32">F328-(F328*K328)</f>
        <v>1.2609919999999981</v>
      </c>
      <c r="M328" s="12">
        <f t="shared" ref="M328:M396" si="33">L328-(L328*H328)</f>
        <v>1.1893424345599981</v>
      </c>
      <c r="N328" s="30">
        <v>0</v>
      </c>
      <c r="O328" s="20"/>
      <c r="P328" s="3">
        <f t="shared" si="29"/>
        <v>0</v>
      </c>
    </row>
    <row r="329" spans="1:16" ht="15" customHeight="1" x14ac:dyDescent="0.25">
      <c r="A329" s="40" t="s">
        <v>461</v>
      </c>
      <c r="B329" s="40">
        <v>7896714295732</v>
      </c>
      <c r="C329" s="40" t="s">
        <v>633</v>
      </c>
      <c r="D329" s="41" t="s">
        <v>654</v>
      </c>
      <c r="E329" s="27">
        <v>30</v>
      </c>
      <c r="F329" s="34">
        <v>21.93</v>
      </c>
      <c r="G329" s="28">
        <v>0.68230000000000002</v>
      </c>
      <c r="H329" s="28">
        <v>5.6820000000000002E-2</v>
      </c>
      <c r="I329" s="13">
        <f t="shared" si="30"/>
        <v>6.967160999999999</v>
      </c>
      <c r="J329" s="13">
        <f t="shared" si="31"/>
        <v>6.5712869119799988</v>
      </c>
      <c r="K329" s="29">
        <v>0.69730000000000003</v>
      </c>
      <c r="L329" s="13">
        <f t="shared" si="32"/>
        <v>6.6382110000000001</v>
      </c>
      <c r="M329" s="12">
        <f t="shared" si="33"/>
        <v>6.2610278509799997</v>
      </c>
      <c r="N329" s="30">
        <v>0</v>
      </c>
      <c r="O329" s="20"/>
      <c r="P329" s="3">
        <f t="shared" si="29"/>
        <v>0</v>
      </c>
    </row>
    <row r="330" spans="1:16" ht="15" customHeight="1" x14ac:dyDescent="0.25">
      <c r="A330" s="40" t="s">
        <v>461</v>
      </c>
      <c r="B330" s="40">
        <v>7896714295725</v>
      </c>
      <c r="C330" s="40" t="s">
        <v>634</v>
      </c>
      <c r="D330" s="41" t="s">
        <v>635</v>
      </c>
      <c r="E330" s="27">
        <v>30</v>
      </c>
      <c r="F330" s="34">
        <v>21.93</v>
      </c>
      <c r="G330" s="28">
        <v>0.68230000000000002</v>
      </c>
      <c r="H330" s="28">
        <v>5.6820000000000002E-2</v>
      </c>
      <c r="I330" s="13">
        <f t="shared" si="30"/>
        <v>6.967160999999999</v>
      </c>
      <c r="J330" s="13">
        <f t="shared" si="31"/>
        <v>6.5712869119799988</v>
      </c>
      <c r="K330" s="29">
        <v>0.69730000000000003</v>
      </c>
      <c r="L330" s="13">
        <f t="shared" si="32"/>
        <v>6.6382110000000001</v>
      </c>
      <c r="M330" s="12">
        <f t="shared" si="33"/>
        <v>6.2610278509799997</v>
      </c>
      <c r="N330" s="30">
        <v>0</v>
      </c>
      <c r="O330" s="20"/>
      <c r="P330" s="3">
        <f t="shared" si="29"/>
        <v>0</v>
      </c>
    </row>
    <row r="331" spans="1:16" ht="15" customHeight="1" x14ac:dyDescent="0.25">
      <c r="A331" s="40" t="s">
        <v>461</v>
      </c>
      <c r="B331" s="40">
        <v>7896714294315</v>
      </c>
      <c r="C331" s="40" t="s">
        <v>572</v>
      </c>
      <c r="D331" s="41" t="s">
        <v>573</v>
      </c>
      <c r="E331" s="27">
        <v>150</v>
      </c>
      <c r="F331" s="34">
        <v>40.380000000000003</v>
      </c>
      <c r="G331" s="28">
        <v>0.375</v>
      </c>
      <c r="H331" s="28">
        <v>0.13542000000000001</v>
      </c>
      <c r="I331" s="13">
        <f t="shared" si="30"/>
        <v>25.237500000000001</v>
      </c>
      <c r="J331" s="13">
        <f t="shared" si="31"/>
        <v>21.819837750000001</v>
      </c>
      <c r="K331" s="29">
        <v>0.40460000000000002</v>
      </c>
      <c r="L331" s="13">
        <f t="shared" si="32"/>
        <v>24.042252000000001</v>
      </c>
      <c r="M331" s="12">
        <f t="shared" si="33"/>
        <v>20.78645023416</v>
      </c>
      <c r="N331" s="30">
        <v>0</v>
      </c>
      <c r="O331" s="20"/>
      <c r="P331" s="3">
        <f t="shared" si="29"/>
        <v>0</v>
      </c>
    </row>
    <row r="332" spans="1:16" ht="15" customHeight="1" x14ac:dyDescent="0.25">
      <c r="A332" s="40" t="s">
        <v>461</v>
      </c>
      <c r="B332" s="40">
        <v>7896714294322</v>
      </c>
      <c r="C332" s="40" t="s">
        <v>655</v>
      </c>
      <c r="D332" s="41" t="s">
        <v>574</v>
      </c>
      <c r="E332" s="27">
        <v>210</v>
      </c>
      <c r="F332" s="34">
        <v>40.380000000000003</v>
      </c>
      <c r="G332" s="28">
        <v>0.375</v>
      </c>
      <c r="H332" s="28">
        <v>0.13542000000000001</v>
      </c>
      <c r="I332" s="13">
        <f t="shared" si="30"/>
        <v>25.237500000000001</v>
      </c>
      <c r="J332" s="13">
        <f t="shared" si="31"/>
        <v>21.819837750000001</v>
      </c>
      <c r="K332" s="29">
        <v>0.40460000000000002</v>
      </c>
      <c r="L332" s="13">
        <f t="shared" si="32"/>
        <v>24.042252000000001</v>
      </c>
      <c r="M332" s="12">
        <f t="shared" si="33"/>
        <v>20.78645023416</v>
      </c>
      <c r="N332" s="30">
        <v>0</v>
      </c>
      <c r="O332" s="20"/>
      <c r="P332" s="3">
        <f t="shared" si="29"/>
        <v>0</v>
      </c>
    </row>
    <row r="333" spans="1:16" ht="15" customHeight="1" x14ac:dyDescent="0.25">
      <c r="A333" s="40" t="s">
        <v>461</v>
      </c>
      <c r="B333" s="40">
        <v>7896714295824</v>
      </c>
      <c r="C333" s="40" t="s">
        <v>700</v>
      </c>
      <c r="D333" s="41" t="s">
        <v>702</v>
      </c>
      <c r="E333" s="27">
        <v>12</v>
      </c>
      <c r="F333" s="34">
        <v>35.67</v>
      </c>
      <c r="G333" s="28">
        <v>0.64739999999999998</v>
      </c>
      <c r="H333" s="28">
        <v>5.6820000000000002E-2</v>
      </c>
      <c r="I333" s="13">
        <f t="shared" si="30"/>
        <v>12.577242000000002</v>
      </c>
      <c r="J333" s="13">
        <f t="shared" si="31"/>
        <v>11.862603109560002</v>
      </c>
      <c r="K333" s="29">
        <v>0.66800000000000004</v>
      </c>
      <c r="L333" s="13">
        <f t="shared" si="32"/>
        <v>11.84244</v>
      </c>
      <c r="M333" s="12">
        <f t="shared" si="33"/>
        <v>11.1695525592</v>
      </c>
      <c r="N333" s="30">
        <v>0</v>
      </c>
      <c r="O333" s="20"/>
      <c r="P333" s="3">
        <f t="shared" si="29"/>
        <v>0</v>
      </c>
    </row>
    <row r="334" spans="1:16" ht="15" customHeight="1" x14ac:dyDescent="0.25">
      <c r="A334" s="40" t="s">
        <v>461</v>
      </c>
      <c r="B334" s="40">
        <v>7896714295817</v>
      </c>
      <c r="C334" s="40" t="s">
        <v>699</v>
      </c>
      <c r="D334" s="41" t="s">
        <v>701</v>
      </c>
      <c r="E334" s="27">
        <v>12</v>
      </c>
      <c r="F334" s="34">
        <v>19.38</v>
      </c>
      <c r="G334" s="28">
        <v>0.50080000000000002</v>
      </c>
      <c r="H334" s="28">
        <v>5.6820000000000002E-2</v>
      </c>
      <c r="I334" s="13">
        <f t="shared" si="30"/>
        <v>9.6744959999999995</v>
      </c>
      <c r="J334" s="13">
        <f t="shared" si="31"/>
        <v>9.124791137279999</v>
      </c>
      <c r="K334" s="29">
        <v>0.53010000000000002</v>
      </c>
      <c r="L334" s="13">
        <f t="shared" si="32"/>
        <v>9.106662</v>
      </c>
      <c r="M334" s="12">
        <f t="shared" si="33"/>
        <v>8.5892214651599996</v>
      </c>
      <c r="N334" s="30">
        <v>0</v>
      </c>
      <c r="O334" s="20"/>
      <c r="P334" s="3">
        <f t="shared" si="29"/>
        <v>0</v>
      </c>
    </row>
    <row r="335" spans="1:16" ht="15" customHeight="1" x14ac:dyDescent="0.25">
      <c r="A335" s="40" t="s">
        <v>461</v>
      </c>
      <c r="B335" s="40">
        <v>7896714265933</v>
      </c>
      <c r="C335" s="40" t="s">
        <v>201</v>
      </c>
      <c r="D335" s="41" t="s">
        <v>33</v>
      </c>
      <c r="E335" s="27">
        <v>30</v>
      </c>
      <c r="F335" s="34">
        <v>15.41</v>
      </c>
      <c r="G335" s="28">
        <v>0.59989999999999999</v>
      </c>
      <c r="H335" s="28">
        <v>5.6820000000000002E-2</v>
      </c>
      <c r="I335" s="13">
        <f t="shared" si="30"/>
        <v>6.165541000000001</v>
      </c>
      <c r="J335" s="13">
        <f t="shared" si="31"/>
        <v>5.8152149603800005</v>
      </c>
      <c r="K335" s="29">
        <v>0.62019999999999997</v>
      </c>
      <c r="L335" s="13">
        <f t="shared" si="32"/>
        <v>5.8527180000000012</v>
      </c>
      <c r="M335" s="12">
        <f t="shared" si="33"/>
        <v>5.520166563240001</v>
      </c>
      <c r="N335" s="30">
        <v>0</v>
      </c>
      <c r="O335" s="20"/>
      <c r="P335" s="3">
        <f t="shared" si="29"/>
        <v>0</v>
      </c>
    </row>
    <row r="336" spans="1:16" ht="15" customHeight="1" x14ac:dyDescent="0.25">
      <c r="A336" s="40" t="s">
        <v>461</v>
      </c>
      <c r="B336" s="40">
        <v>7896714273822</v>
      </c>
      <c r="C336" s="40" t="s">
        <v>337</v>
      </c>
      <c r="D336" s="41" t="s">
        <v>34</v>
      </c>
      <c r="E336" s="27">
        <v>30</v>
      </c>
      <c r="F336" s="34">
        <v>15.41</v>
      </c>
      <c r="G336" s="28">
        <v>0.63959999999999995</v>
      </c>
      <c r="H336" s="28">
        <v>5.6820000000000002E-2</v>
      </c>
      <c r="I336" s="13">
        <f t="shared" si="30"/>
        <v>5.553764000000001</v>
      </c>
      <c r="J336" s="13">
        <f t="shared" si="31"/>
        <v>5.2381991295200008</v>
      </c>
      <c r="K336" s="29">
        <v>0.65880000000000005</v>
      </c>
      <c r="L336" s="13">
        <f t="shared" si="32"/>
        <v>5.257892</v>
      </c>
      <c r="M336" s="12">
        <f t="shared" si="33"/>
        <v>4.95913857656</v>
      </c>
      <c r="N336" s="30">
        <v>0</v>
      </c>
      <c r="O336" s="20"/>
      <c r="P336" s="3">
        <f t="shared" si="29"/>
        <v>0</v>
      </c>
    </row>
    <row r="337" spans="1:16" x14ac:dyDescent="0.25">
      <c r="A337" s="40" t="s">
        <v>461</v>
      </c>
      <c r="B337" s="40">
        <v>7896714214566</v>
      </c>
      <c r="C337" s="40" t="s">
        <v>317</v>
      </c>
      <c r="D337" s="41" t="s">
        <v>35</v>
      </c>
      <c r="E337" s="27">
        <v>12</v>
      </c>
      <c r="F337" s="34">
        <v>528.61</v>
      </c>
      <c r="G337" s="28">
        <v>0.79849999999999999</v>
      </c>
      <c r="H337" s="28">
        <v>5.6820000000000002E-2</v>
      </c>
      <c r="I337" s="13">
        <f t="shared" si="30"/>
        <v>106.51491500000003</v>
      </c>
      <c r="J337" s="13">
        <f t="shared" si="31"/>
        <v>100.46273752970004</v>
      </c>
      <c r="K337" s="29">
        <v>0.80810000000000004</v>
      </c>
      <c r="L337" s="13">
        <f t="shared" si="32"/>
        <v>101.44025899999997</v>
      </c>
      <c r="M337" s="12">
        <f t="shared" si="33"/>
        <v>95.676423483619971</v>
      </c>
      <c r="N337" s="30">
        <v>0</v>
      </c>
      <c r="O337" s="20"/>
      <c r="P337" s="3">
        <f t="shared" si="29"/>
        <v>0</v>
      </c>
    </row>
    <row r="338" spans="1:16" x14ac:dyDescent="0.25">
      <c r="A338" s="40" t="s">
        <v>461</v>
      </c>
      <c r="B338" s="40">
        <v>7896714254784</v>
      </c>
      <c r="C338" s="40" t="s">
        <v>202</v>
      </c>
      <c r="D338" s="41" t="s">
        <v>36</v>
      </c>
      <c r="E338" s="27">
        <v>60</v>
      </c>
      <c r="F338" s="34">
        <v>20.12</v>
      </c>
      <c r="G338" s="28">
        <v>0.62929999999999997</v>
      </c>
      <c r="H338" s="28">
        <v>5.6820000000000002E-2</v>
      </c>
      <c r="I338" s="13">
        <f t="shared" si="30"/>
        <v>7.4584840000000003</v>
      </c>
      <c r="J338" s="13">
        <f t="shared" si="31"/>
        <v>7.0346929391200002</v>
      </c>
      <c r="K338" s="29">
        <v>0.64700000000000002</v>
      </c>
      <c r="L338" s="13">
        <f t="shared" si="32"/>
        <v>7.1023599999999991</v>
      </c>
      <c r="M338" s="12">
        <f t="shared" si="33"/>
        <v>6.6988039047999992</v>
      </c>
      <c r="N338" s="30">
        <v>0</v>
      </c>
      <c r="O338" s="20"/>
      <c r="P338" s="3">
        <f t="shared" si="29"/>
        <v>0</v>
      </c>
    </row>
    <row r="339" spans="1:16" ht="15" customHeight="1" x14ac:dyDescent="0.25">
      <c r="A339" s="40" t="s">
        <v>461</v>
      </c>
      <c r="B339" s="40">
        <v>7896714296203</v>
      </c>
      <c r="C339" s="40" t="s">
        <v>720</v>
      </c>
      <c r="D339" s="41" t="s">
        <v>726</v>
      </c>
      <c r="E339" s="27">
        <v>24</v>
      </c>
      <c r="F339" s="34">
        <v>35.049999999999997</v>
      </c>
      <c r="G339" s="28">
        <v>0.72840000000000005</v>
      </c>
      <c r="H339" s="28">
        <v>5.6820000000000002E-2</v>
      </c>
      <c r="I339" s="13">
        <f t="shared" si="30"/>
        <v>9.5195799999999977</v>
      </c>
      <c r="J339" s="13">
        <f t="shared" si="31"/>
        <v>8.9786774643999969</v>
      </c>
      <c r="K339" s="29">
        <v>0.77480000000000004</v>
      </c>
      <c r="L339" s="13">
        <f t="shared" si="32"/>
        <v>7.8932599999999979</v>
      </c>
      <c r="M339" s="12">
        <f t="shared" si="33"/>
        <v>7.4447649667999984</v>
      </c>
      <c r="N339" s="30">
        <v>0</v>
      </c>
      <c r="O339" s="20"/>
      <c r="P339" s="3">
        <f t="shared" si="29"/>
        <v>0</v>
      </c>
    </row>
    <row r="340" spans="1:16" ht="15" customHeight="1" x14ac:dyDescent="0.25">
      <c r="A340" s="40" t="s">
        <v>461</v>
      </c>
      <c r="B340" s="40">
        <v>7896714296227</v>
      </c>
      <c r="C340" s="40" t="s">
        <v>721</v>
      </c>
      <c r="D340" s="41" t="s">
        <v>727</v>
      </c>
      <c r="E340" s="27">
        <v>24</v>
      </c>
      <c r="F340" s="34">
        <v>35.049999999999997</v>
      </c>
      <c r="G340" s="28">
        <v>0.72840000000000005</v>
      </c>
      <c r="H340" s="28">
        <v>5.6820000000000002E-2</v>
      </c>
      <c r="I340" s="13">
        <f t="shared" si="30"/>
        <v>9.5195799999999977</v>
      </c>
      <c r="J340" s="13">
        <f t="shared" si="31"/>
        <v>8.9786774643999969</v>
      </c>
      <c r="K340" s="29">
        <v>0.77480000000000004</v>
      </c>
      <c r="L340" s="13">
        <f t="shared" si="32"/>
        <v>7.8932599999999979</v>
      </c>
      <c r="M340" s="12">
        <f t="shared" si="33"/>
        <v>7.4447649667999984</v>
      </c>
      <c r="N340" s="30">
        <v>0</v>
      </c>
      <c r="O340" s="20"/>
      <c r="P340" s="3">
        <f t="shared" si="29"/>
        <v>0</v>
      </c>
    </row>
    <row r="341" spans="1:16" x14ac:dyDescent="0.25">
      <c r="A341" s="40" t="s">
        <v>461</v>
      </c>
      <c r="B341" s="40">
        <v>7896714296265</v>
      </c>
      <c r="C341" s="40" t="s">
        <v>705</v>
      </c>
      <c r="D341" s="41" t="s">
        <v>707</v>
      </c>
      <c r="E341" s="27">
        <v>20</v>
      </c>
      <c r="F341" s="34">
        <v>25.24</v>
      </c>
      <c r="G341" s="28">
        <v>0.67759999999999998</v>
      </c>
      <c r="H341" s="28">
        <v>5.6820000000000002E-2</v>
      </c>
      <c r="I341" s="13">
        <f t="shared" si="30"/>
        <v>8.1373759999999997</v>
      </c>
      <c r="J341" s="13">
        <f t="shared" si="31"/>
        <v>7.6750102956799999</v>
      </c>
      <c r="K341" s="29">
        <v>0.7329</v>
      </c>
      <c r="L341" s="13">
        <f t="shared" si="32"/>
        <v>6.7416039999999988</v>
      </c>
      <c r="M341" s="12">
        <f t="shared" si="33"/>
        <v>6.3585460607199993</v>
      </c>
      <c r="N341" s="30">
        <v>0</v>
      </c>
      <c r="O341" s="20"/>
      <c r="P341" s="3">
        <f t="shared" si="29"/>
        <v>0</v>
      </c>
    </row>
    <row r="342" spans="1:16" x14ac:dyDescent="0.25">
      <c r="A342" s="40" t="s">
        <v>461</v>
      </c>
      <c r="B342" s="40">
        <v>7896714296241</v>
      </c>
      <c r="C342" s="40" t="s">
        <v>712</v>
      </c>
      <c r="D342" s="41" t="s">
        <v>713</v>
      </c>
      <c r="E342" s="27">
        <v>20</v>
      </c>
      <c r="F342" s="34">
        <v>25.24</v>
      </c>
      <c r="G342" s="28">
        <v>0.67759999999999998</v>
      </c>
      <c r="H342" s="28">
        <v>5.6820000000000002E-2</v>
      </c>
      <c r="I342" s="13">
        <f t="shared" si="30"/>
        <v>8.1373759999999997</v>
      </c>
      <c r="J342" s="13">
        <f t="shared" si="31"/>
        <v>7.6750102956799999</v>
      </c>
      <c r="K342" s="29">
        <v>0.7329</v>
      </c>
      <c r="L342" s="13">
        <f t="shared" si="32"/>
        <v>6.7416039999999988</v>
      </c>
      <c r="M342" s="12">
        <f t="shared" si="33"/>
        <v>6.3585460607199993</v>
      </c>
      <c r="N342" s="30">
        <v>0</v>
      </c>
      <c r="O342" s="20"/>
      <c r="P342" s="3">
        <f t="shared" si="29"/>
        <v>0</v>
      </c>
    </row>
    <row r="343" spans="1:16" ht="15" customHeight="1" x14ac:dyDescent="0.25">
      <c r="A343" s="40" t="s">
        <v>461</v>
      </c>
      <c r="B343" s="40">
        <v>7896714296258</v>
      </c>
      <c r="C343" s="40" t="s">
        <v>704</v>
      </c>
      <c r="D343" s="41" t="s">
        <v>706</v>
      </c>
      <c r="E343" s="27">
        <v>20</v>
      </c>
      <c r="F343" s="34">
        <v>25.24</v>
      </c>
      <c r="G343" s="28">
        <v>0.67759999999999998</v>
      </c>
      <c r="H343" s="28">
        <v>5.6820000000000002E-2</v>
      </c>
      <c r="I343" s="13">
        <f t="shared" si="30"/>
        <v>8.1373759999999997</v>
      </c>
      <c r="J343" s="13">
        <f t="shared" si="31"/>
        <v>7.6750102956799999</v>
      </c>
      <c r="K343" s="29">
        <v>0.7329</v>
      </c>
      <c r="L343" s="13">
        <f t="shared" si="32"/>
        <v>6.7416039999999988</v>
      </c>
      <c r="M343" s="12">
        <f t="shared" si="33"/>
        <v>6.3585460607199993</v>
      </c>
      <c r="N343" s="30">
        <v>0</v>
      </c>
      <c r="O343" s="20"/>
      <c r="P343" s="3">
        <f t="shared" si="29"/>
        <v>0</v>
      </c>
    </row>
    <row r="344" spans="1:16" ht="15" customHeight="1" x14ac:dyDescent="0.25">
      <c r="A344" s="40" t="s">
        <v>461</v>
      </c>
      <c r="B344" s="40">
        <v>7896714293127</v>
      </c>
      <c r="C344" s="40" t="s">
        <v>631</v>
      </c>
      <c r="D344" s="41" t="s">
        <v>632</v>
      </c>
      <c r="E344" s="27">
        <v>60</v>
      </c>
      <c r="F344" s="34">
        <v>14.7</v>
      </c>
      <c r="G344" s="28">
        <v>0.57010000000000005</v>
      </c>
      <c r="H344" s="28">
        <v>9.0910000000000005E-2</v>
      </c>
      <c r="I344" s="13">
        <f t="shared" si="30"/>
        <v>6.3195299999999985</v>
      </c>
      <c r="J344" s="13">
        <f t="shared" si="31"/>
        <v>5.7450215276999987</v>
      </c>
      <c r="K344" s="29">
        <v>0.59530000000000005</v>
      </c>
      <c r="L344" s="13">
        <f t="shared" si="32"/>
        <v>5.9490899999999982</v>
      </c>
      <c r="M344" s="12">
        <f t="shared" si="33"/>
        <v>5.4082582280999985</v>
      </c>
      <c r="N344" s="30">
        <v>0</v>
      </c>
      <c r="O344" s="20"/>
      <c r="P344" s="3">
        <f t="shared" si="29"/>
        <v>0</v>
      </c>
    </row>
    <row r="345" spans="1:16" ht="15" customHeight="1" x14ac:dyDescent="0.25">
      <c r="A345" s="40" t="s">
        <v>461</v>
      </c>
      <c r="B345" s="40">
        <v>7896714283005</v>
      </c>
      <c r="C345" s="40" t="s">
        <v>203</v>
      </c>
      <c r="D345" s="41" t="s">
        <v>37</v>
      </c>
      <c r="E345" s="27">
        <v>60</v>
      </c>
      <c r="F345" s="34">
        <v>12.6</v>
      </c>
      <c r="G345" s="28">
        <v>0.39679999999999999</v>
      </c>
      <c r="H345" s="28">
        <v>5.6820000000000002E-2</v>
      </c>
      <c r="I345" s="13">
        <f t="shared" si="30"/>
        <v>7.60032</v>
      </c>
      <c r="J345" s="13">
        <f t="shared" si="31"/>
        <v>7.1684698176000001</v>
      </c>
      <c r="K345" s="29">
        <v>0.4259</v>
      </c>
      <c r="L345" s="13">
        <f t="shared" si="32"/>
        <v>7.2336599999999995</v>
      </c>
      <c r="M345" s="12">
        <f t="shared" si="33"/>
        <v>6.8226434387999992</v>
      </c>
      <c r="N345" s="30">
        <v>0</v>
      </c>
      <c r="O345" s="20"/>
      <c r="P345" s="3">
        <f t="shared" si="29"/>
        <v>0</v>
      </c>
    </row>
    <row r="346" spans="1:16" ht="15" customHeight="1" x14ac:dyDescent="0.25">
      <c r="A346" s="40" t="s">
        <v>461</v>
      </c>
      <c r="B346" s="40">
        <v>7896714270029</v>
      </c>
      <c r="C346" s="40" t="s">
        <v>204</v>
      </c>
      <c r="D346" s="41" t="s">
        <v>38</v>
      </c>
      <c r="E346" s="27">
        <v>60</v>
      </c>
      <c r="F346" s="34">
        <v>34.51</v>
      </c>
      <c r="G346" s="28">
        <v>0.69550000000000001</v>
      </c>
      <c r="H346" s="28">
        <v>5.6820000000000002E-2</v>
      </c>
      <c r="I346" s="13">
        <f t="shared" si="30"/>
        <v>10.508295</v>
      </c>
      <c r="J346" s="13">
        <f t="shared" si="31"/>
        <v>9.9112136781000011</v>
      </c>
      <c r="K346" s="29">
        <v>0.70989999999999998</v>
      </c>
      <c r="L346" s="13">
        <f t="shared" si="32"/>
        <v>10.011351000000001</v>
      </c>
      <c r="M346" s="12">
        <f t="shared" si="33"/>
        <v>9.4425060361800011</v>
      </c>
      <c r="N346" s="30">
        <v>0</v>
      </c>
      <c r="O346" s="20"/>
      <c r="P346" s="3">
        <f t="shared" si="29"/>
        <v>0</v>
      </c>
    </row>
    <row r="347" spans="1:16" ht="15" customHeight="1" x14ac:dyDescent="0.25">
      <c r="A347" s="40" t="s">
        <v>461</v>
      </c>
      <c r="B347" s="40">
        <v>7896714200255</v>
      </c>
      <c r="C347" s="40" t="s">
        <v>205</v>
      </c>
      <c r="D347" s="41" t="s">
        <v>39</v>
      </c>
      <c r="E347" s="27">
        <v>60</v>
      </c>
      <c r="F347" s="34">
        <v>9.6</v>
      </c>
      <c r="G347" s="28">
        <v>0.66390000000000005</v>
      </c>
      <c r="H347" s="28">
        <v>5.6820000000000002E-2</v>
      </c>
      <c r="I347" s="13">
        <f t="shared" si="30"/>
        <v>3.2265599999999992</v>
      </c>
      <c r="J347" s="13">
        <f t="shared" si="31"/>
        <v>3.043226860799999</v>
      </c>
      <c r="K347" s="29">
        <v>0.67979999999999996</v>
      </c>
      <c r="L347" s="13">
        <f t="shared" si="32"/>
        <v>3.0739200000000002</v>
      </c>
      <c r="M347" s="12">
        <f t="shared" si="33"/>
        <v>2.8992598656000004</v>
      </c>
      <c r="N347" s="30">
        <v>0</v>
      </c>
      <c r="O347" s="20"/>
      <c r="P347" s="3">
        <f t="shared" si="29"/>
        <v>0</v>
      </c>
    </row>
    <row r="348" spans="1:16" ht="15" customHeight="1" x14ac:dyDescent="0.25">
      <c r="A348" s="40" t="s">
        <v>461</v>
      </c>
      <c r="B348" s="40">
        <v>7896714295299</v>
      </c>
      <c r="C348" s="40" t="s">
        <v>575</v>
      </c>
      <c r="D348" s="41" t="s">
        <v>577</v>
      </c>
      <c r="E348" s="27">
        <v>15</v>
      </c>
      <c r="F348" s="34">
        <v>58.76</v>
      </c>
      <c r="G348" s="28">
        <v>0.57899999999999996</v>
      </c>
      <c r="H348" s="28">
        <v>5.6820000000000002E-2</v>
      </c>
      <c r="I348" s="13">
        <f t="shared" si="30"/>
        <v>24.737960000000001</v>
      </c>
      <c r="J348" s="13">
        <f t="shared" si="31"/>
        <v>23.332349112799999</v>
      </c>
      <c r="K348" s="29">
        <v>0.59919999999999995</v>
      </c>
      <c r="L348" s="13">
        <f t="shared" si="32"/>
        <v>23.551008000000003</v>
      </c>
      <c r="M348" s="12">
        <f t="shared" si="33"/>
        <v>22.212839725440002</v>
      </c>
      <c r="N348" s="30">
        <v>0</v>
      </c>
      <c r="O348" s="20"/>
      <c r="P348" s="3">
        <f t="shared" si="29"/>
        <v>0</v>
      </c>
    </row>
    <row r="349" spans="1:16" ht="15" customHeight="1" x14ac:dyDescent="0.25">
      <c r="A349" s="40" t="s">
        <v>461</v>
      </c>
      <c r="B349" s="40">
        <v>7896714295305</v>
      </c>
      <c r="C349" s="40" t="s">
        <v>576</v>
      </c>
      <c r="D349" s="41" t="s">
        <v>578</v>
      </c>
      <c r="E349" s="27">
        <v>12</v>
      </c>
      <c r="F349" s="34">
        <v>70.59</v>
      </c>
      <c r="G349" s="28">
        <v>0.57940000000000003</v>
      </c>
      <c r="H349" s="28">
        <v>5.6820000000000002E-2</v>
      </c>
      <c r="I349" s="13">
        <f t="shared" si="30"/>
        <v>29.690154</v>
      </c>
      <c r="J349" s="13">
        <f t="shared" si="31"/>
        <v>28.003159449719998</v>
      </c>
      <c r="K349" s="29">
        <v>0.59940000000000004</v>
      </c>
      <c r="L349" s="13">
        <f t="shared" si="32"/>
        <v>28.278354</v>
      </c>
      <c r="M349" s="12">
        <f t="shared" si="33"/>
        <v>26.671577925720001</v>
      </c>
      <c r="N349" s="30">
        <v>0</v>
      </c>
      <c r="O349" s="20"/>
      <c r="P349" s="3">
        <f t="shared" si="29"/>
        <v>0</v>
      </c>
    </row>
    <row r="350" spans="1:16" ht="15" customHeight="1" x14ac:dyDescent="0.25">
      <c r="A350" s="40" t="s">
        <v>461</v>
      </c>
      <c r="B350" s="40">
        <v>7896714230023</v>
      </c>
      <c r="C350" s="40" t="s">
        <v>206</v>
      </c>
      <c r="D350" s="41" t="s">
        <v>776</v>
      </c>
      <c r="E350" s="27">
        <v>60</v>
      </c>
      <c r="F350" s="34">
        <v>10.3</v>
      </c>
      <c r="G350" s="28">
        <v>0.58299999999999996</v>
      </c>
      <c r="H350" s="28">
        <v>5.6820000000000002E-2</v>
      </c>
      <c r="I350" s="13">
        <f t="shared" si="30"/>
        <v>4.2951000000000006</v>
      </c>
      <c r="J350" s="13">
        <f t="shared" si="31"/>
        <v>4.0510524180000003</v>
      </c>
      <c r="K350" s="29">
        <v>0.60319999999999996</v>
      </c>
      <c r="L350" s="13">
        <f t="shared" si="32"/>
        <v>4.0870400000000009</v>
      </c>
      <c r="M350" s="12">
        <f t="shared" si="33"/>
        <v>3.8548143872000007</v>
      </c>
      <c r="N350" s="30">
        <v>0</v>
      </c>
      <c r="O350" s="20"/>
      <c r="P350" s="3">
        <f t="shared" si="29"/>
        <v>0</v>
      </c>
    </row>
    <row r="351" spans="1:16" ht="15" customHeight="1" x14ac:dyDescent="0.25">
      <c r="A351" s="40" t="s">
        <v>461</v>
      </c>
      <c r="B351" s="40">
        <v>7896714290515</v>
      </c>
      <c r="C351" s="40" t="s">
        <v>427</v>
      </c>
      <c r="D351" s="41" t="s">
        <v>428</v>
      </c>
      <c r="E351" s="27">
        <v>24</v>
      </c>
      <c r="F351" s="34">
        <v>24.8</v>
      </c>
      <c r="G351" s="28">
        <v>0.65869999999999995</v>
      </c>
      <c r="H351" s="28">
        <v>5.6820000000000002E-2</v>
      </c>
      <c r="I351" s="13">
        <f t="shared" si="30"/>
        <v>8.4642400000000002</v>
      </c>
      <c r="J351" s="13">
        <f t="shared" si="31"/>
        <v>7.9833018832000002</v>
      </c>
      <c r="K351" s="29">
        <v>0.67479999999999996</v>
      </c>
      <c r="L351" s="13">
        <f t="shared" si="32"/>
        <v>8.0649600000000028</v>
      </c>
      <c r="M351" s="12">
        <f t="shared" si="33"/>
        <v>7.6067089728000026</v>
      </c>
      <c r="N351" s="30">
        <v>0</v>
      </c>
      <c r="O351" s="20"/>
      <c r="P351" s="3">
        <f t="shared" si="29"/>
        <v>0</v>
      </c>
    </row>
    <row r="352" spans="1:16" ht="15" customHeight="1" x14ac:dyDescent="0.25">
      <c r="A352" s="40" t="s">
        <v>461</v>
      </c>
      <c r="B352" s="40">
        <v>7896714294360</v>
      </c>
      <c r="C352" s="40" t="s">
        <v>676</v>
      </c>
      <c r="D352" s="41" t="s">
        <v>677</v>
      </c>
      <c r="E352" s="27">
        <v>60</v>
      </c>
      <c r="F352" s="34">
        <v>24.42</v>
      </c>
      <c r="G352" s="28">
        <v>0.5464</v>
      </c>
      <c r="H352" s="28">
        <v>5.6820000000000002E-2</v>
      </c>
      <c r="I352" s="13">
        <f t="shared" si="30"/>
        <v>11.076912</v>
      </c>
      <c r="J352" s="13">
        <f t="shared" si="31"/>
        <v>10.44752186016</v>
      </c>
      <c r="K352" s="29">
        <v>0.56810000000000005</v>
      </c>
      <c r="L352" s="13">
        <f t="shared" si="32"/>
        <v>10.546998</v>
      </c>
      <c r="M352" s="12">
        <f t="shared" si="33"/>
        <v>9.9477175736400003</v>
      </c>
      <c r="N352" s="30">
        <v>0</v>
      </c>
      <c r="O352" s="20"/>
      <c r="P352" s="3">
        <f t="shared" si="29"/>
        <v>0</v>
      </c>
    </row>
    <row r="353" spans="1:16" ht="15" customHeight="1" x14ac:dyDescent="0.25">
      <c r="A353" s="40" t="s">
        <v>461</v>
      </c>
      <c r="B353" s="40">
        <v>7896714231143</v>
      </c>
      <c r="C353" s="40" t="s">
        <v>338</v>
      </c>
      <c r="D353" s="41" t="s">
        <v>40</v>
      </c>
      <c r="E353" s="27">
        <v>60</v>
      </c>
      <c r="F353" s="34">
        <v>9.0399999999999991</v>
      </c>
      <c r="G353" s="28">
        <v>0.60489999999999999</v>
      </c>
      <c r="H353" s="28">
        <v>5.6820000000000002E-2</v>
      </c>
      <c r="I353" s="13">
        <f t="shared" si="30"/>
        <v>3.5717039999999995</v>
      </c>
      <c r="J353" s="13">
        <f t="shared" si="31"/>
        <v>3.3687597787199994</v>
      </c>
      <c r="K353" s="29">
        <v>0.67530000000000001</v>
      </c>
      <c r="L353" s="13">
        <f t="shared" si="32"/>
        <v>2.9352879999999999</v>
      </c>
      <c r="M353" s="12">
        <f t="shared" si="33"/>
        <v>2.7685049358399998</v>
      </c>
      <c r="N353" s="30">
        <v>0</v>
      </c>
      <c r="O353" s="20"/>
      <c r="P353" s="3">
        <f t="shared" si="29"/>
        <v>0</v>
      </c>
    </row>
    <row r="354" spans="1:16" ht="15" customHeight="1" x14ac:dyDescent="0.25">
      <c r="A354" s="40" t="s">
        <v>461</v>
      </c>
      <c r="B354" s="40">
        <v>7896714260051</v>
      </c>
      <c r="C354" s="40" t="s">
        <v>207</v>
      </c>
      <c r="D354" s="41" t="s">
        <v>41</v>
      </c>
      <c r="E354" s="27">
        <v>60</v>
      </c>
      <c r="F354" s="34">
        <v>23.05</v>
      </c>
      <c r="G354" s="28">
        <v>0.5716</v>
      </c>
      <c r="H354" s="28">
        <v>5.6820000000000002E-2</v>
      </c>
      <c r="I354" s="13">
        <f t="shared" si="30"/>
        <v>9.8746200000000002</v>
      </c>
      <c r="J354" s="13">
        <f t="shared" si="31"/>
        <v>9.3135440916000007</v>
      </c>
      <c r="K354" s="29">
        <v>0.60099999999999998</v>
      </c>
      <c r="L354" s="13">
        <f t="shared" si="32"/>
        <v>9.1969500000000011</v>
      </c>
      <c r="M354" s="12">
        <f t="shared" si="33"/>
        <v>8.6743793010000019</v>
      </c>
      <c r="N354" s="30">
        <v>0</v>
      </c>
      <c r="O354" s="20"/>
      <c r="P354" s="3">
        <f t="shared" si="29"/>
        <v>0</v>
      </c>
    </row>
    <row r="355" spans="1:16" ht="15" customHeight="1" x14ac:dyDescent="0.25">
      <c r="A355" s="40" t="s">
        <v>461</v>
      </c>
      <c r="B355" s="40">
        <v>7896714260020</v>
      </c>
      <c r="C355" s="40" t="s">
        <v>208</v>
      </c>
      <c r="D355" s="41" t="s">
        <v>42</v>
      </c>
      <c r="E355" s="27">
        <v>60</v>
      </c>
      <c r="F355" s="34">
        <v>23.05</v>
      </c>
      <c r="G355" s="28">
        <v>0.5484</v>
      </c>
      <c r="H355" s="28">
        <v>5.6820000000000002E-2</v>
      </c>
      <c r="I355" s="13">
        <f t="shared" si="30"/>
        <v>10.409380000000001</v>
      </c>
      <c r="J355" s="13">
        <f t="shared" si="31"/>
        <v>9.8179190284000004</v>
      </c>
      <c r="K355" s="29">
        <v>0.56989999999999996</v>
      </c>
      <c r="L355" s="13">
        <f t="shared" si="32"/>
        <v>9.9138050000000018</v>
      </c>
      <c r="M355" s="12">
        <f t="shared" si="33"/>
        <v>9.3505025999000022</v>
      </c>
      <c r="N355" s="30">
        <v>0</v>
      </c>
      <c r="O355" s="20"/>
      <c r="P355" s="3">
        <f t="shared" si="29"/>
        <v>0</v>
      </c>
    </row>
    <row r="356" spans="1:16" ht="15" customHeight="1" x14ac:dyDescent="0.25">
      <c r="A356" s="40" t="s">
        <v>461</v>
      </c>
      <c r="B356" s="40">
        <v>7896714200361</v>
      </c>
      <c r="C356" s="40" t="s">
        <v>503</v>
      </c>
      <c r="D356" s="41" t="s">
        <v>504</v>
      </c>
      <c r="E356" s="27">
        <v>60</v>
      </c>
      <c r="F356" s="34">
        <v>12.28</v>
      </c>
      <c r="G356" s="28">
        <v>0.8468</v>
      </c>
      <c r="H356" s="28">
        <v>5.6820000000000002E-2</v>
      </c>
      <c r="I356" s="13">
        <f t="shared" si="30"/>
        <v>1.8812960000000007</v>
      </c>
      <c r="J356" s="13">
        <f t="shared" si="31"/>
        <v>1.7744007612800008</v>
      </c>
      <c r="K356" s="29">
        <v>0.8538</v>
      </c>
      <c r="L356" s="13">
        <f t="shared" si="32"/>
        <v>1.7953360000000007</v>
      </c>
      <c r="M356" s="12">
        <f t="shared" si="33"/>
        <v>1.6933250084800007</v>
      </c>
      <c r="N356" s="30">
        <v>0</v>
      </c>
      <c r="O356" s="20"/>
      <c r="P356" s="3">
        <f t="shared" si="29"/>
        <v>0</v>
      </c>
    </row>
    <row r="357" spans="1:16" ht="15" customHeight="1" x14ac:dyDescent="0.25">
      <c r="A357" s="40" t="s">
        <v>461</v>
      </c>
      <c r="B357" s="40">
        <v>7896714200217</v>
      </c>
      <c r="C357" s="40" t="s">
        <v>209</v>
      </c>
      <c r="D357" s="41" t="s">
        <v>832</v>
      </c>
      <c r="E357" s="27">
        <v>60</v>
      </c>
      <c r="F357" s="34">
        <v>15.41</v>
      </c>
      <c r="G357" s="28">
        <v>0.873</v>
      </c>
      <c r="H357" s="28">
        <v>5.6820000000000002E-2</v>
      </c>
      <c r="I357" s="13">
        <f t="shared" si="30"/>
        <v>1.9570699999999999</v>
      </c>
      <c r="J357" s="13">
        <f t="shared" si="31"/>
        <v>1.8458692825999998</v>
      </c>
      <c r="K357" s="29">
        <v>0.879</v>
      </c>
      <c r="L357" s="13">
        <f t="shared" si="32"/>
        <v>1.8646100000000008</v>
      </c>
      <c r="M357" s="12">
        <f t="shared" si="33"/>
        <v>1.7586628598000007</v>
      </c>
      <c r="N357" s="30">
        <v>0</v>
      </c>
      <c r="O357" s="20"/>
      <c r="P357" s="3">
        <f t="shared" si="29"/>
        <v>0</v>
      </c>
    </row>
    <row r="358" spans="1:16" ht="15" customHeight="1" x14ac:dyDescent="0.25">
      <c r="A358" s="40" t="s">
        <v>461</v>
      </c>
      <c r="B358" s="40">
        <v>7896714236223</v>
      </c>
      <c r="C358" s="40" t="s">
        <v>210</v>
      </c>
      <c r="D358" s="41" t="s">
        <v>43</v>
      </c>
      <c r="E358" s="27">
        <v>60</v>
      </c>
      <c r="F358" s="34">
        <v>19.399999999999999</v>
      </c>
      <c r="G358" s="28">
        <v>0.60040000000000004</v>
      </c>
      <c r="H358" s="28">
        <v>5.6820000000000002E-2</v>
      </c>
      <c r="I358" s="13">
        <f t="shared" si="30"/>
        <v>7.7522399999999987</v>
      </c>
      <c r="J358" s="13">
        <f t="shared" si="31"/>
        <v>7.3117577231999986</v>
      </c>
      <c r="K358" s="29">
        <v>0.61970000000000003</v>
      </c>
      <c r="L358" s="13">
        <f t="shared" si="32"/>
        <v>7.377819999999998</v>
      </c>
      <c r="M358" s="12">
        <f t="shared" si="33"/>
        <v>6.9586122675999977</v>
      </c>
      <c r="N358" s="30">
        <v>0</v>
      </c>
      <c r="O358" s="20"/>
      <c r="P358" s="3">
        <f t="shared" si="29"/>
        <v>0</v>
      </c>
    </row>
    <row r="359" spans="1:16" ht="15" customHeight="1" x14ac:dyDescent="0.25">
      <c r="A359" s="40" t="s">
        <v>461</v>
      </c>
      <c r="B359" s="40">
        <v>7896714236247</v>
      </c>
      <c r="C359" s="40" t="s">
        <v>211</v>
      </c>
      <c r="D359" s="41" t="s">
        <v>44</v>
      </c>
      <c r="E359" s="27">
        <v>60</v>
      </c>
      <c r="F359" s="34">
        <v>14.31</v>
      </c>
      <c r="G359" s="28">
        <v>0.51929999999999998</v>
      </c>
      <c r="H359" s="28">
        <v>5.6820000000000002E-2</v>
      </c>
      <c r="I359" s="13">
        <f t="shared" si="30"/>
        <v>6.8788170000000006</v>
      </c>
      <c r="J359" s="13">
        <f t="shared" si="31"/>
        <v>6.487962618060001</v>
      </c>
      <c r="K359" s="29">
        <v>0.54239999999999999</v>
      </c>
      <c r="L359" s="13">
        <f t="shared" si="32"/>
        <v>6.5482560000000003</v>
      </c>
      <c r="M359" s="12">
        <f t="shared" si="33"/>
        <v>6.1761840940799999</v>
      </c>
      <c r="N359" s="30">
        <v>0</v>
      </c>
      <c r="O359" s="20"/>
      <c r="P359" s="3">
        <f t="shared" si="29"/>
        <v>0</v>
      </c>
    </row>
    <row r="360" spans="1:16" ht="15" customHeight="1" x14ac:dyDescent="0.25">
      <c r="A360" s="40" t="s">
        <v>461</v>
      </c>
      <c r="B360" s="40">
        <v>7896714290553</v>
      </c>
      <c r="C360" s="40" t="s">
        <v>445</v>
      </c>
      <c r="D360" s="41" t="s">
        <v>441</v>
      </c>
      <c r="E360" s="27">
        <v>24</v>
      </c>
      <c r="F360" s="34">
        <v>73.25</v>
      </c>
      <c r="G360" s="28">
        <v>0.80259999999999998</v>
      </c>
      <c r="H360" s="28">
        <v>5.6820000000000002E-2</v>
      </c>
      <c r="I360" s="13">
        <f t="shared" si="30"/>
        <v>14.45955</v>
      </c>
      <c r="J360" s="13">
        <f t="shared" ref="J360:J396" si="34">I360-(I360*H360)</f>
        <v>13.637958369</v>
      </c>
      <c r="K360" s="29">
        <v>0.81610000000000005</v>
      </c>
      <c r="L360" s="13">
        <f t="shared" si="32"/>
        <v>13.470675</v>
      </c>
      <c r="M360" s="12">
        <f t="shared" si="33"/>
        <v>12.705271246500001</v>
      </c>
      <c r="N360" s="30">
        <v>0</v>
      </c>
      <c r="O360" s="20"/>
      <c r="P360" s="3">
        <f t="shared" si="29"/>
        <v>0</v>
      </c>
    </row>
    <row r="361" spans="1:16" x14ac:dyDescent="0.25">
      <c r="A361" s="40" t="s">
        <v>461</v>
      </c>
      <c r="B361" s="40">
        <v>7896714292847</v>
      </c>
      <c r="C361" s="40" t="s">
        <v>497</v>
      </c>
      <c r="D361" s="41" t="s">
        <v>498</v>
      </c>
      <c r="E361" s="27">
        <v>48</v>
      </c>
      <c r="F361" s="34">
        <v>76.95</v>
      </c>
      <c r="G361" s="28">
        <v>0.80689999999999995</v>
      </c>
      <c r="H361" s="28">
        <v>5.6820000000000002E-2</v>
      </c>
      <c r="I361" s="13">
        <f t="shared" si="30"/>
        <v>14.859045000000002</v>
      </c>
      <c r="J361" s="13">
        <f t="shared" si="34"/>
        <v>14.014754063100002</v>
      </c>
      <c r="K361" s="29">
        <v>0.81610000000000005</v>
      </c>
      <c r="L361" s="13">
        <f t="shared" si="32"/>
        <v>14.151104999999994</v>
      </c>
      <c r="M361" s="12">
        <f t="shared" si="33"/>
        <v>13.347039213899995</v>
      </c>
      <c r="N361" s="30">
        <v>0</v>
      </c>
      <c r="O361" s="20"/>
      <c r="P361" s="3">
        <f t="shared" si="29"/>
        <v>0</v>
      </c>
    </row>
    <row r="362" spans="1:16" ht="15" customHeight="1" x14ac:dyDescent="0.25">
      <c r="A362" s="40" t="s">
        <v>461</v>
      </c>
      <c r="B362" s="40">
        <v>7896714292670</v>
      </c>
      <c r="C362" s="40" t="s">
        <v>823</v>
      </c>
      <c r="D362" s="41" t="s">
        <v>826</v>
      </c>
      <c r="E362" s="27">
        <v>60</v>
      </c>
      <c r="F362" s="34">
        <v>27.12</v>
      </c>
      <c r="G362" s="28">
        <v>0.73980000000000001</v>
      </c>
      <c r="H362" s="28">
        <v>5.6820000000000002E-2</v>
      </c>
      <c r="I362" s="13">
        <f t="shared" si="30"/>
        <v>7.0566239999999993</v>
      </c>
      <c r="J362" s="13">
        <f t="shared" si="34"/>
        <v>6.6556666243199993</v>
      </c>
      <c r="K362" s="29">
        <v>0.75209999999999999</v>
      </c>
      <c r="L362" s="13">
        <f t="shared" si="32"/>
        <v>6.7230480000000021</v>
      </c>
      <c r="M362" s="12">
        <f t="shared" si="33"/>
        <v>6.3410444126400023</v>
      </c>
      <c r="N362" s="30">
        <v>0</v>
      </c>
      <c r="O362" s="20"/>
      <c r="P362" s="3">
        <f t="shared" si="29"/>
        <v>0</v>
      </c>
    </row>
    <row r="363" spans="1:16" ht="15" customHeight="1" x14ac:dyDescent="0.25">
      <c r="A363" s="40" t="s">
        <v>461</v>
      </c>
      <c r="B363" s="40">
        <v>7896714295497</v>
      </c>
      <c r="C363" s="40" t="s">
        <v>770</v>
      </c>
      <c r="D363" s="41" t="s">
        <v>777</v>
      </c>
      <c r="E363" s="27">
        <v>60</v>
      </c>
      <c r="F363" s="34">
        <v>58.6</v>
      </c>
      <c r="G363" s="28">
        <v>0.85809999999999997</v>
      </c>
      <c r="H363" s="28">
        <v>5.6820000000000002E-2</v>
      </c>
      <c r="I363" s="13">
        <f t="shared" si="30"/>
        <v>8.3153399999999991</v>
      </c>
      <c r="J363" s="13">
        <f t="shared" si="34"/>
        <v>7.8428623811999989</v>
      </c>
      <c r="K363" s="29">
        <v>0.8679</v>
      </c>
      <c r="L363" s="13">
        <f t="shared" si="32"/>
        <v>7.7410599999999974</v>
      </c>
      <c r="M363" s="12">
        <f t="shared" si="33"/>
        <v>7.3012129707999973</v>
      </c>
      <c r="N363" s="30">
        <v>0</v>
      </c>
      <c r="O363" s="20"/>
      <c r="P363" s="3">
        <f t="shared" si="29"/>
        <v>0</v>
      </c>
    </row>
    <row r="364" spans="1:16" ht="15" customHeight="1" x14ac:dyDescent="0.25">
      <c r="A364" s="40" t="s">
        <v>461</v>
      </c>
      <c r="B364" s="40">
        <v>7896714292687</v>
      </c>
      <c r="C364" s="40" t="s">
        <v>797</v>
      </c>
      <c r="D364" s="41" t="s">
        <v>801</v>
      </c>
      <c r="E364" s="27">
        <v>60</v>
      </c>
      <c r="F364" s="34">
        <v>63.82</v>
      </c>
      <c r="G364" s="28">
        <v>0.8901</v>
      </c>
      <c r="H364" s="28">
        <v>5.6820000000000002E-2</v>
      </c>
      <c r="I364" s="13">
        <f t="shared" si="30"/>
        <v>7.0138180000000006</v>
      </c>
      <c r="J364" s="13">
        <f t="shared" si="34"/>
        <v>6.6152928612400004</v>
      </c>
      <c r="K364" s="29">
        <v>0.89539999999999997</v>
      </c>
      <c r="L364" s="13">
        <f t="shared" si="32"/>
        <v>6.6755720000000025</v>
      </c>
      <c r="M364" s="12">
        <f t="shared" si="33"/>
        <v>6.2962659989600027</v>
      </c>
      <c r="N364" s="30">
        <v>0</v>
      </c>
      <c r="O364" s="20"/>
      <c r="P364" s="3">
        <f t="shared" si="29"/>
        <v>0</v>
      </c>
    </row>
    <row r="365" spans="1:16" ht="15" customHeight="1" x14ac:dyDescent="0.25">
      <c r="A365" s="40" t="s">
        <v>461</v>
      </c>
      <c r="B365" s="40">
        <v>7896714292694</v>
      </c>
      <c r="C365" s="40" t="s">
        <v>771</v>
      </c>
      <c r="D365" s="41" t="s">
        <v>778</v>
      </c>
      <c r="E365" s="27">
        <v>60</v>
      </c>
      <c r="F365" s="34">
        <v>103.18</v>
      </c>
      <c r="G365" s="28">
        <v>0.8982</v>
      </c>
      <c r="H365" s="28">
        <v>5.6820000000000002E-2</v>
      </c>
      <c r="I365" s="13">
        <f t="shared" si="30"/>
        <v>10.503724000000005</v>
      </c>
      <c r="J365" s="13">
        <f t="shared" si="34"/>
        <v>9.9069024023200054</v>
      </c>
      <c r="K365" s="29">
        <v>0.90300000000000002</v>
      </c>
      <c r="L365" s="13">
        <f t="shared" si="32"/>
        <v>10.008459999999999</v>
      </c>
      <c r="M365" s="12">
        <f t="shared" si="33"/>
        <v>9.4397793027999999</v>
      </c>
      <c r="N365" s="30">
        <v>0</v>
      </c>
      <c r="O365" s="20"/>
      <c r="P365" s="3">
        <f t="shared" si="29"/>
        <v>0</v>
      </c>
    </row>
    <row r="366" spans="1:16" ht="15" customHeight="1" x14ac:dyDescent="0.25">
      <c r="A366" s="40" t="s">
        <v>461</v>
      </c>
      <c r="B366" s="40">
        <v>7896714292656</v>
      </c>
      <c r="C366" s="40" t="s">
        <v>808</v>
      </c>
      <c r="D366" s="41" t="s">
        <v>812</v>
      </c>
      <c r="E366" s="27">
        <v>60</v>
      </c>
      <c r="F366" s="34">
        <v>28.02</v>
      </c>
      <c r="G366" s="28">
        <v>0.82879999999999998</v>
      </c>
      <c r="H366" s="28">
        <v>5.6820000000000002E-2</v>
      </c>
      <c r="I366" s="13">
        <f t="shared" si="30"/>
        <v>4.7970240000000004</v>
      </c>
      <c r="J366" s="13">
        <f t="shared" si="34"/>
        <v>4.5244570963200008</v>
      </c>
      <c r="K366" s="29">
        <v>0.83689999999999998</v>
      </c>
      <c r="L366" s="13">
        <f t="shared" si="32"/>
        <v>4.5700620000000001</v>
      </c>
      <c r="M366" s="12">
        <f t="shared" si="33"/>
        <v>4.3103910771600003</v>
      </c>
      <c r="N366" s="30">
        <v>0</v>
      </c>
      <c r="O366" s="20"/>
      <c r="P366" s="3">
        <f t="shared" si="29"/>
        <v>0</v>
      </c>
    </row>
    <row r="367" spans="1:16" ht="15" customHeight="1" x14ac:dyDescent="0.25">
      <c r="A367" s="40" t="s">
        <v>461</v>
      </c>
      <c r="B367" s="40">
        <v>7896714292663</v>
      </c>
      <c r="C367" s="40" t="s">
        <v>772</v>
      </c>
      <c r="D367" s="41" t="s">
        <v>779</v>
      </c>
      <c r="E367" s="27">
        <v>60</v>
      </c>
      <c r="F367" s="34">
        <v>56.61</v>
      </c>
      <c r="G367" s="28">
        <v>0.87870000000000004</v>
      </c>
      <c r="H367" s="28">
        <v>5.6820000000000002E-2</v>
      </c>
      <c r="I367" s="13">
        <f t="shared" si="30"/>
        <v>6.8667930000000013</v>
      </c>
      <c r="J367" s="13">
        <f t="shared" si="34"/>
        <v>6.4766218217400011</v>
      </c>
      <c r="K367" s="29">
        <v>0.88449999999999995</v>
      </c>
      <c r="L367" s="13">
        <f t="shared" si="32"/>
        <v>6.5384550000000061</v>
      </c>
      <c r="M367" s="12">
        <f t="shared" si="33"/>
        <v>6.1669399869000054</v>
      </c>
      <c r="N367" s="30">
        <v>0</v>
      </c>
      <c r="O367" s="20"/>
      <c r="P367" s="3">
        <f t="shared" si="29"/>
        <v>0</v>
      </c>
    </row>
    <row r="368" spans="1:16" ht="15" customHeight="1" x14ac:dyDescent="0.25">
      <c r="A368" s="40" t="s">
        <v>461</v>
      </c>
      <c r="B368" s="40">
        <v>7896714292649</v>
      </c>
      <c r="C368" s="40" t="s">
        <v>809</v>
      </c>
      <c r="D368" s="41" t="s">
        <v>813</v>
      </c>
      <c r="E368" s="27">
        <v>60</v>
      </c>
      <c r="F368" s="34">
        <v>14.29</v>
      </c>
      <c r="G368" s="28">
        <v>0.81840000000000002</v>
      </c>
      <c r="H368" s="28">
        <v>5.6820000000000002E-2</v>
      </c>
      <c r="I368" s="13">
        <f t="shared" si="30"/>
        <v>2.5950639999999989</v>
      </c>
      <c r="J368" s="13">
        <f t="shared" si="34"/>
        <v>2.4476124635199992</v>
      </c>
      <c r="K368" s="29">
        <v>0.82699999999999996</v>
      </c>
      <c r="L368" s="13">
        <f t="shared" si="32"/>
        <v>2.4721700000000002</v>
      </c>
      <c r="M368" s="12">
        <f t="shared" si="33"/>
        <v>2.3317013006000002</v>
      </c>
      <c r="N368" s="30">
        <v>0</v>
      </c>
      <c r="O368" s="20"/>
      <c r="P368" s="3">
        <f t="shared" si="29"/>
        <v>0</v>
      </c>
    </row>
    <row r="369" spans="1:16" ht="15" customHeight="1" x14ac:dyDescent="0.25">
      <c r="A369" s="40" t="s">
        <v>461</v>
      </c>
      <c r="B369" s="40">
        <v>7896714292441</v>
      </c>
      <c r="C369" s="40" t="s">
        <v>489</v>
      </c>
      <c r="D369" s="41" t="s">
        <v>490</v>
      </c>
      <c r="E369" s="27">
        <v>70</v>
      </c>
      <c r="F369" s="34">
        <v>20.45</v>
      </c>
      <c r="G369" s="28">
        <v>0.58960000000000001</v>
      </c>
      <c r="H369" s="28">
        <v>5.6820000000000002E-2</v>
      </c>
      <c r="I369" s="13">
        <f t="shared" si="30"/>
        <v>8.3926799999999986</v>
      </c>
      <c r="J369" s="13">
        <f t="shared" si="34"/>
        <v>7.9158079223999991</v>
      </c>
      <c r="K369" s="29">
        <v>0.60899999999999999</v>
      </c>
      <c r="L369" s="13">
        <f t="shared" si="32"/>
        <v>7.9959500000000006</v>
      </c>
      <c r="M369" s="12">
        <f t="shared" si="33"/>
        <v>7.5416201210000002</v>
      </c>
      <c r="N369" s="30">
        <v>0</v>
      </c>
      <c r="O369" s="20"/>
      <c r="P369" s="3">
        <f t="shared" si="29"/>
        <v>0</v>
      </c>
    </row>
    <row r="370" spans="1:16" ht="15" customHeight="1" x14ac:dyDescent="0.25">
      <c r="A370" s="40" t="s">
        <v>461</v>
      </c>
      <c r="B370" s="40">
        <v>7896714292427</v>
      </c>
      <c r="C370" s="40" t="s">
        <v>491</v>
      </c>
      <c r="D370" s="41" t="s">
        <v>492</v>
      </c>
      <c r="E370" s="27">
        <v>70</v>
      </c>
      <c r="F370" s="34">
        <v>38.33</v>
      </c>
      <c r="G370" s="28">
        <v>0.60850000000000004</v>
      </c>
      <c r="H370" s="28">
        <v>5.6820000000000002E-2</v>
      </c>
      <c r="I370" s="13">
        <f t="shared" si="30"/>
        <v>15.006194999999998</v>
      </c>
      <c r="J370" s="13">
        <f t="shared" si="34"/>
        <v>14.153543000099997</v>
      </c>
      <c r="K370" s="29">
        <v>0.62709999999999999</v>
      </c>
      <c r="L370" s="13">
        <f t="shared" si="32"/>
        <v>14.293257000000001</v>
      </c>
      <c r="M370" s="12">
        <f t="shared" si="33"/>
        <v>13.481114137260001</v>
      </c>
      <c r="N370" s="30">
        <v>0</v>
      </c>
      <c r="O370" s="20"/>
      <c r="P370" s="3">
        <f t="shared" si="29"/>
        <v>0</v>
      </c>
    </row>
    <row r="371" spans="1:16" ht="15" customHeight="1" x14ac:dyDescent="0.25">
      <c r="A371" s="40" t="s">
        <v>461</v>
      </c>
      <c r="B371" s="40">
        <v>7896714215037</v>
      </c>
      <c r="C371" s="40" t="s">
        <v>212</v>
      </c>
      <c r="D371" s="41" t="s">
        <v>45</v>
      </c>
      <c r="E371" s="27">
        <v>60</v>
      </c>
      <c r="F371" s="34">
        <v>8.1</v>
      </c>
      <c r="G371" s="28">
        <v>0.7238</v>
      </c>
      <c r="H371" s="28">
        <v>5.6820000000000002E-2</v>
      </c>
      <c r="I371" s="13">
        <f t="shared" si="30"/>
        <v>2.2372199999999998</v>
      </c>
      <c r="J371" s="13">
        <f t="shared" si="34"/>
        <v>2.1101011595999997</v>
      </c>
      <c r="K371" s="29">
        <v>0.73799999999999999</v>
      </c>
      <c r="L371" s="13">
        <f t="shared" si="32"/>
        <v>2.1222000000000003</v>
      </c>
      <c r="M371" s="12">
        <f t="shared" si="33"/>
        <v>2.0016165960000003</v>
      </c>
      <c r="N371" s="30">
        <v>0</v>
      </c>
      <c r="O371" s="20"/>
      <c r="P371" s="3">
        <f t="shared" si="29"/>
        <v>0</v>
      </c>
    </row>
    <row r="372" spans="1:16" ht="15" customHeight="1" x14ac:dyDescent="0.25">
      <c r="A372" s="40" t="s">
        <v>461</v>
      </c>
      <c r="B372" s="40">
        <v>7896714224138</v>
      </c>
      <c r="C372" s="40" t="s">
        <v>213</v>
      </c>
      <c r="D372" s="41" t="s">
        <v>46</v>
      </c>
      <c r="E372" s="27">
        <v>50</v>
      </c>
      <c r="F372" s="34">
        <v>40.53</v>
      </c>
      <c r="G372" s="28">
        <v>0.44450000000000001</v>
      </c>
      <c r="H372" s="28">
        <v>5.6820000000000002E-2</v>
      </c>
      <c r="I372" s="13">
        <f t="shared" si="30"/>
        <v>22.514415</v>
      </c>
      <c r="J372" s="13">
        <f t="shared" si="34"/>
        <v>21.235145939700001</v>
      </c>
      <c r="K372" s="29">
        <v>0.47089999999999999</v>
      </c>
      <c r="L372" s="13">
        <f t="shared" si="32"/>
        <v>21.444423</v>
      </c>
      <c r="M372" s="12">
        <f t="shared" si="33"/>
        <v>20.225950885140001</v>
      </c>
      <c r="N372" s="30">
        <v>0</v>
      </c>
      <c r="O372" s="20"/>
      <c r="P372" s="3">
        <f t="shared" si="29"/>
        <v>0</v>
      </c>
    </row>
    <row r="373" spans="1:16" ht="15" customHeight="1" x14ac:dyDescent="0.25">
      <c r="A373" s="40" t="s">
        <v>461</v>
      </c>
      <c r="B373" s="40">
        <v>7896714295701</v>
      </c>
      <c r="C373" s="40" t="s">
        <v>751</v>
      </c>
      <c r="D373" s="41" t="s">
        <v>753</v>
      </c>
      <c r="E373" s="27">
        <v>100</v>
      </c>
      <c r="F373" s="34">
        <v>29.69</v>
      </c>
      <c r="G373" s="28">
        <v>0.73299999999999998</v>
      </c>
      <c r="H373" s="28">
        <v>5.6820000000000002E-2</v>
      </c>
      <c r="I373" s="13">
        <f t="shared" si="30"/>
        <v>7.9272300000000016</v>
      </c>
      <c r="J373" s="13">
        <f t="shared" si="34"/>
        <v>7.4768047914000011</v>
      </c>
      <c r="K373" s="29">
        <v>0.74570000000000003</v>
      </c>
      <c r="L373" s="13">
        <f t="shared" si="32"/>
        <v>7.5501669999999983</v>
      </c>
      <c r="M373" s="12">
        <f t="shared" si="33"/>
        <v>7.1211665110599984</v>
      </c>
      <c r="N373" s="30">
        <v>0</v>
      </c>
      <c r="O373" s="20"/>
      <c r="P373" s="3">
        <f t="shared" si="29"/>
        <v>0</v>
      </c>
    </row>
    <row r="374" spans="1:16" x14ac:dyDescent="0.25">
      <c r="A374" s="40" t="s">
        <v>461</v>
      </c>
      <c r="B374" s="40">
        <v>7896714295695</v>
      </c>
      <c r="C374" s="40" t="s">
        <v>737</v>
      </c>
      <c r="D374" s="41" t="s">
        <v>748</v>
      </c>
      <c r="E374" s="27">
        <v>100</v>
      </c>
      <c r="F374" s="34">
        <v>30.95</v>
      </c>
      <c r="G374" s="28">
        <v>0.73270000000000002</v>
      </c>
      <c r="H374" s="28">
        <v>5.6820000000000002E-2</v>
      </c>
      <c r="I374" s="13">
        <f t="shared" si="30"/>
        <v>8.2729350000000004</v>
      </c>
      <c r="J374" s="13">
        <f t="shared" si="34"/>
        <v>7.8028668333000004</v>
      </c>
      <c r="K374" s="29">
        <v>0.74550000000000005</v>
      </c>
      <c r="L374" s="13">
        <f t="shared" si="32"/>
        <v>7.8767749999999985</v>
      </c>
      <c r="M374" s="12">
        <f t="shared" si="33"/>
        <v>7.4292166444999985</v>
      </c>
      <c r="N374" s="30">
        <v>0</v>
      </c>
      <c r="O374" s="20"/>
      <c r="P374" s="3">
        <f t="shared" si="29"/>
        <v>0</v>
      </c>
    </row>
    <row r="375" spans="1:16" ht="15" customHeight="1" x14ac:dyDescent="0.25">
      <c r="A375" s="40" t="s">
        <v>461</v>
      </c>
      <c r="B375" s="40">
        <v>7896714266916</v>
      </c>
      <c r="C375" s="40" t="s">
        <v>214</v>
      </c>
      <c r="D375" s="41" t="s">
        <v>47</v>
      </c>
      <c r="E375" s="27">
        <v>100</v>
      </c>
      <c r="F375" s="34">
        <v>29.3</v>
      </c>
      <c r="G375" s="28">
        <v>0.50839999999999996</v>
      </c>
      <c r="H375" s="28">
        <v>5.6820000000000002E-2</v>
      </c>
      <c r="I375" s="13">
        <f t="shared" si="30"/>
        <v>14.403880000000001</v>
      </c>
      <c r="J375" s="13">
        <f t="shared" si="34"/>
        <v>13.585451538400001</v>
      </c>
      <c r="K375" s="29">
        <v>0.53180000000000005</v>
      </c>
      <c r="L375" s="13">
        <f t="shared" si="32"/>
        <v>13.718259999999999</v>
      </c>
      <c r="M375" s="12">
        <f t="shared" si="33"/>
        <v>12.938788466799998</v>
      </c>
      <c r="N375" s="30">
        <v>0</v>
      </c>
      <c r="O375" s="20"/>
      <c r="P375" s="3">
        <f t="shared" si="29"/>
        <v>0</v>
      </c>
    </row>
    <row r="376" spans="1:16" ht="15" customHeight="1" x14ac:dyDescent="0.25">
      <c r="A376" s="40" t="s">
        <v>461</v>
      </c>
      <c r="B376" s="40">
        <v>7896714266947</v>
      </c>
      <c r="C376" s="40" t="s">
        <v>215</v>
      </c>
      <c r="D376" s="41" t="s">
        <v>48</v>
      </c>
      <c r="E376" s="27">
        <v>100</v>
      </c>
      <c r="F376" s="34">
        <v>29.3</v>
      </c>
      <c r="G376" s="28">
        <v>0.5403</v>
      </c>
      <c r="H376" s="28">
        <v>5.6820000000000002E-2</v>
      </c>
      <c r="I376" s="13">
        <f t="shared" si="30"/>
        <v>13.46921</v>
      </c>
      <c r="J376" s="13">
        <f t="shared" si="34"/>
        <v>12.7038894878</v>
      </c>
      <c r="K376" s="29">
        <v>0.56220000000000003</v>
      </c>
      <c r="L376" s="13">
        <f t="shared" si="32"/>
        <v>12.827539999999999</v>
      </c>
      <c r="M376" s="12">
        <f t="shared" si="33"/>
        <v>12.098679177199999</v>
      </c>
      <c r="N376" s="30">
        <v>0</v>
      </c>
      <c r="O376" s="20"/>
      <c r="P376" s="3">
        <f t="shared" si="29"/>
        <v>0</v>
      </c>
    </row>
    <row r="377" spans="1:16" ht="15" customHeight="1" x14ac:dyDescent="0.25">
      <c r="A377" s="40" t="s">
        <v>461</v>
      </c>
      <c r="B377" s="40">
        <v>7896714200743</v>
      </c>
      <c r="C377" s="40" t="s">
        <v>216</v>
      </c>
      <c r="D377" s="41" t="s">
        <v>49</v>
      </c>
      <c r="E377" s="27">
        <v>60</v>
      </c>
      <c r="F377" s="34">
        <v>19.41</v>
      </c>
      <c r="G377" s="28">
        <v>0.72299999999999998</v>
      </c>
      <c r="H377" s="28">
        <v>5.6820000000000002E-2</v>
      </c>
      <c r="I377" s="13">
        <f t="shared" si="30"/>
        <v>5.376570000000001</v>
      </c>
      <c r="J377" s="13">
        <f t="shared" si="34"/>
        <v>5.0710732926000013</v>
      </c>
      <c r="K377" s="29">
        <v>0.74209999999999998</v>
      </c>
      <c r="L377" s="13">
        <f t="shared" si="32"/>
        <v>5.0058389999999999</v>
      </c>
      <c r="M377" s="12">
        <f t="shared" si="33"/>
        <v>4.7214072280200003</v>
      </c>
      <c r="N377" s="30">
        <v>0</v>
      </c>
      <c r="O377" s="20"/>
      <c r="P377" s="3">
        <f t="shared" si="29"/>
        <v>0</v>
      </c>
    </row>
    <row r="378" spans="1:16" ht="15" customHeight="1" x14ac:dyDescent="0.25">
      <c r="A378" s="40" t="s">
        <v>461</v>
      </c>
      <c r="B378" s="40">
        <v>7896714200750</v>
      </c>
      <c r="C378" s="40" t="s">
        <v>217</v>
      </c>
      <c r="D378" s="41" t="s">
        <v>50</v>
      </c>
      <c r="E378" s="27">
        <v>60</v>
      </c>
      <c r="F378" s="34">
        <v>59.59</v>
      </c>
      <c r="G378" s="28">
        <v>0.89729999999999999</v>
      </c>
      <c r="H378" s="28">
        <v>5.6820000000000002E-2</v>
      </c>
      <c r="I378" s="13">
        <f t="shared" si="30"/>
        <v>6.1198930000000047</v>
      </c>
      <c r="J378" s="13">
        <f t="shared" si="34"/>
        <v>5.7721606797400042</v>
      </c>
      <c r="K378" s="29">
        <v>0.90210000000000001</v>
      </c>
      <c r="L378" s="13">
        <f t="shared" si="32"/>
        <v>5.8338609999999989</v>
      </c>
      <c r="M378" s="12">
        <f t="shared" si="33"/>
        <v>5.5023810179799986</v>
      </c>
      <c r="N378" s="30">
        <v>0</v>
      </c>
      <c r="O378" s="20"/>
      <c r="P378" s="3">
        <f t="shared" si="29"/>
        <v>0</v>
      </c>
    </row>
    <row r="379" spans="1:16" ht="15" customHeight="1" x14ac:dyDescent="0.25">
      <c r="A379" s="40" t="s">
        <v>461</v>
      </c>
      <c r="B379" s="40">
        <v>7896714200736</v>
      </c>
      <c r="C379" s="40" t="s">
        <v>218</v>
      </c>
      <c r="D379" s="41" t="s">
        <v>51</v>
      </c>
      <c r="E379" s="27">
        <v>60</v>
      </c>
      <c r="F379" s="34">
        <v>23.42</v>
      </c>
      <c r="G379" s="28">
        <v>0.75139999999999996</v>
      </c>
      <c r="H379" s="28">
        <v>5.6820000000000002E-2</v>
      </c>
      <c r="I379" s="13">
        <f t="shared" si="30"/>
        <v>5.8222120000000004</v>
      </c>
      <c r="J379" s="13">
        <f t="shared" si="34"/>
        <v>5.4913939141600006</v>
      </c>
      <c r="K379" s="29">
        <v>0.76329999999999998</v>
      </c>
      <c r="L379" s="13">
        <f t="shared" si="32"/>
        <v>5.5435140000000018</v>
      </c>
      <c r="M379" s="12">
        <f t="shared" si="33"/>
        <v>5.2285315345200019</v>
      </c>
      <c r="N379" s="30">
        <v>0</v>
      </c>
      <c r="O379" s="20"/>
      <c r="P379" s="3">
        <f t="shared" si="29"/>
        <v>0</v>
      </c>
    </row>
    <row r="380" spans="1:16" ht="15" customHeight="1" x14ac:dyDescent="0.25">
      <c r="A380" s="40" t="s">
        <v>461</v>
      </c>
      <c r="B380" s="40">
        <v>7896622304427</v>
      </c>
      <c r="C380" s="40" t="s">
        <v>219</v>
      </c>
      <c r="D380" s="41" t="s">
        <v>52</v>
      </c>
      <c r="E380" s="27">
        <v>54</v>
      </c>
      <c r="F380" s="34">
        <v>44.78</v>
      </c>
      <c r="G380" s="28">
        <v>0.58009999999999995</v>
      </c>
      <c r="H380" s="28">
        <v>5.6820000000000002E-2</v>
      </c>
      <c r="I380" s="13">
        <f t="shared" si="30"/>
        <v>18.803122000000002</v>
      </c>
      <c r="J380" s="13">
        <f t="shared" si="34"/>
        <v>17.734728607960001</v>
      </c>
      <c r="K380" s="29">
        <v>0.60009999999999997</v>
      </c>
      <c r="L380" s="13">
        <f t="shared" si="32"/>
        <v>17.907522000000004</v>
      </c>
      <c r="M380" s="12">
        <f t="shared" si="33"/>
        <v>16.890016599960003</v>
      </c>
      <c r="N380" s="30">
        <v>0</v>
      </c>
      <c r="O380" s="20"/>
      <c r="P380" s="3">
        <f t="shared" si="29"/>
        <v>0</v>
      </c>
    </row>
    <row r="381" spans="1:16" ht="15" customHeight="1" x14ac:dyDescent="0.25">
      <c r="A381" s="40" t="s">
        <v>461</v>
      </c>
      <c r="B381" s="40">
        <v>7896622304090</v>
      </c>
      <c r="C381" s="40" t="s">
        <v>220</v>
      </c>
      <c r="D381" s="41" t="s">
        <v>53</v>
      </c>
      <c r="E381" s="27">
        <v>30</v>
      </c>
      <c r="F381" s="34">
        <v>58.49</v>
      </c>
      <c r="G381" s="28">
        <v>0.33839999999999998</v>
      </c>
      <c r="H381" s="28">
        <v>5.6820000000000002E-2</v>
      </c>
      <c r="I381" s="13">
        <f t="shared" si="30"/>
        <v>38.696984</v>
      </c>
      <c r="J381" s="13">
        <f t="shared" si="34"/>
        <v>36.498221369120003</v>
      </c>
      <c r="K381" s="29">
        <v>0.37</v>
      </c>
      <c r="L381" s="13">
        <f t="shared" si="32"/>
        <v>36.848700000000001</v>
      </c>
      <c r="M381" s="12">
        <f t="shared" si="33"/>
        <v>34.754956866000001</v>
      </c>
      <c r="N381" s="30">
        <v>0</v>
      </c>
      <c r="O381" s="20"/>
      <c r="P381" s="3">
        <f t="shared" si="29"/>
        <v>0</v>
      </c>
    </row>
    <row r="382" spans="1:16" ht="15" customHeight="1" x14ac:dyDescent="0.25">
      <c r="A382" s="40" t="s">
        <v>461</v>
      </c>
      <c r="B382" s="40">
        <v>7896622304106</v>
      </c>
      <c r="C382" s="40" t="s">
        <v>221</v>
      </c>
      <c r="D382" s="41" t="s">
        <v>54</v>
      </c>
      <c r="E382" s="27">
        <v>30</v>
      </c>
      <c r="F382" s="34">
        <v>83.92</v>
      </c>
      <c r="G382" s="28">
        <v>0.1181</v>
      </c>
      <c r="H382" s="28">
        <v>5.6820000000000002E-2</v>
      </c>
      <c r="I382" s="13">
        <f t="shared" si="30"/>
        <v>74.009048000000007</v>
      </c>
      <c r="J382" s="13">
        <f t="shared" si="34"/>
        <v>69.803853892640007</v>
      </c>
      <c r="K382" s="29">
        <v>0.16009999999999999</v>
      </c>
      <c r="L382" s="13">
        <f t="shared" si="32"/>
        <v>70.484408000000002</v>
      </c>
      <c r="M382" s="12">
        <f t="shared" si="33"/>
        <v>66.479483937439994</v>
      </c>
      <c r="N382" s="30">
        <v>0</v>
      </c>
      <c r="O382" s="20"/>
      <c r="P382" s="3">
        <f t="shared" si="29"/>
        <v>0</v>
      </c>
    </row>
    <row r="383" spans="1:16" ht="15" customHeight="1" x14ac:dyDescent="0.25">
      <c r="A383" s="40" t="s">
        <v>461</v>
      </c>
      <c r="B383" s="40">
        <v>7896714234236</v>
      </c>
      <c r="C383" s="40" t="s">
        <v>403</v>
      </c>
      <c r="D383" s="41" t="s">
        <v>55</v>
      </c>
      <c r="E383" s="27">
        <v>60</v>
      </c>
      <c r="F383" s="34">
        <v>47.96</v>
      </c>
      <c r="G383" s="28">
        <v>0.89900000000000002</v>
      </c>
      <c r="H383" s="28">
        <v>5.6820000000000002E-2</v>
      </c>
      <c r="I383" s="13">
        <f t="shared" si="30"/>
        <v>4.8439599999999956</v>
      </c>
      <c r="J383" s="13">
        <f t="shared" si="34"/>
        <v>4.5687261927999963</v>
      </c>
      <c r="K383" s="29">
        <v>0.90380000000000005</v>
      </c>
      <c r="L383" s="13">
        <f t="shared" si="32"/>
        <v>4.6137519999999981</v>
      </c>
      <c r="M383" s="12">
        <f t="shared" si="33"/>
        <v>4.3515986113599983</v>
      </c>
      <c r="N383" s="30">
        <v>0</v>
      </c>
      <c r="O383" s="20"/>
      <c r="P383" s="3">
        <f t="shared" si="29"/>
        <v>0</v>
      </c>
    </row>
    <row r="384" spans="1:16" ht="15" customHeight="1" x14ac:dyDescent="0.25">
      <c r="A384" s="40" t="s">
        <v>461</v>
      </c>
      <c r="B384" s="40">
        <v>7896714234212</v>
      </c>
      <c r="C384" s="40" t="s">
        <v>402</v>
      </c>
      <c r="D384" s="41" t="s">
        <v>56</v>
      </c>
      <c r="E384" s="27">
        <v>60</v>
      </c>
      <c r="F384" s="34">
        <v>27.51</v>
      </c>
      <c r="G384" s="28">
        <v>0.92430000000000001</v>
      </c>
      <c r="H384" s="28">
        <v>5.6820000000000002E-2</v>
      </c>
      <c r="I384" s="13">
        <f t="shared" si="30"/>
        <v>2.0825069999999997</v>
      </c>
      <c r="J384" s="13">
        <f t="shared" si="34"/>
        <v>1.9641789522599997</v>
      </c>
      <c r="K384" s="29">
        <v>0.92779999999999996</v>
      </c>
      <c r="L384" s="13">
        <f t="shared" si="32"/>
        <v>1.9862220000000015</v>
      </c>
      <c r="M384" s="12">
        <f t="shared" si="33"/>
        <v>1.8733648659600015</v>
      </c>
      <c r="N384" s="30">
        <v>0</v>
      </c>
      <c r="O384" s="20"/>
      <c r="P384" s="3">
        <f t="shared" si="29"/>
        <v>0</v>
      </c>
    </row>
    <row r="385" spans="1:16" ht="15" customHeight="1" x14ac:dyDescent="0.25">
      <c r="A385" s="40" t="s">
        <v>461</v>
      </c>
      <c r="B385" s="40">
        <v>7896714266558</v>
      </c>
      <c r="C385" s="40" t="s">
        <v>339</v>
      </c>
      <c r="D385" s="41" t="s">
        <v>395</v>
      </c>
      <c r="E385" s="27">
        <v>60</v>
      </c>
      <c r="F385" s="34">
        <v>87.07</v>
      </c>
      <c r="G385" s="28">
        <v>0.68120000000000003</v>
      </c>
      <c r="H385" s="28">
        <v>5.6820000000000002E-2</v>
      </c>
      <c r="I385" s="13">
        <f t="shared" si="30"/>
        <v>27.757915999999994</v>
      </c>
      <c r="J385" s="13">
        <f t="shared" si="34"/>
        <v>26.180711212879995</v>
      </c>
      <c r="K385" s="29">
        <v>0.69640000000000002</v>
      </c>
      <c r="L385" s="13">
        <f t="shared" si="32"/>
        <v>26.434451999999993</v>
      </c>
      <c r="M385" s="12">
        <f t="shared" si="33"/>
        <v>24.932446437359992</v>
      </c>
      <c r="N385" s="30">
        <v>0</v>
      </c>
      <c r="O385" s="20"/>
      <c r="P385" s="3">
        <f t="shared" si="29"/>
        <v>0</v>
      </c>
    </row>
    <row r="386" spans="1:16" ht="15" customHeight="1" x14ac:dyDescent="0.25">
      <c r="A386" s="40" t="s">
        <v>461</v>
      </c>
      <c r="B386" s="40">
        <v>7896714257600</v>
      </c>
      <c r="C386" s="40" t="s">
        <v>222</v>
      </c>
      <c r="D386" s="41" t="s">
        <v>57</v>
      </c>
      <c r="E386" s="27">
        <v>12</v>
      </c>
      <c r="F386" s="34">
        <v>233.77</v>
      </c>
      <c r="G386" s="28">
        <v>0.74780000000000002</v>
      </c>
      <c r="H386" s="28">
        <v>5.6820000000000002E-2</v>
      </c>
      <c r="I386" s="13">
        <f t="shared" si="30"/>
        <v>58.956794000000002</v>
      </c>
      <c r="J386" s="13">
        <f t="shared" si="34"/>
        <v>55.606868964920004</v>
      </c>
      <c r="K386" s="29">
        <v>0.77380000000000004</v>
      </c>
      <c r="L386" s="13">
        <f t="shared" si="32"/>
        <v>52.878773999999993</v>
      </c>
      <c r="M386" s="12">
        <f t="shared" si="33"/>
        <v>49.874202061319991</v>
      </c>
      <c r="N386" s="30">
        <v>0</v>
      </c>
      <c r="O386" s="20"/>
      <c r="P386" s="3">
        <f t="shared" si="29"/>
        <v>0</v>
      </c>
    </row>
    <row r="387" spans="1:16" ht="15" customHeight="1" x14ac:dyDescent="0.25">
      <c r="A387" s="40" t="s">
        <v>461</v>
      </c>
      <c r="B387" s="40">
        <v>7896714257594</v>
      </c>
      <c r="C387" s="40" t="s">
        <v>223</v>
      </c>
      <c r="D387" s="41" t="s">
        <v>58</v>
      </c>
      <c r="E387" s="27">
        <v>12</v>
      </c>
      <c r="F387" s="34">
        <v>121.92</v>
      </c>
      <c r="G387" s="28">
        <v>0.73440000000000005</v>
      </c>
      <c r="H387" s="28">
        <v>5.6820000000000002E-2</v>
      </c>
      <c r="I387" s="13">
        <f t="shared" si="30"/>
        <v>32.381951999999998</v>
      </c>
      <c r="J387" s="13">
        <f t="shared" si="34"/>
        <v>30.542009487359998</v>
      </c>
      <c r="K387" s="29">
        <v>0.74960000000000004</v>
      </c>
      <c r="L387" s="13">
        <f t="shared" si="32"/>
        <v>30.528767999999999</v>
      </c>
      <c r="M387" s="12">
        <f t="shared" si="33"/>
        <v>28.79412340224</v>
      </c>
      <c r="N387" s="30">
        <v>0</v>
      </c>
      <c r="O387" s="20"/>
      <c r="P387" s="3">
        <f t="shared" si="29"/>
        <v>0</v>
      </c>
    </row>
    <row r="388" spans="1:16" ht="15" customHeight="1" x14ac:dyDescent="0.25">
      <c r="A388" s="40" t="s">
        <v>461</v>
      </c>
      <c r="B388" s="40">
        <v>7896714218267</v>
      </c>
      <c r="C388" s="40" t="s">
        <v>224</v>
      </c>
      <c r="D388" s="41" t="s">
        <v>59</v>
      </c>
      <c r="E388" s="27">
        <v>60</v>
      </c>
      <c r="F388" s="34">
        <v>13.55</v>
      </c>
      <c r="G388" s="28">
        <v>0.72970000000000002</v>
      </c>
      <c r="H388" s="28">
        <v>5.6820000000000002E-2</v>
      </c>
      <c r="I388" s="13">
        <f t="shared" si="30"/>
        <v>3.6625650000000007</v>
      </c>
      <c r="J388" s="13">
        <f t="shared" si="34"/>
        <v>3.4544580567000005</v>
      </c>
      <c r="K388" s="29">
        <v>0.74260000000000004</v>
      </c>
      <c r="L388" s="13">
        <f t="shared" si="32"/>
        <v>3.4877699999999994</v>
      </c>
      <c r="M388" s="12">
        <f t="shared" si="33"/>
        <v>3.2895949085999994</v>
      </c>
      <c r="N388" s="30">
        <v>0</v>
      </c>
      <c r="O388" s="20"/>
      <c r="P388" s="3">
        <f t="shared" si="29"/>
        <v>0</v>
      </c>
    </row>
    <row r="389" spans="1:16" ht="15" customHeight="1" x14ac:dyDescent="0.25">
      <c r="A389" s="40" t="s">
        <v>461</v>
      </c>
      <c r="B389" s="40">
        <v>7896714200804</v>
      </c>
      <c r="C389" s="40" t="s">
        <v>225</v>
      </c>
      <c r="D389" s="41" t="s">
        <v>60</v>
      </c>
      <c r="E389" s="27">
        <v>60</v>
      </c>
      <c r="F389" s="34">
        <v>27.22</v>
      </c>
      <c r="G389" s="28">
        <v>0.67479999999999996</v>
      </c>
      <c r="H389" s="28">
        <v>5.6820000000000002E-2</v>
      </c>
      <c r="I389" s="13">
        <f t="shared" ref="I389:I393" si="35">F389-(F389*G389)</f>
        <v>8.8519439999999996</v>
      </c>
      <c r="J389" s="13">
        <f t="shared" ref="J389:J393" si="36">I389-(I389*H389)</f>
        <v>8.3489765419199991</v>
      </c>
      <c r="K389" s="29">
        <v>0.69069999999999998</v>
      </c>
      <c r="L389" s="13">
        <f t="shared" ref="L389:L393" si="37">F389-(F389*K389)</f>
        <v>8.4191460000000014</v>
      </c>
      <c r="M389" s="12">
        <f t="shared" ref="M389:M393" si="38">L389-(L389*H389)</f>
        <v>7.9407701242800011</v>
      </c>
      <c r="N389" s="30">
        <v>0</v>
      </c>
      <c r="O389" s="20"/>
      <c r="P389" s="3">
        <f t="shared" si="29"/>
        <v>0</v>
      </c>
    </row>
    <row r="390" spans="1:16" ht="15" customHeight="1" x14ac:dyDescent="0.25">
      <c r="A390" s="40" t="s">
        <v>461</v>
      </c>
      <c r="B390" s="40">
        <v>7896094931534</v>
      </c>
      <c r="C390" s="40" t="s">
        <v>773</v>
      </c>
      <c r="D390" s="41" t="s">
        <v>780</v>
      </c>
      <c r="E390" s="27">
        <v>24</v>
      </c>
      <c r="F390" s="34">
        <v>35.72</v>
      </c>
      <c r="G390" s="28">
        <v>0.57989999999999997</v>
      </c>
      <c r="H390" s="28">
        <v>5.6820000000000002E-2</v>
      </c>
      <c r="I390" s="13">
        <f t="shared" si="35"/>
        <v>15.005972</v>
      </c>
      <c r="J390" s="13">
        <f t="shared" si="36"/>
        <v>14.153332670959999</v>
      </c>
      <c r="K390" s="29">
        <v>0.64290000000000003</v>
      </c>
      <c r="L390" s="13">
        <f t="shared" si="37"/>
        <v>12.755611999999999</v>
      </c>
      <c r="M390" s="12">
        <f t="shared" si="38"/>
        <v>12.030838126159999</v>
      </c>
      <c r="N390" s="30">
        <v>0</v>
      </c>
      <c r="O390" s="20"/>
      <c r="P390" s="3">
        <f t="shared" ref="P390:P410" si="39">M390*O390</f>
        <v>0</v>
      </c>
    </row>
    <row r="391" spans="1:16" ht="15" customHeight="1" x14ac:dyDescent="0.25">
      <c r="A391" s="40" t="s">
        <v>461</v>
      </c>
      <c r="B391" s="40">
        <v>7896714239712</v>
      </c>
      <c r="C391" s="40" t="s">
        <v>226</v>
      </c>
      <c r="D391" s="41" t="s">
        <v>61</v>
      </c>
      <c r="E391" s="27">
        <v>60</v>
      </c>
      <c r="F391" s="34">
        <v>12.07</v>
      </c>
      <c r="G391" s="28">
        <v>0.2238</v>
      </c>
      <c r="H391" s="28">
        <v>5.6820000000000002E-2</v>
      </c>
      <c r="I391" s="13">
        <f t="shared" si="35"/>
        <v>9.3687339999999999</v>
      </c>
      <c r="J391" s="13">
        <f t="shared" si="36"/>
        <v>8.8364025341199994</v>
      </c>
      <c r="K391" s="29">
        <v>0.26050000000000001</v>
      </c>
      <c r="L391" s="13">
        <f t="shared" si="37"/>
        <v>8.9257650000000002</v>
      </c>
      <c r="M391" s="12">
        <f t="shared" si="38"/>
        <v>8.4186030327000001</v>
      </c>
      <c r="N391" s="30">
        <v>0</v>
      </c>
      <c r="O391" s="20"/>
      <c r="P391" s="3">
        <f t="shared" si="39"/>
        <v>0</v>
      </c>
    </row>
    <row r="392" spans="1:16" ht="15" customHeight="1" x14ac:dyDescent="0.25">
      <c r="A392" s="40" t="s">
        <v>461</v>
      </c>
      <c r="B392" s="40">
        <v>7896714269870</v>
      </c>
      <c r="C392" s="40" t="s">
        <v>472</v>
      </c>
      <c r="D392" s="41" t="s">
        <v>473</v>
      </c>
      <c r="E392" s="27">
        <v>24</v>
      </c>
      <c r="F392" s="34">
        <v>62.77</v>
      </c>
      <c r="G392" s="28">
        <v>0.77459999999999996</v>
      </c>
      <c r="H392" s="28">
        <v>5.6820000000000002E-2</v>
      </c>
      <c r="I392" s="13">
        <f t="shared" si="35"/>
        <v>14.148358000000002</v>
      </c>
      <c r="J392" s="13">
        <f t="shared" si="36"/>
        <v>13.344448298440001</v>
      </c>
      <c r="K392" s="29">
        <v>0.78539999999999999</v>
      </c>
      <c r="L392" s="13">
        <f t="shared" si="37"/>
        <v>13.470441999999998</v>
      </c>
      <c r="M392" s="12">
        <f t="shared" si="38"/>
        <v>12.705051485559999</v>
      </c>
      <c r="N392" s="30">
        <v>0</v>
      </c>
      <c r="O392" s="20"/>
      <c r="P392" s="3">
        <f t="shared" si="39"/>
        <v>0</v>
      </c>
    </row>
    <row r="393" spans="1:16" ht="15" customHeight="1" x14ac:dyDescent="0.25">
      <c r="A393" s="40" t="s">
        <v>461</v>
      </c>
      <c r="B393" s="40">
        <v>7896714269900</v>
      </c>
      <c r="C393" s="40" t="s">
        <v>656</v>
      </c>
      <c r="D393" s="41" t="s">
        <v>657</v>
      </c>
      <c r="E393" s="27">
        <v>24</v>
      </c>
      <c r="F393" s="34">
        <v>62.77</v>
      </c>
      <c r="G393" s="28">
        <v>0.77459999999999996</v>
      </c>
      <c r="H393" s="28">
        <v>5.6820000000000002E-2</v>
      </c>
      <c r="I393" s="13">
        <f t="shared" si="35"/>
        <v>14.148358000000002</v>
      </c>
      <c r="J393" s="13">
        <f t="shared" si="36"/>
        <v>13.344448298440001</v>
      </c>
      <c r="K393" s="29">
        <v>0.78539999999999999</v>
      </c>
      <c r="L393" s="13">
        <f t="shared" si="37"/>
        <v>13.470441999999998</v>
      </c>
      <c r="M393" s="12">
        <f t="shared" si="38"/>
        <v>12.705051485559999</v>
      </c>
      <c r="N393" s="30">
        <v>0</v>
      </c>
      <c r="O393" s="20"/>
      <c r="P393" s="3">
        <f t="shared" si="39"/>
        <v>0</v>
      </c>
    </row>
    <row r="394" spans="1:16" ht="15" customHeight="1" x14ac:dyDescent="0.25">
      <c r="A394" s="40" t="s">
        <v>461</v>
      </c>
      <c r="B394" s="40">
        <v>7896714269887</v>
      </c>
      <c r="C394" s="40" t="s">
        <v>484</v>
      </c>
      <c r="D394" s="41" t="s">
        <v>626</v>
      </c>
      <c r="E394" s="27">
        <v>24</v>
      </c>
      <c r="F394" s="34">
        <v>62.77</v>
      </c>
      <c r="G394" s="28">
        <v>0.77459999999999996</v>
      </c>
      <c r="H394" s="28">
        <v>5.6820000000000002E-2</v>
      </c>
      <c r="I394" s="13">
        <f t="shared" si="30"/>
        <v>14.148358000000002</v>
      </c>
      <c r="J394" s="13">
        <f t="shared" si="34"/>
        <v>13.344448298440001</v>
      </c>
      <c r="K394" s="29">
        <v>0.78539999999999999</v>
      </c>
      <c r="L394" s="13">
        <f t="shared" si="32"/>
        <v>13.470441999999998</v>
      </c>
      <c r="M394" s="12">
        <f t="shared" si="33"/>
        <v>12.705051485559999</v>
      </c>
      <c r="N394" s="30">
        <v>0</v>
      </c>
      <c r="O394" s="20"/>
      <c r="P394" s="3">
        <f t="shared" si="39"/>
        <v>0</v>
      </c>
    </row>
    <row r="395" spans="1:16" ht="15" customHeight="1" x14ac:dyDescent="0.25">
      <c r="A395" s="40" t="s">
        <v>461</v>
      </c>
      <c r="B395" s="40">
        <v>7896094931688</v>
      </c>
      <c r="C395" s="40" t="s">
        <v>738</v>
      </c>
      <c r="D395" s="41" t="s">
        <v>749</v>
      </c>
      <c r="E395" s="27">
        <v>24</v>
      </c>
      <c r="F395" s="34">
        <v>65.959999999999994</v>
      </c>
      <c r="G395" s="28">
        <v>0.8165</v>
      </c>
      <c r="H395" s="28">
        <v>5.6820000000000002E-2</v>
      </c>
      <c r="I395" s="13">
        <f t="shared" si="30"/>
        <v>12.103659999999998</v>
      </c>
      <c r="J395" s="13">
        <f t="shared" si="34"/>
        <v>11.415930038799997</v>
      </c>
      <c r="K395" s="29">
        <v>0.82909999999999995</v>
      </c>
      <c r="L395" s="13">
        <f t="shared" si="32"/>
        <v>11.272564000000003</v>
      </c>
      <c r="M395" s="12">
        <f t="shared" si="33"/>
        <v>10.632056913520003</v>
      </c>
      <c r="N395" s="30">
        <v>0</v>
      </c>
      <c r="O395" s="20"/>
      <c r="P395" s="3">
        <f t="shared" si="39"/>
        <v>0</v>
      </c>
    </row>
    <row r="396" spans="1:16" ht="15" customHeight="1" x14ac:dyDescent="0.25">
      <c r="A396" s="40" t="s">
        <v>461</v>
      </c>
      <c r="B396" s="40">
        <v>7896714291246</v>
      </c>
      <c r="C396" s="40" t="s">
        <v>448</v>
      </c>
      <c r="D396" s="41" t="s">
        <v>453</v>
      </c>
      <c r="E396" s="27">
        <v>24</v>
      </c>
      <c r="F396" s="34">
        <v>81.93</v>
      </c>
      <c r="G396" s="28">
        <v>0.82350000000000001</v>
      </c>
      <c r="H396" s="28">
        <v>5.6820000000000002E-2</v>
      </c>
      <c r="I396" s="13">
        <f t="shared" si="30"/>
        <v>14.460645</v>
      </c>
      <c r="J396" s="13">
        <f t="shared" si="34"/>
        <v>13.638991151099999</v>
      </c>
      <c r="K396" s="29">
        <v>0.83560000000000001</v>
      </c>
      <c r="L396" s="13">
        <f t="shared" si="32"/>
        <v>13.469291999999996</v>
      </c>
      <c r="M396" s="12">
        <f t="shared" si="33"/>
        <v>12.703966828559995</v>
      </c>
      <c r="N396" s="30">
        <v>0</v>
      </c>
      <c r="O396" s="20"/>
      <c r="P396" s="3">
        <f t="shared" si="39"/>
        <v>0</v>
      </c>
    </row>
    <row r="397" spans="1:16" ht="15" customHeight="1" x14ac:dyDescent="0.25">
      <c r="A397" s="40" t="s">
        <v>461</v>
      </c>
      <c r="B397" s="40">
        <v>7896094917774</v>
      </c>
      <c r="C397" s="40" t="s">
        <v>494</v>
      </c>
      <c r="D397" s="41" t="s">
        <v>493</v>
      </c>
      <c r="E397" s="27">
        <v>24</v>
      </c>
      <c r="F397" s="34">
        <v>100.87</v>
      </c>
      <c r="G397" s="28">
        <v>0.85650000000000004</v>
      </c>
      <c r="H397" s="28">
        <v>5.6820000000000002E-2</v>
      </c>
      <c r="I397" s="13">
        <f t="shared" ref="I397:I410" si="40">F397-(F397*G397)</f>
        <v>14.474845000000002</v>
      </c>
      <c r="J397" s="13">
        <f t="shared" ref="J397:J410" si="41">I397-(I397*H397)</f>
        <v>13.652384307100002</v>
      </c>
      <c r="K397" s="29">
        <v>0.86650000000000005</v>
      </c>
      <c r="L397" s="13">
        <f t="shared" ref="L397:L410" si="42">F397-(F397*K397)</f>
        <v>13.466144999999997</v>
      </c>
      <c r="M397" s="12">
        <f t="shared" ref="M397:M410" si="43">L397-(L397*H397)</f>
        <v>12.700998641099998</v>
      </c>
      <c r="N397" s="30">
        <v>0</v>
      </c>
      <c r="O397" s="20"/>
      <c r="P397" s="3">
        <f t="shared" si="39"/>
        <v>0</v>
      </c>
    </row>
    <row r="398" spans="1:16" ht="15" customHeight="1" x14ac:dyDescent="0.25">
      <c r="A398" s="40" t="s">
        <v>461</v>
      </c>
      <c r="B398" s="40">
        <v>7896094931749</v>
      </c>
      <c r="C398" s="40" t="s">
        <v>762</v>
      </c>
      <c r="D398" s="41" t="s">
        <v>767</v>
      </c>
      <c r="E398" s="27">
        <v>24</v>
      </c>
      <c r="F398" s="34">
        <v>65.959999999999994</v>
      </c>
      <c r="G398" s="28">
        <v>0.78600000000000003</v>
      </c>
      <c r="H398" s="28">
        <v>5.6820000000000002E-2</v>
      </c>
      <c r="I398" s="13">
        <f t="shared" ref="I398:I403" si="44">F398-(F398*G398)</f>
        <v>14.11544</v>
      </c>
      <c r="J398" s="13">
        <f t="shared" ref="J398:J403" si="45">I398-(I398*H398)</f>
        <v>13.313400699199999</v>
      </c>
      <c r="K398" s="29">
        <v>0.80059999999999998</v>
      </c>
      <c r="L398" s="13">
        <f t="shared" ref="L398:L403" si="46">F398-(F398*K398)</f>
        <v>13.152424000000003</v>
      </c>
      <c r="M398" s="12">
        <f t="shared" ref="M398:M403" si="47">L398-(L398*H398)</f>
        <v>12.405103268320003</v>
      </c>
      <c r="N398" s="30">
        <v>0</v>
      </c>
      <c r="O398" s="20"/>
      <c r="P398" s="3">
        <f t="shared" si="39"/>
        <v>0</v>
      </c>
    </row>
    <row r="399" spans="1:16" ht="15" customHeight="1" x14ac:dyDescent="0.25">
      <c r="A399" s="40" t="s">
        <v>461</v>
      </c>
      <c r="B399" s="40">
        <v>7896714291383</v>
      </c>
      <c r="C399" s="40" t="s">
        <v>501</v>
      </c>
      <c r="D399" s="41" t="s">
        <v>502</v>
      </c>
      <c r="E399" s="27">
        <v>24</v>
      </c>
      <c r="F399" s="34">
        <v>111.2</v>
      </c>
      <c r="G399" s="28">
        <v>0.69610000000000005</v>
      </c>
      <c r="H399" s="28">
        <v>5.6820000000000002E-2</v>
      </c>
      <c r="I399" s="13">
        <f t="shared" si="44"/>
        <v>33.793679999999995</v>
      </c>
      <c r="J399" s="13">
        <f t="shared" si="45"/>
        <v>31.873523102399997</v>
      </c>
      <c r="K399" s="29">
        <v>0.71050000000000002</v>
      </c>
      <c r="L399" s="13">
        <f t="shared" si="46"/>
        <v>32.192399999999992</v>
      </c>
      <c r="M399" s="12">
        <f t="shared" si="47"/>
        <v>30.363227831999993</v>
      </c>
      <c r="N399" s="30">
        <v>0</v>
      </c>
      <c r="O399" s="20"/>
      <c r="P399" s="3">
        <f t="shared" si="39"/>
        <v>0</v>
      </c>
    </row>
    <row r="400" spans="1:16" ht="15" customHeight="1" x14ac:dyDescent="0.25">
      <c r="A400" s="40" t="s">
        <v>461</v>
      </c>
      <c r="B400" s="40">
        <v>7896714273471</v>
      </c>
      <c r="C400" s="40" t="s">
        <v>454</v>
      </c>
      <c r="D400" s="41" t="s">
        <v>455</v>
      </c>
      <c r="E400" s="27">
        <v>24</v>
      </c>
      <c r="F400" s="34">
        <v>62.77</v>
      </c>
      <c r="G400" s="28">
        <v>0.76949999999999996</v>
      </c>
      <c r="H400" s="28">
        <v>5.6820000000000002E-2</v>
      </c>
      <c r="I400" s="13">
        <f t="shared" si="44"/>
        <v>14.468485000000001</v>
      </c>
      <c r="J400" s="13">
        <f t="shared" si="45"/>
        <v>13.646385682300002</v>
      </c>
      <c r="K400" s="29">
        <v>0.78539999999999999</v>
      </c>
      <c r="L400" s="13">
        <f t="shared" si="46"/>
        <v>13.470441999999998</v>
      </c>
      <c r="M400" s="12">
        <f t="shared" si="47"/>
        <v>12.705051485559999</v>
      </c>
      <c r="N400" s="30">
        <v>0</v>
      </c>
      <c r="O400" s="20"/>
      <c r="P400" s="3">
        <f t="shared" si="39"/>
        <v>0</v>
      </c>
    </row>
    <row r="401" spans="1:16" ht="15" customHeight="1" x14ac:dyDescent="0.25">
      <c r="A401" s="40" t="s">
        <v>461</v>
      </c>
      <c r="B401" s="40">
        <v>7896714275321</v>
      </c>
      <c r="C401" s="40" t="s">
        <v>456</v>
      </c>
      <c r="D401" s="41" t="s">
        <v>457</v>
      </c>
      <c r="E401" s="27">
        <v>24</v>
      </c>
      <c r="F401" s="34">
        <v>48.07</v>
      </c>
      <c r="G401" s="28">
        <v>0.70589999999999997</v>
      </c>
      <c r="H401" s="28">
        <v>5.6820000000000002E-2</v>
      </c>
      <c r="I401" s="13">
        <f t="shared" si="44"/>
        <v>14.137387000000004</v>
      </c>
      <c r="J401" s="13">
        <f t="shared" si="45"/>
        <v>13.334100670660003</v>
      </c>
      <c r="K401" s="29">
        <v>0.7198</v>
      </c>
      <c r="L401" s="13">
        <f t="shared" si="46"/>
        <v>13.469214000000001</v>
      </c>
      <c r="M401" s="12">
        <f t="shared" si="47"/>
        <v>12.703893260520001</v>
      </c>
      <c r="N401" s="30">
        <v>0</v>
      </c>
      <c r="O401" s="20"/>
      <c r="P401" s="3">
        <f t="shared" si="39"/>
        <v>0</v>
      </c>
    </row>
    <row r="402" spans="1:16" ht="15" customHeight="1" x14ac:dyDescent="0.25">
      <c r="A402" s="40" t="s">
        <v>461</v>
      </c>
      <c r="B402" s="40">
        <v>7896714294209</v>
      </c>
      <c r="C402" s="40" t="s">
        <v>579</v>
      </c>
      <c r="D402" s="41" t="s">
        <v>580</v>
      </c>
      <c r="E402" s="27">
        <v>12</v>
      </c>
      <c r="F402" s="34">
        <v>38.6</v>
      </c>
      <c r="G402" s="28">
        <v>0.63380000000000003</v>
      </c>
      <c r="H402" s="28">
        <v>5.6820000000000002E-2</v>
      </c>
      <c r="I402" s="13">
        <f t="shared" si="44"/>
        <v>14.13532</v>
      </c>
      <c r="J402" s="13">
        <f t="shared" si="45"/>
        <v>13.3321511176</v>
      </c>
      <c r="K402" s="29">
        <v>0.65110000000000001</v>
      </c>
      <c r="L402" s="13">
        <f t="shared" si="46"/>
        <v>13.46754</v>
      </c>
      <c r="M402" s="12">
        <f t="shared" si="47"/>
        <v>12.7023143772</v>
      </c>
      <c r="N402" s="30">
        <v>0</v>
      </c>
      <c r="O402" s="20"/>
      <c r="P402" s="3">
        <f t="shared" si="39"/>
        <v>0</v>
      </c>
    </row>
    <row r="403" spans="1:16" ht="15" customHeight="1" x14ac:dyDescent="0.25">
      <c r="A403" s="40" t="s">
        <v>461</v>
      </c>
      <c r="B403" s="40">
        <v>7896094929555</v>
      </c>
      <c r="C403" s="40" t="s">
        <v>621</v>
      </c>
      <c r="D403" s="41" t="s">
        <v>622</v>
      </c>
      <c r="E403" s="27">
        <v>24</v>
      </c>
      <c r="F403" s="34">
        <v>38.619999999999997</v>
      </c>
      <c r="G403" s="28">
        <v>0.80449999999999999</v>
      </c>
      <c r="H403" s="28">
        <v>5.6820000000000002E-2</v>
      </c>
      <c r="I403" s="13">
        <f t="shared" si="44"/>
        <v>7.5502099999999999</v>
      </c>
      <c r="J403" s="13">
        <f t="shared" si="45"/>
        <v>7.1212070677999995</v>
      </c>
      <c r="K403" s="29">
        <v>0.81389999999999996</v>
      </c>
      <c r="L403" s="13">
        <f t="shared" si="46"/>
        <v>7.187182</v>
      </c>
      <c r="M403" s="12">
        <f t="shared" si="47"/>
        <v>6.7788063187600001</v>
      </c>
      <c r="N403" s="30">
        <v>0</v>
      </c>
      <c r="O403" s="20"/>
      <c r="P403" s="3">
        <f t="shared" si="39"/>
        <v>0</v>
      </c>
    </row>
    <row r="404" spans="1:16" ht="15" customHeight="1" x14ac:dyDescent="0.25">
      <c r="A404" s="40" t="s">
        <v>461</v>
      </c>
      <c r="B404" s="40">
        <v>7896714291239</v>
      </c>
      <c r="C404" s="40" t="s">
        <v>464</v>
      </c>
      <c r="D404" s="41" t="s">
        <v>465</v>
      </c>
      <c r="E404" s="27">
        <v>24</v>
      </c>
      <c r="F404" s="34">
        <v>72.17</v>
      </c>
      <c r="G404" s="28">
        <v>0.77459999999999996</v>
      </c>
      <c r="H404" s="28">
        <v>5.6820000000000002E-2</v>
      </c>
      <c r="I404" s="13">
        <f t="shared" ref="I404:I406" si="48">F404-(F404*G404)</f>
        <v>16.267118000000004</v>
      </c>
      <c r="J404" s="13">
        <f t="shared" ref="J404:J406" si="49">I404-(I404*H404)</f>
        <v>15.342820355240004</v>
      </c>
      <c r="K404" s="29">
        <v>0.78539999999999999</v>
      </c>
      <c r="L404" s="13">
        <f t="shared" ref="L404:L406" si="50">F404-(F404*K404)</f>
        <v>15.487682</v>
      </c>
      <c r="M404" s="12">
        <f t="shared" ref="M404:M406" si="51">L404-(L404*H404)</f>
        <v>14.60767190876</v>
      </c>
      <c r="N404" s="30">
        <v>0</v>
      </c>
      <c r="O404" s="20"/>
      <c r="P404" s="3">
        <f t="shared" si="39"/>
        <v>0</v>
      </c>
    </row>
    <row r="405" spans="1:16" ht="15" customHeight="1" x14ac:dyDescent="0.25">
      <c r="A405" s="40" t="s">
        <v>461</v>
      </c>
      <c r="B405" s="40">
        <v>7896714291222</v>
      </c>
      <c r="C405" s="40" t="s">
        <v>495</v>
      </c>
      <c r="D405" s="41" t="s">
        <v>496</v>
      </c>
      <c r="E405" s="27">
        <v>24</v>
      </c>
      <c r="F405" s="34">
        <v>27.7</v>
      </c>
      <c r="G405" s="28">
        <v>0.75539999999999996</v>
      </c>
      <c r="H405" s="28">
        <v>0.13542000000000001</v>
      </c>
      <c r="I405" s="13">
        <f t="shared" si="48"/>
        <v>6.7754200000000004</v>
      </c>
      <c r="J405" s="13">
        <f t="shared" si="49"/>
        <v>5.8578926236000006</v>
      </c>
      <c r="K405" s="29">
        <v>0.76749999999999996</v>
      </c>
      <c r="L405" s="13">
        <f t="shared" si="50"/>
        <v>6.4402500000000025</v>
      </c>
      <c r="M405" s="12">
        <f t="shared" si="51"/>
        <v>5.5681113450000019</v>
      </c>
      <c r="N405" s="30">
        <v>0</v>
      </c>
      <c r="O405" s="20"/>
      <c r="P405" s="3">
        <f t="shared" si="39"/>
        <v>0</v>
      </c>
    </row>
    <row r="406" spans="1:16" ht="15" customHeight="1" x14ac:dyDescent="0.25">
      <c r="A406" s="40" t="s">
        <v>461</v>
      </c>
      <c r="B406" s="40">
        <v>7896094931343</v>
      </c>
      <c r="C406" s="40" t="s">
        <v>639</v>
      </c>
      <c r="D406" s="41" t="s">
        <v>643</v>
      </c>
      <c r="E406" s="27">
        <v>24</v>
      </c>
      <c r="F406" s="34">
        <v>42.43</v>
      </c>
      <c r="G406" s="28">
        <v>0.80789999999999995</v>
      </c>
      <c r="H406" s="28">
        <v>5.6820000000000002E-2</v>
      </c>
      <c r="I406" s="13">
        <f t="shared" si="48"/>
        <v>8.1508030000000034</v>
      </c>
      <c r="J406" s="13">
        <f t="shared" si="49"/>
        <v>7.6876743735400028</v>
      </c>
      <c r="K406" s="29">
        <v>0.81699999999999995</v>
      </c>
      <c r="L406" s="13">
        <f t="shared" si="50"/>
        <v>7.7646900000000016</v>
      </c>
      <c r="M406" s="12">
        <f t="shared" si="51"/>
        <v>7.3235003142000012</v>
      </c>
      <c r="N406" s="30">
        <v>0</v>
      </c>
      <c r="O406" s="20"/>
      <c r="P406" s="3">
        <f t="shared" si="39"/>
        <v>0</v>
      </c>
    </row>
    <row r="407" spans="1:16" ht="15" customHeight="1" x14ac:dyDescent="0.25">
      <c r="A407" s="40" t="s">
        <v>461</v>
      </c>
      <c r="B407" s="40">
        <v>7896714291215</v>
      </c>
      <c r="C407" s="40" t="s">
        <v>482</v>
      </c>
      <c r="D407" s="41" t="s">
        <v>483</v>
      </c>
      <c r="E407" s="27">
        <v>24</v>
      </c>
      <c r="F407" s="34">
        <v>27.7</v>
      </c>
      <c r="G407" s="28">
        <v>0.69779999999999998</v>
      </c>
      <c r="H407" s="28">
        <v>5.6820000000000002E-2</v>
      </c>
      <c r="I407" s="13">
        <f t="shared" ref="I407:I409" si="52">F407-(F407*G407)</f>
        <v>8.3709400000000009</v>
      </c>
      <c r="J407" s="13">
        <f t="shared" ref="J407:J409" si="53">I407-(I407*H407)</f>
        <v>7.8953031892000007</v>
      </c>
      <c r="K407" s="29">
        <v>0.71220000000000006</v>
      </c>
      <c r="L407" s="13">
        <f t="shared" ref="L407:L409" si="54">F407-(F407*K407)</f>
        <v>7.972059999999999</v>
      </c>
      <c r="M407" s="12">
        <f t="shared" ref="M407:M409" si="55">L407-(L407*H407)</f>
        <v>7.5190875507999992</v>
      </c>
      <c r="N407" s="30">
        <v>0</v>
      </c>
      <c r="O407" s="20"/>
      <c r="P407" s="3">
        <f t="shared" si="39"/>
        <v>0</v>
      </c>
    </row>
    <row r="408" spans="1:16" ht="15" customHeight="1" x14ac:dyDescent="0.25">
      <c r="A408" s="40" t="s">
        <v>461</v>
      </c>
      <c r="B408" s="40">
        <v>7896714292397</v>
      </c>
      <c r="C408" s="40" t="s">
        <v>512</v>
      </c>
      <c r="D408" s="41" t="s">
        <v>521</v>
      </c>
      <c r="E408" s="27">
        <v>24</v>
      </c>
      <c r="F408" s="34">
        <v>46.34</v>
      </c>
      <c r="G408" s="28">
        <v>0.82750000000000001</v>
      </c>
      <c r="H408" s="28">
        <v>5.6820000000000002E-2</v>
      </c>
      <c r="I408" s="13">
        <f t="shared" si="52"/>
        <v>7.9936500000000024</v>
      </c>
      <c r="J408" s="13">
        <f t="shared" si="53"/>
        <v>7.5394508070000024</v>
      </c>
      <c r="K408" s="29">
        <v>0.83579999999999999</v>
      </c>
      <c r="L408" s="13">
        <f t="shared" si="54"/>
        <v>7.6090280000000021</v>
      </c>
      <c r="M408" s="12">
        <f t="shared" si="55"/>
        <v>7.1766830290400021</v>
      </c>
      <c r="N408" s="30">
        <v>0</v>
      </c>
      <c r="O408" s="20"/>
      <c r="P408" s="3">
        <f t="shared" si="39"/>
        <v>0</v>
      </c>
    </row>
    <row r="409" spans="1:16" ht="15" customHeight="1" x14ac:dyDescent="0.25">
      <c r="A409" s="40" t="s">
        <v>461</v>
      </c>
      <c r="B409" s="40">
        <v>7896714292403</v>
      </c>
      <c r="C409" s="40" t="s">
        <v>513</v>
      </c>
      <c r="D409" s="41" t="s">
        <v>526</v>
      </c>
      <c r="E409" s="27">
        <v>24</v>
      </c>
      <c r="F409" s="34">
        <v>46.34</v>
      </c>
      <c r="G409" s="28">
        <v>0.84299999999999997</v>
      </c>
      <c r="H409" s="28">
        <v>0.13542000000000001</v>
      </c>
      <c r="I409" s="13">
        <f t="shared" si="52"/>
        <v>7.2753799999999984</v>
      </c>
      <c r="J409" s="13">
        <f t="shared" si="53"/>
        <v>6.2901480403999983</v>
      </c>
      <c r="K409" s="29">
        <v>0.85060000000000002</v>
      </c>
      <c r="L409" s="13">
        <f t="shared" si="54"/>
        <v>6.9231959999999972</v>
      </c>
      <c r="M409" s="12">
        <f t="shared" si="55"/>
        <v>5.9856567976799973</v>
      </c>
      <c r="N409" s="30">
        <v>0</v>
      </c>
      <c r="O409" s="20"/>
      <c r="P409" s="3">
        <f t="shared" si="39"/>
        <v>0</v>
      </c>
    </row>
    <row r="410" spans="1:16" ht="15" customHeight="1" x14ac:dyDescent="0.25">
      <c r="A410" s="40" t="s">
        <v>461</v>
      </c>
      <c r="B410" s="40">
        <v>7896714205632</v>
      </c>
      <c r="C410" s="40" t="s">
        <v>227</v>
      </c>
      <c r="D410" s="41" t="s">
        <v>62</v>
      </c>
      <c r="E410" s="27">
        <v>60</v>
      </c>
      <c r="F410" s="34">
        <v>23.1</v>
      </c>
      <c r="G410" s="28">
        <v>0.42270000000000002</v>
      </c>
      <c r="H410" s="28">
        <v>5.6820000000000002E-2</v>
      </c>
      <c r="I410" s="13">
        <f t="shared" si="40"/>
        <v>13.33563</v>
      </c>
      <c r="J410" s="13">
        <f t="shared" si="41"/>
        <v>12.577899503399999</v>
      </c>
      <c r="K410" s="29">
        <v>0.4501</v>
      </c>
      <c r="L410" s="13">
        <f t="shared" si="42"/>
        <v>12.70269</v>
      </c>
      <c r="M410" s="12">
        <f t="shared" si="43"/>
        <v>11.980923154200001</v>
      </c>
      <c r="N410" s="30">
        <v>0</v>
      </c>
      <c r="O410" s="20"/>
      <c r="P410" s="3">
        <f t="shared" si="39"/>
        <v>0</v>
      </c>
    </row>
  </sheetData>
  <autoFilter ref="A5:WUF410" xr:uid="{00000000-0001-0000-0000-000000000000}">
    <sortState xmlns:xlrd2="http://schemas.microsoft.com/office/spreadsheetml/2017/richdata2" ref="A6:WUF410">
      <sortCondition ref="A5:A410"/>
    </sortState>
  </autoFilter>
  <conditionalFormatting sqref="N6:N410">
    <cfRule type="cellIs" dxfId="1" priority="2" operator="lessThan">
      <formula>1</formula>
    </cfRule>
    <cfRule type="cellIs" dxfId="0" priority="3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2308-5974-430B-91C5-DD8D8FD4A571}">
  <dimension ref="A1:GS337"/>
  <sheetViews>
    <sheetView tabSelected="1" topLeftCell="P1" workbookViewId="0">
      <selection activeCell="GU258" sqref="GU1:GU258"/>
    </sheetView>
  </sheetViews>
  <sheetFormatPr defaultRowHeight="15" x14ac:dyDescent="0.25"/>
  <cols>
    <col min="1" max="1" width="7.42578125" style="53" hidden="1" customWidth="1"/>
    <col min="2" max="2" width="34.140625" style="53" hidden="1" customWidth="1"/>
    <col min="3" max="3" width="10.28515625" style="53" hidden="1" customWidth="1"/>
    <col min="4" max="4" width="5.7109375" style="53" hidden="1" customWidth="1"/>
    <col min="5" max="5" width="19.5703125" style="53" hidden="1" customWidth="1"/>
    <col min="6" max="7" width="10.7109375" style="53" hidden="1" customWidth="1"/>
    <col min="8" max="8" width="23.7109375" style="53" hidden="1" customWidth="1"/>
    <col min="9" max="9" width="18.7109375" style="53" hidden="1" customWidth="1"/>
    <col min="10" max="10" width="6.5703125" style="53" hidden="1" customWidth="1"/>
    <col min="11" max="11" width="9.85546875" style="53" hidden="1" customWidth="1"/>
    <col min="12" max="12" width="10.28515625" style="53" hidden="1" customWidth="1"/>
    <col min="13" max="13" width="6.28515625" style="53" hidden="1" customWidth="1"/>
    <col min="14" max="14" width="29.7109375" style="53" hidden="1" customWidth="1"/>
    <col min="15" max="15" width="4" style="53" hidden="1" customWidth="1"/>
    <col min="16" max="16" width="8.42578125" style="53" bestFit="1" customWidth="1"/>
    <col min="17" max="17" width="44.7109375" style="53" bestFit="1" customWidth="1"/>
    <col min="18" max="18" width="10.7109375" style="53" hidden="1" customWidth="1"/>
    <col min="19" max="19" width="14.42578125" style="53" hidden="1" customWidth="1"/>
    <col min="20" max="20" width="10.42578125" style="53" hidden="1" customWidth="1"/>
    <col min="21" max="21" width="15.5703125" style="53" hidden="1" customWidth="1"/>
    <col min="22" max="22" width="9.5703125" style="53" hidden="1" customWidth="1"/>
    <col min="23" max="23" width="17" style="53" hidden="1" customWidth="1"/>
    <col min="24" max="24" width="14.5703125" style="53" hidden="1" customWidth="1"/>
    <col min="25" max="25" width="12.7109375" style="53" hidden="1" customWidth="1"/>
    <col min="26" max="26" width="15.140625" style="53" hidden="1" customWidth="1"/>
    <col min="27" max="27" width="14" style="53" hidden="1" customWidth="1"/>
    <col min="28" max="28" width="16.28515625" style="53" bestFit="1" customWidth="1"/>
    <col min="29" max="29" width="9.85546875" style="53" hidden="1" customWidth="1"/>
    <col min="30" max="30" width="8.28515625" style="53" hidden="1" customWidth="1"/>
    <col min="31" max="31" width="10.28515625" style="53" hidden="1" customWidth="1"/>
    <col min="32" max="32" width="27.140625" style="53" hidden="1" customWidth="1"/>
    <col min="33" max="33" width="11.28515625" style="53" hidden="1" customWidth="1"/>
    <col min="34" max="34" width="3.140625" style="53" hidden="1" customWidth="1"/>
    <col min="35" max="35" width="18.85546875" style="53" hidden="1" customWidth="1"/>
    <col min="36" max="36" width="5" style="53" hidden="1" customWidth="1"/>
    <col min="37" max="37" width="25" style="53" hidden="1" customWidth="1"/>
    <col min="38" max="38" width="3.140625" style="53" hidden="1" customWidth="1"/>
    <col min="39" max="39" width="21.5703125" style="53" hidden="1" customWidth="1"/>
    <col min="40" max="40" width="6.7109375" style="53" hidden="1" customWidth="1"/>
    <col min="41" max="41" width="30.140625" style="53" hidden="1" customWidth="1"/>
    <col min="42" max="42" width="14.42578125" style="53" hidden="1" customWidth="1"/>
    <col min="43" max="43" width="4.85546875" style="53" hidden="1" customWidth="1"/>
    <col min="44" max="44" width="5" style="53" hidden="1" customWidth="1"/>
    <col min="45" max="45" width="3.28515625" style="53" hidden="1" customWidth="1"/>
    <col min="46" max="46" width="22.42578125" style="53" hidden="1" customWidth="1"/>
    <col min="47" max="47" width="7.5703125" style="53" hidden="1" customWidth="1"/>
    <col min="48" max="48" width="29" style="53" hidden="1" customWidth="1"/>
    <col min="49" max="49" width="19.42578125" style="53" hidden="1" customWidth="1"/>
    <col min="50" max="50" width="15.28515625" style="53" hidden="1" customWidth="1"/>
    <col min="51" max="51" width="17.28515625" style="53" hidden="1" customWidth="1"/>
    <col min="52" max="52" width="12.5703125" style="53" hidden="1" customWidth="1"/>
    <col min="53" max="53" width="19.42578125" style="53" hidden="1" customWidth="1"/>
    <col min="54" max="54" width="7.28515625" style="53" hidden="1" customWidth="1"/>
    <col min="55" max="63" width="7" style="53" hidden="1" customWidth="1"/>
    <col min="64" max="64" width="7.5703125" style="53" hidden="1" customWidth="1"/>
    <col min="65" max="65" width="10.7109375" style="53" hidden="1" customWidth="1"/>
    <col min="66" max="66" width="7.42578125" style="53" hidden="1" customWidth="1"/>
    <col min="67" max="67" width="8.28515625" style="53" hidden="1" customWidth="1"/>
    <col min="68" max="68" width="38.5703125" style="53" hidden="1" customWidth="1"/>
    <col min="69" max="69" width="34.42578125" style="53" hidden="1" customWidth="1"/>
    <col min="70" max="70" width="40.28515625" style="53" hidden="1" customWidth="1"/>
    <col min="71" max="71" width="36.140625" style="53" hidden="1" customWidth="1"/>
    <col min="72" max="72" width="5" style="53" hidden="1" customWidth="1"/>
    <col min="73" max="73" width="5.140625" style="53" hidden="1" customWidth="1"/>
    <col min="74" max="74" width="14.5703125" style="53" hidden="1" customWidth="1"/>
    <col min="75" max="75" width="3.7109375" style="53" hidden="1" customWidth="1"/>
    <col min="76" max="76" width="15.7109375" style="53" hidden="1" customWidth="1"/>
    <col min="77" max="77" width="4.7109375" style="53" hidden="1" customWidth="1"/>
    <col min="78" max="78" width="20.85546875" style="53" hidden="1" customWidth="1"/>
    <col min="79" max="79" width="9.5703125" style="53" hidden="1" customWidth="1"/>
    <col min="80" max="80" width="9.85546875" style="53" hidden="1" customWidth="1"/>
    <col min="81" max="81" width="29.85546875" style="53" hidden="1" customWidth="1"/>
    <col min="82" max="82" width="7" style="53" hidden="1" customWidth="1"/>
    <col min="83" max="83" width="20.7109375" style="53" hidden="1" customWidth="1"/>
    <col min="84" max="84" width="5.28515625" style="53" hidden="1" customWidth="1"/>
    <col min="85" max="85" width="23.42578125" style="53" hidden="1" customWidth="1"/>
    <col min="86" max="86" width="5.7109375" style="53" hidden="1" customWidth="1"/>
    <col min="87" max="87" width="23.140625" style="53" hidden="1" customWidth="1"/>
    <col min="88" max="88" width="5.42578125" style="53" hidden="1" customWidth="1"/>
    <col min="89" max="89" width="26.5703125" style="53" hidden="1" customWidth="1"/>
    <col min="90" max="90" width="5" style="53" hidden="1" customWidth="1"/>
    <col min="91" max="91" width="20.85546875" style="53" hidden="1" customWidth="1"/>
    <col min="92" max="92" width="8.42578125" style="53" hidden="1" customWidth="1"/>
    <col min="93" max="93" width="46" style="53" hidden="1" customWidth="1"/>
    <col min="94" max="94" width="10.42578125" style="53" hidden="1" customWidth="1"/>
    <col min="95" max="103" width="7.42578125" style="53" hidden="1" customWidth="1"/>
    <col min="104" max="105" width="7.5703125" style="53" hidden="1" customWidth="1"/>
    <col min="106" max="106" width="7.140625" style="53" hidden="1" customWidth="1"/>
    <col min="107" max="107" width="7.5703125" style="53" hidden="1" customWidth="1"/>
    <col min="108" max="108" width="7.140625" style="53" hidden="1" customWidth="1"/>
    <col min="109" max="109" width="7.5703125" style="53" hidden="1" customWidth="1"/>
    <col min="110" max="110" width="7.140625" style="53" hidden="1" customWidth="1"/>
    <col min="111" max="111" width="7.42578125" style="53" hidden="1" customWidth="1"/>
    <col min="112" max="112" width="7" style="53" hidden="1" customWidth="1"/>
    <col min="113" max="113" width="7.42578125" style="53" hidden="1" customWidth="1"/>
    <col min="114" max="114" width="7" style="53" hidden="1" customWidth="1"/>
    <col min="115" max="115" width="7.42578125" style="53" hidden="1" customWidth="1"/>
    <col min="116" max="116" width="7" style="53" hidden="1" customWidth="1"/>
    <col min="117" max="117" width="7.42578125" style="53" hidden="1" customWidth="1"/>
    <col min="118" max="118" width="7" style="53" hidden="1" customWidth="1"/>
    <col min="119" max="119" width="7.42578125" style="53" hidden="1" customWidth="1"/>
    <col min="120" max="120" width="7" style="53" hidden="1" customWidth="1"/>
    <col min="121" max="121" width="7.42578125" style="53" hidden="1" customWidth="1"/>
    <col min="122" max="122" width="7" style="53" hidden="1" customWidth="1"/>
    <col min="123" max="123" width="7.42578125" style="53" hidden="1" customWidth="1"/>
    <col min="124" max="124" width="7" style="53" hidden="1" customWidth="1"/>
    <col min="125" max="125" width="7.42578125" style="53" hidden="1" customWidth="1"/>
    <col min="126" max="126" width="7" style="53" hidden="1" customWidth="1"/>
    <col min="127" max="127" width="13.7109375" style="53" hidden="1" customWidth="1"/>
    <col min="128" max="128" width="14" style="53" hidden="1" customWidth="1"/>
    <col min="129" max="129" width="15.85546875" style="53" hidden="1" customWidth="1"/>
    <col min="130" max="130" width="15.5703125" style="53" hidden="1" customWidth="1"/>
    <col min="131" max="131" width="16.28515625" style="53" hidden="1" customWidth="1"/>
    <col min="132" max="132" width="19.28515625" style="53" hidden="1" customWidth="1"/>
    <col min="133" max="133" width="18.140625" style="53" hidden="1" customWidth="1"/>
    <col min="134" max="134" width="14.7109375" style="53" hidden="1" customWidth="1"/>
    <col min="135" max="135" width="14.42578125" style="53" hidden="1" customWidth="1"/>
    <col min="136" max="136" width="18.140625" style="53" hidden="1" customWidth="1"/>
    <col min="137" max="137" width="15.140625" style="53" hidden="1" customWidth="1"/>
    <col min="138" max="138" width="16.85546875" style="53" hidden="1" customWidth="1"/>
    <col min="139" max="139" width="9.85546875" style="53" hidden="1" customWidth="1"/>
    <col min="140" max="140" width="9.5703125" style="53" hidden="1" customWidth="1"/>
    <col min="141" max="141" width="10.28515625" style="53" hidden="1" customWidth="1"/>
    <col min="142" max="142" width="10" style="53" hidden="1" customWidth="1"/>
    <col min="143" max="143" width="9.5703125" style="53" hidden="1" customWidth="1"/>
    <col min="144" max="144" width="9.28515625" style="53" hidden="1" customWidth="1"/>
    <col min="145" max="145" width="9.42578125" style="53" hidden="1" customWidth="1"/>
    <col min="146" max="146" width="13.42578125" style="53" hidden="1" customWidth="1"/>
    <col min="147" max="147" width="10.85546875" style="53" hidden="1" customWidth="1"/>
    <col min="148" max="148" width="10.5703125" style="53" hidden="1" customWidth="1"/>
    <col min="149" max="149" width="10.85546875" style="53" hidden="1" customWidth="1"/>
    <col min="150" max="150" width="8.28515625" style="53" hidden="1" customWidth="1"/>
    <col min="151" max="151" width="7.42578125" style="53" hidden="1" customWidth="1"/>
    <col min="152" max="152" width="10.85546875" style="53" hidden="1" customWidth="1"/>
    <col min="153" max="153" width="7.7109375" style="53" hidden="1" customWidth="1"/>
    <col min="154" max="154" width="10.85546875" style="53" hidden="1" customWidth="1"/>
    <col min="155" max="155" width="7.7109375" style="53" hidden="1" customWidth="1"/>
    <col min="156" max="156" width="10.85546875" style="53" hidden="1" customWidth="1"/>
    <col min="157" max="157" width="7.7109375" style="53" hidden="1" customWidth="1"/>
    <col min="158" max="158" width="10.85546875" style="53" hidden="1" customWidth="1"/>
    <col min="159" max="159" width="7.7109375" style="53" hidden="1" customWidth="1"/>
    <col min="160" max="160" width="14.7109375" style="53" hidden="1" customWidth="1"/>
    <col min="161" max="161" width="14.140625" style="53" hidden="1" customWidth="1"/>
    <col min="162" max="162" width="11.28515625" style="53" hidden="1" customWidth="1"/>
    <col min="163" max="163" width="8.140625" style="53" hidden="1" customWidth="1"/>
    <col min="164" max="164" width="7.42578125" style="53" hidden="1" customWidth="1"/>
    <col min="165" max="165" width="10.5703125" style="53" hidden="1" customWidth="1"/>
    <col min="166" max="166" width="7.42578125" style="53" hidden="1" customWidth="1"/>
    <col min="167" max="167" width="10.5703125" style="53" hidden="1" customWidth="1"/>
    <col min="168" max="168" width="7.85546875" style="53" hidden="1" customWidth="1"/>
    <col min="169" max="169" width="11" style="53" hidden="1" customWidth="1"/>
    <col min="170" max="170" width="9.7109375" style="53" hidden="1" customWidth="1"/>
    <col min="171" max="171" width="9.85546875" style="53" hidden="1" customWidth="1"/>
    <col min="172" max="172" width="6.7109375" style="53" hidden="1" customWidth="1"/>
    <col min="173" max="173" width="10.42578125" style="53" hidden="1" customWidth="1"/>
    <col min="174" max="174" width="7.28515625" style="53" hidden="1" customWidth="1"/>
    <col min="175" max="175" width="11.42578125" style="53" hidden="1" customWidth="1"/>
    <col min="176" max="176" width="8.28515625" style="53" hidden="1" customWidth="1"/>
    <col min="177" max="177" width="11" style="53" hidden="1" customWidth="1"/>
    <col min="178" max="178" width="7.85546875" style="53" hidden="1" customWidth="1"/>
    <col min="179" max="179" width="10.85546875" style="53" hidden="1" customWidth="1"/>
    <col min="180" max="180" width="7.7109375" style="53" hidden="1" customWidth="1"/>
    <col min="181" max="181" width="10.28515625" style="53" hidden="1" customWidth="1"/>
    <col min="182" max="182" width="4.7109375" style="53" hidden="1" customWidth="1"/>
    <col min="183" max="183" width="23.28515625" style="53" hidden="1" customWidth="1"/>
    <col min="184" max="184" width="6.140625" style="53" hidden="1" customWidth="1"/>
    <col min="185" max="185" width="20.5703125" style="53" hidden="1" customWidth="1"/>
    <col min="186" max="186" width="15.85546875" style="53" hidden="1" customWidth="1"/>
    <col min="187" max="187" width="11" style="53" hidden="1" customWidth="1"/>
    <col min="188" max="188" width="42.28515625" style="53" hidden="1" customWidth="1"/>
    <col min="189" max="189" width="10.7109375" style="53" hidden="1" customWidth="1"/>
    <col min="190" max="190" width="10.28515625" style="53" hidden="1" customWidth="1"/>
    <col min="191" max="191" width="22.42578125" style="53" hidden="1" customWidth="1"/>
    <col min="192" max="192" width="15.42578125" style="53" hidden="1" customWidth="1"/>
    <col min="193" max="193" width="2.7109375" style="53" hidden="1" customWidth="1"/>
    <col min="194" max="194" width="7.85546875" style="53" hidden="1" customWidth="1"/>
    <col min="195" max="195" width="10.140625" style="53" hidden="1" customWidth="1"/>
    <col min="196" max="196" width="16" style="53" hidden="1" customWidth="1"/>
    <col min="197" max="197" width="21.42578125" style="53" hidden="1" customWidth="1"/>
    <col min="198" max="198" width="9" style="53" hidden="1" customWidth="1"/>
    <col min="199" max="199" width="14.140625" style="53" hidden="1" customWidth="1"/>
    <col min="200" max="200" width="5.140625" style="53" hidden="1" customWidth="1"/>
    <col min="201" max="201" width="7.85546875" style="53" hidden="1" customWidth="1"/>
    <col min="202" max="16384" width="9.140625" style="53"/>
  </cols>
  <sheetData>
    <row r="1" spans="1:201" x14ac:dyDescent="0.25">
      <c r="A1" s="52" t="s">
        <v>833</v>
      </c>
      <c r="B1" s="52" t="s">
        <v>834</v>
      </c>
      <c r="C1" s="52" t="s">
        <v>835</v>
      </c>
      <c r="D1" s="52" t="s">
        <v>836</v>
      </c>
      <c r="E1" s="52" t="s">
        <v>837</v>
      </c>
      <c r="F1" s="52" t="s">
        <v>838</v>
      </c>
      <c r="G1" s="52" t="s">
        <v>839</v>
      </c>
      <c r="H1" s="52" t="s">
        <v>840</v>
      </c>
      <c r="I1" s="52" t="s">
        <v>841</v>
      </c>
      <c r="J1" s="52" t="s">
        <v>842</v>
      </c>
      <c r="K1" s="52" t="s">
        <v>843</v>
      </c>
      <c r="L1" s="52" t="s">
        <v>844</v>
      </c>
      <c r="M1" s="52" t="s">
        <v>845</v>
      </c>
      <c r="N1" s="52" t="s">
        <v>846</v>
      </c>
      <c r="O1" s="52" t="s">
        <v>847</v>
      </c>
      <c r="P1" s="52" t="s">
        <v>848</v>
      </c>
      <c r="Q1" s="52" t="s">
        <v>849</v>
      </c>
      <c r="R1" s="52" t="s">
        <v>850</v>
      </c>
      <c r="S1" s="52" t="s">
        <v>851</v>
      </c>
      <c r="T1" s="52" t="s">
        <v>852</v>
      </c>
      <c r="U1" s="52" t="s">
        <v>853</v>
      </c>
      <c r="V1" s="52" t="s">
        <v>854</v>
      </c>
      <c r="W1" s="52" t="s">
        <v>855</v>
      </c>
      <c r="X1" s="52" t="s">
        <v>856</v>
      </c>
      <c r="Y1" s="52" t="s">
        <v>857</v>
      </c>
      <c r="Z1" s="52" t="s">
        <v>858</v>
      </c>
      <c r="AA1" s="52" t="s">
        <v>859</v>
      </c>
      <c r="AB1" s="52" t="s">
        <v>860</v>
      </c>
      <c r="AC1" s="52" t="s">
        <v>861</v>
      </c>
      <c r="AD1" s="52" t="s">
        <v>862</v>
      </c>
      <c r="AE1" s="52" t="s">
        <v>863</v>
      </c>
      <c r="AF1" s="52" t="s">
        <v>864</v>
      </c>
      <c r="AG1" s="52" t="s">
        <v>820</v>
      </c>
      <c r="AH1" s="52" t="s">
        <v>865</v>
      </c>
      <c r="AI1" s="52" t="s">
        <v>866</v>
      </c>
      <c r="AJ1" s="52" t="s">
        <v>867</v>
      </c>
      <c r="AK1" s="52" t="s">
        <v>868</v>
      </c>
      <c r="AL1" s="52" t="s">
        <v>869</v>
      </c>
      <c r="AM1" s="52" t="s">
        <v>870</v>
      </c>
      <c r="AN1" s="52" t="s">
        <v>871</v>
      </c>
      <c r="AO1" s="52" t="s">
        <v>872</v>
      </c>
      <c r="AP1" s="52" t="s">
        <v>873</v>
      </c>
      <c r="AQ1" s="52" t="s">
        <v>874</v>
      </c>
      <c r="AR1" s="52" t="s">
        <v>875</v>
      </c>
      <c r="AS1" s="52" t="s">
        <v>876</v>
      </c>
      <c r="AT1" s="52" t="s">
        <v>877</v>
      </c>
      <c r="AU1" s="52" t="s">
        <v>878</v>
      </c>
      <c r="AV1" s="52" t="s">
        <v>879</v>
      </c>
      <c r="AW1" s="52" t="s">
        <v>880</v>
      </c>
      <c r="AX1" s="52" t="s">
        <v>881</v>
      </c>
      <c r="AY1" s="52" t="s">
        <v>882</v>
      </c>
      <c r="AZ1" s="52" t="s">
        <v>883</v>
      </c>
      <c r="BA1" s="52" t="s">
        <v>884</v>
      </c>
      <c r="BB1" s="52" t="s">
        <v>885</v>
      </c>
      <c r="BC1" s="52" t="s">
        <v>886</v>
      </c>
      <c r="BD1" s="52" t="s">
        <v>887</v>
      </c>
      <c r="BE1" s="52" t="s">
        <v>888</v>
      </c>
      <c r="BF1" s="52" t="s">
        <v>889</v>
      </c>
      <c r="BG1" s="52" t="s">
        <v>890</v>
      </c>
      <c r="BH1" s="52" t="s">
        <v>891</v>
      </c>
      <c r="BI1" s="52" t="s">
        <v>892</v>
      </c>
      <c r="BJ1" s="52" t="s">
        <v>893</v>
      </c>
      <c r="BK1" s="52" t="s">
        <v>894</v>
      </c>
      <c r="BL1" s="52" t="s">
        <v>895</v>
      </c>
      <c r="BM1" s="52" t="s">
        <v>896</v>
      </c>
      <c r="BN1" s="52" t="s">
        <v>897</v>
      </c>
      <c r="BO1" s="52" t="s">
        <v>898</v>
      </c>
      <c r="BP1" s="52" t="s">
        <v>899</v>
      </c>
      <c r="BQ1" s="52" t="s">
        <v>900</v>
      </c>
      <c r="BR1" s="52" t="s">
        <v>901</v>
      </c>
      <c r="BS1" s="52" t="s">
        <v>902</v>
      </c>
      <c r="BT1" s="52" t="s">
        <v>903</v>
      </c>
      <c r="BU1" s="52" t="s">
        <v>904</v>
      </c>
      <c r="BV1" s="52" t="s">
        <v>905</v>
      </c>
      <c r="BW1" s="52" t="s">
        <v>906</v>
      </c>
      <c r="BX1" s="52" t="s">
        <v>907</v>
      </c>
      <c r="BY1" s="52" t="s">
        <v>908</v>
      </c>
      <c r="BZ1" s="52" t="s">
        <v>909</v>
      </c>
      <c r="CA1" s="52" t="s">
        <v>910</v>
      </c>
      <c r="CB1" s="52" t="s">
        <v>911</v>
      </c>
      <c r="CC1" s="52" t="s">
        <v>912</v>
      </c>
      <c r="CD1" s="52" t="s">
        <v>913</v>
      </c>
      <c r="CE1" s="52" t="s">
        <v>914</v>
      </c>
      <c r="CF1" s="52" t="s">
        <v>915</v>
      </c>
      <c r="CG1" s="52" t="s">
        <v>916</v>
      </c>
      <c r="CH1" s="52" t="s">
        <v>917</v>
      </c>
      <c r="CI1" s="52" t="s">
        <v>918</v>
      </c>
      <c r="CJ1" s="52" t="s">
        <v>919</v>
      </c>
      <c r="CK1" s="52" t="s">
        <v>920</v>
      </c>
      <c r="CL1" s="52" t="s">
        <v>921</v>
      </c>
      <c r="CM1" s="52" t="s">
        <v>922</v>
      </c>
      <c r="CN1" s="52" t="s">
        <v>923</v>
      </c>
      <c r="CO1" s="52" t="s">
        <v>924</v>
      </c>
      <c r="CP1" s="52" t="s">
        <v>925</v>
      </c>
      <c r="CQ1" s="52" t="s">
        <v>926</v>
      </c>
      <c r="CR1" s="52" t="s">
        <v>927</v>
      </c>
      <c r="CS1" s="52" t="s">
        <v>928</v>
      </c>
      <c r="CT1" s="52" t="s">
        <v>929</v>
      </c>
      <c r="CU1" s="52" t="s">
        <v>930</v>
      </c>
      <c r="CV1" s="52" t="s">
        <v>931</v>
      </c>
      <c r="CW1" s="52" t="s">
        <v>932</v>
      </c>
      <c r="CX1" s="52" t="s">
        <v>933</v>
      </c>
      <c r="CY1" s="52" t="s">
        <v>934</v>
      </c>
      <c r="CZ1" s="52" t="s">
        <v>935</v>
      </c>
      <c r="DA1" s="52" t="s">
        <v>936</v>
      </c>
      <c r="DB1" s="52" t="s">
        <v>937</v>
      </c>
      <c r="DC1" s="52" t="s">
        <v>938</v>
      </c>
      <c r="DD1" s="52" t="s">
        <v>939</v>
      </c>
      <c r="DE1" s="52" t="s">
        <v>940</v>
      </c>
      <c r="DF1" s="52" t="s">
        <v>941</v>
      </c>
      <c r="DG1" s="52" t="s">
        <v>942</v>
      </c>
      <c r="DH1" s="52" t="s">
        <v>943</v>
      </c>
      <c r="DI1" s="52" t="s">
        <v>944</v>
      </c>
      <c r="DJ1" s="52" t="s">
        <v>945</v>
      </c>
      <c r="DK1" s="52" t="s">
        <v>946</v>
      </c>
      <c r="DL1" s="52" t="s">
        <v>947</v>
      </c>
      <c r="DM1" s="52" t="s">
        <v>948</v>
      </c>
      <c r="DN1" s="52" t="s">
        <v>949</v>
      </c>
      <c r="DO1" s="52" t="s">
        <v>950</v>
      </c>
      <c r="DP1" s="52" t="s">
        <v>951</v>
      </c>
      <c r="DQ1" s="52" t="s">
        <v>952</v>
      </c>
      <c r="DR1" s="52" t="s">
        <v>953</v>
      </c>
      <c r="DS1" s="52" t="s">
        <v>954</v>
      </c>
      <c r="DT1" s="52" t="s">
        <v>955</v>
      </c>
      <c r="DU1" s="52" t="s">
        <v>956</v>
      </c>
      <c r="DV1" s="52" t="s">
        <v>957</v>
      </c>
      <c r="DW1" s="52" t="s">
        <v>958</v>
      </c>
      <c r="DX1" s="52" t="s">
        <v>959</v>
      </c>
      <c r="DY1" s="52" t="s">
        <v>960</v>
      </c>
      <c r="DZ1" s="52" t="s">
        <v>961</v>
      </c>
      <c r="EA1" s="52" t="s">
        <v>962</v>
      </c>
      <c r="EB1" s="52" t="s">
        <v>963</v>
      </c>
      <c r="EC1" s="52" t="s">
        <v>964</v>
      </c>
      <c r="ED1" s="52" t="s">
        <v>965</v>
      </c>
      <c r="EE1" s="52" t="s">
        <v>966</v>
      </c>
      <c r="EF1" s="52" t="s">
        <v>967</v>
      </c>
      <c r="EG1" s="52" t="s">
        <v>968</v>
      </c>
      <c r="EH1" s="52" t="s">
        <v>969</v>
      </c>
      <c r="EI1" s="52" t="s">
        <v>970</v>
      </c>
      <c r="EJ1" s="52" t="s">
        <v>971</v>
      </c>
      <c r="EK1" s="52" t="s">
        <v>972</v>
      </c>
      <c r="EL1" s="52" t="s">
        <v>973</v>
      </c>
      <c r="EM1" s="52" t="s">
        <v>974</v>
      </c>
      <c r="EN1" s="52" t="s">
        <v>975</v>
      </c>
      <c r="EO1" s="52" t="s">
        <v>976</v>
      </c>
      <c r="EP1" s="52" t="s">
        <v>977</v>
      </c>
      <c r="EQ1" s="52" t="s">
        <v>978</v>
      </c>
      <c r="ER1" s="52" t="s">
        <v>979</v>
      </c>
      <c r="ES1" s="52" t="s">
        <v>980</v>
      </c>
      <c r="ET1" s="52" t="s">
        <v>981</v>
      </c>
      <c r="EU1" s="52" t="s">
        <v>982</v>
      </c>
      <c r="EV1" s="52" t="s">
        <v>983</v>
      </c>
      <c r="EW1" s="52" t="s">
        <v>984</v>
      </c>
      <c r="EX1" s="52" t="s">
        <v>985</v>
      </c>
      <c r="EY1" s="52" t="s">
        <v>986</v>
      </c>
      <c r="EZ1" s="52" t="s">
        <v>987</v>
      </c>
      <c r="FA1" s="52" t="s">
        <v>988</v>
      </c>
      <c r="FB1" s="52" t="s">
        <v>989</v>
      </c>
      <c r="FC1" s="52" t="s">
        <v>990</v>
      </c>
      <c r="FD1" s="52" t="s">
        <v>991</v>
      </c>
      <c r="FE1" s="52" t="s">
        <v>992</v>
      </c>
      <c r="FF1" s="52" t="s">
        <v>993</v>
      </c>
      <c r="FG1" s="52" t="s">
        <v>994</v>
      </c>
      <c r="FH1" s="52" t="s">
        <v>995</v>
      </c>
      <c r="FI1" s="52" t="s">
        <v>996</v>
      </c>
      <c r="FJ1" s="52" t="s">
        <v>997</v>
      </c>
      <c r="FK1" s="52" t="s">
        <v>998</v>
      </c>
      <c r="FL1" s="52" t="s">
        <v>999</v>
      </c>
      <c r="FM1" s="52" t="s">
        <v>1000</v>
      </c>
      <c r="FN1" s="52" t="s">
        <v>1001</v>
      </c>
      <c r="FO1" s="52" t="s">
        <v>1002</v>
      </c>
      <c r="FP1" s="52" t="s">
        <v>1003</v>
      </c>
      <c r="FQ1" s="52" t="s">
        <v>1004</v>
      </c>
      <c r="FR1" s="52" t="s">
        <v>1005</v>
      </c>
      <c r="FS1" s="52" t="s">
        <v>1006</v>
      </c>
      <c r="FT1" s="52" t="s">
        <v>1007</v>
      </c>
      <c r="FU1" s="52" t="s">
        <v>1008</v>
      </c>
      <c r="FV1" s="52" t="s">
        <v>1009</v>
      </c>
      <c r="FW1" s="52" t="s">
        <v>1010</v>
      </c>
      <c r="FX1" s="52" t="s">
        <v>1011</v>
      </c>
      <c r="FY1" s="52" t="s">
        <v>1012</v>
      </c>
      <c r="FZ1" s="52" t="s">
        <v>1013</v>
      </c>
      <c r="GA1" s="52" t="s">
        <v>1014</v>
      </c>
      <c r="GB1" s="52" t="s">
        <v>1015</v>
      </c>
      <c r="GC1" s="52" t="s">
        <v>1016</v>
      </c>
      <c r="GD1" s="52" t="s">
        <v>1017</v>
      </c>
      <c r="GE1" s="52" t="s">
        <v>1018</v>
      </c>
      <c r="GF1" s="52" t="s">
        <v>1019</v>
      </c>
      <c r="GG1" s="52" t="s">
        <v>1020</v>
      </c>
      <c r="GH1" s="52" t="s">
        <v>835</v>
      </c>
      <c r="GI1" s="52" t="s">
        <v>1021</v>
      </c>
      <c r="GJ1" s="52" t="s">
        <v>1022</v>
      </c>
      <c r="GK1" s="52" t="s">
        <v>1023</v>
      </c>
      <c r="GL1" s="52" t="s">
        <v>1024</v>
      </c>
      <c r="GM1" s="52" t="s">
        <v>1025</v>
      </c>
      <c r="GN1" s="52" t="s">
        <v>1026</v>
      </c>
      <c r="GO1" s="52" t="s">
        <v>1027</v>
      </c>
      <c r="GP1" s="52" t="s">
        <v>1028</v>
      </c>
      <c r="GQ1" s="52" t="s">
        <v>1029</v>
      </c>
      <c r="GR1" s="52" t="s">
        <v>1030</v>
      </c>
      <c r="GS1" s="52" t="s">
        <v>1031</v>
      </c>
    </row>
    <row r="2" spans="1:201" x14ac:dyDescent="0.25">
      <c r="A2" s="54" t="s">
        <v>1032</v>
      </c>
      <c r="B2" s="54" t="s">
        <v>1033</v>
      </c>
      <c r="C2" s="54" t="s">
        <v>1034</v>
      </c>
      <c r="D2" s="54" t="s">
        <v>1035</v>
      </c>
      <c r="E2" s="54" t="s">
        <v>1036</v>
      </c>
      <c r="F2" s="55">
        <v>46175</v>
      </c>
      <c r="G2" s="55">
        <v>46175</v>
      </c>
      <c r="H2" s="54" t="s">
        <v>1037</v>
      </c>
      <c r="I2" s="54" t="s">
        <v>1038</v>
      </c>
      <c r="J2" s="54" t="s">
        <v>1039</v>
      </c>
      <c r="K2" s="55"/>
      <c r="L2" s="54" t="s">
        <v>1040</v>
      </c>
      <c r="M2" s="54"/>
      <c r="N2" s="54" t="s">
        <v>1041</v>
      </c>
      <c r="O2" s="54" t="s">
        <v>1042</v>
      </c>
      <c r="P2" s="54" t="s">
        <v>390</v>
      </c>
      <c r="Q2" s="54" t="s">
        <v>391</v>
      </c>
      <c r="R2" s="54" t="s">
        <v>1043</v>
      </c>
      <c r="S2" s="56">
        <v>2226</v>
      </c>
      <c r="T2" s="56">
        <v>2226</v>
      </c>
      <c r="U2" s="56">
        <v>0</v>
      </c>
      <c r="V2" s="56">
        <v>0</v>
      </c>
      <c r="W2" s="56">
        <v>0</v>
      </c>
      <c r="X2" s="56">
        <v>0</v>
      </c>
      <c r="Y2" s="56">
        <v>0</v>
      </c>
      <c r="Z2" s="56">
        <v>420</v>
      </c>
      <c r="AA2" s="56">
        <v>420</v>
      </c>
      <c r="AB2" s="59">
        <v>0</v>
      </c>
      <c r="AC2" s="56">
        <v>0</v>
      </c>
      <c r="AD2" s="56">
        <v>0</v>
      </c>
      <c r="AE2" s="56">
        <v>0</v>
      </c>
      <c r="AF2" s="54" t="s">
        <v>1044</v>
      </c>
      <c r="AG2" s="57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 t="s">
        <v>1045</v>
      </c>
      <c r="AS2" s="54" t="s">
        <v>1046</v>
      </c>
      <c r="AT2" s="54" t="s">
        <v>1047</v>
      </c>
      <c r="AU2" s="54" t="s">
        <v>1048</v>
      </c>
      <c r="AV2" s="54"/>
      <c r="AW2" s="55">
        <v>46189</v>
      </c>
      <c r="AX2" s="55">
        <v>46175</v>
      </c>
      <c r="AY2" s="55">
        <v>46175</v>
      </c>
      <c r="AZ2" s="55">
        <v>46176</v>
      </c>
      <c r="BA2" s="55">
        <v>46189</v>
      </c>
      <c r="BB2" s="56">
        <v>0</v>
      </c>
      <c r="BC2" s="56">
        <v>0</v>
      </c>
      <c r="BD2" s="56">
        <v>0</v>
      </c>
      <c r="BE2" s="56">
        <v>0</v>
      </c>
      <c r="BF2" s="56">
        <v>0</v>
      </c>
      <c r="BG2" s="56">
        <v>0</v>
      </c>
      <c r="BH2" s="56">
        <v>0</v>
      </c>
      <c r="BI2" s="56">
        <v>0</v>
      </c>
      <c r="BJ2" s="56">
        <v>0</v>
      </c>
      <c r="BK2" s="56">
        <v>0</v>
      </c>
      <c r="BL2" s="56">
        <v>0</v>
      </c>
      <c r="BM2" s="56">
        <v>0</v>
      </c>
      <c r="BN2" s="56">
        <v>0</v>
      </c>
      <c r="BO2" s="56">
        <v>0</v>
      </c>
      <c r="BP2" s="54" t="s">
        <v>1049</v>
      </c>
      <c r="BQ2" s="54" t="s">
        <v>1050</v>
      </c>
      <c r="BR2" s="54" t="s">
        <v>1049</v>
      </c>
      <c r="BS2" s="54" t="s">
        <v>1050</v>
      </c>
      <c r="BT2" s="54" t="s">
        <v>1051</v>
      </c>
      <c r="BU2" s="54" t="s">
        <v>1043</v>
      </c>
      <c r="BV2" s="58">
        <v>420</v>
      </c>
      <c r="BW2" s="54" t="s">
        <v>1052</v>
      </c>
      <c r="BX2" s="54" t="s">
        <v>1053</v>
      </c>
      <c r="BY2" s="54" t="s">
        <v>1054</v>
      </c>
      <c r="BZ2" s="54" t="s">
        <v>1055</v>
      </c>
      <c r="CA2" s="55"/>
      <c r="CB2" s="54" t="s">
        <v>1056</v>
      </c>
      <c r="CC2" s="54" t="s">
        <v>1057</v>
      </c>
      <c r="CD2" s="54" t="s">
        <v>1058</v>
      </c>
      <c r="CE2" s="54" t="s">
        <v>1059</v>
      </c>
      <c r="CF2" s="54" t="s">
        <v>1060</v>
      </c>
      <c r="CG2" s="54" t="s">
        <v>1061</v>
      </c>
      <c r="CH2" s="54" t="s">
        <v>1062</v>
      </c>
      <c r="CI2" s="54" t="s">
        <v>1063</v>
      </c>
      <c r="CJ2" s="54" t="s">
        <v>1064</v>
      </c>
      <c r="CK2" s="54" t="s">
        <v>1065</v>
      </c>
      <c r="CL2" s="54" t="s">
        <v>1066</v>
      </c>
      <c r="CM2" s="54" t="s">
        <v>1067</v>
      </c>
      <c r="CN2" s="54" t="s">
        <v>1068</v>
      </c>
      <c r="CO2" s="54" t="s">
        <v>1069</v>
      </c>
      <c r="CP2" s="56">
        <v>0</v>
      </c>
      <c r="CQ2" s="56">
        <v>0</v>
      </c>
      <c r="CR2" s="56">
        <v>0</v>
      </c>
      <c r="CS2" s="56">
        <v>0</v>
      </c>
      <c r="CT2" s="56">
        <v>0</v>
      </c>
      <c r="CU2" s="56">
        <v>0</v>
      </c>
      <c r="CV2" s="56">
        <v>0</v>
      </c>
      <c r="CW2" s="56">
        <v>0</v>
      </c>
      <c r="CX2" s="56">
        <v>0</v>
      </c>
      <c r="CY2" s="56">
        <v>0</v>
      </c>
      <c r="CZ2" s="56">
        <v>0</v>
      </c>
      <c r="DA2" s="56">
        <v>0</v>
      </c>
      <c r="DB2" s="56">
        <v>0</v>
      </c>
      <c r="DC2" s="56">
        <v>0</v>
      </c>
      <c r="DD2" s="56">
        <v>0</v>
      </c>
      <c r="DE2" s="56">
        <v>0</v>
      </c>
      <c r="DF2" s="56">
        <v>0</v>
      </c>
      <c r="DG2" s="56">
        <v>0</v>
      </c>
      <c r="DH2" s="56">
        <v>0</v>
      </c>
      <c r="DI2" s="56">
        <v>0</v>
      </c>
      <c r="DJ2" s="56">
        <v>0</v>
      </c>
      <c r="DK2" s="56">
        <v>0</v>
      </c>
      <c r="DL2" s="56">
        <v>0</v>
      </c>
      <c r="DM2" s="56">
        <v>0</v>
      </c>
      <c r="DN2" s="56">
        <v>0</v>
      </c>
      <c r="DO2" s="56">
        <v>0</v>
      </c>
      <c r="DP2" s="56">
        <v>0</v>
      </c>
      <c r="DQ2" s="56">
        <v>0</v>
      </c>
      <c r="DR2" s="56">
        <v>0</v>
      </c>
      <c r="DS2" s="56">
        <v>0</v>
      </c>
      <c r="DT2" s="56">
        <v>0</v>
      </c>
      <c r="DU2" s="56">
        <v>0</v>
      </c>
      <c r="DV2" s="56">
        <v>0</v>
      </c>
      <c r="DW2" s="56">
        <v>0</v>
      </c>
      <c r="DX2" s="56">
        <v>0</v>
      </c>
      <c r="DY2" s="56">
        <v>0</v>
      </c>
      <c r="DZ2" s="56">
        <v>0</v>
      </c>
      <c r="EA2" s="56">
        <v>0</v>
      </c>
      <c r="EB2" s="56">
        <v>0</v>
      </c>
      <c r="EC2" s="56">
        <v>0</v>
      </c>
      <c r="ED2" s="56">
        <v>0</v>
      </c>
      <c r="EE2" s="56">
        <v>0</v>
      </c>
      <c r="EF2" s="56">
        <v>0</v>
      </c>
      <c r="EG2" s="56">
        <v>0</v>
      </c>
      <c r="EH2" s="56">
        <v>267.12</v>
      </c>
      <c r="EI2" s="56">
        <v>0</v>
      </c>
      <c r="EJ2" s="56">
        <v>0</v>
      </c>
      <c r="EK2" s="56">
        <v>0</v>
      </c>
      <c r="EL2" s="56">
        <v>0</v>
      </c>
      <c r="EM2" s="56">
        <v>0</v>
      </c>
      <c r="EN2" s="56">
        <v>0</v>
      </c>
      <c r="EO2" s="56">
        <v>0</v>
      </c>
      <c r="EP2" s="56">
        <v>0</v>
      </c>
      <c r="EQ2" s="56">
        <v>0</v>
      </c>
      <c r="ER2" s="56">
        <v>0</v>
      </c>
      <c r="ES2" s="56">
        <v>0</v>
      </c>
      <c r="ET2" s="56">
        <v>0</v>
      </c>
      <c r="EU2" s="56">
        <v>0</v>
      </c>
      <c r="EV2" s="56">
        <v>0</v>
      </c>
      <c r="EW2" s="56">
        <v>0</v>
      </c>
      <c r="EX2" s="56">
        <v>0</v>
      </c>
      <c r="EY2" s="56">
        <v>0</v>
      </c>
      <c r="EZ2" s="56">
        <v>0</v>
      </c>
      <c r="FA2" s="56">
        <v>0</v>
      </c>
      <c r="FB2" s="56">
        <v>0</v>
      </c>
      <c r="FC2" s="58">
        <v>0</v>
      </c>
      <c r="FD2" s="56">
        <v>0</v>
      </c>
      <c r="FE2" s="56">
        <v>0</v>
      </c>
      <c r="FF2" s="56">
        <v>0</v>
      </c>
      <c r="FG2" s="56">
        <v>0</v>
      </c>
      <c r="FH2" s="56">
        <v>0</v>
      </c>
      <c r="FI2" s="56">
        <v>0</v>
      </c>
      <c r="FJ2" s="56">
        <v>0</v>
      </c>
      <c r="FK2" s="56">
        <v>0</v>
      </c>
      <c r="FL2" s="56">
        <v>0</v>
      </c>
      <c r="FM2" s="56">
        <v>0</v>
      </c>
      <c r="FN2" s="56">
        <v>0</v>
      </c>
      <c r="FO2" s="56">
        <v>0</v>
      </c>
      <c r="FP2" s="56">
        <v>0</v>
      </c>
      <c r="FQ2" s="56">
        <v>0</v>
      </c>
      <c r="FR2" s="56">
        <v>0</v>
      </c>
      <c r="FS2" s="58">
        <v>0</v>
      </c>
      <c r="FT2" s="56">
        <v>0</v>
      </c>
      <c r="FU2" s="56">
        <v>0</v>
      </c>
      <c r="FV2" s="56">
        <v>0</v>
      </c>
      <c r="FW2" s="56">
        <v>0</v>
      </c>
      <c r="FX2" s="56">
        <v>0</v>
      </c>
      <c r="FY2" s="56">
        <v>0</v>
      </c>
      <c r="FZ2" s="54" t="s">
        <v>1070</v>
      </c>
      <c r="GA2" s="54" t="s">
        <v>1071</v>
      </c>
      <c r="GB2" s="54" t="s">
        <v>1072</v>
      </c>
      <c r="GC2" s="54" t="s">
        <v>1073</v>
      </c>
      <c r="GD2" s="54" t="s">
        <v>1074</v>
      </c>
      <c r="GE2" s="54" t="s">
        <v>1075</v>
      </c>
      <c r="GF2" s="54"/>
      <c r="GG2" s="55"/>
      <c r="GH2" s="54"/>
      <c r="GI2" s="54"/>
      <c r="GJ2" s="54" t="s">
        <v>1076</v>
      </c>
      <c r="GK2" s="54" t="s">
        <v>1077</v>
      </c>
      <c r="GL2" s="54"/>
      <c r="GM2" s="54"/>
      <c r="GN2" s="54" t="s">
        <v>1078</v>
      </c>
      <c r="GO2" s="54" t="s">
        <v>1059</v>
      </c>
      <c r="GP2" s="54"/>
      <c r="GQ2" s="56">
        <v>0</v>
      </c>
      <c r="GR2" s="54" t="s">
        <v>1079</v>
      </c>
      <c r="GS2" s="54"/>
    </row>
    <row r="3" spans="1:201" x14ac:dyDescent="0.25">
      <c r="A3" s="54" t="s">
        <v>1032</v>
      </c>
      <c r="B3" s="54" t="s">
        <v>1033</v>
      </c>
      <c r="C3" s="54" t="s">
        <v>1034</v>
      </c>
      <c r="D3" s="54" t="s">
        <v>1035</v>
      </c>
      <c r="E3" s="54" t="s">
        <v>1036</v>
      </c>
      <c r="F3" s="55">
        <v>46175</v>
      </c>
      <c r="G3" s="55">
        <v>46175</v>
      </c>
      <c r="H3" s="54" t="s">
        <v>1037</v>
      </c>
      <c r="I3" s="54" t="s">
        <v>1038</v>
      </c>
      <c r="J3" s="54" t="s">
        <v>1039</v>
      </c>
      <c r="K3" s="55"/>
      <c r="L3" s="54" t="s">
        <v>1040</v>
      </c>
      <c r="M3" s="54"/>
      <c r="N3" s="54" t="s">
        <v>1041</v>
      </c>
      <c r="O3" s="54" t="s">
        <v>1080</v>
      </c>
      <c r="P3" s="54" t="s">
        <v>314</v>
      </c>
      <c r="Q3" s="54" t="s">
        <v>318</v>
      </c>
      <c r="R3" s="54" t="s">
        <v>1043</v>
      </c>
      <c r="S3" s="56">
        <v>4170</v>
      </c>
      <c r="T3" s="56">
        <v>4170</v>
      </c>
      <c r="U3" s="56">
        <v>0</v>
      </c>
      <c r="V3" s="56">
        <v>0</v>
      </c>
      <c r="W3" s="56">
        <v>0</v>
      </c>
      <c r="X3" s="56">
        <v>0</v>
      </c>
      <c r="Y3" s="56">
        <v>0</v>
      </c>
      <c r="Z3" s="56">
        <v>1000</v>
      </c>
      <c r="AA3" s="56">
        <v>1000</v>
      </c>
      <c r="AB3" s="59">
        <v>0</v>
      </c>
      <c r="AC3" s="56">
        <v>0</v>
      </c>
      <c r="AD3" s="56">
        <v>0</v>
      </c>
      <c r="AE3" s="56">
        <v>0</v>
      </c>
      <c r="AF3" s="54" t="s">
        <v>1044</v>
      </c>
      <c r="AG3" s="57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1045</v>
      </c>
      <c r="AS3" s="54" t="s">
        <v>1081</v>
      </c>
      <c r="AT3" s="54" t="s">
        <v>1082</v>
      </c>
      <c r="AU3" s="54" t="s">
        <v>1048</v>
      </c>
      <c r="AV3" s="54"/>
      <c r="AW3" s="55">
        <v>46189</v>
      </c>
      <c r="AX3" s="55">
        <v>46175</v>
      </c>
      <c r="AY3" s="55">
        <v>46175</v>
      </c>
      <c r="AZ3" s="55">
        <v>46176</v>
      </c>
      <c r="BA3" s="55">
        <v>46189</v>
      </c>
      <c r="BB3" s="56">
        <v>0</v>
      </c>
      <c r="BC3" s="56">
        <v>0</v>
      </c>
      <c r="BD3" s="56">
        <v>0</v>
      </c>
      <c r="BE3" s="56">
        <v>0</v>
      </c>
      <c r="BF3" s="56">
        <v>0</v>
      </c>
      <c r="BG3" s="56">
        <v>0</v>
      </c>
      <c r="BH3" s="56">
        <v>0</v>
      </c>
      <c r="BI3" s="56">
        <v>0</v>
      </c>
      <c r="BJ3" s="56">
        <v>0</v>
      </c>
      <c r="BK3" s="56">
        <v>0</v>
      </c>
      <c r="BL3" s="56">
        <v>0</v>
      </c>
      <c r="BM3" s="56">
        <v>0</v>
      </c>
      <c r="BN3" s="56">
        <v>0</v>
      </c>
      <c r="BO3" s="56">
        <v>0</v>
      </c>
      <c r="BP3" s="54" t="s">
        <v>1049</v>
      </c>
      <c r="BQ3" s="54" t="s">
        <v>1050</v>
      </c>
      <c r="BR3" s="54" t="s">
        <v>1049</v>
      </c>
      <c r="BS3" s="54" t="s">
        <v>1050</v>
      </c>
      <c r="BT3" s="54" t="s">
        <v>1051</v>
      </c>
      <c r="BU3" s="54" t="s">
        <v>1043</v>
      </c>
      <c r="BV3" s="58">
        <v>1000</v>
      </c>
      <c r="BW3" s="54" t="s">
        <v>1052</v>
      </c>
      <c r="BX3" s="54" t="s">
        <v>1053</v>
      </c>
      <c r="BY3" s="54" t="s">
        <v>1054</v>
      </c>
      <c r="BZ3" s="54" t="s">
        <v>1055</v>
      </c>
      <c r="CA3" s="55"/>
      <c r="CB3" s="54" t="s">
        <v>1056</v>
      </c>
      <c r="CC3" s="54" t="s">
        <v>1057</v>
      </c>
      <c r="CD3" s="54" t="s">
        <v>1058</v>
      </c>
      <c r="CE3" s="54" t="s">
        <v>1059</v>
      </c>
      <c r="CF3" s="54" t="s">
        <v>1060</v>
      </c>
      <c r="CG3" s="54" t="s">
        <v>1061</v>
      </c>
      <c r="CH3" s="54" t="s">
        <v>1062</v>
      </c>
      <c r="CI3" s="54" t="s">
        <v>1063</v>
      </c>
      <c r="CJ3" s="54" t="s">
        <v>1064</v>
      </c>
      <c r="CK3" s="54" t="s">
        <v>1065</v>
      </c>
      <c r="CL3" s="54" t="s">
        <v>1066</v>
      </c>
      <c r="CM3" s="54" t="s">
        <v>1067</v>
      </c>
      <c r="CN3" s="54" t="s">
        <v>1068</v>
      </c>
      <c r="CO3" s="54" t="s">
        <v>1069</v>
      </c>
      <c r="CP3" s="56">
        <v>0</v>
      </c>
      <c r="CQ3" s="56">
        <v>0</v>
      </c>
      <c r="CR3" s="56">
        <v>0</v>
      </c>
      <c r="CS3" s="56">
        <v>0</v>
      </c>
      <c r="CT3" s="56">
        <v>0</v>
      </c>
      <c r="CU3" s="56">
        <v>0</v>
      </c>
      <c r="CV3" s="56">
        <v>0</v>
      </c>
      <c r="CW3" s="56">
        <v>0</v>
      </c>
      <c r="CX3" s="56">
        <v>0</v>
      </c>
      <c r="CY3" s="56">
        <v>0</v>
      </c>
      <c r="CZ3" s="56">
        <v>0</v>
      </c>
      <c r="DA3" s="56">
        <v>0</v>
      </c>
      <c r="DB3" s="56">
        <v>0</v>
      </c>
      <c r="DC3" s="56">
        <v>0</v>
      </c>
      <c r="DD3" s="56">
        <v>0</v>
      </c>
      <c r="DE3" s="56">
        <v>0</v>
      </c>
      <c r="DF3" s="56">
        <v>0</v>
      </c>
      <c r="DG3" s="56">
        <v>0</v>
      </c>
      <c r="DH3" s="56">
        <v>0</v>
      </c>
      <c r="DI3" s="56">
        <v>0</v>
      </c>
      <c r="DJ3" s="56">
        <v>0</v>
      </c>
      <c r="DK3" s="56">
        <v>0</v>
      </c>
      <c r="DL3" s="56">
        <v>0</v>
      </c>
      <c r="DM3" s="56">
        <v>0</v>
      </c>
      <c r="DN3" s="56">
        <v>0</v>
      </c>
      <c r="DO3" s="56">
        <v>0</v>
      </c>
      <c r="DP3" s="56">
        <v>0</v>
      </c>
      <c r="DQ3" s="56">
        <v>0</v>
      </c>
      <c r="DR3" s="56">
        <v>0</v>
      </c>
      <c r="DS3" s="56">
        <v>0</v>
      </c>
      <c r="DT3" s="56">
        <v>0</v>
      </c>
      <c r="DU3" s="56">
        <v>0</v>
      </c>
      <c r="DV3" s="56">
        <v>0</v>
      </c>
      <c r="DW3" s="56">
        <v>0</v>
      </c>
      <c r="DX3" s="56">
        <v>0</v>
      </c>
      <c r="DY3" s="56">
        <v>0</v>
      </c>
      <c r="DZ3" s="56">
        <v>0</v>
      </c>
      <c r="EA3" s="56">
        <v>0</v>
      </c>
      <c r="EB3" s="56">
        <v>0</v>
      </c>
      <c r="EC3" s="56">
        <v>0</v>
      </c>
      <c r="ED3" s="56">
        <v>0</v>
      </c>
      <c r="EE3" s="56">
        <v>0</v>
      </c>
      <c r="EF3" s="56">
        <v>0</v>
      </c>
      <c r="EG3" s="56">
        <v>0</v>
      </c>
      <c r="EH3" s="56">
        <v>500.4</v>
      </c>
      <c r="EI3" s="56">
        <v>0</v>
      </c>
      <c r="EJ3" s="56">
        <v>0</v>
      </c>
      <c r="EK3" s="56">
        <v>0</v>
      </c>
      <c r="EL3" s="56">
        <v>0</v>
      </c>
      <c r="EM3" s="56">
        <v>0</v>
      </c>
      <c r="EN3" s="56">
        <v>0</v>
      </c>
      <c r="EO3" s="56">
        <v>0</v>
      </c>
      <c r="EP3" s="56">
        <v>0</v>
      </c>
      <c r="EQ3" s="56">
        <v>0</v>
      </c>
      <c r="ER3" s="56">
        <v>0</v>
      </c>
      <c r="ES3" s="56">
        <v>0</v>
      </c>
      <c r="ET3" s="56">
        <v>0</v>
      </c>
      <c r="EU3" s="56">
        <v>0</v>
      </c>
      <c r="EV3" s="56">
        <v>0</v>
      </c>
      <c r="EW3" s="56">
        <v>0</v>
      </c>
      <c r="EX3" s="56">
        <v>0</v>
      </c>
      <c r="EY3" s="56">
        <v>0</v>
      </c>
      <c r="EZ3" s="56">
        <v>0</v>
      </c>
      <c r="FA3" s="56">
        <v>0</v>
      </c>
      <c r="FB3" s="56">
        <v>0</v>
      </c>
      <c r="FC3" s="58">
        <v>0</v>
      </c>
      <c r="FD3" s="56">
        <v>0</v>
      </c>
      <c r="FE3" s="56">
        <v>0</v>
      </c>
      <c r="FF3" s="56">
        <v>0</v>
      </c>
      <c r="FG3" s="56">
        <v>0</v>
      </c>
      <c r="FH3" s="56">
        <v>0</v>
      </c>
      <c r="FI3" s="56">
        <v>0</v>
      </c>
      <c r="FJ3" s="56">
        <v>0</v>
      </c>
      <c r="FK3" s="56">
        <v>0</v>
      </c>
      <c r="FL3" s="56">
        <v>0</v>
      </c>
      <c r="FM3" s="56">
        <v>0</v>
      </c>
      <c r="FN3" s="56">
        <v>0</v>
      </c>
      <c r="FO3" s="56">
        <v>0</v>
      </c>
      <c r="FP3" s="56">
        <v>0</v>
      </c>
      <c r="FQ3" s="56">
        <v>0</v>
      </c>
      <c r="FR3" s="56">
        <v>0</v>
      </c>
      <c r="FS3" s="58">
        <v>0</v>
      </c>
      <c r="FT3" s="56">
        <v>0</v>
      </c>
      <c r="FU3" s="56">
        <v>0</v>
      </c>
      <c r="FV3" s="56">
        <v>0</v>
      </c>
      <c r="FW3" s="56">
        <v>0</v>
      </c>
      <c r="FX3" s="56">
        <v>0</v>
      </c>
      <c r="FY3" s="56">
        <v>0</v>
      </c>
      <c r="FZ3" s="54" t="s">
        <v>1083</v>
      </c>
      <c r="GA3" s="54" t="s">
        <v>1084</v>
      </c>
      <c r="GB3" s="54" t="s">
        <v>1072</v>
      </c>
      <c r="GC3" s="54" t="s">
        <v>1073</v>
      </c>
      <c r="GD3" s="54" t="s">
        <v>1085</v>
      </c>
      <c r="GE3" s="54" t="s">
        <v>1075</v>
      </c>
      <c r="GF3" s="54"/>
      <c r="GG3" s="55"/>
      <c r="GH3" s="54"/>
      <c r="GI3" s="54"/>
      <c r="GJ3" s="54" t="s">
        <v>1076</v>
      </c>
      <c r="GK3" s="54" t="s">
        <v>1077</v>
      </c>
      <c r="GL3" s="54"/>
      <c r="GM3" s="54"/>
      <c r="GN3" s="54" t="s">
        <v>1078</v>
      </c>
      <c r="GO3" s="54" t="s">
        <v>1059</v>
      </c>
      <c r="GP3" s="54"/>
      <c r="GQ3" s="56">
        <v>0</v>
      </c>
      <c r="GR3" s="54" t="s">
        <v>1079</v>
      </c>
      <c r="GS3" s="54"/>
    </row>
    <row r="4" spans="1:201" x14ac:dyDescent="0.25">
      <c r="A4" s="54" t="s">
        <v>1032</v>
      </c>
      <c r="B4" s="54" t="s">
        <v>1033</v>
      </c>
      <c r="C4" s="54" t="s">
        <v>1034</v>
      </c>
      <c r="D4" s="54" t="s">
        <v>1035</v>
      </c>
      <c r="E4" s="54" t="s">
        <v>1036</v>
      </c>
      <c r="F4" s="55">
        <v>46175</v>
      </c>
      <c r="G4" s="55">
        <v>46175</v>
      </c>
      <c r="H4" s="54" t="s">
        <v>1037</v>
      </c>
      <c r="I4" s="54" t="s">
        <v>1038</v>
      </c>
      <c r="J4" s="54" t="s">
        <v>1039</v>
      </c>
      <c r="K4" s="55"/>
      <c r="L4" s="54" t="s">
        <v>1040</v>
      </c>
      <c r="M4" s="54"/>
      <c r="N4" s="54" t="s">
        <v>1041</v>
      </c>
      <c r="O4" s="54" t="s">
        <v>1086</v>
      </c>
      <c r="P4" s="54" t="s">
        <v>172</v>
      </c>
      <c r="Q4" s="54" t="s">
        <v>3</v>
      </c>
      <c r="R4" s="54" t="s">
        <v>1043</v>
      </c>
      <c r="S4" s="56">
        <v>3396</v>
      </c>
      <c r="T4" s="56">
        <v>3396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>
        <v>600</v>
      </c>
      <c r="AA4" s="56">
        <v>600</v>
      </c>
      <c r="AB4" s="59">
        <v>0</v>
      </c>
      <c r="AC4" s="56">
        <v>0</v>
      </c>
      <c r="AD4" s="56">
        <v>0</v>
      </c>
      <c r="AE4" s="56">
        <v>0</v>
      </c>
      <c r="AF4" s="54" t="s">
        <v>1044</v>
      </c>
      <c r="AG4" s="57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 t="s">
        <v>1045</v>
      </c>
      <c r="AS4" s="54" t="s">
        <v>1046</v>
      </c>
      <c r="AT4" s="54" t="s">
        <v>1047</v>
      </c>
      <c r="AU4" s="54" t="s">
        <v>1048</v>
      </c>
      <c r="AV4" s="54"/>
      <c r="AW4" s="55">
        <v>46189</v>
      </c>
      <c r="AX4" s="55">
        <v>46175</v>
      </c>
      <c r="AY4" s="55">
        <v>46175</v>
      </c>
      <c r="AZ4" s="55">
        <v>46176</v>
      </c>
      <c r="BA4" s="55">
        <v>46189</v>
      </c>
      <c r="BB4" s="56">
        <v>0</v>
      </c>
      <c r="BC4" s="56">
        <v>0</v>
      </c>
      <c r="BD4" s="56">
        <v>0</v>
      </c>
      <c r="BE4" s="56">
        <v>0</v>
      </c>
      <c r="BF4" s="56">
        <v>0</v>
      </c>
      <c r="BG4" s="56">
        <v>0</v>
      </c>
      <c r="BH4" s="56">
        <v>0</v>
      </c>
      <c r="BI4" s="56">
        <v>0</v>
      </c>
      <c r="BJ4" s="56">
        <v>0</v>
      </c>
      <c r="BK4" s="56">
        <v>0</v>
      </c>
      <c r="BL4" s="56">
        <v>0</v>
      </c>
      <c r="BM4" s="56">
        <v>0</v>
      </c>
      <c r="BN4" s="56">
        <v>0</v>
      </c>
      <c r="BO4" s="56">
        <v>0</v>
      </c>
      <c r="BP4" s="54" t="s">
        <v>1049</v>
      </c>
      <c r="BQ4" s="54" t="s">
        <v>1050</v>
      </c>
      <c r="BR4" s="54" t="s">
        <v>1049</v>
      </c>
      <c r="BS4" s="54" t="s">
        <v>1050</v>
      </c>
      <c r="BT4" s="54" t="s">
        <v>1051</v>
      </c>
      <c r="BU4" s="54" t="s">
        <v>1043</v>
      </c>
      <c r="BV4" s="58">
        <v>600</v>
      </c>
      <c r="BW4" s="54" t="s">
        <v>1052</v>
      </c>
      <c r="BX4" s="54" t="s">
        <v>1053</v>
      </c>
      <c r="BY4" s="54" t="s">
        <v>1054</v>
      </c>
      <c r="BZ4" s="54" t="s">
        <v>1055</v>
      </c>
      <c r="CA4" s="55"/>
      <c r="CB4" s="54" t="s">
        <v>1056</v>
      </c>
      <c r="CC4" s="54" t="s">
        <v>1057</v>
      </c>
      <c r="CD4" s="54" t="s">
        <v>1058</v>
      </c>
      <c r="CE4" s="54" t="s">
        <v>1059</v>
      </c>
      <c r="CF4" s="54" t="s">
        <v>1060</v>
      </c>
      <c r="CG4" s="54" t="s">
        <v>1061</v>
      </c>
      <c r="CH4" s="54" t="s">
        <v>1062</v>
      </c>
      <c r="CI4" s="54" t="s">
        <v>1063</v>
      </c>
      <c r="CJ4" s="54" t="s">
        <v>1064</v>
      </c>
      <c r="CK4" s="54" t="s">
        <v>1065</v>
      </c>
      <c r="CL4" s="54" t="s">
        <v>1066</v>
      </c>
      <c r="CM4" s="54" t="s">
        <v>1067</v>
      </c>
      <c r="CN4" s="54" t="s">
        <v>1068</v>
      </c>
      <c r="CO4" s="54" t="s">
        <v>1069</v>
      </c>
      <c r="CP4" s="56">
        <v>0</v>
      </c>
      <c r="CQ4" s="56">
        <v>0</v>
      </c>
      <c r="CR4" s="56">
        <v>0</v>
      </c>
      <c r="CS4" s="56">
        <v>0</v>
      </c>
      <c r="CT4" s="56">
        <v>0</v>
      </c>
      <c r="CU4" s="56">
        <v>0</v>
      </c>
      <c r="CV4" s="56">
        <v>0</v>
      </c>
      <c r="CW4" s="56">
        <v>0</v>
      </c>
      <c r="CX4" s="56">
        <v>0</v>
      </c>
      <c r="CY4" s="56">
        <v>0</v>
      </c>
      <c r="CZ4" s="56">
        <v>0</v>
      </c>
      <c r="DA4" s="56">
        <v>0</v>
      </c>
      <c r="DB4" s="56">
        <v>0</v>
      </c>
      <c r="DC4" s="56">
        <v>0</v>
      </c>
      <c r="DD4" s="56">
        <v>0</v>
      </c>
      <c r="DE4" s="56">
        <v>0</v>
      </c>
      <c r="DF4" s="56">
        <v>0</v>
      </c>
      <c r="DG4" s="56">
        <v>0</v>
      </c>
      <c r="DH4" s="56">
        <v>0</v>
      </c>
      <c r="DI4" s="56">
        <v>0</v>
      </c>
      <c r="DJ4" s="56">
        <v>0</v>
      </c>
      <c r="DK4" s="56">
        <v>0</v>
      </c>
      <c r="DL4" s="56">
        <v>0</v>
      </c>
      <c r="DM4" s="56">
        <v>0</v>
      </c>
      <c r="DN4" s="56">
        <v>0</v>
      </c>
      <c r="DO4" s="56">
        <v>0</v>
      </c>
      <c r="DP4" s="56">
        <v>0</v>
      </c>
      <c r="DQ4" s="56">
        <v>0</v>
      </c>
      <c r="DR4" s="56">
        <v>0</v>
      </c>
      <c r="DS4" s="56">
        <v>0</v>
      </c>
      <c r="DT4" s="56">
        <v>0</v>
      </c>
      <c r="DU4" s="56">
        <v>0</v>
      </c>
      <c r="DV4" s="56">
        <v>0</v>
      </c>
      <c r="DW4" s="56">
        <v>0</v>
      </c>
      <c r="DX4" s="56">
        <v>0</v>
      </c>
      <c r="DY4" s="56">
        <v>0</v>
      </c>
      <c r="DZ4" s="56">
        <v>0</v>
      </c>
      <c r="EA4" s="56">
        <v>0</v>
      </c>
      <c r="EB4" s="56">
        <v>0</v>
      </c>
      <c r="EC4" s="56">
        <v>0</v>
      </c>
      <c r="ED4" s="56">
        <v>0</v>
      </c>
      <c r="EE4" s="56">
        <v>0</v>
      </c>
      <c r="EF4" s="56">
        <v>0</v>
      </c>
      <c r="EG4" s="56">
        <v>0</v>
      </c>
      <c r="EH4" s="56">
        <v>407.52</v>
      </c>
      <c r="EI4" s="56">
        <v>0</v>
      </c>
      <c r="EJ4" s="56">
        <v>0</v>
      </c>
      <c r="EK4" s="56">
        <v>0</v>
      </c>
      <c r="EL4" s="56">
        <v>0</v>
      </c>
      <c r="EM4" s="56">
        <v>0</v>
      </c>
      <c r="EN4" s="56">
        <v>0</v>
      </c>
      <c r="EO4" s="56">
        <v>0</v>
      </c>
      <c r="EP4" s="56">
        <v>0</v>
      </c>
      <c r="EQ4" s="56">
        <v>0</v>
      </c>
      <c r="ER4" s="56">
        <v>0</v>
      </c>
      <c r="ES4" s="56">
        <v>0</v>
      </c>
      <c r="ET4" s="56">
        <v>0</v>
      </c>
      <c r="EU4" s="56">
        <v>0</v>
      </c>
      <c r="EV4" s="56">
        <v>0</v>
      </c>
      <c r="EW4" s="56">
        <v>0</v>
      </c>
      <c r="EX4" s="56">
        <v>0</v>
      </c>
      <c r="EY4" s="56">
        <v>0</v>
      </c>
      <c r="EZ4" s="56">
        <v>0</v>
      </c>
      <c r="FA4" s="56">
        <v>0</v>
      </c>
      <c r="FB4" s="56">
        <v>0</v>
      </c>
      <c r="FC4" s="58">
        <v>0</v>
      </c>
      <c r="FD4" s="56">
        <v>0</v>
      </c>
      <c r="FE4" s="56">
        <v>0</v>
      </c>
      <c r="FF4" s="56">
        <v>0</v>
      </c>
      <c r="FG4" s="56">
        <v>0</v>
      </c>
      <c r="FH4" s="56">
        <v>0</v>
      </c>
      <c r="FI4" s="56">
        <v>0</v>
      </c>
      <c r="FJ4" s="56">
        <v>0</v>
      </c>
      <c r="FK4" s="56">
        <v>0</v>
      </c>
      <c r="FL4" s="56">
        <v>0</v>
      </c>
      <c r="FM4" s="56">
        <v>0</v>
      </c>
      <c r="FN4" s="56">
        <v>0</v>
      </c>
      <c r="FO4" s="56">
        <v>0</v>
      </c>
      <c r="FP4" s="56">
        <v>0</v>
      </c>
      <c r="FQ4" s="56">
        <v>0</v>
      </c>
      <c r="FR4" s="56">
        <v>0</v>
      </c>
      <c r="FS4" s="58">
        <v>0</v>
      </c>
      <c r="FT4" s="56">
        <v>0</v>
      </c>
      <c r="FU4" s="56">
        <v>0</v>
      </c>
      <c r="FV4" s="56">
        <v>0</v>
      </c>
      <c r="FW4" s="56">
        <v>0</v>
      </c>
      <c r="FX4" s="56">
        <v>0</v>
      </c>
      <c r="FY4" s="56">
        <v>0</v>
      </c>
      <c r="FZ4" s="54" t="s">
        <v>1070</v>
      </c>
      <c r="GA4" s="54" t="s">
        <v>1071</v>
      </c>
      <c r="GB4" s="54" t="s">
        <v>1072</v>
      </c>
      <c r="GC4" s="54" t="s">
        <v>1073</v>
      </c>
      <c r="GD4" s="54" t="s">
        <v>1087</v>
      </c>
      <c r="GE4" s="54" t="s">
        <v>1075</v>
      </c>
      <c r="GF4" s="54"/>
      <c r="GG4" s="55"/>
      <c r="GH4" s="54"/>
      <c r="GI4" s="54"/>
      <c r="GJ4" s="54" t="s">
        <v>1076</v>
      </c>
      <c r="GK4" s="54" t="s">
        <v>1077</v>
      </c>
      <c r="GL4" s="54"/>
      <c r="GM4" s="54"/>
      <c r="GN4" s="54" t="s">
        <v>1078</v>
      </c>
      <c r="GO4" s="54" t="s">
        <v>1059</v>
      </c>
      <c r="GP4" s="54"/>
      <c r="GQ4" s="56">
        <v>0</v>
      </c>
      <c r="GR4" s="54" t="s">
        <v>1079</v>
      </c>
      <c r="GS4" s="54"/>
    </row>
    <row r="5" spans="1:201" x14ac:dyDescent="0.25">
      <c r="A5" s="54" t="s">
        <v>1032</v>
      </c>
      <c r="B5" s="54" t="s">
        <v>1033</v>
      </c>
      <c r="C5" s="54" t="s">
        <v>1034</v>
      </c>
      <c r="D5" s="54" t="s">
        <v>1035</v>
      </c>
      <c r="E5" s="54" t="s">
        <v>1036</v>
      </c>
      <c r="F5" s="55">
        <v>46175</v>
      </c>
      <c r="G5" s="55">
        <v>46175</v>
      </c>
      <c r="H5" s="54" t="s">
        <v>1037</v>
      </c>
      <c r="I5" s="54" t="s">
        <v>1038</v>
      </c>
      <c r="J5" s="54" t="s">
        <v>1039</v>
      </c>
      <c r="K5" s="55"/>
      <c r="L5" s="54" t="s">
        <v>1040</v>
      </c>
      <c r="M5" s="54"/>
      <c r="N5" s="54" t="s">
        <v>1041</v>
      </c>
      <c r="O5" s="54" t="s">
        <v>1088</v>
      </c>
      <c r="P5" s="54" t="s">
        <v>173</v>
      </c>
      <c r="Q5" s="54" t="s">
        <v>4</v>
      </c>
      <c r="R5" s="54" t="s">
        <v>1043</v>
      </c>
      <c r="S5" s="56">
        <v>1612.8</v>
      </c>
      <c r="T5" s="56">
        <v>1612.8</v>
      </c>
      <c r="U5" s="56">
        <v>0</v>
      </c>
      <c r="V5" s="56">
        <v>0</v>
      </c>
      <c r="W5" s="56">
        <v>0</v>
      </c>
      <c r="X5" s="56">
        <v>0</v>
      </c>
      <c r="Y5" s="56">
        <v>0</v>
      </c>
      <c r="Z5" s="56">
        <v>420</v>
      </c>
      <c r="AA5" s="56">
        <v>420</v>
      </c>
      <c r="AB5" s="59">
        <v>0</v>
      </c>
      <c r="AC5" s="56">
        <v>0</v>
      </c>
      <c r="AD5" s="56">
        <v>0</v>
      </c>
      <c r="AE5" s="56">
        <v>0</v>
      </c>
      <c r="AF5" s="54" t="s">
        <v>1044</v>
      </c>
      <c r="AG5" s="57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 t="s">
        <v>1045</v>
      </c>
      <c r="AS5" s="54" t="s">
        <v>1046</v>
      </c>
      <c r="AT5" s="54" t="s">
        <v>1047</v>
      </c>
      <c r="AU5" s="54" t="s">
        <v>1048</v>
      </c>
      <c r="AV5" s="54"/>
      <c r="AW5" s="55">
        <v>46189</v>
      </c>
      <c r="AX5" s="55">
        <v>46175</v>
      </c>
      <c r="AY5" s="55">
        <v>46175</v>
      </c>
      <c r="AZ5" s="55">
        <v>46176</v>
      </c>
      <c r="BA5" s="55">
        <v>46189</v>
      </c>
      <c r="BB5" s="56">
        <v>0</v>
      </c>
      <c r="BC5" s="56">
        <v>0</v>
      </c>
      <c r="BD5" s="56">
        <v>0</v>
      </c>
      <c r="BE5" s="56">
        <v>0</v>
      </c>
      <c r="BF5" s="56">
        <v>0</v>
      </c>
      <c r="BG5" s="56">
        <v>0</v>
      </c>
      <c r="BH5" s="56">
        <v>0</v>
      </c>
      <c r="BI5" s="56">
        <v>0</v>
      </c>
      <c r="BJ5" s="56">
        <v>0</v>
      </c>
      <c r="BK5" s="56">
        <v>0</v>
      </c>
      <c r="BL5" s="56">
        <v>0</v>
      </c>
      <c r="BM5" s="56">
        <v>0</v>
      </c>
      <c r="BN5" s="56">
        <v>0</v>
      </c>
      <c r="BO5" s="56">
        <v>0</v>
      </c>
      <c r="BP5" s="54" t="s">
        <v>1049</v>
      </c>
      <c r="BQ5" s="54" t="s">
        <v>1050</v>
      </c>
      <c r="BR5" s="54" t="s">
        <v>1049</v>
      </c>
      <c r="BS5" s="54" t="s">
        <v>1050</v>
      </c>
      <c r="BT5" s="54" t="s">
        <v>1051</v>
      </c>
      <c r="BU5" s="54" t="s">
        <v>1043</v>
      </c>
      <c r="BV5" s="58">
        <v>420</v>
      </c>
      <c r="BW5" s="54" t="s">
        <v>1052</v>
      </c>
      <c r="BX5" s="54" t="s">
        <v>1053</v>
      </c>
      <c r="BY5" s="54" t="s">
        <v>1054</v>
      </c>
      <c r="BZ5" s="54" t="s">
        <v>1055</v>
      </c>
      <c r="CA5" s="55"/>
      <c r="CB5" s="54" t="s">
        <v>1056</v>
      </c>
      <c r="CC5" s="54" t="s">
        <v>1057</v>
      </c>
      <c r="CD5" s="54" t="s">
        <v>1058</v>
      </c>
      <c r="CE5" s="54" t="s">
        <v>1059</v>
      </c>
      <c r="CF5" s="54" t="s">
        <v>1060</v>
      </c>
      <c r="CG5" s="54" t="s">
        <v>1061</v>
      </c>
      <c r="CH5" s="54" t="s">
        <v>1062</v>
      </c>
      <c r="CI5" s="54" t="s">
        <v>1063</v>
      </c>
      <c r="CJ5" s="54" t="s">
        <v>1064</v>
      </c>
      <c r="CK5" s="54" t="s">
        <v>1065</v>
      </c>
      <c r="CL5" s="54" t="s">
        <v>1066</v>
      </c>
      <c r="CM5" s="54" t="s">
        <v>1067</v>
      </c>
      <c r="CN5" s="54" t="s">
        <v>1068</v>
      </c>
      <c r="CO5" s="54" t="s">
        <v>1069</v>
      </c>
      <c r="CP5" s="56">
        <v>0</v>
      </c>
      <c r="CQ5" s="56">
        <v>0</v>
      </c>
      <c r="CR5" s="56">
        <v>0</v>
      </c>
      <c r="CS5" s="56">
        <v>0</v>
      </c>
      <c r="CT5" s="56">
        <v>0</v>
      </c>
      <c r="CU5" s="56">
        <v>0</v>
      </c>
      <c r="CV5" s="56">
        <v>0</v>
      </c>
      <c r="CW5" s="56">
        <v>0</v>
      </c>
      <c r="CX5" s="56">
        <v>0</v>
      </c>
      <c r="CY5" s="56">
        <v>0</v>
      </c>
      <c r="CZ5" s="56">
        <v>0</v>
      </c>
      <c r="DA5" s="56">
        <v>0</v>
      </c>
      <c r="DB5" s="56">
        <v>0</v>
      </c>
      <c r="DC5" s="56">
        <v>0</v>
      </c>
      <c r="DD5" s="56">
        <v>0</v>
      </c>
      <c r="DE5" s="56">
        <v>0</v>
      </c>
      <c r="DF5" s="56">
        <v>0</v>
      </c>
      <c r="DG5" s="56">
        <v>0</v>
      </c>
      <c r="DH5" s="56">
        <v>0</v>
      </c>
      <c r="DI5" s="56">
        <v>0</v>
      </c>
      <c r="DJ5" s="56">
        <v>0</v>
      </c>
      <c r="DK5" s="56">
        <v>0</v>
      </c>
      <c r="DL5" s="56">
        <v>0</v>
      </c>
      <c r="DM5" s="56">
        <v>0</v>
      </c>
      <c r="DN5" s="56">
        <v>0</v>
      </c>
      <c r="DO5" s="56">
        <v>0</v>
      </c>
      <c r="DP5" s="56">
        <v>0</v>
      </c>
      <c r="DQ5" s="56">
        <v>0</v>
      </c>
      <c r="DR5" s="56">
        <v>0</v>
      </c>
      <c r="DS5" s="56">
        <v>0</v>
      </c>
      <c r="DT5" s="56">
        <v>0</v>
      </c>
      <c r="DU5" s="56">
        <v>0</v>
      </c>
      <c r="DV5" s="56">
        <v>0</v>
      </c>
      <c r="DW5" s="56">
        <v>0</v>
      </c>
      <c r="DX5" s="56">
        <v>0</v>
      </c>
      <c r="DY5" s="56">
        <v>0</v>
      </c>
      <c r="DZ5" s="56">
        <v>0</v>
      </c>
      <c r="EA5" s="56">
        <v>0</v>
      </c>
      <c r="EB5" s="56">
        <v>0</v>
      </c>
      <c r="EC5" s="56">
        <v>0</v>
      </c>
      <c r="ED5" s="56">
        <v>0</v>
      </c>
      <c r="EE5" s="56">
        <v>0</v>
      </c>
      <c r="EF5" s="56">
        <v>0</v>
      </c>
      <c r="EG5" s="56">
        <v>0</v>
      </c>
      <c r="EH5" s="56">
        <v>193.54</v>
      </c>
      <c r="EI5" s="56">
        <v>0</v>
      </c>
      <c r="EJ5" s="56">
        <v>0</v>
      </c>
      <c r="EK5" s="56">
        <v>0</v>
      </c>
      <c r="EL5" s="56">
        <v>0</v>
      </c>
      <c r="EM5" s="56">
        <v>0</v>
      </c>
      <c r="EN5" s="56">
        <v>0</v>
      </c>
      <c r="EO5" s="56">
        <v>0</v>
      </c>
      <c r="EP5" s="56">
        <v>0</v>
      </c>
      <c r="EQ5" s="56">
        <v>0</v>
      </c>
      <c r="ER5" s="56">
        <v>0</v>
      </c>
      <c r="ES5" s="56">
        <v>0</v>
      </c>
      <c r="ET5" s="56">
        <v>0</v>
      </c>
      <c r="EU5" s="56">
        <v>0</v>
      </c>
      <c r="EV5" s="56">
        <v>0</v>
      </c>
      <c r="EW5" s="56">
        <v>0</v>
      </c>
      <c r="EX5" s="56">
        <v>0</v>
      </c>
      <c r="EY5" s="56">
        <v>0</v>
      </c>
      <c r="EZ5" s="56">
        <v>0</v>
      </c>
      <c r="FA5" s="56">
        <v>0</v>
      </c>
      <c r="FB5" s="56">
        <v>0</v>
      </c>
      <c r="FC5" s="58">
        <v>0</v>
      </c>
      <c r="FD5" s="56">
        <v>0</v>
      </c>
      <c r="FE5" s="56">
        <v>0</v>
      </c>
      <c r="FF5" s="56">
        <v>0</v>
      </c>
      <c r="FG5" s="56">
        <v>0</v>
      </c>
      <c r="FH5" s="56">
        <v>0</v>
      </c>
      <c r="FI5" s="56">
        <v>0</v>
      </c>
      <c r="FJ5" s="56">
        <v>0</v>
      </c>
      <c r="FK5" s="56">
        <v>0</v>
      </c>
      <c r="FL5" s="56">
        <v>0</v>
      </c>
      <c r="FM5" s="56">
        <v>0</v>
      </c>
      <c r="FN5" s="56">
        <v>0</v>
      </c>
      <c r="FO5" s="56">
        <v>0</v>
      </c>
      <c r="FP5" s="56">
        <v>0</v>
      </c>
      <c r="FQ5" s="56">
        <v>0</v>
      </c>
      <c r="FR5" s="56">
        <v>0</v>
      </c>
      <c r="FS5" s="58">
        <v>0</v>
      </c>
      <c r="FT5" s="56">
        <v>0</v>
      </c>
      <c r="FU5" s="56">
        <v>0</v>
      </c>
      <c r="FV5" s="56">
        <v>0</v>
      </c>
      <c r="FW5" s="56">
        <v>0</v>
      </c>
      <c r="FX5" s="56">
        <v>0</v>
      </c>
      <c r="FY5" s="56">
        <v>0</v>
      </c>
      <c r="FZ5" s="54" t="s">
        <v>1070</v>
      </c>
      <c r="GA5" s="54" t="s">
        <v>1071</v>
      </c>
      <c r="GB5" s="54" t="s">
        <v>1072</v>
      </c>
      <c r="GC5" s="54" t="s">
        <v>1073</v>
      </c>
      <c r="GD5" s="54" t="s">
        <v>1087</v>
      </c>
      <c r="GE5" s="54" t="s">
        <v>1075</v>
      </c>
      <c r="GF5" s="54"/>
      <c r="GG5" s="55"/>
      <c r="GH5" s="54"/>
      <c r="GI5" s="54"/>
      <c r="GJ5" s="54" t="s">
        <v>1076</v>
      </c>
      <c r="GK5" s="54" t="s">
        <v>1077</v>
      </c>
      <c r="GL5" s="54"/>
      <c r="GM5" s="54"/>
      <c r="GN5" s="54" t="s">
        <v>1078</v>
      </c>
      <c r="GO5" s="54" t="s">
        <v>1059</v>
      </c>
      <c r="GP5" s="54"/>
      <c r="GQ5" s="56">
        <v>0</v>
      </c>
      <c r="GR5" s="54" t="s">
        <v>1079</v>
      </c>
      <c r="GS5" s="54"/>
    </row>
    <row r="6" spans="1:201" x14ac:dyDescent="0.25">
      <c r="A6" s="54" t="s">
        <v>1032</v>
      </c>
      <c r="B6" s="54" t="s">
        <v>1033</v>
      </c>
      <c r="C6" s="54" t="s">
        <v>1034</v>
      </c>
      <c r="D6" s="54" t="s">
        <v>1035</v>
      </c>
      <c r="E6" s="54" t="s">
        <v>1036</v>
      </c>
      <c r="F6" s="55">
        <v>46175</v>
      </c>
      <c r="G6" s="55">
        <v>46175</v>
      </c>
      <c r="H6" s="54" t="s">
        <v>1037</v>
      </c>
      <c r="I6" s="54" t="s">
        <v>1038</v>
      </c>
      <c r="J6" s="54" t="s">
        <v>1039</v>
      </c>
      <c r="K6" s="55"/>
      <c r="L6" s="54" t="s">
        <v>1040</v>
      </c>
      <c r="M6" s="54"/>
      <c r="N6" s="54" t="s">
        <v>1041</v>
      </c>
      <c r="O6" s="54" t="s">
        <v>1089</v>
      </c>
      <c r="P6" s="54" t="s">
        <v>597</v>
      </c>
      <c r="Q6" s="54" t="s">
        <v>600</v>
      </c>
      <c r="R6" s="54" t="s">
        <v>1043</v>
      </c>
      <c r="S6" s="56">
        <v>1769.28</v>
      </c>
      <c r="T6" s="56">
        <v>1769.28</v>
      </c>
      <c r="U6" s="56">
        <v>0</v>
      </c>
      <c r="V6" s="56">
        <v>0</v>
      </c>
      <c r="W6" s="56">
        <v>0</v>
      </c>
      <c r="X6" s="56">
        <v>0</v>
      </c>
      <c r="Y6" s="56">
        <v>0</v>
      </c>
      <c r="Z6" s="56">
        <v>48</v>
      </c>
      <c r="AA6" s="56">
        <v>48</v>
      </c>
      <c r="AB6" s="59">
        <v>0</v>
      </c>
      <c r="AC6" s="56">
        <v>0</v>
      </c>
      <c r="AD6" s="56">
        <v>0</v>
      </c>
      <c r="AE6" s="56">
        <v>0</v>
      </c>
      <c r="AF6" s="54" t="s">
        <v>1044</v>
      </c>
      <c r="AG6" s="57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 t="s">
        <v>1045</v>
      </c>
      <c r="AS6" s="54" t="s">
        <v>1081</v>
      </c>
      <c r="AT6" s="54" t="s">
        <v>1082</v>
      </c>
      <c r="AU6" s="54" t="s">
        <v>1048</v>
      </c>
      <c r="AV6" s="54"/>
      <c r="AW6" s="55">
        <v>46189</v>
      </c>
      <c r="AX6" s="55">
        <v>46175</v>
      </c>
      <c r="AY6" s="55">
        <v>46175</v>
      </c>
      <c r="AZ6" s="55">
        <v>46176</v>
      </c>
      <c r="BA6" s="55">
        <v>46189</v>
      </c>
      <c r="BB6" s="56">
        <v>0</v>
      </c>
      <c r="BC6" s="56">
        <v>0</v>
      </c>
      <c r="BD6" s="56">
        <v>0</v>
      </c>
      <c r="BE6" s="56">
        <v>0</v>
      </c>
      <c r="BF6" s="56">
        <v>0</v>
      </c>
      <c r="BG6" s="56">
        <v>0</v>
      </c>
      <c r="BH6" s="56">
        <v>0</v>
      </c>
      <c r="BI6" s="56">
        <v>0</v>
      </c>
      <c r="BJ6" s="56">
        <v>0</v>
      </c>
      <c r="BK6" s="56">
        <v>0</v>
      </c>
      <c r="BL6" s="56">
        <v>0</v>
      </c>
      <c r="BM6" s="56">
        <v>0</v>
      </c>
      <c r="BN6" s="56">
        <v>0</v>
      </c>
      <c r="BO6" s="56">
        <v>0</v>
      </c>
      <c r="BP6" s="54" t="s">
        <v>1049</v>
      </c>
      <c r="BQ6" s="54" t="s">
        <v>1050</v>
      </c>
      <c r="BR6" s="54" t="s">
        <v>1049</v>
      </c>
      <c r="BS6" s="54" t="s">
        <v>1050</v>
      </c>
      <c r="BT6" s="54" t="s">
        <v>1051</v>
      </c>
      <c r="BU6" s="54" t="s">
        <v>1043</v>
      </c>
      <c r="BV6" s="58">
        <v>48</v>
      </c>
      <c r="BW6" s="54" t="s">
        <v>1052</v>
      </c>
      <c r="BX6" s="54" t="s">
        <v>1053</v>
      </c>
      <c r="BY6" s="54" t="s">
        <v>1054</v>
      </c>
      <c r="BZ6" s="54" t="s">
        <v>1055</v>
      </c>
      <c r="CA6" s="55"/>
      <c r="CB6" s="54" t="s">
        <v>1056</v>
      </c>
      <c r="CC6" s="54" t="s">
        <v>1057</v>
      </c>
      <c r="CD6" s="54" t="s">
        <v>1058</v>
      </c>
      <c r="CE6" s="54" t="s">
        <v>1059</v>
      </c>
      <c r="CF6" s="54" t="s">
        <v>1060</v>
      </c>
      <c r="CG6" s="54" t="s">
        <v>1061</v>
      </c>
      <c r="CH6" s="54" t="s">
        <v>1062</v>
      </c>
      <c r="CI6" s="54" t="s">
        <v>1063</v>
      </c>
      <c r="CJ6" s="54" t="s">
        <v>1064</v>
      </c>
      <c r="CK6" s="54" t="s">
        <v>1065</v>
      </c>
      <c r="CL6" s="54" t="s">
        <v>1066</v>
      </c>
      <c r="CM6" s="54" t="s">
        <v>1067</v>
      </c>
      <c r="CN6" s="54" t="s">
        <v>1068</v>
      </c>
      <c r="CO6" s="54" t="s">
        <v>1069</v>
      </c>
      <c r="CP6" s="56">
        <v>0</v>
      </c>
      <c r="CQ6" s="56">
        <v>0</v>
      </c>
      <c r="CR6" s="56">
        <v>0</v>
      </c>
      <c r="CS6" s="56">
        <v>0</v>
      </c>
      <c r="CT6" s="56">
        <v>0</v>
      </c>
      <c r="CU6" s="56">
        <v>0</v>
      </c>
      <c r="CV6" s="56">
        <v>0</v>
      </c>
      <c r="CW6" s="56">
        <v>0</v>
      </c>
      <c r="CX6" s="56">
        <v>0</v>
      </c>
      <c r="CY6" s="56">
        <v>0</v>
      </c>
      <c r="CZ6" s="56">
        <v>0</v>
      </c>
      <c r="DA6" s="56">
        <v>0</v>
      </c>
      <c r="DB6" s="56">
        <v>0</v>
      </c>
      <c r="DC6" s="56">
        <v>0</v>
      </c>
      <c r="DD6" s="56">
        <v>0</v>
      </c>
      <c r="DE6" s="56">
        <v>0</v>
      </c>
      <c r="DF6" s="56">
        <v>0</v>
      </c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56">
        <v>0</v>
      </c>
      <c r="DY6" s="56">
        <v>0</v>
      </c>
      <c r="DZ6" s="56">
        <v>0</v>
      </c>
      <c r="EA6" s="56">
        <v>0</v>
      </c>
      <c r="EB6" s="56">
        <v>0</v>
      </c>
      <c r="EC6" s="56">
        <v>0</v>
      </c>
      <c r="ED6" s="56">
        <v>0</v>
      </c>
      <c r="EE6" s="56">
        <v>0</v>
      </c>
      <c r="EF6" s="56">
        <v>0</v>
      </c>
      <c r="EG6" s="56">
        <v>0</v>
      </c>
      <c r="EH6" s="56">
        <v>212.31</v>
      </c>
      <c r="EI6" s="56">
        <v>0</v>
      </c>
      <c r="EJ6" s="56">
        <v>0</v>
      </c>
      <c r="EK6" s="56">
        <v>0</v>
      </c>
      <c r="EL6" s="56">
        <v>0</v>
      </c>
      <c r="EM6" s="56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8">
        <v>0</v>
      </c>
      <c r="FD6" s="56">
        <v>0</v>
      </c>
      <c r="FE6" s="56">
        <v>0</v>
      </c>
      <c r="FF6" s="56">
        <v>0</v>
      </c>
      <c r="FG6" s="56">
        <v>0</v>
      </c>
      <c r="FH6" s="56">
        <v>0</v>
      </c>
      <c r="FI6" s="56">
        <v>0</v>
      </c>
      <c r="FJ6" s="56">
        <v>0</v>
      </c>
      <c r="FK6" s="56">
        <v>0</v>
      </c>
      <c r="FL6" s="56">
        <v>0</v>
      </c>
      <c r="FM6" s="56">
        <v>0</v>
      </c>
      <c r="FN6" s="56">
        <v>0</v>
      </c>
      <c r="FO6" s="56">
        <v>0</v>
      </c>
      <c r="FP6" s="56">
        <v>0</v>
      </c>
      <c r="FQ6" s="56">
        <v>0</v>
      </c>
      <c r="FR6" s="56">
        <v>0</v>
      </c>
      <c r="FS6" s="58">
        <v>0</v>
      </c>
      <c r="FT6" s="56">
        <v>0</v>
      </c>
      <c r="FU6" s="56">
        <v>0</v>
      </c>
      <c r="FV6" s="56">
        <v>0</v>
      </c>
      <c r="FW6" s="56">
        <v>0</v>
      </c>
      <c r="FX6" s="56">
        <v>0</v>
      </c>
      <c r="FY6" s="56">
        <v>0</v>
      </c>
      <c r="FZ6" s="54" t="s">
        <v>1083</v>
      </c>
      <c r="GA6" s="54" t="s">
        <v>1084</v>
      </c>
      <c r="GB6" s="54" t="s">
        <v>1072</v>
      </c>
      <c r="GC6" s="54" t="s">
        <v>1073</v>
      </c>
      <c r="GD6" s="54"/>
      <c r="GE6" s="54"/>
      <c r="GF6" s="54"/>
      <c r="GG6" s="55"/>
      <c r="GH6" s="54"/>
      <c r="GI6" s="54"/>
      <c r="GJ6" s="54" t="s">
        <v>1076</v>
      </c>
      <c r="GK6" s="54" t="s">
        <v>1077</v>
      </c>
      <c r="GL6" s="54"/>
      <c r="GM6" s="54"/>
      <c r="GN6" s="54" t="s">
        <v>1078</v>
      </c>
      <c r="GO6" s="54" t="s">
        <v>1059</v>
      </c>
      <c r="GP6" s="54"/>
      <c r="GQ6" s="56">
        <v>0</v>
      </c>
      <c r="GR6" s="54" t="s">
        <v>1079</v>
      </c>
      <c r="GS6" s="54"/>
    </row>
    <row r="7" spans="1:201" x14ac:dyDescent="0.25">
      <c r="A7" s="54" t="s">
        <v>1032</v>
      </c>
      <c r="B7" s="54" t="s">
        <v>1033</v>
      </c>
      <c r="C7" s="54" t="s">
        <v>1034</v>
      </c>
      <c r="D7" s="54" t="s">
        <v>1035</v>
      </c>
      <c r="E7" s="54" t="s">
        <v>1036</v>
      </c>
      <c r="F7" s="55">
        <v>46175</v>
      </c>
      <c r="G7" s="55">
        <v>46175</v>
      </c>
      <c r="H7" s="54" t="s">
        <v>1037</v>
      </c>
      <c r="I7" s="54" t="s">
        <v>1038</v>
      </c>
      <c r="J7" s="54" t="s">
        <v>1039</v>
      </c>
      <c r="K7" s="55"/>
      <c r="L7" s="54" t="s">
        <v>1040</v>
      </c>
      <c r="M7" s="54"/>
      <c r="N7" s="54" t="s">
        <v>1041</v>
      </c>
      <c r="O7" s="54" t="s">
        <v>1090</v>
      </c>
      <c r="P7" s="54" t="s">
        <v>598</v>
      </c>
      <c r="Q7" s="54" t="s">
        <v>601</v>
      </c>
      <c r="R7" s="54" t="s">
        <v>1043</v>
      </c>
      <c r="S7" s="56">
        <v>8853.6</v>
      </c>
      <c r="T7" s="56">
        <v>8853.6</v>
      </c>
      <c r="U7" s="56">
        <v>0</v>
      </c>
      <c r="V7" s="56">
        <v>0</v>
      </c>
      <c r="W7" s="56">
        <v>0</v>
      </c>
      <c r="X7" s="56">
        <v>0</v>
      </c>
      <c r="Y7" s="56">
        <v>0</v>
      </c>
      <c r="Z7" s="56">
        <v>240</v>
      </c>
      <c r="AA7" s="56">
        <v>240</v>
      </c>
      <c r="AB7" s="59">
        <v>0</v>
      </c>
      <c r="AC7" s="56">
        <v>0</v>
      </c>
      <c r="AD7" s="56">
        <v>0</v>
      </c>
      <c r="AE7" s="56">
        <v>0</v>
      </c>
      <c r="AF7" s="54" t="s">
        <v>1044</v>
      </c>
      <c r="AG7" s="57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 t="s">
        <v>1045</v>
      </c>
      <c r="AS7" s="54" t="s">
        <v>1081</v>
      </c>
      <c r="AT7" s="54" t="s">
        <v>1082</v>
      </c>
      <c r="AU7" s="54" t="s">
        <v>1048</v>
      </c>
      <c r="AV7" s="54"/>
      <c r="AW7" s="55">
        <v>46189</v>
      </c>
      <c r="AX7" s="55">
        <v>46175</v>
      </c>
      <c r="AY7" s="55">
        <v>46175</v>
      </c>
      <c r="AZ7" s="55">
        <v>46176</v>
      </c>
      <c r="BA7" s="55">
        <v>46189</v>
      </c>
      <c r="BB7" s="56">
        <v>0</v>
      </c>
      <c r="BC7" s="56">
        <v>0</v>
      </c>
      <c r="BD7" s="56">
        <v>0</v>
      </c>
      <c r="BE7" s="56">
        <v>0</v>
      </c>
      <c r="BF7" s="56">
        <v>0</v>
      </c>
      <c r="BG7" s="56">
        <v>0</v>
      </c>
      <c r="BH7" s="56">
        <v>0</v>
      </c>
      <c r="BI7" s="56">
        <v>0</v>
      </c>
      <c r="BJ7" s="56">
        <v>0</v>
      </c>
      <c r="BK7" s="56">
        <v>0</v>
      </c>
      <c r="BL7" s="56">
        <v>0</v>
      </c>
      <c r="BM7" s="56">
        <v>0</v>
      </c>
      <c r="BN7" s="56">
        <v>0</v>
      </c>
      <c r="BO7" s="56">
        <v>0</v>
      </c>
      <c r="BP7" s="54" t="s">
        <v>1049</v>
      </c>
      <c r="BQ7" s="54" t="s">
        <v>1050</v>
      </c>
      <c r="BR7" s="54" t="s">
        <v>1049</v>
      </c>
      <c r="BS7" s="54" t="s">
        <v>1050</v>
      </c>
      <c r="BT7" s="54" t="s">
        <v>1051</v>
      </c>
      <c r="BU7" s="54" t="s">
        <v>1043</v>
      </c>
      <c r="BV7" s="58">
        <v>240</v>
      </c>
      <c r="BW7" s="54" t="s">
        <v>1052</v>
      </c>
      <c r="BX7" s="54" t="s">
        <v>1053</v>
      </c>
      <c r="BY7" s="54" t="s">
        <v>1054</v>
      </c>
      <c r="BZ7" s="54" t="s">
        <v>1055</v>
      </c>
      <c r="CA7" s="55"/>
      <c r="CB7" s="54" t="s">
        <v>1056</v>
      </c>
      <c r="CC7" s="54" t="s">
        <v>1057</v>
      </c>
      <c r="CD7" s="54" t="s">
        <v>1058</v>
      </c>
      <c r="CE7" s="54" t="s">
        <v>1059</v>
      </c>
      <c r="CF7" s="54" t="s">
        <v>1060</v>
      </c>
      <c r="CG7" s="54" t="s">
        <v>1061</v>
      </c>
      <c r="CH7" s="54" t="s">
        <v>1062</v>
      </c>
      <c r="CI7" s="54" t="s">
        <v>1063</v>
      </c>
      <c r="CJ7" s="54" t="s">
        <v>1064</v>
      </c>
      <c r="CK7" s="54" t="s">
        <v>1065</v>
      </c>
      <c r="CL7" s="54" t="s">
        <v>1066</v>
      </c>
      <c r="CM7" s="54" t="s">
        <v>1067</v>
      </c>
      <c r="CN7" s="54" t="s">
        <v>1068</v>
      </c>
      <c r="CO7" s="54" t="s">
        <v>1069</v>
      </c>
      <c r="CP7" s="56">
        <v>0</v>
      </c>
      <c r="CQ7" s="56">
        <v>0</v>
      </c>
      <c r="CR7" s="56">
        <v>0</v>
      </c>
      <c r="CS7" s="56">
        <v>0</v>
      </c>
      <c r="CT7" s="56">
        <v>0</v>
      </c>
      <c r="CU7" s="56">
        <v>0</v>
      </c>
      <c r="CV7" s="56">
        <v>0</v>
      </c>
      <c r="CW7" s="56">
        <v>0</v>
      </c>
      <c r="CX7" s="56">
        <v>0</v>
      </c>
      <c r="CY7" s="56">
        <v>0</v>
      </c>
      <c r="CZ7" s="56">
        <v>0</v>
      </c>
      <c r="DA7" s="56">
        <v>0</v>
      </c>
      <c r="DB7" s="56">
        <v>0</v>
      </c>
      <c r="DC7" s="56">
        <v>0</v>
      </c>
      <c r="DD7" s="56">
        <v>0</v>
      </c>
      <c r="DE7" s="56">
        <v>0</v>
      </c>
      <c r="DF7" s="56">
        <v>0</v>
      </c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56">
        <v>0</v>
      </c>
      <c r="DY7" s="56">
        <v>0</v>
      </c>
      <c r="DZ7" s="56">
        <v>0</v>
      </c>
      <c r="EA7" s="56">
        <v>0</v>
      </c>
      <c r="EB7" s="56">
        <v>0</v>
      </c>
      <c r="EC7" s="56">
        <v>0</v>
      </c>
      <c r="ED7" s="56">
        <v>0</v>
      </c>
      <c r="EE7" s="56">
        <v>0</v>
      </c>
      <c r="EF7" s="56">
        <v>0</v>
      </c>
      <c r="EG7" s="56">
        <v>0</v>
      </c>
      <c r="EH7" s="56">
        <v>1062.43</v>
      </c>
      <c r="EI7" s="56">
        <v>0</v>
      </c>
      <c r="EJ7" s="56">
        <v>0</v>
      </c>
      <c r="EK7" s="56">
        <v>0</v>
      </c>
      <c r="EL7" s="56">
        <v>0</v>
      </c>
      <c r="EM7" s="56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8">
        <v>0</v>
      </c>
      <c r="FD7" s="56">
        <v>0</v>
      </c>
      <c r="FE7" s="56">
        <v>0</v>
      </c>
      <c r="FF7" s="56">
        <v>0</v>
      </c>
      <c r="FG7" s="56">
        <v>0</v>
      </c>
      <c r="FH7" s="56">
        <v>0</v>
      </c>
      <c r="FI7" s="56">
        <v>0</v>
      </c>
      <c r="FJ7" s="56">
        <v>0</v>
      </c>
      <c r="FK7" s="56">
        <v>0</v>
      </c>
      <c r="FL7" s="56">
        <v>0</v>
      </c>
      <c r="FM7" s="56">
        <v>0</v>
      </c>
      <c r="FN7" s="56">
        <v>0</v>
      </c>
      <c r="FO7" s="56">
        <v>0</v>
      </c>
      <c r="FP7" s="56">
        <v>0</v>
      </c>
      <c r="FQ7" s="56">
        <v>0</v>
      </c>
      <c r="FR7" s="56">
        <v>0</v>
      </c>
      <c r="FS7" s="58">
        <v>0</v>
      </c>
      <c r="FT7" s="56">
        <v>0</v>
      </c>
      <c r="FU7" s="56">
        <v>0</v>
      </c>
      <c r="FV7" s="56">
        <v>0</v>
      </c>
      <c r="FW7" s="56">
        <v>0</v>
      </c>
      <c r="FX7" s="56">
        <v>0</v>
      </c>
      <c r="FY7" s="56">
        <v>0</v>
      </c>
      <c r="FZ7" s="54" t="s">
        <v>1083</v>
      </c>
      <c r="GA7" s="54" t="s">
        <v>1084</v>
      </c>
      <c r="GB7" s="54" t="s">
        <v>1072</v>
      </c>
      <c r="GC7" s="54" t="s">
        <v>1073</v>
      </c>
      <c r="GD7" s="54"/>
      <c r="GE7" s="54"/>
      <c r="GF7" s="54"/>
      <c r="GG7" s="55"/>
      <c r="GH7" s="54"/>
      <c r="GI7" s="54"/>
      <c r="GJ7" s="54" t="s">
        <v>1076</v>
      </c>
      <c r="GK7" s="54" t="s">
        <v>1077</v>
      </c>
      <c r="GL7" s="54"/>
      <c r="GM7" s="54"/>
      <c r="GN7" s="54" t="s">
        <v>1078</v>
      </c>
      <c r="GO7" s="54" t="s">
        <v>1059</v>
      </c>
      <c r="GP7" s="54"/>
      <c r="GQ7" s="56">
        <v>0</v>
      </c>
      <c r="GR7" s="54" t="s">
        <v>1079</v>
      </c>
      <c r="GS7" s="54"/>
    </row>
    <row r="8" spans="1:201" x14ac:dyDescent="0.25">
      <c r="A8" s="54" t="s">
        <v>1032</v>
      </c>
      <c r="B8" s="54" t="s">
        <v>1033</v>
      </c>
      <c r="C8" s="54" t="s">
        <v>1034</v>
      </c>
      <c r="D8" s="54" t="s">
        <v>1035</v>
      </c>
      <c r="E8" s="54" t="s">
        <v>1036</v>
      </c>
      <c r="F8" s="55">
        <v>46175</v>
      </c>
      <c r="G8" s="55">
        <v>46175</v>
      </c>
      <c r="H8" s="54" t="s">
        <v>1037</v>
      </c>
      <c r="I8" s="54" t="s">
        <v>1038</v>
      </c>
      <c r="J8" s="54" t="s">
        <v>1039</v>
      </c>
      <c r="K8" s="55"/>
      <c r="L8" s="54" t="s">
        <v>1040</v>
      </c>
      <c r="M8" s="54"/>
      <c r="N8" s="54" t="s">
        <v>1041</v>
      </c>
      <c r="O8" s="54" t="s">
        <v>1081</v>
      </c>
      <c r="P8" s="54" t="s">
        <v>596</v>
      </c>
      <c r="Q8" s="54" t="s">
        <v>599</v>
      </c>
      <c r="R8" s="54" t="s">
        <v>1043</v>
      </c>
      <c r="S8" s="56">
        <v>35190.199999999997</v>
      </c>
      <c r="T8" s="56">
        <v>35190.199999999997</v>
      </c>
      <c r="U8" s="56">
        <v>0</v>
      </c>
      <c r="V8" s="56">
        <v>0</v>
      </c>
      <c r="W8" s="56">
        <v>0</v>
      </c>
      <c r="X8" s="56">
        <v>0</v>
      </c>
      <c r="Y8" s="56">
        <v>0</v>
      </c>
      <c r="Z8" s="56">
        <v>5020</v>
      </c>
      <c r="AA8" s="56">
        <v>5020</v>
      </c>
      <c r="AB8" s="59">
        <v>0</v>
      </c>
      <c r="AC8" s="56">
        <v>0</v>
      </c>
      <c r="AD8" s="56">
        <v>0</v>
      </c>
      <c r="AE8" s="56">
        <v>0</v>
      </c>
      <c r="AF8" s="54" t="s">
        <v>1044</v>
      </c>
      <c r="AG8" s="57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 t="s">
        <v>1045</v>
      </c>
      <c r="AS8" s="54" t="s">
        <v>1081</v>
      </c>
      <c r="AT8" s="54" t="s">
        <v>1082</v>
      </c>
      <c r="AU8" s="54" t="s">
        <v>1048</v>
      </c>
      <c r="AV8" s="54"/>
      <c r="AW8" s="55">
        <v>46189</v>
      </c>
      <c r="AX8" s="55">
        <v>46175</v>
      </c>
      <c r="AY8" s="55">
        <v>46175</v>
      </c>
      <c r="AZ8" s="55">
        <v>46176</v>
      </c>
      <c r="BA8" s="55">
        <v>46189</v>
      </c>
      <c r="BB8" s="56">
        <v>0</v>
      </c>
      <c r="BC8" s="56">
        <v>0</v>
      </c>
      <c r="BD8" s="56">
        <v>0</v>
      </c>
      <c r="BE8" s="56">
        <v>0</v>
      </c>
      <c r="BF8" s="56">
        <v>0</v>
      </c>
      <c r="BG8" s="56">
        <v>0</v>
      </c>
      <c r="BH8" s="56">
        <v>0</v>
      </c>
      <c r="BI8" s="56">
        <v>0</v>
      </c>
      <c r="BJ8" s="56">
        <v>0</v>
      </c>
      <c r="BK8" s="56">
        <v>0</v>
      </c>
      <c r="BL8" s="56">
        <v>0</v>
      </c>
      <c r="BM8" s="56">
        <v>0</v>
      </c>
      <c r="BN8" s="56">
        <v>0</v>
      </c>
      <c r="BO8" s="56">
        <v>0</v>
      </c>
      <c r="BP8" s="54" t="s">
        <v>1049</v>
      </c>
      <c r="BQ8" s="54" t="s">
        <v>1050</v>
      </c>
      <c r="BR8" s="54" t="s">
        <v>1049</v>
      </c>
      <c r="BS8" s="54" t="s">
        <v>1050</v>
      </c>
      <c r="BT8" s="54" t="s">
        <v>1051</v>
      </c>
      <c r="BU8" s="54" t="s">
        <v>1043</v>
      </c>
      <c r="BV8" s="58">
        <v>5020</v>
      </c>
      <c r="BW8" s="54" t="s">
        <v>1052</v>
      </c>
      <c r="BX8" s="54" t="s">
        <v>1053</v>
      </c>
      <c r="BY8" s="54" t="s">
        <v>1054</v>
      </c>
      <c r="BZ8" s="54" t="s">
        <v>1055</v>
      </c>
      <c r="CA8" s="55"/>
      <c r="CB8" s="54" t="s">
        <v>1056</v>
      </c>
      <c r="CC8" s="54" t="s">
        <v>1057</v>
      </c>
      <c r="CD8" s="54" t="s">
        <v>1058</v>
      </c>
      <c r="CE8" s="54" t="s">
        <v>1059</v>
      </c>
      <c r="CF8" s="54" t="s">
        <v>1060</v>
      </c>
      <c r="CG8" s="54" t="s">
        <v>1061</v>
      </c>
      <c r="CH8" s="54" t="s">
        <v>1062</v>
      </c>
      <c r="CI8" s="54" t="s">
        <v>1063</v>
      </c>
      <c r="CJ8" s="54" t="s">
        <v>1064</v>
      </c>
      <c r="CK8" s="54" t="s">
        <v>1065</v>
      </c>
      <c r="CL8" s="54" t="s">
        <v>1066</v>
      </c>
      <c r="CM8" s="54" t="s">
        <v>1067</v>
      </c>
      <c r="CN8" s="54" t="s">
        <v>1068</v>
      </c>
      <c r="CO8" s="54" t="s">
        <v>1069</v>
      </c>
      <c r="CP8" s="56">
        <v>0</v>
      </c>
      <c r="CQ8" s="56">
        <v>0</v>
      </c>
      <c r="CR8" s="56">
        <v>0</v>
      </c>
      <c r="CS8" s="56">
        <v>0</v>
      </c>
      <c r="CT8" s="56">
        <v>0</v>
      </c>
      <c r="CU8" s="56">
        <v>0</v>
      </c>
      <c r="CV8" s="56">
        <v>0</v>
      </c>
      <c r="CW8" s="56">
        <v>0</v>
      </c>
      <c r="CX8" s="56">
        <v>0</v>
      </c>
      <c r="CY8" s="56">
        <v>0</v>
      </c>
      <c r="CZ8" s="56">
        <v>0</v>
      </c>
      <c r="DA8" s="56">
        <v>0</v>
      </c>
      <c r="DB8" s="56">
        <v>0</v>
      </c>
      <c r="DC8" s="56">
        <v>0</v>
      </c>
      <c r="DD8" s="56">
        <v>0</v>
      </c>
      <c r="DE8" s="56">
        <v>0</v>
      </c>
      <c r="DF8" s="56">
        <v>0</v>
      </c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56">
        <v>0</v>
      </c>
      <c r="DY8" s="56">
        <v>0</v>
      </c>
      <c r="DZ8" s="56">
        <v>0</v>
      </c>
      <c r="EA8" s="56">
        <v>0</v>
      </c>
      <c r="EB8" s="56">
        <v>0</v>
      </c>
      <c r="EC8" s="56">
        <v>0</v>
      </c>
      <c r="ED8" s="56">
        <v>0</v>
      </c>
      <c r="EE8" s="56">
        <v>0</v>
      </c>
      <c r="EF8" s="56">
        <v>0</v>
      </c>
      <c r="EG8" s="56">
        <v>0</v>
      </c>
      <c r="EH8" s="56">
        <v>4222.82</v>
      </c>
      <c r="EI8" s="56">
        <v>0</v>
      </c>
      <c r="EJ8" s="56">
        <v>0</v>
      </c>
      <c r="EK8" s="56">
        <v>0</v>
      </c>
      <c r="EL8" s="56">
        <v>0</v>
      </c>
      <c r="EM8" s="56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8">
        <v>0</v>
      </c>
      <c r="FD8" s="56">
        <v>0</v>
      </c>
      <c r="FE8" s="56">
        <v>0</v>
      </c>
      <c r="FF8" s="56">
        <v>0</v>
      </c>
      <c r="FG8" s="56">
        <v>0</v>
      </c>
      <c r="FH8" s="56">
        <v>0</v>
      </c>
      <c r="FI8" s="56">
        <v>0</v>
      </c>
      <c r="FJ8" s="56">
        <v>0</v>
      </c>
      <c r="FK8" s="56">
        <v>0</v>
      </c>
      <c r="FL8" s="56">
        <v>0</v>
      </c>
      <c r="FM8" s="56">
        <v>0</v>
      </c>
      <c r="FN8" s="56">
        <v>0</v>
      </c>
      <c r="FO8" s="56">
        <v>0</v>
      </c>
      <c r="FP8" s="56">
        <v>0</v>
      </c>
      <c r="FQ8" s="56">
        <v>0</v>
      </c>
      <c r="FR8" s="56">
        <v>0</v>
      </c>
      <c r="FS8" s="58">
        <v>0</v>
      </c>
      <c r="FT8" s="56">
        <v>0</v>
      </c>
      <c r="FU8" s="56">
        <v>0</v>
      </c>
      <c r="FV8" s="56">
        <v>0</v>
      </c>
      <c r="FW8" s="56">
        <v>0</v>
      </c>
      <c r="FX8" s="56">
        <v>0</v>
      </c>
      <c r="FY8" s="56">
        <v>0</v>
      </c>
      <c r="FZ8" s="54" t="s">
        <v>1083</v>
      </c>
      <c r="GA8" s="54" t="s">
        <v>1084</v>
      </c>
      <c r="GB8" s="54" t="s">
        <v>1072</v>
      </c>
      <c r="GC8" s="54" t="s">
        <v>1073</v>
      </c>
      <c r="GD8" s="54"/>
      <c r="GE8" s="54"/>
      <c r="GF8" s="54"/>
      <c r="GG8" s="55"/>
      <c r="GH8" s="54"/>
      <c r="GI8" s="54"/>
      <c r="GJ8" s="54" t="s">
        <v>1076</v>
      </c>
      <c r="GK8" s="54" t="s">
        <v>1077</v>
      </c>
      <c r="GL8" s="54"/>
      <c r="GM8" s="54"/>
      <c r="GN8" s="54" t="s">
        <v>1078</v>
      </c>
      <c r="GO8" s="54" t="s">
        <v>1059</v>
      </c>
      <c r="GP8" s="54"/>
      <c r="GQ8" s="56">
        <v>0</v>
      </c>
      <c r="GR8" s="54" t="s">
        <v>1079</v>
      </c>
      <c r="GS8" s="54"/>
    </row>
    <row r="9" spans="1:201" x14ac:dyDescent="0.25">
      <c r="A9" s="54" t="s">
        <v>1032</v>
      </c>
      <c r="B9" s="54" t="s">
        <v>1033</v>
      </c>
      <c r="C9" s="54" t="s">
        <v>1034</v>
      </c>
      <c r="D9" s="54" t="s">
        <v>1035</v>
      </c>
      <c r="E9" s="54" t="s">
        <v>1036</v>
      </c>
      <c r="F9" s="55">
        <v>46175</v>
      </c>
      <c r="G9" s="55">
        <v>46175</v>
      </c>
      <c r="H9" s="54" t="s">
        <v>1037</v>
      </c>
      <c r="I9" s="54" t="s">
        <v>1038</v>
      </c>
      <c r="J9" s="54" t="s">
        <v>1039</v>
      </c>
      <c r="K9" s="55"/>
      <c r="L9" s="54" t="s">
        <v>1040</v>
      </c>
      <c r="M9" s="54"/>
      <c r="N9" s="54" t="s">
        <v>1041</v>
      </c>
      <c r="O9" s="54" t="s">
        <v>1046</v>
      </c>
      <c r="P9" s="54" t="s">
        <v>333</v>
      </c>
      <c r="Q9" s="54" t="s">
        <v>334</v>
      </c>
      <c r="R9" s="54" t="s">
        <v>1043</v>
      </c>
      <c r="S9" s="56">
        <v>868.8</v>
      </c>
      <c r="T9" s="56">
        <v>868.8</v>
      </c>
      <c r="U9" s="56">
        <v>0</v>
      </c>
      <c r="V9" s="56">
        <v>0</v>
      </c>
      <c r="W9" s="56">
        <v>0</v>
      </c>
      <c r="X9" s="56">
        <v>0</v>
      </c>
      <c r="Y9" s="56">
        <v>0</v>
      </c>
      <c r="Z9" s="56">
        <v>120</v>
      </c>
      <c r="AA9" s="56">
        <v>120</v>
      </c>
      <c r="AB9" s="59">
        <v>0</v>
      </c>
      <c r="AC9" s="56">
        <v>0</v>
      </c>
      <c r="AD9" s="56">
        <v>0</v>
      </c>
      <c r="AE9" s="56">
        <v>0</v>
      </c>
      <c r="AF9" s="54" t="s">
        <v>1044</v>
      </c>
      <c r="AG9" s="57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 t="s">
        <v>1045</v>
      </c>
      <c r="AS9" s="54" t="s">
        <v>1081</v>
      </c>
      <c r="AT9" s="54" t="s">
        <v>1082</v>
      </c>
      <c r="AU9" s="54" t="s">
        <v>1048</v>
      </c>
      <c r="AV9" s="54"/>
      <c r="AW9" s="55">
        <v>46189</v>
      </c>
      <c r="AX9" s="55">
        <v>46175</v>
      </c>
      <c r="AY9" s="55">
        <v>46175</v>
      </c>
      <c r="AZ9" s="55">
        <v>46176</v>
      </c>
      <c r="BA9" s="55">
        <v>46189</v>
      </c>
      <c r="BB9" s="56">
        <v>0</v>
      </c>
      <c r="BC9" s="56">
        <v>0</v>
      </c>
      <c r="BD9" s="56">
        <v>0</v>
      </c>
      <c r="BE9" s="56">
        <v>0</v>
      </c>
      <c r="BF9" s="56">
        <v>0</v>
      </c>
      <c r="BG9" s="56">
        <v>0</v>
      </c>
      <c r="BH9" s="56">
        <v>0</v>
      </c>
      <c r="BI9" s="56">
        <v>0</v>
      </c>
      <c r="BJ9" s="56">
        <v>0</v>
      </c>
      <c r="BK9" s="56">
        <v>0</v>
      </c>
      <c r="BL9" s="56">
        <v>0</v>
      </c>
      <c r="BM9" s="56">
        <v>0</v>
      </c>
      <c r="BN9" s="56">
        <v>0</v>
      </c>
      <c r="BO9" s="56">
        <v>0</v>
      </c>
      <c r="BP9" s="54" t="s">
        <v>1049</v>
      </c>
      <c r="BQ9" s="54" t="s">
        <v>1050</v>
      </c>
      <c r="BR9" s="54" t="s">
        <v>1049</v>
      </c>
      <c r="BS9" s="54" t="s">
        <v>1050</v>
      </c>
      <c r="BT9" s="54" t="s">
        <v>1051</v>
      </c>
      <c r="BU9" s="54" t="s">
        <v>1043</v>
      </c>
      <c r="BV9" s="58">
        <v>120</v>
      </c>
      <c r="BW9" s="54" t="s">
        <v>1052</v>
      </c>
      <c r="BX9" s="54" t="s">
        <v>1053</v>
      </c>
      <c r="BY9" s="54" t="s">
        <v>1054</v>
      </c>
      <c r="BZ9" s="54" t="s">
        <v>1055</v>
      </c>
      <c r="CA9" s="55"/>
      <c r="CB9" s="54" t="s">
        <v>1056</v>
      </c>
      <c r="CC9" s="54" t="s">
        <v>1057</v>
      </c>
      <c r="CD9" s="54" t="s">
        <v>1058</v>
      </c>
      <c r="CE9" s="54" t="s">
        <v>1059</v>
      </c>
      <c r="CF9" s="54" t="s">
        <v>1060</v>
      </c>
      <c r="CG9" s="54" t="s">
        <v>1061</v>
      </c>
      <c r="CH9" s="54" t="s">
        <v>1062</v>
      </c>
      <c r="CI9" s="54" t="s">
        <v>1063</v>
      </c>
      <c r="CJ9" s="54" t="s">
        <v>1064</v>
      </c>
      <c r="CK9" s="54" t="s">
        <v>1065</v>
      </c>
      <c r="CL9" s="54" t="s">
        <v>1066</v>
      </c>
      <c r="CM9" s="54" t="s">
        <v>1067</v>
      </c>
      <c r="CN9" s="54" t="s">
        <v>1068</v>
      </c>
      <c r="CO9" s="54" t="s">
        <v>1069</v>
      </c>
      <c r="CP9" s="56">
        <v>0</v>
      </c>
      <c r="CQ9" s="56">
        <v>0</v>
      </c>
      <c r="CR9" s="56">
        <v>0</v>
      </c>
      <c r="CS9" s="56">
        <v>0</v>
      </c>
      <c r="CT9" s="56">
        <v>0</v>
      </c>
      <c r="CU9" s="56">
        <v>0</v>
      </c>
      <c r="CV9" s="56">
        <v>0</v>
      </c>
      <c r="CW9" s="56">
        <v>0</v>
      </c>
      <c r="CX9" s="56">
        <v>0</v>
      </c>
      <c r="CY9" s="56">
        <v>0</v>
      </c>
      <c r="CZ9" s="56">
        <v>0</v>
      </c>
      <c r="DA9" s="56">
        <v>0</v>
      </c>
      <c r="DB9" s="56">
        <v>0</v>
      </c>
      <c r="DC9" s="56">
        <v>0</v>
      </c>
      <c r="DD9" s="56">
        <v>0</v>
      </c>
      <c r="DE9" s="56">
        <v>0</v>
      </c>
      <c r="DF9" s="56">
        <v>0</v>
      </c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56">
        <v>0</v>
      </c>
      <c r="DY9" s="56">
        <v>0</v>
      </c>
      <c r="DZ9" s="56">
        <v>0</v>
      </c>
      <c r="EA9" s="56">
        <v>0</v>
      </c>
      <c r="EB9" s="56">
        <v>0</v>
      </c>
      <c r="EC9" s="56">
        <v>0</v>
      </c>
      <c r="ED9" s="56">
        <v>0</v>
      </c>
      <c r="EE9" s="56">
        <v>0</v>
      </c>
      <c r="EF9" s="56">
        <v>0</v>
      </c>
      <c r="EG9" s="56">
        <v>0</v>
      </c>
      <c r="EH9" s="56">
        <v>104.26</v>
      </c>
      <c r="EI9" s="56">
        <v>0</v>
      </c>
      <c r="EJ9" s="56">
        <v>0</v>
      </c>
      <c r="EK9" s="56">
        <v>0</v>
      </c>
      <c r="EL9" s="56">
        <v>0</v>
      </c>
      <c r="EM9" s="56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8">
        <v>0</v>
      </c>
      <c r="FD9" s="56">
        <v>0</v>
      </c>
      <c r="FE9" s="56">
        <v>0</v>
      </c>
      <c r="FF9" s="56">
        <v>0</v>
      </c>
      <c r="FG9" s="56">
        <v>0</v>
      </c>
      <c r="FH9" s="56">
        <v>0</v>
      </c>
      <c r="FI9" s="56">
        <v>0</v>
      </c>
      <c r="FJ9" s="56">
        <v>0</v>
      </c>
      <c r="FK9" s="56">
        <v>0</v>
      </c>
      <c r="FL9" s="56">
        <v>0</v>
      </c>
      <c r="FM9" s="56">
        <v>0</v>
      </c>
      <c r="FN9" s="56">
        <v>0</v>
      </c>
      <c r="FO9" s="56">
        <v>0</v>
      </c>
      <c r="FP9" s="56">
        <v>0</v>
      </c>
      <c r="FQ9" s="56">
        <v>0</v>
      </c>
      <c r="FR9" s="56">
        <v>0</v>
      </c>
      <c r="FS9" s="58">
        <v>0</v>
      </c>
      <c r="FT9" s="56">
        <v>0</v>
      </c>
      <c r="FU9" s="56">
        <v>0</v>
      </c>
      <c r="FV9" s="56">
        <v>0</v>
      </c>
      <c r="FW9" s="56">
        <v>0</v>
      </c>
      <c r="FX9" s="56">
        <v>0</v>
      </c>
      <c r="FY9" s="56">
        <v>0</v>
      </c>
      <c r="FZ9" s="54" t="s">
        <v>1083</v>
      </c>
      <c r="GA9" s="54" t="s">
        <v>1084</v>
      </c>
      <c r="GB9" s="54" t="s">
        <v>1072</v>
      </c>
      <c r="GC9" s="54" t="s">
        <v>1073</v>
      </c>
      <c r="GD9" s="54"/>
      <c r="GE9" s="54"/>
      <c r="GF9" s="54"/>
      <c r="GG9" s="55"/>
      <c r="GH9" s="54"/>
      <c r="GI9" s="54"/>
      <c r="GJ9" s="54" t="s">
        <v>1076</v>
      </c>
      <c r="GK9" s="54" t="s">
        <v>1077</v>
      </c>
      <c r="GL9" s="54"/>
      <c r="GM9" s="54"/>
      <c r="GN9" s="54" t="s">
        <v>1078</v>
      </c>
      <c r="GO9" s="54" t="s">
        <v>1059</v>
      </c>
      <c r="GP9" s="54"/>
      <c r="GQ9" s="56">
        <v>0</v>
      </c>
      <c r="GR9" s="54" t="s">
        <v>1079</v>
      </c>
      <c r="GS9" s="54"/>
    </row>
    <row r="10" spans="1:201" x14ac:dyDescent="0.25">
      <c r="A10" s="54" t="s">
        <v>1032</v>
      </c>
      <c r="B10" s="54" t="s">
        <v>1033</v>
      </c>
      <c r="C10" s="54" t="s">
        <v>1034</v>
      </c>
      <c r="D10" s="54" t="s">
        <v>1035</v>
      </c>
      <c r="E10" s="54" t="s">
        <v>1036</v>
      </c>
      <c r="F10" s="55">
        <v>46175</v>
      </c>
      <c r="G10" s="55">
        <v>46175</v>
      </c>
      <c r="H10" s="54" t="s">
        <v>1037</v>
      </c>
      <c r="I10" s="54" t="s">
        <v>1038</v>
      </c>
      <c r="J10" s="54" t="s">
        <v>1039</v>
      </c>
      <c r="K10" s="55"/>
      <c r="L10" s="54" t="s">
        <v>1040</v>
      </c>
      <c r="M10" s="54"/>
      <c r="N10" s="54" t="s">
        <v>1041</v>
      </c>
      <c r="O10" s="54" t="s">
        <v>1091</v>
      </c>
      <c r="P10" s="54" t="s">
        <v>179</v>
      </c>
      <c r="Q10" s="54" t="s">
        <v>439</v>
      </c>
      <c r="R10" s="54" t="s">
        <v>1043</v>
      </c>
      <c r="S10" s="56">
        <v>13399.2</v>
      </c>
      <c r="T10" s="56">
        <v>13399.2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360</v>
      </c>
      <c r="AA10" s="56">
        <v>360</v>
      </c>
      <c r="AB10" s="59">
        <v>0</v>
      </c>
      <c r="AC10" s="56">
        <v>0</v>
      </c>
      <c r="AD10" s="56">
        <v>0</v>
      </c>
      <c r="AE10" s="56">
        <v>0</v>
      </c>
      <c r="AF10" s="54" t="s">
        <v>1044</v>
      </c>
      <c r="AG10" s="57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 t="s">
        <v>1045</v>
      </c>
      <c r="AS10" s="54" t="s">
        <v>1046</v>
      </c>
      <c r="AT10" s="54" t="s">
        <v>1047</v>
      </c>
      <c r="AU10" s="54" t="s">
        <v>1048</v>
      </c>
      <c r="AV10" s="54"/>
      <c r="AW10" s="55">
        <v>46189</v>
      </c>
      <c r="AX10" s="55">
        <v>46175</v>
      </c>
      <c r="AY10" s="55">
        <v>46175</v>
      </c>
      <c r="AZ10" s="55">
        <v>46176</v>
      </c>
      <c r="BA10" s="55">
        <v>46189</v>
      </c>
      <c r="BB10" s="56">
        <v>0</v>
      </c>
      <c r="BC10" s="56">
        <v>0</v>
      </c>
      <c r="BD10" s="56">
        <v>0</v>
      </c>
      <c r="BE10" s="56">
        <v>0</v>
      </c>
      <c r="BF10" s="56">
        <v>0</v>
      </c>
      <c r="BG10" s="56">
        <v>0</v>
      </c>
      <c r="BH10" s="56">
        <v>0</v>
      </c>
      <c r="BI10" s="56">
        <v>0</v>
      </c>
      <c r="BJ10" s="56">
        <v>0</v>
      </c>
      <c r="BK10" s="56">
        <v>0</v>
      </c>
      <c r="BL10" s="56">
        <v>0</v>
      </c>
      <c r="BM10" s="56">
        <v>0</v>
      </c>
      <c r="BN10" s="56">
        <v>0</v>
      </c>
      <c r="BO10" s="56">
        <v>0</v>
      </c>
      <c r="BP10" s="54" t="s">
        <v>1049</v>
      </c>
      <c r="BQ10" s="54" t="s">
        <v>1050</v>
      </c>
      <c r="BR10" s="54" t="s">
        <v>1049</v>
      </c>
      <c r="BS10" s="54" t="s">
        <v>1050</v>
      </c>
      <c r="BT10" s="54" t="s">
        <v>1051</v>
      </c>
      <c r="BU10" s="54" t="s">
        <v>1043</v>
      </c>
      <c r="BV10" s="58">
        <v>360</v>
      </c>
      <c r="BW10" s="54" t="s">
        <v>1052</v>
      </c>
      <c r="BX10" s="54" t="s">
        <v>1053</v>
      </c>
      <c r="BY10" s="54" t="s">
        <v>1054</v>
      </c>
      <c r="BZ10" s="54" t="s">
        <v>1055</v>
      </c>
      <c r="CA10" s="55"/>
      <c r="CB10" s="54" t="s">
        <v>1056</v>
      </c>
      <c r="CC10" s="54" t="s">
        <v>1057</v>
      </c>
      <c r="CD10" s="54" t="s">
        <v>1058</v>
      </c>
      <c r="CE10" s="54" t="s">
        <v>1059</v>
      </c>
      <c r="CF10" s="54" t="s">
        <v>1060</v>
      </c>
      <c r="CG10" s="54" t="s">
        <v>1061</v>
      </c>
      <c r="CH10" s="54" t="s">
        <v>1062</v>
      </c>
      <c r="CI10" s="54" t="s">
        <v>1063</v>
      </c>
      <c r="CJ10" s="54" t="s">
        <v>1064</v>
      </c>
      <c r="CK10" s="54" t="s">
        <v>1065</v>
      </c>
      <c r="CL10" s="54" t="s">
        <v>1066</v>
      </c>
      <c r="CM10" s="54" t="s">
        <v>1067</v>
      </c>
      <c r="CN10" s="54" t="s">
        <v>1068</v>
      </c>
      <c r="CO10" s="54" t="s">
        <v>1069</v>
      </c>
      <c r="CP10" s="56">
        <v>0</v>
      </c>
      <c r="CQ10" s="56">
        <v>0</v>
      </c>
      <c r="CR10" s="56">
        <v>0</v>
      </c>
      <c r="CS10" s="56">
        <v>0</v>
      </c>
      <c r="CT10" s="56">
        <v>0</v>
      </c>
      <c r="CU10" s="56">
        <v>0</v>
      </c>
      <c r="CV10" s="56">
        <v>0</v>
      </c>
      <c r="CW10" s="56">
        <v>0</v>
      </c>
      <c r="CX10" s="56">
        <v>0</v>
      </c>
      <c r="CY10" s="56">
        <v>0</v>
      </c>
      <c r="CZ10" s="56">
        <v>0</v>
      </c>
      <c r="DA10" s="56">
        <v>0</v>
      </c>
      <c r="DB10" s="56">
        <v>0</v>
      </c>
      <c r="DC10" s="56">
        <v>0</v>
      </c>
      <c r="DD10" s="56">
        <v>0</v>
      </c>
      <c r="DE10" s="56">
        <v>0</v>
      </c>
      <c r="DF10" s="56">
        <v>0</v>
      </c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56">
        <v>0</v>
      </c>
      <c r="DY10" s="56">
        <v>0</v>
      </c>
      <c r="DZ10" s="56">
        <v>0</v>
      </c>
      <c r="EA10" s="56">
        <v>0</v>
      </c>
      <c r="EB10" s="56">
        <v>0</v>
      </c>
      <c r="EC10" s="56">
        <v>0</v>
      </c>
      <c r="ED10" s="56">
        <v>0</v>
      </c>
      <c r="EE10" s="56">
        <v>0</v>
      </c>
      <c r="EF10" s="56">
        <v>0</v>
      </c>
      <c r="EG10" s="56">
        <v>0</v>
      </c>
      <c r="EH10" s="56">
        <v>1607.9</v>
      </c>
      <c r="EI10" s="56">
        <v>0</v>
      </c>
      <c r="EJ10" s="56">
        <v>0</v>
      </c>
      <c r="EK10" s="56">
        <v>0</v>
      </c>
      <c r="EL10" s="56">
        <v>0</v>
      </c>
      <c r="EM10" s="56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8">
        <v>0</v>
      </c>
      <c r="FD10" s="56">
        <v>0</v>
      </c>
      <c r="FE10" s="56">
        <v>0</v>
      </c>
      <c r="FF10" s="56">
        <v>0</v>
      </c>
      <c r="FG10" s="56">
        <v>0</v>
      </c>
      <c r="FH10" s="56">
        <v>0</v>
      </c>
      <c r="FI10" s="56">
        <v>0</v>
      </c>
      <c r="FJ10" s="56">
        <v>0</v>
      </c>
      <c r="FK10" s="56">
        <v>0</v>
      </c>
      <c r="FL10" s="56">
        <v>0</v>
      </c>
      <c r="FM10" s="56">
        <v>0</v>
      </c>
      <c r="FN10" s="56">
        <v>0</v>
      </c>
      <c r="FO10" s="56">
        <v>0</v>
      </c>
      <c r="FP10" s="56">
        <v>0</v>
      </c>
      <c r="FQ10" s="56">
        <v>0</v>
      </c>
      <c r="FR10" s="56">
        <v>0</v>
      </c>
      <c r="FS10" s="58">
        <v>0</v>
      </c>
      <c r="FT10" s="56">
        <v>0</v>
      </c>
      <c r="FU10" s="56">
        <v>0</v>
      </c>
      <c r="FV10" s="56">
        <v>0</v>
      </c>
      <c r="FW10" s="56">
        <v>0</v>
      </c>
      <c r="FX10" s="56">
        <v>0</v>
      </c>
      <c r="FY10" s="56">
        <v>0</v>
      </c>
      <c r="FZ10" s="54" t="s">
        <v>1083</v>
      </c>
      <c r="GA10" s="54" t="s">
        <v>1084</v>
      </c>
      <c r="GB10" s="54" t="s">
        <v>1072</v>
      </c>
      <c r="GC10" s="54" t="s">
        <v>1073</v>
      </c>
      <c r="GD10" s="54" t="s">
        <v>1092</v>
      </c>
      <c r="GE10" s="54" t="s">
        <v>1075</v>
      </c>
      <c r="GF10" s="54"/>
      <c r="GG10" s="55"/>
      <c r="GH10" s="54"/>
      <c r="GI10" s="54"/>
      <c r="GJ10" s="54" t="s">
        <v>1076</v>
      </c>
      <c r="GK10" s="54" t="s">
        <v>1077</v>
      </c>
      <c r="GL10" s="54"/>
      <c r="GM10" s="54"/>
      <c r="GN10" s="54" t="s">
        <v>1078</v>
      </c>
      <c r="GO10" s="54" t="s">
        <v>1059</v>
      </c>
      <c r="GP10" s="54"/>
      <c r="GQ10" s="56">
        <v>0</v>
      </c>
      <c r="GR10" s="54" t="s">
        <v>1079</v>
      </c>
      <c r="GS10" s="54"/>
    </row>
    <row r="11" spans="1:201" x14ac:dyDescent="0.25">
      <c r="A11" s="54" t="s">
        <v>1032</v>
      </c>
      <c r="B11" s="54" t="s">
        <v>1033</v>
      </c>
      <c r="C11" s="54" t="s">
        <v>1034</v>
      </c>
      <c r="D11" s="54" t="s">
        <v>1035</v>
      </c>
      <c r="E11" s="54" t="s">
        <v>1036</v>
      </c>
      <c r="F11" s="55">
        <v>46175</v>
      </c>
      <c r="G11" s="55">
        <v>46175</v>
      </c>
      <c r="H11" s="54" t="s">
        <v>1037</v>
      </c>
      <c r="I11" s="54" t="s">
        <v>1038</v>
      </c>
      <c r="J11" s="54" t="s">
        <v>1039</v>
      </c>
      <c r="K11" s="55"/>
      <c r="L11" s="54" t="s">
        <v>1040</v>
      </c>
      <c r="M11" s="54"/>
      <c r="N11" s="54" t="s">
        <v>1041</v>
      </c>
      <c r="O11" s="54" t="s">
        <v>1093</v>
      </c>
      <c r="P11" s="54" t="s">
        <v>559</v>
      </c>
      <c r="Q11" s="54" t="s">
        <v>561</v>
      </c>
      <c r="R11" s="54" t="s">
        <v>1043</v>
      </c>
      <c r="S11" s="56">
        <v>2661</v>
      </c>
      <c r="T11" s="56">
        <v>2661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100</v>
      </c>
      <c r="AA11" s="56">
        <v>100</v>
      </c>
      <c r="AB11" s="59">
        <v>0</v>
      </c>
      <c r="AC11" s="56">
        <v>0</v>
      </c>
      <c r="AD11" s="56">
        <v>0</v>
      </c>
      <c r="AE11" s="56">
        <v>0</v>
      </c>
      <c r="AF11" s="54" t="s">
        <v>1044</v>
      </c>
      <c r="AG11" s="57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 t="s">
        <v>1045</v>
      </c>
      <c r="AS11" s="54" t="s">
        <v>1094</v>
      </c>
      <c r="AT11" s="54" t="s">
        <v>1095</v>
      </c>
      <c r="AU11" s="54" t="s">
        <v>1048</v>
      </c>
      <c r="AV11" s="54"/>
      <c r="AW11" s="55">
        <v>46189</v>
      </c>
      <c r="AX11" s="55">
        <v>46175</v>
      </c>
      <c r="AY11" s="55">
        <v>46175</v>
      </c>
      <c r="AZ11" s="55">
        <v>46176</v>
      </c>
      <c r="BA11" s="55">
        <v>46189</v>
      </c>
      <c r="BB11" s="56">
        <v>0</v>
      </c>
      <c r="BC11" s="56">
        <v>0</v>
      </c>
      <c r="BD11" s="56">
        <v>0</v>
      </c>
      <c r="BE11" s="56">
        <v>0</v>
      </c>
      <c r="BF11" s="56">
        <v>0</v>
      </c>
      <c r="BG11" s="56">
        <v>0</v>
      </c>
      <c r="BH11" s="56">
        <v>0</v>
      </c>
      <c r="BI11" s="56">
        <v>0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54" t="s">
        <v>1049</v>
      </c>
      <c r="BQ11" s="54" t="s">
        <v>1050</v>
      </c>
      <c r="BR11" s="54" t="s">
        <v>1049</v>
      </c>
      <c r="BS11" s="54" t="s">
        <v>1050</v>
      </c>
      <c r="BT11" s="54" t="s">
        <v>1096</v>
      </c>
      <c r="BU11" s="54" t="s">
        <v>1043</v>
      </c>
      <c r="BV11" s="58">
        <v>100</v>
      </c>
      <c r="BW11" s="54" t="s">
        <v>1052</v>
      </c>
      <c r="BX11" s="54" t="s">
        <v>1053</v>
      </c>
      <c r="BY11" s="54" t="s">
        <v>1054</v>
      </c>
      <c r="BZ11" s="54" t="s">
        <v>1055</v>
      </c>
      <c r="CA11" s="55"/>
      <c r="CB11" s="54" t="s">
        <v>1056</v>
      </c>
      <c r="CC11" s="54" t="s">
        <v>1057</v>
      </c>
      <c r="CD11" s="54" t="s">
        <v>1058</v>
      </c>
      <c r="CE11" s="54" t="s">
        <v>1059</v>
      </c>
      <c r="CF11" s="54" t="s">
        <v>1060</v>
      </c>
      <c r="CG11" s="54" t="s">
        <v>1061</v>
      </c>
      <c r="CH11" s="54" t="s">
        <v>1062</v>
      </c>
      <c r="CI11" s="54" t="s">
        <v>1063</v>
      </c>
      <c r="CJ11" s="54" t="s">
        <v>1064</v>
      </c>
      <c r="CK11" s="54" t="s">
        <v>1065</v>
      </c>
      <c r="CL11" s="54" t="s">
        <v>1066</v>
      </c>
      <c r="CM11" s="54" t="s">
        <v>1067</v>
      </c>
      <c r="CN11" s="54" t="s">
        <v>1068</v>
      </c>
      <c r="CO11" s="54" t="s">
        <v>1069</v>
      </c>
      <c r="CP11" s="56">
        <v>0</v>
      </c>
      <c r="CQ11" s="56">
        <v>0</v>
      </c>
      <c r="CR11" s="56">
        <v>0</v>
      </c>
      <c r="CS11" s="56">
        <v>0</v>
      </c>
      <c r="CT11" s="56">
        <v>0</v>
      </c>
      <c r="CU11" s="56">
        <v>0</v>
      </c>
      <c r="CV11" s="56">
        <v>0</v>
      </c>
      <c r="CW11" s="56">
        <v>0</v>
      </c>
      <c r="CX11" s="56">
        <v>0</v>
      </c>
      <c r="CY11" s="56">
        <v>0</v>
      </c>
      <c r="CZ11" s="56">
        <v>0</v>
      </c>
      <c r="DA11" s="56">
        <v>0</v>
      </c>
      <c r="DB11" s="56">
        <v>0</v>
      </c>
      <c r="DC11" s="56">
        <v>0</v>
      </c>
      <c r="DD11" s="56">
        <v>0</v>
      </c>
      <c r="DE11" s="56">
        <v>0</v>
      </c>
      <c r="DF11" s="56">
        <v>0</v>
      </c>
      <c r="DG11" s="56">
        <v>0</v>
      </c>
      <c r="DH11" s="56">
        <v>0</v>
      </c>
      <c r="DI11" s="56">
        <v>0</v>
      </c>
      <c r="DJ11" s="56">
        <v>0</v>
      </c>
      <c r="DK11" s="56">
        <v>0</v>
      </c>
      <c r="DL11" s="56">
        <v>0</v>
      </c>
      <c r="DM11" s="56">
        <v>0</v>
      </c>
      <c r="DN11" s="56">
        <v>0</v>
      </c>
      <c r="DO11" s="56">
        <v>0</v>
      </c>
      <c r="DP11" s="56">
        <v>0</v>
      </c>
      <c r="DQ11" s="56">
        <v>0</v>
      </c>
      <c r="DR11" s="56">
        <v>0</v>
      </c>
      <c r="DS11" s="56">
        <v>0</v>
      </c>
      <c r="DT11" s="56">
        <v>0</v>
      </c>
      <c r="DU11" s="56">
        <v>0</v>
      </c>
      <c r="DV11" s="56">
        <v>0</v>
      </c>
      <c r="DW11" s="56">
        <v>0</v>
      </c>
      <c r="DX11" s="56">
        <v>0</v>
      </c>
      <c r="DY11" s="56">
        <v>0</v>
      </c>
      <c r="DZ11" s="56">
        <v>0</v>
      </c>
      <c r="EA11" s="56">
        <v>0</v>
      </c>
      <c r="EB11" s="56">
        <v>0</v>
      </c>
      <c r="EC11" s="56">
        <v>0</v>
      </c>
      <c r="ED11" s="56">
        <v>0</v>
      </c>
      <c r="EE11" s="56">
        <v>0</v>
      </c>
      <c r="EF11" s="56">
        <v>0</v>
      </c>
      <c r="EG11" s="56">
        <v>0</v>
      </c>
      <c r="EH11" s="56">
        <v>319.32</v>
      </c>
      <c r="EI11" s="56">
        <v>0</v>
      </c>
      <c r="EJ11" s="56">
        <v>0</v>
      </c>
      <c r="EK11" s="56">
        <v>0</v>
      </c>
      <c r="EL11" s="56">
        <v>0</v>
      </c>
      <c r="EM11" s="56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8">
        <v>0</v>
      </c>
      <c r="FD11" s="56">
        <v>0</v>
      </c>
      <c r="FE11" s="56">
        <v>0</v>
      </c>
      <c r="FF11" s="56">
        <v>0</v>
      </c>
      <c r="FG11" s="56">
        <v>0</v>
      </c>
      <c r="FH11" s="56">
        <v>0</v>
      </c>
      <c r="FI11" s="56">
        <v>0</v>
      </c>
      <c r="FJ11" s="56">
        <v>0</v>
      </c>
      <c r="FK11" s="56">
        <v>0</v>
      </c>
      <c r="FL11" s="56">
        <v>0</v>
      </c>
      <c r="FM11" s="56">
        <v>0</v>
      </c>
      <c r="FN11" s="56">
        <v>0</v>
      </c>
      <c r="FO11" s="56">
        <v>0</v>
      </c>
      <c r="FP11" s="56">
        <v>0</v>
      </c>
      <c r="FQ11" s="56">
        <v>0</v>
      </c>
      <c r="FR11" s="56">
        <v>0</v>
      </c>
      <c r="FS11" s="58">
        <v>0</v>
      </c>
      <c r="FT11" s="56">
        <v>0</v>
      </c>
      <c r="FU11" s="56">
        <v>0</v>
      </c>
      <c r="FV11" s="56">
        <v>0</v>
      </c>
      <c r="FW11" s="56">
        <v>0</v>
      </c>
      <c r="FX11" s="56">
        <v>0</v>
      </c>
      <c r="FY11" s="56">
        <v>0</v>
      </c>
      <c r="FZ11" s="54" t="s">
        <v>1097</v>
      </c>
      <c r="GA11" s="54" t="s">
        <v>1098</v>
      </c>
      <c r="GB11" s="54" t="s">
        <v>1072</v>
      </c>
      <c r="GC11" s="54" t="s">
        <v>1073</v>
      </c>
      <c r="GD11" s="54" t="s">
        <v>1092</v>
      </c>
      <c r="GE11" s="54" t="s">
        <v>1075</v>
      </c>
      <c r="GF11" s="54"/>
      <c r="GG11" s="55"/>
      <c r="GH11" s="54"/>
      <c r="GI11" s="54"/>
      <c r="GJ11" s="54" t="s">
        <v>1076</v>
      </c>
      <c r="GK11" s="54" t="s">
        <v>1077</v>
      </c>
      <c r="GL11" s="54"/>
      <c r="GM11" s="54"/>
      <c r="GN11" s="54" t="s">
        <v>1078</v>
      </c>
      <c r="GO11" s="54" t="s">
        <v>1059</v>
      </c>
      <c r="GP11" s="54"/>
      <c r="GQ11" s="56">
        <v>0</v>
      </c>
      <c r="GR11" s="54" t="s">
        <v>1079</v>
      </c>
      <c r="GS11" s="54"/>
    </row>
    <row r="12" spans="1:201" x14ac:dyDescent="0.25">
      <c r="A12" s="54" t="s">
        <v>1032</v>
      </c>
      <c r="B12" s="54" t="s">
        <v>1033</v>
      </c>
      <c r="C12" s="54" t="s">
        <v>1034</v>
      </c>
      <c r="D12" s="54" t="s">
        <v>1035</v>
      </c>
      <c r="E12" s="54" t="s">
        <v>1036</v>
      </c>
      <c r="F12" s="55">
        <v>46175</v>
      </c>
      <c r="G12" s="55">
        <v>46175</v>
      </c>
      <c r="H12" s="54" t="s">
        <v>1037</v>
      </c>
      <c r="I12" s="54" t="s">
        <v>1038</v>
      </c>
      <c r="J12" s="54" t="s">
        <v>1039</v>
      </c>
      <c r="K12" s="55"/>
      <c r="L12" s="54" t="s">
        <v>1040</v>
      </c>
      <c r="M12" s="54"/>
      <c r="N12" s="54" t="s">
        <v>1041</v>
      </c>
      <c r="O12" s="54" t="s">
        <v>1099</v>
      </c>
      <c r="P12" s="54" t="s">
        <v>619</v>
      </c>
      <c r="Q12" s="54" t="s">
        <v>624</v>
      </c>
      <c r="R12" s="54" t="s">
        <v>1043</v>
      </c>
      <c r="S12" s="56">
        <v>7528.4</v>
      </c>
      <c r="T12" s="56">
        <v>0</v>
      </c>
      <c r="U12" s="56">
        <v>7528.4</v>
      </c>
      <c r="V12" s="56">
        <v>0</v>
      </c>
      <c r="W12" s="56">
        <v>0</v>
      </c>
      <c r="X12" s="56">
        <v>0</v>
      </c>
      <c r="Y12" s="56">
        <v>0</v>
      </c>
      <c r="Z12" s="56">
        <v>220</v>
      </c>
      <c r="AA12" s="56">
        <v>0</v>
      </c>
      <c r="AB12" s="59">
        <v>220</v>
      </c>
      <c r="AC12" s="56">
        <v>0</v>
      </c>
      <c r="AD12" s="56">
        <v>0</v>
      </c>
      <c r="AE12" s="56">
        <v>0</v>
      </c>
      <c r="AF12" s="54" t="s">
        <v>1044</v>
      </c>
      <c r="AG12" s="57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 t="s">
        <v>1045</v>
      </c>
      <c r="AS12" s="54" t="s">
        <v>1046</v>
      </c>
      <c r="AT12" s="54" t="s">
        <v>1047</v>
      </c>
      <c r="AU12" s="54" t="s">
        <v>1048</v>
      </c>
      <c r="AV12" s="54"/>
      <c r="AW12" s="55">
        <v>46189</v>
      </c>
      <c r="AX12" s="55">
        <v>46175</v>
      </c>
      <c r="AY12" s="55">
        <v>46175</v>
      </c>
      <c r="AZ12" s="55"/>
      <c r="BA12" s="55">
        <v>46189</v>
      </c>
      <c r="BB12" s="56">
        <v>0</v>
      </c>
      <c r="BC12" s="56">
        <v>0</v>
      </c>
      <c r="BD12" s="56">
        <v>0</v>
      </c>
      <c r="BE12" s="56">
        <v>0</v>
      </c>
      <c r="BF12" s="56">
        <v>0</v>
      </c>
      <c r="BG12" s="56">
        <v>0</v>
      </c>
      <c r="BH12" s="56">
        <v>0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54" t="s">
        <v>1049</v>
      </c>
      <c r="BQ12" s="54" t="s">
        <v>1050</v>
      </c>
      <c r="BR12" s="54" t="s">
        <v>1049</v>
      </c>
      <c r="BS12" s="54" t="s">
        <v>1050</v>
      </c>
      <c r="BT12" s="54" t="s">
        <v>1051</v>
      </c>
      <c r="BU12" s="54" t="s">
        <v>1043</v>
      </c>
      <c r="BV12" s="58">
        <v>0</v>
      </c>
      <c r="BW12" s="54" t="s">
        <v>1052</v>
      </c>
      <c r="BX12" s="54" t="s">
        <v>1053</v>
      </c>
      <c r="BY12" s="54" t="s">
        <v>1054</v>
      </c>
      <c r="BZ12" s="54" t="s">
        <v>1055</v>
      </c>
      <c r="CA12" s="55"/>
      <c r="CB12" s="54" t="s">
        <v>1056</v>
      </c>
      <c r="CC12" s="54" t="s">
        <v>1057</v>
      </c>
      <c r="CD12" s="54" t="s">
        <v>1058</v>
      </c>
      <c r="CE12" s="54" t="s">
        <v>1059</v>
      </c>
      <c r="CF12" s="54" t="s">
        <v>1060</v>
      </c>
      <c r="CG12" s="54" t="s">
        <v>1061</v>
      </c>
      <c r="CH12" s="54" t="s">
        <v>1062</v>
      </c>
      <c r="CI12" s="54" t="s">
        <v>1063</v>
      </c>
      <c r="CJ12" s="54" t="s">
        <v>1064</v>
      </c>
      <c r="CK12" s="54" t="s">
        <v>1065</v>
      </c>
      <c r="CL12" s="54" t="s">
        <v>1066</v>
      </c>
      <c r="CM12" s="54" t="s">
        <v>1067</v>
      </c>
      <c r="CN12" s="54" t="s">
        <v>1068</v>
      </c>
      <c r="CO12" s="54" t="s">
        <v>1069</v>
      </c>
      <c r="CP12" s="56">
        <v>0</v>
      </c>
      <c r="CQ12" s="56">
        <v>0</v>
      </c>
      <c r="CR12" s="56">
        <v>0</v>
      </c>
      <c r="CS12" s="56">
        <v>0</v>
      </c>
      <c r="CT12" s="56">
        <v>0</v>
      </c>
      <c r="CU12" s="56">
        <v>0</v>
      </c>
      <c r="CV12" s="56">
        <v>0</v>
      </c>
      <c r="CW12" s="56">
        <v>0</v>
      </c>
      <c r="CX12" s="56">
        <v>0</v>
      </c>
      <c r="CY12" s="56">
        <v>0</v>
      </c>
      <c r="CZ12" s="56">
        <v>0</v>
      </c>
      <c r="DA12" s="56">
        <v>0</v>
      </c>
      <c r="DB12" s="56">
        <v>0</v>
      </c>
      <c r="DC12" s="56">
        <v>0</v>
      </c>
      <c r="DD12" s="56">
        <v>0</v>
      </c>
      <c r="DE12" s="56">
        <v>0</v>
      </c>
      <c r="DF12" s="56">
        <v>0</v>
      </c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0</v>
      </c>
      <c r="DT12" s="56">
        <v>0</v>
      </c>
      <c r="DU12" s="56">
        <v>0</v>
      </c>
      <c r="DV12" s="56">
        <v>0</v>
      </c>
      <c r="DW12" s="56">
        <v>0</v>
      </c>
      <c r="DX12" s="56">
        <v>0</v>
      </c>
      <c r="DY12" s="56">
        <v>0</v>
      </c>
      <c r="DZ12" s="56">
        <v>0</v>
      </c>
      <c r="EA12" s="56">
        <v>0</v>
      </c>
      <c r="EB12" s="56">
        <v>0</v>
      </c>
      <c r="EC12" s="56">
        <v>903.41</v>
      </c>
      <c r="ED12" s="56">
        <v>0</v>
      </c>
      <c r="EE12" s="56">
        <v>0</v>
      </c>
      <c r="EF12" s="56">
        <v>0</v>
      </c>
      <c r="EG12" s="56">
        <v>0</v>
      </c>
      <c r="EH12" s="56">
        <v>903.41</v>
      </c>
      <c r="EI12" s="56">
        <v>0</v>
      </c>
      <c r="EJ12" s="56">
        <v>0</v>
      </c>
      <c r="EK12" s="56">
        <v>0</v>
      </c>
      <c r="EL12" s="56">
        <v>0</v>
      </c>
      <c r="EM12" s="56">
        <v>0</v>
      </c>
      <c r="EN12" s="56">
        <v>0</v>
      </c>
      <c r="EO12" s="56">
        <v>0</v>
      </c>
      <c r="EP12" s="56">
        <v>7528.4</v>
      </c>
      <c r="EQ12" s="56">
        <v>0</v>
      </c>
      <c r="ER12" s="56">
        <v>0</v>
      </c>
      <c r="ES12" s="56">
        <v>220</v>
      </c>
      <c r="ET12" s="56">
        <v>0</v>
      </c>
      <c r="EU12" s="56">
        <v>0</v>
      </c>
      <c r="EV12" s="56">
        <v>0</v>
      </c>
      <c r="EW12" s="56">
        <v>0</v>
      </c>
      <c r="EX12" s="56">
        <v>0</v>
      </c>
      <c r="EY12" s="56">
        <v>0</v>
      </c>
      <c r="EZ12" s="56">
        <v>0</v>
      </c>
      <c r="FA12" s="56">
        <v>0</v>
      </c>
      <c r="FB12" s="56">
        <v>0</v>
      </c>
      <c r="FC12" s="58">
        <v>0</v>
      </c>
      <c r="FD12" s="56">
        <v>0</v>
      </c>
      <c r="FE12" s="56">
        <v>0</v>
      </c>
      <c r="FF12" s="56">
        <v>0</v>
      </c>
      <c r="FG12" s="56">
        <v>0</v>
      </c>
      <c r="FH12" s="56">
        <v>0</v>
      </c>
      <c r="FI12" s="56">
        <v>0</v>
      </c>
      <c r="FJ12" s="56">
        <v>0</v>
      </c>
      <c r="FK12" s="56">
        <v>0</v>
      </c>
      <c r="FL12" s="56">
        <v>0</v>
      </c>
      <c r="FM12" s="56">
        <v>0</v>
      </c>
      <c r="FN12" s="56">
        <v>0</v>
      </c>
      <c r="FO12" s="56">
        <v>0</v>
      </c>
      <c r="FP12" s="56">
        <v>0</v>
      </c>
      <c r="FQ12" s="56">
        <v>0</v>
      </c>
      <c r="FR12" s="56">
        <v>0</v>
      </c>
      <c r="FS12" s="58">
        <v>0</v>
      </c>
      <c r="FT12" s="56">
        <v>0</v>
      </c>
      <c r="FU12" s="56">
        <v>0</v>
      </c>
      <c r="FV12" s="56">
        <v>0</v>
      </c>
      <c r="FW12" s="56">
        <v>0</v>
      </c>
      <c r="FX12" s="56">
        <v>0</v>
      </c>
      <c r="FY12" s="56">
        <v>0</v>
      </c>
      <c r="FZ12" s="54" t="s">
        <v>1083</v>
      </c>
      <c r="GA12" s="54" t="s">
        <v>1084</v>
      </c>
      <c r="GB12" s="54" t="s">
        <v>1072</v>
      </c>
      <c r="GC12" s="54" t="s">
        <v>1073</v>
      </c>
      <c r="GD12" s="54"/>
      <c r="GE12" s="54"/>
      <c r="GF12" s="54" t="s">
        <v>1100</v>
      </c>
      <c r="GG12" s="55">
        <v>46205</v>
      </c>
      <c r="GH12" s="54"/>
      <c r="GI12" s="54"/>
      <c r="GJ12" s="54" t="s">
        <v>1076</v>
      </c>
      <c r="GK12" s="54" t="s">
        <v>1077</v>
      </c>
      <c r="GL12" s="54"/>
      <c r="GM12" s="54"/>
      <c r="GN12" s="54" t="s">
        <v>1078</v>
      </c>
      <c r="GO12" s="54" t="s">
        <v>1059</v>
      </c>
      <c r="GP12" s="54"/>
      <c r="GQ12" s="56">
        <v>0</v>
      </c>
      <c r="GR12" s="54" t="s">
        <v>1079</v>
      </c>
      <c r="GS12" s="54" t="s">
        <v>1101</v>
      </c>
    </row>
    <row r="13" spans="1:201" x14ac:dyDescent="0.25">
      <c r="A13" s="54" t="s">
        <v>1032</v>
      </c>
      <c r="B13" s="54" t="s">
        <v>1033</v>
      </c>
      <c r="C13" s="54" t="s">
        <v>1034</v>
      </c>
      <c r="D13" s="54" t="s">
        <v>1035</v>
      </c>
      <c r="E13" s="54" t="s">
        <v>1036</v>
      </c>
      <c r="F13" s="55">
        <v>46175</v>
      </c>
      <c r="G13" s="55">
        <v>46175</v>
      </c>
      <c r="H13" s="54" t="s">
        <v>1037</v>
      </c>
      <c r="I13" s="54" t="s">
        <v>1038</v>
      </c>
      <c r="J13" s="54" t="s">
        <v>1039</v>
      </c>
      <c r="K13" s="55"/>
      <c r="L13" s="54" t="s">
        <v>1040</v>
      </c>
      <c r="M13" s="54"/>
      <c r="N13" s="54" t="s">
        <v>1041</v>
      </c>
      <c r="O13" s="54" t="s">
        <v>1102</v>
      </c>
      <c r="P13" s="54" t="s">
        <v>572</v>
      </c>
      <c r="Q13" s="54" t="s">
        <v>573</v>
      </c>
      <c r="R13" s="54" t="s">
        <v>1043</v>
      </c>
      <c r="S13" s="56">
        <v>21829.5</v>
      </c>
      <c r="T13" s="56">
        <v>21829.5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1050</v>
      </c>
      <c r="AA13" s="56">
        <v>1050</v>
      </c>
      <c r="AB13" s="59">
        <v>0</v>
      </c>
      <c r="AC13" s="56">
        <v>0</v>
      </c>
      <c r="AD13" s="56">
        <v>0</v>
      </c>
      <c r="AE13" s="56">
        <v>0</v>
      </c>
      <c r="AF13" s="54" t="s">
        <v>1044</v>
      </c>
      <c r="AG13" s="57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 t="s">
        <v>1045</v>
      </c>
      <c r="AS13" s="54" t="s">
        <v>1103</v>
      </c>
      <c r="AT13" s="54" t="s">
        <v>1104</v>
      </c>
      <c r="AU13" s="54" t="s">
        <v>1048</v>
      </c>
      <c r="AV13" s="54"/>
      <c r="AW13" s="55">
        <v>46189</v>
      </c>
      <c r="AX13" s="55">
        <v>46175</v>
      </c>
      <c r="AY13" s="55">
        <v>46175</v>
      </c>
      <c r="AZ13" s="55">
        <v>46176</v>
      </c>
      <c r="BA13" s="55">
        <v>46189</v>
      </c>
      <c r="BB13" s="56">
        <v>0</v>
      </c>
      <c r="BC13" s="56">
        <v>0</v>
      </c>
      <c r="BD13" s="56">
        <v>0</v>
      </c>
      <c r="BE13" s="56">
        <v>0</v>
      </c>
      <c r="BF13" s="56">
        <v>0</v>
      </c>
      <c r="BG13" s="56">
        <v>0</v>
      </c>
      <c r="BH13" s="56">
        <v>0</v>
      </c>
      <c r="BI13" s="56">
        <v>0</v>
      </c>
      <c r="BJ13" s="56">
        <v>0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54" t="s">
        <v>1049</v>
      </c>
      <c r="BQ13" s="54" t="s">
        <v>1050</v>
      </c>
      <c r="BR13" s="54" t="s">
        <v>1049</v>
      </c>
      <c r="BS13" s="54" t="s">
        <v>1050</v>
      </c>
      <c r="BT13" s="54" t="s">
        <v>1051</v>
      </c>
      <c r="BU13" s="54" t="s">
        <v>1043</v>
      </c>
      <c r="BV13" s="58">
        <v>1050</v>
      </c>
      <c r="BW13" s="54" t="s">
        <v>1052</v>
      </c>
      <c r="BX13" s="54" t="s">
        <v>1053</v>
      </c>
      <c r="BY13" s="54" t="s">
        <v>1054</v>
      </c>
      <c r="BZ13" s="54" t="s">
        <v>1055</v>
      </c>
      <c r="CA13" s="55"/>
      <c r="CB13" s="54" t="s">
        <v>1056</v>
      </c>
      <c r="CC13" s="54" t="s">
        <v>1057</v>
      </c>
      <c r="CD13" s="54" t="s">
        <v>1058</v>
      </c>
      <c r="CE13" s="54" t="s">
        <v>1059</v>
      </c>
      <c r="CF13" s="54" t="s">
        <v>1060</v>
      </c>
      <c r="CG13" s="54" t="s">
        <v>1061</v>
      </c>
      <c r="CH13" s="54" t="s">
        <v>1062</v>
      </c>
      <c r="CI13" s="54" t="s">
        <v>1063</v>
      </c>
      <c r="CJ13" s="54" t="s">
        <v>1064</v>
      </c>
      <c r="CK13" s="54" t="s">
        <v>1065</v>
      </c>
      <c r="CL13" s="54" t="s">
        <v>1066</v>
      </c>
      <c r="CM13" s="54" t="s">
        <v>1067</v>
      </c>
      <c r="CN13" s="54" t="s">
        <v>1068</v>
      </c>
      <c r="CO13" s="54" t="s">
        <v>1069</v>
      </c>
      <c r="CP13" s="56">
        <v>0</v>
      </c>
      <c r="CQ13" s="56">
        <v>0</v>
      </c>
      <c r="CR13" s="56">
        <v>0</v>
      </c>
      <c r="CS13" s="56">
        <v>0</v>
      </c>
      <c r="CT13" s="56">
        <v>0</v>
      </c>
      <c r="CU13" s="56">
        <v>0</v>
      </c>
      <c r="CV13" s="56">
        <v>0</v>
      </c>
      <c r="CW13" s="56">
        <v>0</v>
      </c>
      <c r="CX13" s="56">
        <v>0</v>
      </c>
      <c r="CY13" s="56">
        <v>0</v>
      </c>
      <c r="CZ13" s="56">
        <v>0</v>
      </c>
      <c r="DA13" s="56">
        <v>0</v>
      </c>
      <c r="DB13" s="56">
        <v>0</v>
      </c>
      <c r="DC13" s="56">
        <v>0</v>
      </c>
      <c r="DD13" s="56">
        <v>0</v>
      </c>
      <c r="DE13" s="56">
        <v>0</v>
      </c>
      <c r="DF13" s="56">
        <v>0</v>
      </c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0</v>
      </c>
      <c r="DX13" s="56">
        <v>0</v>
      </c>
      <c r="DY13" s="56">
        <v>0</v>
      </c>
      <c r="DZ13" s="56">
        <v>0</v>
      </c>
      <c r="EA13" s="56">
        <v>0</v>
      </c>
      <c r="EB13" s="56">
        <v>0</v>
      </c>
      <c r="EC13" s="56">
        <v>0</v>
      </c>
      <c r="ED13" s="56">
        <v>0</v>
      </c>
      <c r="EE13" s="56">
        <v>0</v>
      </c>
      <c r="EF13" s="56">
        <v>1659.04</v>
      </c>
      <c r="EG13" s="56">
        <v>360.19</v>
      </c>
      <c r="EH13" s="56">
        <v>873.18</v>
      </c>
      <c r="EI13" s="56">
        <v>0</v>
      </c>
      <c r="EJ13" s="56">
        <v>0</v>
      </c>
      <c r="EK13" s="56">
        <v>0</v>
      </c>
      <c r="EL13" s="56">
        <v>0</v>
      </c>
      <c r="EM13" s="56">
        <v>0</v>
      </c>
      <c r="EN13" s="56">
        <v>0</v>
      </c>
      <c r="EO13" s="56">
        <v>0</v>
      </c>
      <c r="EP13" s="56">
        <v>0</v>
      </c>
      <c r="EQ13" s="56">
        <v>0</v>
      </c>
      <c r="ER13" s="56">
        <v>0</v>
      </c>
      <c r="ES13" s="56">
        <v>0</v>
      </c>
      <c r="ET13" s="56">
        <v>0</v>
      </c>
      <c r="EU13" s="56">
        <v>0</v>
      </c>
      <c r="EV13" s="56">
        <v>0</v>
      </c>
      <c r="EW13" s="56">
        <v>0</v>
      </c>
      <c r="EX13" s="56">
        <v>0</v>
      </c>
      <c r="EY13" s="56">
        <v>0</v>
      </c>
      <c r="EZ13" s="56">
        <v>0</v>
      </c>
      <c r="FA13" s="56">
        <v>0</v>
      </c>
      <c r="FB13" s="56">
        <v>0</v>
      </c>
      <c r="FC13" s="58">
        <v>0</v>
      </c>
      <c r="FD13" s="56">
        <v>0</v>
      </c>
      <c r="FE13" s="56">
        <v>0</v>
      </c>
      <c r="FF13" s="56">
        <v>0</v>
      </c>
      <c r="FG13" s="56">
        <v>0</v>
      </c>
      <c r="FH13" s="56">
        <v>0</v>
      </c>
      <c r="FI13" s="56">
        <v>0</v>
      </c>
      <c r="FJ13" s="56">
        <v>0</v>
      </c>
      <c r="FK13" s="56">
        <v>0</v>
      </c>
      <c r="FL13" s="56">
        <v>0</v>
      </c>
      <c r="FM13" s="56">
        <v>0</v>
      </c>
      <c r="FN13" s="56">
        <v>0</v>
      </c>
      <c r="FO13" s="56">
        <v>0</v>
      </c>
      <c r="FP13" s="56">
        <v>0</v>
      </c>
      <c r="FQ13" s="56">
        <v>0</v>
      </c>
      <c r="FR13" s="56">
        <v>0</v>
      </c>
      <c r="FS13" s="58">
        <v>0</v>
      </c>
      <c r="FT13" s="56">
        <v>0</v>
      </c>
      <c r="FU13" s="56">
        <v>0</v>
      </c>
      <c r="FV13" s="56">
        <v>0</v>
      </c>
      <c r="FW13" s="56">
        <v>0</v>
      </c>
      <c r="FX13" s="56">
        <v>0</v>
      </c>
      <c r="FY13" s="56">
        <v>0</v>
      </c>
      <c r="FZ13" s="54" t="s">
        <v>1105</v>
      </c>
      <c r="GA13" s="54" t="s">
        <v>1106</v>
      </c>
      <c r="GB13" s="54" t="s">
        <v>1072</v>
      </c>
      <c r="GC13" s="54" t="s">
        <v>1073</v>
      </c>
      <c r="GD13" s="54"/>
      <c r="GE13" s="54"/>
      <c r="GF13" s="54"/>
      <c r="GG13" s="55"/>
      <c r="GH13" s="54"/>
      <c r="GI13" s="54"/>
      <c r="GJ13" s="54" t="s">
        <v>1076</v>
      </c>
      <c r="GK13" s="54" t="s">
        <v>1077</v>
      </c>
      <c r="GL13" s="54"/>
      <c r="GM13" s="54"/>
      <c r="GN13" s="54" t="s">
        <v>1078</v>
      </c>
      <c r="GO13" s="54" t="s">
        <v>1059</v>
      </c>
      <c r="GP13" s="54"/>
      <c r="GQ13" s="56">
        <v>0</v>
      </c>
      <c r="GR13" s="54" t="s">
        <v>1079</v>
      </c>
      <c r="GS13" s="54"/>
    </row>
    <row r="14" spans="1:201" x14ac:dyDescent="0.25">
      <c r="A14" s="54" t="s">
        <v>1032</v>
      </c>
      <c r="B14" s="54" t="s">
        <v>1033</v>
      </c>
      <c r="C14" s="54" t="s">
        <v>1034</v>
      </c>
      <c r="D14" s="54" t="s">
        <v>1035</v>
      </c>
      <c r="E14" s="54" t="s">
        <v>1036</v>
      </c>
      <c r="F14" s="55">
        <v>46175</v>
      </c>
      <c r="G14" s="55">
        <v>46175</v>
      </c>
      <c r="H14" s="54" t="s">
        <v>1037</v>
      </c>
      <c r="I14" s="54" t="s">
        <v>1038</v>
      </c>
      <c r="J14" s="54" t="s">
        <v>1039</v>
      </c>
      <c r="K14" s="55"/>
      <c r="L14" s="54" t="s">
        <v>1040</v>
      </c>
      <c r="M14" s="54"/>
      <c r="N14" s="54" t="s">
        <v>1041</v>
      </c>
      <c r="O14" s="54" t="s">
        <v>1107</v>
      </c>
      <c r="P14" s="54" t="s">
        <v>655</v>
      </c>
      <c r="Q14" s="54" t="s">
        <v>574</v>
      </c>
      <c r="R14" s="54" t="s">
        <v>1043</v>
      </c>
      <c r="S14" s="56">
        <v>4365.8999999999996</v>
      </c>
      <c r="T14" s="56">
        <v>0</v>
      </c>
      <c r="U14" s="56">
        <v>4365.8999999999996</v>
      </c>
      <c r="V14" s="56">
        <v>0</v>
      </c>
      <c r="W14" s="56">
        <v>0</v>
      </c>
      <c r="X14" s="56">
        <v>0</v>
      </c>
      <c r="Y14" s="56">
        <v>0</v>
      </c>
      <c r="Z14" s="56">
        <v>210</v>
      </c>
      <c r="AA14" s="56">
        <v>0</v>
      </c>
      <c r="AB14" s="59">
        <v>210</v>
      </c>
      <c r="AC14" s="56">
        <v>0</v>
      </c>
      <c r="AD14" s="56">
        <v>0</v>
      </c>
      <c r="AE14" s="56">
        <v>0</v>
      </c>
      <c r="AF14" s="54" t="s">
        <v>1044</v>
      </c>
      <c r="AG14" s="57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 t="s">
        <v>1045</v>
      </c>
      <c r="AS14" s="54" t="s">
        <v>1103</v>
      </c>
      <c r="AT14" s="54" t="s">
        <v>1104</v>
      </c>
      <c r="AU14" s="54" t="s">
        <v>1048</v>
      </c>
      <c r="AV14" s="54"/>
      <c r="AW14" s="55">
        <v>46189</v>
      </c>
      <c r="AX14" s="55">
        <v>46175</v>
      </c>
      <c r="AY14" s="55">
        <v>46175</v>
      </c>
      <c r="AZ14" s="55"/>
      <c r="BA14" s="55">
        <v>46189</v>
      </c>
      <c r="BB14" s="56">
        <v>0</v>
      </c>
      <c r="BC14" s="56">
        <v>0</v>
      </c>
      <c r="BD14" s="56">
        <v>0</v>
      </c>
      <c r="BE14" s="56">
        <v>0</v>
      </c>
      <c r="BF14" s="56">
        <v>0</v>
      </c>
      <c r="BG14" s="56">
        <v>0</v>
      </c>
      <c r="BH14" s="56">
        <v>0</v>
      </c>
      <c r="BI14" s="56">
        <v>0</v>
      </c>
      <c r="BJ14" s="56">
        <v>0</v>
      </c>
      <c r="BK14" s="56">
        <v>0</v>
      </c>
      <c r="BL14" s="56">
        <v>0</v>
      </c>
      <c r="BM14" s="56">
        <v>0</v>
      </c>
      <c r="BN14" s="56">
        <v>0</v>
      </c>
      <c r="BO14" s="56">
        <v>0</v>
      </c>
      <c r="BP14" s="54" t="s">
        <v>1049</v>
      </c>
      <c r="BQ14" s="54" t="s">
        <v>1050</v>
      </c>
      <c r="BR14" s="54" t="s">
        <v>1049</v>
      </c>
      <c r="BS14" s="54" t="s">
        <v>1050</v>
      </c>
      <c r="BT14" s="54" t="s">
        <v>1051</v>
      </c>
      <c r="BU14" s="54" t="s">
        <v>1043</v>
      </c>
      <c r="BV14" s="58">
        <v>0</v>
      </c>
      <c r="BW14" s="54" t="s">
        <v>1052</v>
      </c>
      <c r="BX14" s="54" t="s">
        <v>1053</v>
      </c>
      <c r="BY14" s="54" t="s">
        <v>1054</v>
      </c>
      <c r="BZ14" s="54" t="s">
        <v>1055</v>
      </c>
      <c r="CA14" s="55"/>
      <c r="CB14" s="54" t="s">
        <v>1056</v>
      </c>
      <c r="CC14" s="54" t="s">
        <v>1057</v>
      </c>
      <c r="CD14" s="54" t="s">
        <v>1058</v>
      </c>
      <c r="CE14" s="54" t="s">
        <v>1059</v>
      </c>
      <c r="CF14" s="54" t="s">
        <v>1060</v>
      </c>
      <c r="CG14" s="54" t="s">
        <v>1061</v>
      </c>
      <c r="CH14" s="54" t="s">
        <v>1062</v>
      </c>
      <c r="CI14" s="54" t="s">
        <v>1063</v>
      </c>
      <c r="CJ14" s="54" t="s">
        <v>1064</v>
      </c>
      <c r="CK14" s="54" t="s">
        <v>1065</v>
      </c>
      <c r="CL14" s="54" t="s">
        <v>1066</v>
      </c>
      <c r="CM14" s="54" t="s">
        <v>1067</v>
      </c>
      <c r="CN14" s="54" t="s">
        <v>1068</v>
      </c>
      <c r="CO14" s="54" t="s">
        <v>1069</v>
      </c>
      <c r="CP14" s="56">
        <v>0</v>
      </c>
      <c r="CQ14" s="56">
        <v>0</v>
      </c>
      <c r="CR14" s="56">
        <v>0</v>
      </c>
      <c r="CS14" s="56">
        <v>0</v>
      </c>
      <c r="CT14" s="56">
        <v>0</v>
      </c>
      <c r="CU14" s="56">
        <v>0</v>
      </c>
      <c r="CV14" s="56">
        <v>0</v>
      </c>
      <c r="CW14" s="56">
        <v>0</v>
      </c>
      <c r="CX14" s="56">
        <v>0</v>
      </c>
      <c r="CY14" s="56">
        <v>0</v>
      </c>
      <c r="CZ14" s="56">
        <v>0</v>
      </c>
      <c r="DA14" s="56">
        <v>0</v>
      </c>
      <c r="DB14" s="56">
        <v>0</v>
      </c>
      <c r="DC14" s="56">
        <v>0</v>
      </c>
      <c r="DD14" s="56">
        <v>0</v>
      </c>
      <c r="DE14" s="56">
        <v>0</v>
      </c>
      <c r="DF14" s="56">
        <v>0</v>
      </c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0</v>
      </c>
      <c r="EA14" s="56">
        <v>0</v>
      </c>
      <c r="EB14" s="56">
        <v>331.81</v>
      </c>
      <c r="EC14" s="56">
        <v>174.64</v>
      </c>
      <c r="ED14" s="56">
        <v>0</v>
      </c>
      <c r="EE14" s="56">
        <v>0</v>
      </c>
      <c r="EF14" s="56">
        <v>331.81</v>
      </c>
      <c r="EG14" s="56">
        <v>72.040000000000006</v>
      </c>
      <c r="EH14" s="56">
        <v>174.64</v>
      </c>
      <c r="EI14" s="56">
        <v>0</v>
      </c>
      <c r="EJ14" s="56">
        <v>0</v>
      </c>
      <c r="EK14" s="56">
        <v>0</v>
      </c>
      <c r="EL14" s="56">
        <v>0</v>
      </c>
      <c r="EM14" s="56">
        <v>0</v>
      </c>
      <c r="EN14" s="56">
        <v>0</v>
      </c>
      <c r="EO14" s="56">
        <v>0</v>
      </c>
      <c r="EP14" s="56">
        <v>4365.8999999999996</v>
      </c>
      <c r="EQ14" s="56">
        <v>0</v>
      </c>
      <c r="ER14" s="56">
        <v>0</v>
      </c>
      <c r="ES14" s="56">
        <v>210</v>
      </c>
      <c r="ET14" s="56">
        <v>0</v>
      </c>
      <c r="EU14" s="56">
        <v>0</v>
      </c>
      <c r="EV14" s="56">
        <v>0</v>
      </c>
      <c r="EW14" s="56">
        <v>0</v>
      </c>
      <c r="EX14" s="56">
        <v>0</v>
      </c>
      <c r="EY14" s="56">
        <v>0</v>
      </c>
      <c r="EZ14" s="56">
        <v>0</v>
      </c>
      <c r="FA14" s="56">
        <v>0</v>
      </c>
      <c r="FB14" s="56">
        <v>0</v>
      </c>
      <c r="FC14" s="58">
        <v>0</v>
      </c>
      <c r="FD14" s="56">
        <v>0</v>
      </c>
      <c r="FE14" s="56">
        <v>0</v>
      </c>
      <c r="FF14" s="56">
        <v>0</v>
      </c>
      <c r="FG14" s="56">
        <v>0</v>
      </c>
      <c r="FH14" s="56">
        <v>0</v>
      </c>
      <c r="FI14" s="56">
        <v>0</v>
      </c>
      <c r="FJ14" s="56">
        <v>0</v>
      </c>
      <c r="FK14" s="56">
        <v>0</v>
      </c>
      <c r="FL14" s="56">
        <v>0</v>
      </c>
      <c r="FM14" s="56">
        <v>0</v>
      </c>
      <c r="FN14" s="56">
        <v>0</v>
      </c>
      <c r="FO14" s="56">
        <v>0</v>
      </c>
      <c r="FP14" s="56">
        <v>0</v>
      </c>
      <c r="FQ14" s="56">
        <v>0</v>
      </c>
      <c r="FR14" s="56">
        <v>0</v>
      </c>
      <c r="FS14" s="58">
        <v>0</v>
      </c>
      <c r="FT14" s="56">
        <v>0</v>
      </c>
      <c r="FU14" s="56">
        <v>0</v>
      </c>
      <c r="FV14" s="56">
        <v>0</v>
      </c>
      <c r="FW14" s="56">
        <v>0</v>
      </c>
      <c r="FX14" s="56">
        <v>0</v>
      </c>
      <c r="FY14" s="56">
        <v>0</v>
      </c>
      <c r="FZ14" s="54" t="s">
        <v>1105</v>
      </c>
      <c r="GA14" s="54" t="s">
        <v>1106</v>
      </c>
      <c r="GB14" s="54" t="s">
        <v>1072</v>
      </c>
      <c r="GC14" s="54" t="s">
        <v>1073</v>
      </c>
      <c r="GD14" s="54"/>
      <c r="GE14" s="54"/>
      <c r="GF14" s="54" t="s">
        <v>1108</v>
      </c>
      <c r="GG14" s="55">
        <v>46205</v>
      </c>
      <c r="GH14" s="54"/>
      <c r="GI14" s="54"/>
      <c r="GJ14" s="54" t="s">
        <v>1076</v>
      </c>
      <c r="GK14" s="54" t="s">
        <v>1077</v>
      </c>
      <c r="GL14" s="54"/>
      <c r="GM14" s="54"/>
      <c r="GN14" s="54" t="s">
        <v>1078</v>
      </c>
      <c r="GO14" s="54" t="s">
        <v>1059</v>
      </c>
      <c r="GP14" s="54"/>
      <c r="GQ14" s="56">
        <v>0</v>
      </c>
      <c r="GR14" s="54" t="s">
        <v>1079</v>
      </c>
      <c r="GS14" s="54" t="s">
        <v>1101</v>
      </c>
    </row>
    <row r="15" spans="1:201" x14ac:dyDescent="0.25">
      <c r="A15" s="54" t="s">
        <v>1032</v>
      </c>
      <c r="B15" s="54" t="s">
        <v>1033</v>
      </c>
      <c r="C15" s="54" t="s">
        <v>1034</v>
      </c>
      <c r="D15" s="54" t="s">
        <v>1035</v>
      </c>
      <c r="E15" s="54" t="s">
        <v>1036</v>
      </c>
      <c r="F15" s="55">
        <v>46175</v>
      </c>
      <c r="G15" s="55">
        <v>46175</v>
      </c>
      <c r="H15" s="54" t="s">
        <v>1037</v>
      </c>
      <c r="I15" s="54" t="s">
        <v>1038</v>
      </c>
      <c r="J15" s="54" t="s">
        <v>1039</v>
      </c>
      <c r="K15" s="55"/>
      <c r="L15" s="54" t="s">
        <v>1040</v>
      </c>
      <c r="M15" s="54"/>
      <c r="N15" s="54" t="s">
        <v>1041</v>
      </c>
      <c r="O15" s="54" t="s">
        <v>1109</v>
      </c>
      <c r="P15" s="54" t="s">
        <v>182</v>
      </c>
      <c r="Q15" s="54" t="s">
        <v>11</v>
      </c>
      <c r="R15" s="54" t="s">
        <v>1043</v>
      </c>
      <c r="S15" s="56">
        <v>938.4</v>
      </c>
      <c r="T15" s="56">
        <v>938.4</v>
      </c>
      <c r="U15" s="56">
        <v>0</v>
      </c>
      <c r="V15" s="56">
        <v>0</v>
      </c>
      <c r="W15" s="56">
        <v>0</v>
      </c>
      <c r="X15" s="56">
        <v>0</v>
      </c>
      <c r="Y15" s="56">
        <v>0</v>
      </c>
      <c r="Z15" s="56">
        <v>240</v>
      </c>
      <c r="AA15" s="56">
        <v>240</v>
      </c>
      <c r="AB15" s="59">
        <v>0</v>
      </c>
      <c r="AC15" s="56">
        <v>0</v>
      </c>
      <c r="AD15" s="56">
        <v>0</v>
      </c>
      <c r="AE15" s="56">
        <v>0</v>
      </c>
      <c r="AF15" s="54" t="s">
        <v>1044</v>
      </c>
      <c r="AG15" s="57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 t="s">
        <v>1045</v>
      </c>
      <c r="AS15" s="54" t="s">
        <v>1046</v>
      </c>
      <c r="AT15" s="54" t="s">
        <v>1047</v>
      </c>
      <c r="AU15" s="54" t="s">
        <v>1048</v>
      </c>
      <c r="AV15" s="54"/>
      <c r="AW15" s="55">
        <v>46189</v>
      </c>
      <c r="AX15" s="55">
        <v>46175</v>
      </c>
      <c r="AY15" s="55">
        <v>46175</v>
      </c>
      <c r="AZ15" s="55">
        <v>46176</v>
      </c>
      <c r="BA15" s="55">
        <v>46189</v>
      </c>
      <c r="BB15" s="56">
        <v>0</v>
      </c>
      <c r="BC15" s="56">
        <v>0</v>
      </c>
      <c r="BD15" s="56">
        <v>0</v>
      </c>
      <c r="BE15" s="56">
        <v>0</v>
      </c>
      <c r="BF15" s="56">
        <v>0</v>
      </c>
      <c r="BG15" s="56">
        <v>0</v>
      </c>
      <c r="BH15" s="56">
        <v>0</v>
      </c>
      <c r="BI15" s="56">
        <v>0</v>
      </c>
      <c r="BJ15" s="56">
        <v>0</v>
      </c>
      <c r="BK15" s="56">
        <v>0</v>
      </c>
      <c r="BL15" s="56">
        <v>0</v>
      </c>
      <c r="BM15" s="56">
        <v>0</v>
      </c>
      <c r="BN15" s="56">
        <v>0</v>
      </c>
      <c r="BO15" s="56">
        <v>0</v>
      </c>
      <c r="BP15" s="54" t="s">
        <v>1049</v>
      </c>
      <c r="BQ15" s="54" t="s">
        <v>1050</v>
      </c>
      <c r="BR15" s="54" t="s">
        <v>1049</v>
      </c>
      <c r="BS15" s="54" t="s">
        <v>1050</v>
      </c>
      <c r="BT15" s="54" t="s">
        <v>1051</v>
      </c>
      <c r="BU15" s="54" t="s">
        <v>1043</v>
      </c>
      <c r="BV15" s="58">
        <v>240</v>
      </c>
      <c r="BW15" s="54" t="s">
        <v>1052</v>
      </c>
      <c r="BX15" s="54" t="s">
        <v>1053</v>
      </c>
      <c r="BY15" s="54" t="s">
        <v>1054</v>
      </c>
      <c r="BZ15" s="54" t="s">
        <v>1055</v>
      </c>
      <c r="CA15" s="55"/>
      <c r="CB15" s="54" t="s">
        <v>1056</v>
      </c>
      <c r="CC15" s="54" t="s">
        <v>1057</v>
      </c>
      <c r="CD15" s="54" t="s">
        <v>1058</v>
      </c>
      <c r="CE15" s="54" t="s">
        <v>1059</v>
      </c>
      <c r="CF15" s="54" t="s">
        <v>1060</v>
      </c>
      <c r="CG15" s="54" t="s">
        <v>1061</v>
      </c>
      <c r="CH15" s="54" t="s">
        <v>1062</v>
      </c>
      <c r="CI15" s="54" t="s">
        <v>1063</v>
      </c>
      <c r="CJ15" s="54" t="s">
        <v>1064</v>
      </c>
      <c r="CK15" s="54" t="s">
        <v>1065</v>
      </c>
      <c r="CL15" s="54" t="s">
        <v>1066</v>
      </c>
      <c r="CM15" s="54" t="s">
        <v>1067</v>
      </c>
      <c r="CN15" s="54" t="s">
        <v>1068</v>
      </c>
      <c r="CO15" s="54" t="s">
        <v>1069</v>
      </c>
      <c r="CP15" s="56">
        <v>0</v>
      </c>
      <c r="CQ15" s="56">
        <v>0</v>
      </c>
      <c r="CR15" s="56">
        <v>0</v>
      </c>
      <c r="CS15" s="56">
        <v>0</v>
      </c>
      <c r="CT15" s="56">
        <v>0</v>
      </c>
      <c r="CU15" s="56">
        <v>0</v>
      </c>
      <c r="CV15" s="56">
        <v>0</v>
      </c>
      <c r="CW15" s="56">
        <v>0</v>
      </c>
      <c r="CX15" s="56">
        <v>0</v>
      </c>
      <c r="CY15" s="56">
        <v>0</v>
      </c>
      <c r="CZ15" s="56">
        <v>0</v>
      </c>
      <c r="DA15" s="56">
        <v>0</v>
      </c>
      <c r="DB15" s="56">
        <v>0</v>
      </c>
      <c r="DC15" s="56">
        <v>0</v>
      </c>
      <c r="DD15" s="56">
        <v>0</v>
      </c>
      <c r="DE15" s="56">
        <v>0</v>
      </c>
      <c r="DF15" s="56">
        <v>0</v>
      </c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56">
        <v>0</v>
      </c>
      <c r="ED15" s="56">
        <v>0</v>
      </c>
      <c r="EE15" s="56">
        <v>0</v>
      </c>
      <c r="EF15" s="56">
        <v>0</v>
      </c>
      <c r="EG15" s="56">
        <v>0</v>
      </c>
      <c r="EH15" s="56">
        <v>112.61</v>
      </c>
      <c r="EI15" s="56">
        <v>0</v>
      </c>
      <c r="EJ15" s="56">
        <v>0</v>
      </c>
      <c r="EK15" s="56">
        <v>0</v>
      </c>
      <c r="EL15" s="56">
        <v>0</v>
      </c>
      <c r="EM15" s="56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8">
        <v>0</v>
      </c>
      <c r="FD15" s="56">
        <v>0</v>
      </c>
      <c r="FE15" s="56">
        <v>0</v>
      </c>
      <c r="FF15" s="56">
        <v>0</v>
      </c>
      <c r="FG15" s="56">
        <v>0</v>
      </c>
      <c r="FH15" s="56">
        <v>0</v>
      </c>
      <c r="FI15" s="56">
        <v>0</v>
      </c>
      <c r="FJ15" s="56">
        <v>0</v>
      </c>
      <c r="FK15" s="56">
        <v>0</v>
      </c>
      <c r="FL15" s="56">
        <v>0</v>
      </c>
      <c r="FM15" s="56">
        <v>0</v>
      </c>
      <c r="FN15" s="56">
        <v>0</v>
      </c>
      <c r="FO15" s="56">
        <v>0</v>
      </c>
      <c r="FP15" s="56">
        <v>0</v>
      </c>
      <c r="FQ15" s="56">
        <v>0</v>
      </c>
      <c r="FR15" s="56">
        <v>0</v>
      </c>
      <c r="FS15" s="58">
        <v>0</v>
      </c>
      <c r="FT15" s="56">
        <v>0</v>
      </c>
      <c r="FU15" s="56">
        <v>0</v>
      </c>
      <c r="FV15" s="56">
        <v>0</v>
      </c>
      <c r="FW15" s="56">
        <v>0</v>
      </c>
      <c r="FX15" s="56">
        <v>0</v>
      </c>
      <c r="FY15" s="56">
        <v>0</v>
      </c>
      <c r="FZ15" s="54" t="s">
        <v>1070</v>
      </c>
      <c r="GA15" s="54" t="s">
        <v>1071</v>
      </c>
      <c r="GB15" s="54" t="s">
        <v>1072</v>
      </c>
      <c r="GC15" s="54" t="s">
        <v>1073</v>
      </c>
      <c r="GD15" s="54" t="s">
        <v>1110</v>
      </c>
      <c r="GE15" s="54" t="s">
        <v>1075</v>
      </c>
      <c r="GF15" s="54"/>
      <c r="GG15" s="55"/>
      <c r="GH15" s="54"/>
      <c r="GI15" s="54"/>
      <c r="GJ15" s="54" t="s">
        <v>1076</v>
      </c>
      <c r="GK15" s="54" t="s">
        <v>1077</v>
      </c>
      <c r="GL15" s="54"/>
      <c r="GM15" s="54"/>
      <c r="GN15" s="54" t="s">
        <v>1078</v>
      </c>
      <c r="GO15" s="54" t="s">
        <v>1059</v>
      </c>
      <c r="GP15" s="54"/>
      <c r="GQ15" s="56">
        <v>0</v>
      </c>
      <c r="GR15" s="54" t="s">
        <v>1079</v>
      </c>
      <c r="GS15" s="54"/>
    </row>
    <row r="16" spans="1:201" x14ac:dyDescent="0.25">
      <c r="A16" s="54" t="s">
        <v>1032</v>
      </c>
      <c r="B16" s="54" t="s">
        <v>1033</v>
      </c>
      <c r="C16" s="54" t="s">
        <v>1034</v>
      </c>
      <c r="D16" s="54" t="s">
        <v>1035</v>
      </c>
      <c r="E16" s="54" t="s">
        <v>1036</v>
      </c>
      <c r="F16" s="55">
        <v>46175</v>
      </c>
      <c r="G16" s="55">
        <v>46175</v>
      </c>
      <c r="H16" s="54" t="s">
        <v>1037</v>
      </c>
      <c r="I16" s="54" t="s">
        <v>1038</v>
      </c>
      <c r="J16" s="54" t="s">
        <v>1039</v>
      </c>
      <c r="K16" s="55"/>
      <c r="L16" s="54" t="s">
        <v>1040</v>
      </c>
      <c r="M16" s="54"/>
      <c r="N16" s="54" t="s">
        <v>1041</v>
      </c>
      <c r="O16" s="54" t="s">
        <v>1111</v>
      </c>
      <c r="P16" s="54" t="s">
        <v>362</v>
      </c>
      <c r="Q16" s="54" t="s">
        <v>363</v>
      </c>
      <c r="R16" s="54" t="s">
        <v>1043</v>
      </c>
      <c r="S16" s="56">
        <v>896</v>
      </c>
      <c r="T16" s="56">
        <v>896</v>
      </c>
      <c r="U16" s="56">
        <v>0</v>
      </c>
      <c r="V16" s="56">
        <v>0</v>
      </c>
      <c r="W16" s="56">
        <v>0</v>
      </c>
      <c r="X16" s="56">
        <v>0</v>
      </c>
      <c r="Y16" s="56">
        <v>0</v>
      </c>
      <c r="Z16" s="56">
        <v>112</v>
      </c>
      <c r="AA16" s="56">
        <v>112</v>
      </c>
      <c r="AB16" s="59">
        <v>0</v>
      </c>
      <c r="AC16" s="56">
        <v>0</v>
      </c>
      <c r="AD16" s="56">
        <v>0</v>
      </c>
      <c r="AE16" s="56">
        <v>0</v>
      </c>
      <c r="AF16" s="54" t="s">
        <v>1044</v>
      </c>
      <c r="AG16" s="57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 t="s">
        <v>1045</v>
      </c>
      <c r="AS16" s="54" t="s">
        <v>1046</v>
      </c>
      <c r="AT16" s="54" t="s">
        <v>1047</v>
      </c>
      <c r="AU16" s="54" t="s">
        <v>1048</v>
      </c>
      <c r="AV16" s="54"/>
      <c r="AW16" s="55">
        <v>46189</v>
      </c>
      <c r="AX16" s="55">
        <v>46175</v>
      </c>
      <c r="AY16" s="55">
        <v>46175</v>
      </c>
      <c r="AZ16" s="55">
        <v>46176</v>
      </c>
      <c r="BA16" s="55">
        <v>46189</v>
      </c>
      <c r="BB16" s="56">
        <v>0</v>
      </c>
      <c r="BC16" s="56">
        <v>0</v>
      </c>
      <c r="BD16" s="56">
        <v>0</v>
      </c>
      <c r="BE16" s="56">
        <v>0</v>
      </c>
      <c r="BF16" s="56">
        <v>0</v>
      </c>
      <c r="BG16" s="56">
        <v>0</v>
      </c>
      <c r="BH16" s="56">
        <v>0</v>
      </c>
      <c r="BI16" s="56">
        <v>0</v>
      </c>
      <c r="BJ16" s="56">
        <v>0</v>
      </c>
      <c r="BK16" s="56">
        <v>0</v>
      </c>
      <c r="BL16" s="56">
        <v>0</v>
      </c>
      <c r="BM16" s="56">
        <v>0</v>
      </c>
      <c r="BN16" s="56">
        <v>0</v>
      </c>
      <c r="BO16" s="56">
        <v>0</v>
      </c>
      <c r="BP16" s="54" t="s">
        <v>1049</v>
      </c>
      <c r="BQ16" s="54" t="s">
        <v>1050</v>
      </c>
      <c r="BR16" s="54" t="s">
        <v>1049</v>
      </c>
      <c r="BS16" s="54" t="s">
        <v>1050</v>
      </c>
      <c r="BT16" s="54" t="s">
        <v>1051</v>
      </c>
      <c r="BU16" s="54" t="s">
        <v>1043</v>
      </c>
      <c r="BV16" s="58">
        <v>112</v>
      </c>
      <c r="BW16" s="54" t="s">
        <v>1052</v>
      </c>
      <c r="BX16" s="54" t="s">
        <v>1053</v>
      </c>
      <c r="BY16" s="54" t="s">
        <v>1054</v>
      </c>
      <c r="BZ16" s="54" t="s">
        <v>1055</v>
      </c>
      <c r="CA16" s="55"/>
      <c r="CB16" s="54" t="s">
        <v>1056</v>
      </c>
      <c r="CC16" s="54" t="s">
        <v>1057</v>
      </c>
      <c r="CD16" s="54" t="s">
        <v>1058</v>
      </c>
      <c r="CE16" s="54" t="s">
        <v>1059</v>
      </c>
      <c r="CF16" s="54" t="s">
        <v>1060</v>
      </c>
      <c r="CG16" s="54" t="s">
        <v>1061</v>
      </c>
      <c r="CH16" s="54" t="s">
        <v>1062</v>
      </c>
      <c r="CI16" s="54" t="s">
        <v>1063</v>
      </c>
      <c r="CJ16" s="54" t="s">
        <v>1064</v>
      </c>
      <c r="CK16" s="54" t="s">
        <v>1065</v>
      </c>
      <c r="CL16" s="54" t="s">
        <v>1066</v>
      </c>
      <c r="CM16" s="54" t="s">
        <v>1067</v>
      </c>
      <c r="CN16" s="54" t="s">
        <v>1068</v>
      </c>
      <c r="CO16" s="54" t="s">
        <v>1069</v>
      </c>
      <c r="CP16" s="56">
        <v>0</v>
      </c>
      <c r="CQ16" s="56">
        <v>0</v>
      </c>
      <c r="CR16" s="56">
        <v>0</v>
      </c>
      <c r="CS16" s="56">
        <v>0</v>
      </c>
      <c r="CT16" s="56">
        <v>0</v>
      </c>
      <c r="CU16" s="56">
        <v>0</v>
      </c>
      <c r="CV16" s="56">
        <v>0</v>
      </c>
      <c r="CW16" s="56">
        <v>0</v>
      </c>
      <c r="CX16" s="56">
        <v>0</v>
      </c>
      <c r="CY16" s="56">
        <v>0</v>
      </c>
      <c r="CZ16" s="56">
        <v>0</v>
      </c>
      <c r="DA16" s="56">
        <v>0</v>
      </c>
      <c r="DB16" s="56">
        <v>0</v>
      </c>
      <c r="DC16" s="56">
        <v>0</v>
      </c>
      <c r="DD16" s="56">
        <v>0</v>
      </c>
      <c r="DE16" s="56">
        <v>0</v>
      </c>
      <c r="DF16" s="56">
        <v>0</v>
      </c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56">
        <v>0</v>
      </c>
      <c r="ED16" s="56">
        <v>0</v>
      </c>
      <c r="EE16" s="56">
        <v>0</v>
      </c>
      <c r="EF16" s="56">
        <v>0</v>
      </c>
      <c r="EG16" s="56">
        <v>0</v>
      </c>
      <c r="EH16" s="56">
        <v>35.840000000000003</v>
      </c>
      <c r="EI16" s="56">
        <v>0</v>
      </c>
      <c r="EJ16" s="56">
        <v>0</v>
      </c>
      <c r="EK16" s="56">
        <v>0</v>
      </c>
      <c r="EL16" s="56">
        <v>0</v>
      </c>
      <c r="EM16" s="56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8">
        <v>0</v>
      </c>
      <c r="FD16" s="56">
        <v>0</v>
      </c>
      <c r="FE16" s="56">
        <v>0</v>
      </c>
      <c r="FF16" s="56">
        <v>0</v>
      </c>
      <c r="FG16" s="56">
        <v>0</v>
      </c>
      <c r="FH16" s="56">
        <v>0</v>
      </c>
      <c r="FI16" s="56">
        <v>0</v>
      </c>
      <c r="FJ16" s="56">
        <v>0</v>
      </c>
      <c r="FK16" s="56">
        <v>0</v>
      </c>
      <c r="FL16" s="56">
        <v>0</v>
      </c>
      <c r="FM16" s="56">
        <v>0</v>
      </c>
      <c r="FN16" s="56">
        <v>0</v>
      </c>
      <c r="FO16" s="56">
        <v>0</v>
      </c>
      <c r="FP16" s="56">
        <v>0</v>
      </c>
      <c r="FQ16" s="56">
        <v>0</v>
      </c>
      <c r="FR16" s="56">
        <v>0</v>
      </c>
      <c r="FS16" s="58">
        <v>0</v>
      </c>
      <c r="FT16" s="56">
        <v>0</v>
      </c>
      <c r="FU16" s="56">
        <v>0</v>
      </c>
      <c r="FV16" s="56">
        <v>0</v>
      </c>
      <c r="FW16" s="56">
        <v>0</v>
      </c>
      <c r="FX16" s="56">
        <v>0</v>
      </c>
      <c r="FY16" s="56">
        <v>0</v>
      </c>
      <c r="FZ16" s="54" t="s">
        <v>1070</v>
      </c>
      <c r="GA16" s="54" t="s">
        <v>1071</v>
      </c>
      <c r="GB16" s="54" t="s">
        <v>1072</v>
      </c>
      <c r="GC16" s="54" t="s">
        <v>1073</v>
      </c>
      <c r="GD16" s="54" t="s">
        <v>1112</v>
      </c>
      <c r="GE16" s="54" t="s">
        <v>1075</v>
      </c>
      <c r="GF16" s="54"/>
      <c r="GG16" s="55"/>
      <c r="GH16" s="54"/>
      <c r="GI16" s="54"/>
      <c r="GJ16" s="54" t="s">
        <v>1076</v>
      </c>
      <c r="GK16" s="54" t="s">
        <v>1077</v>
      </c>
      <c r="GL16" s="54"/>
      <c r="GM16" s="54"/>
      <c r="GN16" s="54" t="s">
        <v>1078</v>
      </c>
      <c r="GO16" s="54" t="s">
        <v>1059</v>
      </c>
      <c r="GP16" s="54"/>
      <c r="GQ16" s="56">
        <v>0</v>
      </c>
      <c r="GR16" s="54" t="s">
        <v>1079</v>
      </c>
      <c r="GS16" s="54"/>
    </row>
    <row r="17" spans="1:201" x14ac:dyDescent="0.25">
      <c r="A17" s="54" t="s">
        <v>1032</v>
      </c>
      <c r="B17" s="54" t="s">
        <v>1033</v>
      </c>
      <c r="C17" s="54" t="s">
        <v>1034</v>
      </c>
      <c r="D17" s="54" t="s">
        <v>1035</v>
      </c>
      <c r="E17" s="54" t="s">
        <v>1036</v>
      </c>
      <c r="F17" s="55">
        <v>46175</v>
      </c>
      <c r="G17" s="55">
        <v>46175</v>
      </c>
      <c r="H17" s="54" t="s">
        <v>1037</v>
      </c>
      <c r="I17" s="54" t="s">
        <v>1038</v>
      </c>
      <c r="J17" s="54" t="s">
        <v>1039</v>
      </c>
      <c r="K17" s="55"/>
      <c r="L17" s="54" t="s">
        <v>1040</v>
      </c>
      <c r="M17" s="54"/>
      <c r="N17" s="54" t="s">
        <v>1041</v>
      </c>
      <c r="O17" s="54" t="s">
        <v>1113</v>
      </c>
      <c r="P17" s="54" t="s">
        <v>364</v>
      </c>
      <c r="Q17" s="54" t="s">
        <v>12</v>
      </c>
      <c r="R17" s="54" t="s">
        <v>1043</v>
      </c>
      <c r="S17" s="56">
        <v>11632.58</v>
      </c>
      <c r="T17" s="56">
        <v>11632.58</v>
      </c>
      <c r="U17" s="56">
        <v>0</v>
      </c>
      <c r="V17" s="56">
        <v>0</v>
      </c>
      <c r="W17" s="56">
        <v>0</v>
      </c>
      <c r="X17" s="56">
        <v>0</v>
      </c>
      <c r="Y17" s="56">
        <v>0</v>
      </c>
      <c r="Z17" s="56">
        <v>971</v>
      </c>
      <c r="AA17" s="56">
        <v>971</v>
      </c>
      <c r="AB17" s="59">
        <v>0</v>
      </c>
      <c r="AC17" s="56">
        <v>0</v>
      </c>
      <c r="AD17" s="56">
        <v>0</v>
      </c>
      <c r="AE17" s="56">
        <v>0</v>
      </c>
      <c r="AF17" s="54" t="s">
        <v>1044</v>
      </c>
      <c r="AG17" s="57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 t="s">
        <v>1045</v>
      </c>
      <c r="AS17" s="54" t="s">
        <v>1046</v>
      </c>
      <c r="AT17" s="54" t="s">
        <v>1047</v>
      </c>
      <c r="AU17" s="54" t="s">
        <v>1048</v>
      </c>
      <c r="AV17" s="54"/>
      <c r="AW17" s="55">
        <v>46189</v>
      </c>
      <c r="AX17" s="55">
        <v>46175</v>
      </c>
      <c r="AY17" s="55">
        <v>46175</v>
      </c>
      <c r="AZ17" s="55">
        <v>46176</v>
      </c>
      <c r="BA17" s="55">
        <v>46189</v>
      </c>
      <c r="BB17" s="56">
        <v>0</v>
      </c>
      <c r="BC17" s="56">
        <v>0</v>
      </c>
      <c r="BD17" s="56">
        <v>0</v>
      </c>
      <c r="BE17" s="56">
        <v>0</v>
      </c>
      <c r="BF17" s="56">
        <v>0</v>
      </c>
      <c r="BG17" s="56">
        <v>0</v>
      </c>
      <c r="BH17" s="56">
        <v>0</v>
      </c>
      <c r="BI17" s="56">
        <v>0</v>
      </c>
      <c r="BJ17" s="56">
        <v>0</v>
      </c>
      <c r="BK17" s="56">
        <v>0</v>
      </c>
      <c r="BL17" s="56">
        <v>0</v>
      </c>
      <c r="BM17" s="56">
        <v>0</v>
      </c>
      <c r="BN17" s="56">
        <v>0</v>
      </c>
      <c r="BO17" s="56">
        <v>0</v>
      </c>
      <c r="BP17" s="54" t="s">
        <v>1049</v>
      </c>
      <c r="BQ17" s="54" t="s">
        <v>1050</v>
      </c>
      <c r="BR17" s="54" t="s">
        <v>1049</v>
      </c>
      <c r="BS17" s="54" t="s">
        <v>1050</v>
      </c>
      <c r="BT17" s="54" t="s">
        <v>1051</v>
      </c>
      <c r="BU17" s="54" t="s">
        <v>1043</v>
      </c>
      <c r="BV17" s="58">
        <v>971</v>
      </c>
      <c r="BW17" s="54" t="s">
        <v>1052</v>
      </c>
      <c r="BX17" s="54" t="s">
        <v>1053</v>
      </c>
      <c r="BY17" s="54" t="s">
        <v>1054</v>
      </c>
      <c r="BZ17" s="54" t="s">
        <v>1055</v>
      </c>
      <c r="CA17" s="55"/>
      <c r="CB17" s="54" t="s">
        <v>1056</v>
      </c>
      <c r="CC17" s="54" t="s">
        <v>1057</v>
      </c>
      <c r="CD17" s="54" t="s">
        <v>1058</v>
      </c>
      <c r="CE17" s="54" t="s">
        <v>1059</v>
      </c>
      <c r="CF17" s="54" t="s">
        <v>1060</v>
      </c>
      <c r="CG17" s="54" t="s">
        <v>1061</v>
      </c>
      <c r="CH17" s="54" t="s">
        <v>1062</v>
      </c>
      <c r="CI17" s="54" t="s">
        <v>1063</v>
      </c>
      <c r="CJ17" s="54" t="s">
        <v>1064</v>
      </c>
      <c r="CK17" s="54" t="s">
        <v>1065</v>
      </c>
      <c r="CL17" s="54" t="s">
        <v>1066</v>
      </c>
      <c r="CM17" s="54" t="s">
        <v>1067</v>
      </c>
      <c r="CN17" s="54" t="s">
        <v>1068</v>
      </c>
      <c r="CO17" s="54" t="s">
        <v>1069</v>
      </c>
      <c r="CP17" s="56">
        <v>0</v>
      </c>
      <c r="CQ17" s="56">
        <v>0</v>
      </c>
      <c r="CR17" s="56">
        <v>0</v>
      </c>
      <c r="CS17" s="56">
        <v>0</v>
      </c>
      <c r="CT17" s="56">
        <v>0</v>
      </c>
      <c r="CU17" s="56">
        <v>0</v>
      </c>
      <c r="CV17" s="56">
        <v>0</v>
      </c>
      <c r="CW17" s="56">
        <v>0</v>
      </c>
      <c r="CX17" s="56">
        <v>0</v>
      </c>
      <c r="CY17" s="56">
        <v>0</v>
      </c>
      <c r="CZ17" s="56">
        <v>0</v>
      </c>
      <c r="DA17" s="56">
        <v>0</v>
      </c>
      <c r="DB17" s="56">
        <v>0</v>
      </c>
      <c r="DC17" s="56">
        <v>0</v>
      </c>
      <c r="DD17" s="56">
        <v>0</v>
      </c>
      <c r="DE17" s="56">
        <v>0</v>
      </c>
      <c r="DF17" s="56">
        <v>0</v>
      </c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56">
        <v>0</v>
      </c>
      <c r="ED17" s="56">
        <v>0</v>
      </c>
      <c r="EE17" s="56">
        <v>0</v>
      </c>
      <c r="EF17" s="56">
        <v>0</v>
      </c>
      <c r="EG17" s="56">
        <v>0</v>
      </c>
      <c r="EH17" s="56">
        <v>465.3</v>
      </c>
      <c r="EI17" s="56">
        <v>0</v>
      </c>
      <c r="EJ17" s="56">
        <v>0</v>
      </c>
      <c r="EK17" s="56">
        <v>0</v>
      </c>
      <c r="EL17" s="56">
        <v>0</v>
      </c>
      <c r="EM17" s="56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8">
        <v>0</v>
      </c>
      <c r="FD17" s="56">
        <v>0</v>
      </c>
      <c r="FE17" s="56">
        <v>0</v>
      </c>
      <c r="FF17" s="56">
        <v>0</v>
      </c>
      <c r="FG17" s="56">
        <v>0</v>
      </c>
      <c r="FH17" s="56">
        <v>0</v>
      </c>
      <c r="FI17" s="56">
        <v>0</v>
      </c>
      <c r="FJ17" s="56">
        <v>0</v>
      </c>
      <c r="FK17" s="56">
        <v>0</v>
      </c>
      <c r="FL17" s="56">
        <v>0</v>
      </c>
      <c r="FM17" s="56">
        <v>0</v>
      </c>
      <c r="FN17" s="56">
        <v>0</v>
      </c>
      <c r="FO17" s="56">
        <v>0</v>
      </c>
      <c r="FP17" s="56">
        <v>0</v>
      </c>
      <c r="FQ17" s="56">
        <v>0</v>
      </c>
      <c r="FR17" s="56">
        <v>0</v>
      </c>
      <c r="FS17" s="58">
        <v>0</v>
      </c>
      <c r="FT17" s="56">
        <v>0</v>
      </c>
      <c r="FU17" s="56">
        <v>0</v>
      </c>
      <c r="FV17" s="56">
        <v>0</v>
      </c>
      <c r="FW17" s="56">
        <v>0</v>
      </c>
      <c r="FX17" s="56">
        <v>0</v>
      </c>
      <c r="FY17" s="56">
        <v>0</v>
      </c>
      <c r="FZ17" s="54" t="s">
        <v>1070</v>
      </c>
      <c r="GA17" s="54" t="s">
        <v>1071</v>
      </c>
      <c r="GB17" s="54" t="s">
        <v>1072</v>
      </c>
      <c r="GC17" s="54" t="s">
        <v>1073</v>
      </c>
      <c r="GD17" s="54" t="s">
        <v>1112</v>
      </c>
      <c r="GE17" s="54" t="s">
        <v>1075</v>
      </c>
      <c r="GF17" s="54"/>
      <c r="GG17" s="55"/>
      <c r="GH17" s="54"/>
      <c r="GI17" s="54"/>
      <c r="GJ17" s="54" t="s">
        <v>1076</v>
      </c>
      <c r="GK17" s="54" t="s">
        <v>1077</v>
      </c>
      <c r="GL17" s="54"/>
      <c r="GM17" s="54"/>
      <c r="GN17" s="54" t="s">
        <v>1078</v>
      </c>
      <c r="GO17" s="54" t="s">
        <v>1059</v>
      </c>
      <c r="GP17" s="54"/>
      <c r="GQ17" s="56">
        <v>0</v>
      </c>
      <c r="GR17" s="54" t="s">
        <v>1079</v>
      </c>
      <c r="GS17" s="54"/>
    </row>
    <row r="18" spans="1:201" x14ac:dyDescent="0.25">
      <c r="A18" s="54" t="s">
        <v>1032</v>
      </c>
      <c r="B18" s="54" t="s">
        <v>1033</v>
      </c>
      <c r="C18" s="54" t="s">
        <v>1034</v>
      </c>
      <c r="D18" s="54" t="s">
        <v>1035</v>
      </c>
      <c r="E18" s="54" t="s">
        <v>1036</v>
      </c>
      <c r="F18" s="55">
        <v>46175</v>
      </c>
      <c r="G18" s="55">
        <v>46175</v>
      </c>
      <c r="H18" s="54" t="s">
        <v>1037</v>
      </c>
      <c r="I18" s="54" t="s">
        <v>1038</v>
      </c>
      <c r="J18" s="54" t="s">
        <v>1039</v>
      </c>
      <c r="K18" s="55"/>
      <c r="L18" s="54" t="s">
        <v>1040</v>
      </c>
      <c r="M18" s="54"/>
      <c r="N18" s="54" t="s">
        <v>1041</v>
      </c>
      <c r="O18" s="54" t="s">
        <v>1114</v>
      </c>
      <c r="P18" s="54" t="s">
        <v>554</v>
      </c>
      <c r="Q18" s="54" t="s">
        <v>555</v>
      </c>
      <c r="R18" s="54" t="s">
        <v>1043</v>
      </c>
      <c r="S18" s="56">
        <v>2251.5</v>
      </c>
      <c r="T18" s="56">
        <v>2251.5</v>
      </c>
      <c r="U18" s="56">
        <v>0</v>
      </c>
      <c r="V18" s="56">
        <v>0</v>
      </c>
      <c r="W18" s="56">
        <v>0</v>
      </c>
      <c r="X18" s="56">
        <v>0</v>
      </c>
      <c r="Y18" s="56">
        <v>0</v>
      </c>
      <c r="Z18" s="56">
        <v>150</v>
      </c>
      <c r="AA18" s="56">
        <v>150</v>
      </c>
      <c r="AB18" s="59">
        <v>0</v>
      </c>
      <c r="AC18" s="56">
        <v>0</v>
      </c>
      <c r="AD18" s="56">
        <v>0</v>
      </c>
      <c r="AE18" s="56">
        <v>0</v>
      </c>
      <c r="AF18" s="54" t="s">
        <v>1044</v>
      </c>
      <c r="AG18" s="57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 t="s">
        <v>1045</v>
      </c>
      <c r="AS18" s="54" t="s">
        <v>1081</v>
      </c>
      <c r="AT18" s="54" t="s">
        <v>1082</v>
      </c>
      <c r="AU18" s="54" t="s">
        <v>1048</v>
      </c>
      <c r="AV18" s="54"/>
      <c r="AW18" s="55">
        <v>46189</v>
      </c>
      <c r="AX18" s="55">
        <v>46175</v>
      </c>
      <c r="AY18" s="55">
        <v>46175</v>
      </c>
      <c r="AZ18" s="55">
        <v>46176</v>
      </c>
      <c r="BA18" s="55">
        <v>46189</v>
      </c>
      <c r="BB18" s="56">
        <v>0</v>
      </c>
      <c r="BC18" s="56">
        <v>0</v>
      </c>
      <c r="BD18" s="56">
        <v>0</v>
      </c>
      <c r="BE18" s="56">
        <v>0</v>
      </c>
      <c r="BF18" s="56">
        <v>0</v>
      </c>
      <c r="BG18" s="56">
        <v>0</v>
      </c>
      <c r="BH18" s="56">
        <v>0</v>
      </c>
      <c r="BI18" s="56">
        <v>0</v>
      </c>
      <c r="BJ18" s="56">
        <v>0</v>
      </c>
      <c r="BK18" s="56">
        <v>0</v>
      </c>
      <c r="BL18" s="56">
        <v>0</v>
      </c>
      <c r="BM18" s="56">
        <v>0</v>
      </c>
      <c r="BN18" s="56">
        <v>0</v>
      </c>
      <c r="BO18" s="56">
        <v>0</v>
      </c>
      <c r="BP18" s="54" t="s">
        <v>1049</v>
      </c>
      <c r="BQ18" s="54" t="s">
        <v>1050</v>
      </c>
      <c r="BR18" s="54" t="s">
        <v>1049</v>
      </c>
      <c r="BS18" s="54" t="s">
        <v>1050</v>
      </c>
      <c r="BT18" s="54" t="s">
        <v>1051</v>
      </c>
      <c r="BU18" s="54" t="s">
        <v>1043</v>
      </c>
      <c r="BV18" s="58">
        <v>150</v>
      </c>
      <c r="BW18" s="54" t="s">
        <v>1052</v>
      </c>
      <c r="BX18" s="54" t="s">
        <v>1053</v>
      </c>
      <c r="BY18" s="54" t="s">
        <v>1054</v>
      </c>
      <c r="BZ18" s="54" t="s">
        <v>1055</v>
      </c>
      <c r="CA18" s="55"/>
      <c r="CB18" s="54" t="s">
        <v>1056</v>
      </c>
      <c r="CC18" s="54" t="s">
        <v>1057</v>
      </c>
      <c r="CD18" s="54" t="s">
        <v>1058</v>
      </c>
      <c r="CE18" s="54" t="s">
        <v>1059</v>
      </c>
      <c r="CF18" s="54" t="s">
        <v>1060</v>
      </c>
      <c r="CG18" s="54" t="s">
        <v>1061</v>
      </c>
      <c r="CH18" s="54" t="s">
        <v>1062</v>
      </c>
      <c r="CI18" s="54" t="s">
        <v>1063</v>
      </c>
      <c r="CJ18" s="54" t="s">
        <v>1064</v>
      </c>
      <c r="CK18" s="54" t="s">
        <v>1065</v>
      </c>
      <c r="CL18" s="54" t="s">
        <v>1066</v>
      </c>
      <c r="CM18" s="54" t="s">
        <v>1067</v>
      </c>
      <c r="CN18" s="54" t="s">
        <v>1068</v>
      </c>
      <c r="CO18" s="54" t="s">
        <v>1069</v>
      </c>
      <c r="CP18" s="56">
        <v>0</v>
      </c>
      <c r="CQ18" s="56">
        <v>0</v>
      </c>
      <c r="CR18" s="56">
        <v>0</v>
      </c>
      <c r="CS18" s="56">
        <v>0</v>
      </c>
      <c r="CT18" s="56">
        <v>0</v>
      </c>
      <c r="CU18" s="56">
        <v>0</v>
      </c>
      <c r="CV18" s="56">
        <v>0</v>
      </c>
      <c r="CW18" s="56">
        <v>0</v>
      </c>
      <c r="CX18" s="56">
        <v>0</v>
      </c>
      <c r="CY18" s="56">
        <v>0</v>
      </c>
      <c r="CZ18" s="56">
        <v>0</v>
      </c>
      <c r="DA18" s="56">
        <v>0</v>
      </c>
      <c r="DB18" s="56">
        <v>0</v>
      </c>
      <c r="DC18" s="56">
        <v>0</v>
      </c>
      <c r="DD18" s="56">
        <v>0</v>
      </c>
      <c r="DE18" s="56">
        <v>0</v>
      </c>
      <c r="DF18" s="56">
        <v>0</v>
      </c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56">
        <v>0</v>
      </c>
      <c r="ED18" s="56">
        <v>0</v>
      </c>
      <c r="EE18" s="56">
        <v>0</v>
      </c>
      <c r="EF18" s="56">
        <v>0</v>
      </c>
      <c r="EG18" s="56">
        <v>0</v>
      </c>
      <c r="EH18" s="56">
        <v>270.18</v>
      </c>
      <c r="EI18" s="56">
        <v>0</v>
      </c>
      <c r="EJ18" s="56">
        <v>0</v>
      </c>
      <c r="EK18" s="56">
        <v>0</v>
      </c>
      <c r="EL18" s="56">
        <v>0</v>
      </c>
      <c r="EM18" s="56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8">
        <v>0</v>
      </c>
      <c r="FD18" s="56">
        <v>0</v>
      </c>
      <c r="FE18" s="56">
        <v>0</v>
      </c>
      <c r="FF18" s="56">
        <v>0</v>
      </c>
      <c r="FG18" s="56">
        <v>0</v>
      </c>
      <c r="FH18" s="56">
        <v>0</v>
      </c>
      <c r="FI18" s="56">
        <v>0</v>
      </c>
      <c r="FJ18" s="56">
        <v>0</v>
      </c>
      <c r="FK18" s="56">
        <v>0</v>
      </c>
      <c r="FL18" s="56">
        <v>0</v>
      </c>
      <c r="FM18" s="56">
        <v>0</v>
      </c>
      <c r="FN18" s="56">
        <v>0</v>
      </c>
      <c r="FO18" s="56">
        <v>0</v>
      </c>
      <c r="FP18" s="56">
        <v>0</v>
      </c>
      <c r="FQ18" s="56">
        <v>0</v>
      </c>
      <c r="FR18" s="56">
        <v>0</v>
      </c>
      <c r="FS18" s="58">
        <v>0</v>
      </c>
      <c r="FT18" s="56">
        <v>0</v>
      </c>
      <c r="FU18" s="56">
        <v>0</v>
      </c>
      <c r="FV18" s="56">
        <v>0</v>
      </c>
      <c r="FW18" s="56">
        <v>0</v>
      </c>
      <c r="FX18" s="56">
        <v>0</v>
      </c>
      <c r="FY18" s="56">
        <v>0</v>
      </c>
      <c r="FZ18" s="54" t="s">
        <v>1083</v>
      </c>
      <c r="GA18" s="54" t="s">
        <v>1084</v>
      </c>
      <c r="GB18" s="54" t="s">
        <v>1072</v>
      </c>
      <c r="GC18" s="54" t="s">
        <v>1073</v>
      </c>
      <c r="GD18" s="54"/>
      <c r="GE18" s="54"/>
      <c r="GF18" s="54"/>
      <c r="GG18" s="55"/>
      <c r="GH18" s="54"/>
      <c r="GI18" s="54"/>
      <c r="GJ18" s="54" t="s">
        <v>1076</v>
      </c>
      <c r="GK18" s="54" t="s">
        <v>1077</v>
      </c>
      <c r="GL18" s="54"/>
      <c r="GM18" s="54"/>
      <c r="GN18" s="54" t="s">
        <v>1078</v>
      </c>
      <c r="GO18" s="54" t="s">
        <v>1059</v>
      </c>
      <c r="GP18" s="54"/>
      <c r="GQ18" s="56">
        <v>0</v>
      </c>
      <c r="GR18" s="54" t="s">
        <v>1079</v>
      </c>
      <c r="GS18" s="54"/>
    </row>
    <row r="19" spans="1:201" x14ac:dyDescent="0.25">
      <c r="A19" s="54" t="s">
        <v>1032</v>
      </c>
      <c r="B19" s="54" t="s">
        <v>1033</v>
      </c>
      <c r="C19" s="54" t="s">
        <v>1034</v>
      </c>
      <c r="D19" s="54" t="s">
        <v>1035</v>
      </c>
      <c r="E19" s="54" t="s">
        <v>1036</v>
      </c>
      <c r="F19" s="55">
        <v>46175</v>
      </c>
      <c r="G19" s="55">
        <v>46175</v>
      </c>
      <c r="H19" s="54" t="s">
        <v>1037</v>
      </c>
      <c r="I19" s="54" t="s">
        <v>1038</v>
      </c>
      <c r="J19" s="54" t="s">
        <v>1039</v>
      </c>
      <c r="K19" s="55"/>
      <c r="L19" s="54" t="s">
        <v>1040</v>
      </c>
      <c r="M19" s="54"/>
      <c r="N19" s="54" t="s">
        <v>1041</v>
      </c>
      <c r="O19" s="54" t="s">
        <v>1115</v>
      </c>
      <c r="P19" s="54" t="s">
        <v>714</v>
      </c>
      <c r="Q19" s="54" t="s">
        <v>594</v>
      </c>
      <c r="R19" s="54" t="s">
        <v>1043</v>
      </c>
      <c r="S19" s="56">
        <v>1364.4</v>
      </c>
      <c r="T19" s="56">
        <v>1364.4</v>
      </c>
      <c r="U19" s="56">
        <v>0</v>
      </c>
      <c r="V19" s="56">
        <v>0</v>
      </c>
      <c r="W19" s="56">
        <v>0</v>
      </c>
      <c r="X19" s="56">
        <v>0</v>
      </c>
      <c r="Y19" s="56">
        <v>0</v>
      </c>
      <c r="Z19" s="56">
        <v>120</v>
      </c>
      <c r="AA19" s="56">
        <v>120</v>
      </c>
      <c r="AB19" s="59">
        <v>0</v>
      </c>
      <c r="AC19" s="56">
        <v>0</v>
      </c>
      <c r="AD19" s="56">
        <v>0</v>
      </c>
      <c r="AE19" s="56">
        <v>0</v>
      </c>
      <c r="AF19" s="54" t="s">
        <v>1044</v>
      </c>
      <c r="AG19" s="57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 t="s">
        <v>1045</v>
      </c>
      <c r="AS19" s="54" t="s">
        <v>1081</v>
      </c>
      <c r="AT19" s="54" t="s">
        <v>1082</v>
      </c>
      <c r="AU19" s="54" t="s">
        <v>1048</v>
      </c>
      <c r="AV19" s="54"/>
      <c r="AW19" s="55">
        <v>46189</v>
      </c>
      <c r="AX19" s="55">
        <v>46175</v>
      </c>
      <c r="AY19" s="55">
        <v>46175</v>
      </c>
      <c r="AZ19" s="55">
        <v>46176</v>
      </c>
      <c r="BA19" s="55">
        <v>46189</v>
      </c>
      <c r="BB19" s="56">
        <v>0</v>
      </c>
      <c r="BC19" s="56">
        <v>0</v>
      </c>
      <c r="BD19" s="56">
        <v>0</v>
      </c>
      <c r="BE19" s="56">
        <v>0</v>
      </c>
      <c r="BF19" s="56">
        <v>0</v>
      </c>
      <c r="BG19" s="56">
        <v>0</v>
      </c>
      <c r="BH19" s="56">
        <v>0</v>
      </c>
      <c r="BI19" s="56">
        <v>0</v>
      </c>
      <c r="BJ19" s="56">
        <v>0</v>
      </c>
      <c r="BK19" s="56">
        <v>0</v>
      </c>
      <c r="BL19" s="56">
        <v>0</v>
      </c>
      <c r="BM19" s="56">
        <v>0</v>
      </c>
      <c r="BN19" s="56">
        <v>0</v>
      </c>
      <c r="BO19" s="56">
        <v>0</v>
      </c>
      <c r="BP19" s="54" t="s">
        <v>1049</v>
      </c>
      <c r="BQ19" s="54" t="s">
        <v>1050</v>
      </c>
      <c r="BR19" s="54" t="s">
        <v>1049</v>
      </c>
      <c r="BS19" s="54" t="s">
        <v>1050</v>
      </c>
      <c r="BT19" s="54" t="s">
        <v>1051</v>
      </c>
      <c r="BU19" s="54" t="s">
        <v>1043</v>
      </c>
      <c r="BV19" s="58">
        <v>120</v>
      </c>
      <c r="BW19" s="54" t="s">
        <v>1052</v>
      </c>
      <c r="BX19" s="54" t="s">
        <v>1053</v>
      </c>
      <c r="BY19" s="54" t="s">
        <v>1054</v>
      </c>
      <c r="BZ19" s="54" t="s">
        <v>1055</v>
      </c>
      <c r="CA19" s="55"/>
      <c r="CB19" s="54" t="s">
        <v>1056</v>
      </c>
      <c r="CC19" s="54" t="s">
        <v>1057</v>
      </c>
      <c r="CD19" s="54" t="s">
        <v>1058</v>
      </c>
      <c r="CE19" s="54" t="s">
        <v>1059</v>
      </c>
      <c r="CF19" s="54" t="s">
        <v>1060</v>
      </c>
      <c r="CG19" s="54" t="s">
        <v>1061</v>
      </c>
      <c r="CH19" s="54" t="s">
        <v>1062</v>
      </c>
      <c r="CI19" s="54" t="s">
        <v>1063</v>
      </c>
      <c r="CJ19" s="54" t="s">
        <v>1064</v>
      </c>
      <c r="CK19" s="54" t="s">
        <v>1065</v>
      </c>
      <c r="CL19" s="54" t="s">
        <v>1066</v>
      </c>
      <c r="CM19" s="54" t="s">
        <v>1067</v>
      </c>
      <c r="CN19" s="54" t="s">
        <v>1068</v>
      </c>
      <c r="CO19" s="54" t="s">
        <v>1069</v>
      </c>
      <c r="CP19" s="56">
        <v>0</v>
      </c>
      <c r="CQ19" s="56">
        <v>0</v>
      </c>
      <c r="CR19" s="56">
        <v>0</v>
      </c>
      <c r="CS19" s="56">
        <v>0</v>
      </c>
      <c r="CT19" s="56">
        <v>0</v>
      </c>
      <c r="CU19" s="56">
        <v>0</v>
      </c>
      <c r="CV19" s="56">
        <v>0</v>
      </c>
      <c r="CW19" s="56">
        <v>0</v>
      </c>
      <c r="CX19" s="56">
        <v>0</v>
      </c>
      <c r="CY19" s="56">
        <v>0</v>
      </c>
      <c r="CZ19" s="56">
        <v>0</v>
      </c>
      <c r="DA19" s="56">
        <v>0</v>
      </c>
      <c r="DB19" s="56">
        <v>0</v>
      </c>
      <c r="DC19" s="56">
        <v>0</v>
      </c>
      <c r="DD19" s="56">
        <v>0</v>
      </c>
      <c r="DE19" s="56">
        <v>0</v>
      </c>
      <c r="DF19" s="56">
        <v>0</v>
      </c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56">
        <v>0</v>
      </c>
      <c r="ED19" s="56">
        <v>0</v>
      </c>
      <c r="EE19" s="56">
        <v>0</v>
      </c>
      <c r="EF19" s="56">
        <v>0</v>
      </c>
      <c r="EG19" s="56">
        <v>0</v>
      </c>
      <c r="EH19" s="56">
        <v>163.72999999999999</v>
      </c>
      <c r="EI19" s="56">
        <v>0</v>
      </c>
      <c r="EJ19" s="56">
        <v>0</v>
      </c>
      <c r="EK19" s="56">
        <v>0</v>
      </c>
      <c r="EL19" s="56">
        <v>0</v>
      </c>
      <c r="EM19" s="56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8">
        <v>0</v>
      </c>
      <c r="FD19" s="56">
        <v>0</v>
      </c>
      <c r="FE19" s="56">
        <v>0</v>
      </c>
      <c r="FF19" s="56">
        <v>0</v>
      </c>
      <c r="FG19" s="56">
        <v>0</v>
      </c>
      <c r="FH19" s="56">
        <v>0</v>
      </c>
      <c r="FI19" s="56">
        <v>0</v>
      </c>
      <c r="FJ19" s="56">
        <v>0</v>
      </c>
      <c r="FK19" s="56">
        <v>0</v>
      </c>
      <c r="FL19" s="56">
        <v>0</v>
      </c>
      <c r="FM19" s="56">
        <v>0</v>
      </c>
      <c r="FN19" s="56">
        <v>0</v>
      </c>
      <c r="FO19" s="56">
        <v>0</v>
      </c>
      <c r="FP19" s="56">
        <v>0</v>
      </c>
      <c r="FQ19" s="56">
        <v>0</v>
      </c>
      <c r="FR19" s="56">
        <v>0</v>
      </c>
      <c r="FS19" s="58">
        <v>0</v>
      </c>
      <c r="FT19" s="56">
        <v>0</v>
      </c>
      <c r="FU19" s="56">
        <v>0</v>
      </c>
      <c r="FV19" s="56">
        <v>0</v>
      </c>
      <c r="FW19" s="56">
        <v>0</v>
      </c>
      <c r="FX19" s="56">
        <v>0</v>
      </c>
      <c r="FY19" s="56">
        <v>0</v>
      </c>
      <c r="FZ19" s="54" t="s">
        <v>1083</v>
      </c>
      <c r="GA19" s="54" t="s">
        <v>1084</v>
      </c>
      <c r="GB19" s="54" t="s">
        <v>1072</v>
      </c>
      <c r="GC19" s="54" t="s">
        <v>1073</v>
      </c>
      <c r="GD19" s="54"/>
      <c r="GE19" s="54"/>
      <c r="GF19" s="54"/>
      <c r="GG19" s="55"/>
      <c r="GH19" s="54"/>
      <c r="GI19" s="54"/>
      <c r="GJ19" s="54" t="s">
        <v>1076</v>
      </c>
      <c r="GK19" s="54" t="s">
        <v>1077</v>
      </c>
      <c r="GL19" s="54"/>
      <c r="GM19" s="54"/>
      <c r="GN19" s="54" t="s">
        <v>1078</v>
      </c>
      <c r="GO19" s="54" t="s">
        <v>1059</v>
      </c>
      <c r="GP19" s="54"/>
      <c r="GQ19" s="56">
        <v>0</v>
      </c>
      <c r="GR19" s="54" t="s">
        <v>1079</v>
      </c>
      <c r="GS19" s="54"/>
    </row>
    <row r="20" spans="1:201" x14ac:dyDescent="0.25">
      <c r="A20" s="54" t="s">
        <v>1032</v>
      </c>
      <c r="B20" s="54" t="s">
        <v>1033</v>
      </c>
      <c r="C20" s="54" t="s">
        <v>1034</v>
      </c>
      <c r="D20" s="54" t="s">
        <v>1035</v>
      </c>
      <c r="E20" s="54" t="s">
        <v>1036</v>
      </c>
      <c r="F20" s="55">
        <v>46175</v>
      </c>
      <c r="G20" s="55">
        <v>46175</v>
      </c>
      <c r="H20" s="54" t="s">
        <v>1037</v>
      </c>
      <c r="I20" s="54" t="s">
        <v>1038</v>
      </c>
      <c r="J20" s="54" t="s">
        <v>1039</v>
      </c>
      <c r="K20" s="55"/>
      <c r="L20" s="54" t="s">
        <v>1040</v>
      </c>
      <c r="M20" s="54"/>
      <c r="N20" s="54" t="s">
        <v>1041</v>
      </c>
      <c r="O20" s="54" t="s">
        <v>1116</v>
      </c>
      <c r="P20" s="54" t="s">
        <v>637</v>
      </c>
      <c r="Q20" s="54" t="s">
        <v>641</v>
      </c>
      <c r="R20" s="54" t="s">
        <v>1043</v>
      </c>
      <c r="S20" s="56">
        <v>721.28</v>
      </c>
      <c r="T20" s="56">
        <v>721.28</v>
      </c>
      <c r="U20" s="56">
        <v>0</v>
      </c>
      <c r="V20" s="56">
        <v>0</v>
      </c>
      <c r="W20" s="56">
        <v>0</v>
      </c>
      <c r="X20" s="56">
        <v>0</v>
      </c>
      <c r="Y20" s="56">
        <v>0</v>
      </c>
      <c r="Z20" s="56">
        <v>112</v>
      </c>
      <c r="AA20" s="56">
        <v>112</v>
      </c>
      <c r="AB20" s="59">
        <v>0</v>
      </c>
      <c r="AC20" s="56">
        <v>0</v>
      </c>
      <c r="AD20" s="56">
        <v>0</v>
      </c>
      <c r="AE20" s="56">
        <v>0</v>
      </c>
      <c r="AF20" s="54" t="s">
        <v>1044</v>
      </c>
      <c r="AG20" s="57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 t="s">
        <v>1045</v>
      </c>
      <c r="AS20" s="54" t="s">
        <v>1081</v>
      </c>
      <c r="AT20" s="54" t="s">
        <v>1082</v>
      </c>
      <c r="AU20" s="54" t="s">
        <v>1048</v>
      </c>
      <c r="AV20" s="54"/>
      <c r="AW20" s="55">
        <v>46189</v>
      </c>
      <c r="AX20" s="55">
        <v>46175</v>
      </c>
      <c r="AY20" s="55">
        <v>46175</v>
      </c>
      <c r="AZ20" s="55">
        <v>46176</v>
      </c>
      <c r="BA20" s="55">
        <v>46189</v>
      </c>
      <c r="BB20" s="56">
        <v>0</v>
      </c>
      <c r="BC20" s="56">
        <v>0</v>
      </c>
      <c r="BD20" s="56">
        <v>0</v>
      </c>
      <c r="BE20" s="56">
        <v>0</v>
      </c>
      <c r="BF20" s="56">
        <v>0</v>
      </c>
      <c r="BG20" s="56">
        <v>0</v>
      </c>
      <c r="BH20" s="56">
        <v>0</v>
      </c>
      <c r="BI20" s="56">
        <v>0</v>
      </c>
      <c r="BJ20" s="56">
        <v>0</v>
      </c>
      <c r="BK20" s="56">
        <v>0</v>
      </c>
      <c r="BL20" s="56">
        <v>0</v>
      </c>
      <c r="BM20" s="56">
        <v>0</v>
      </c>
      <c r="BN20" s="56">
        <v>0</v>
      </c>
      <c r="BO20" s="56">
        <v>0</v>
      </c>
      <c r="BP20" s="54" t="s">
        <v>1049</v>
      </c>
      <c r="BQ20" s="54" t="s">
        <v>1050</v>
      </c>
      <c r="BR20" s="54" t="s">
        <v>1049</v>
      </c>
      <c r="BS20" s="54" t="s">
        <v>1050</v>
      </c>
      <c r="BT20" s="54" t="s">
        <v>1051</v>
      </c>
      <c r="BU20" s="54" t="s">
        <v>1043</v>
      </c>
      <c r="BV20" s="58">
        <v>112</v>
      </c>
      <c r="BW20" s="54" t="s">
        <v>1052</v>
      </c>
      <c r="BX20" s="54" t="s">
        <v>1053</v>
      </c>
      <c r="BY20" s="54" t="s">
        <v>1054</v>
      </c>
      <c r="BZ20" s="54" t="s">
        <v>1055</v>
      </c>
      <c r="CA20" s="55"/>
      <c r="CB20" s="54" t="s">
        <v>1056</v>
      </c>
      <c r="CC20" s="54" t="s">
        <v>1057</v>
      </c>
      <c r="CD20" s="54" t="s">
        <v>1058</v>
      </c>
      <c r="CE20" s="54" t="s">
        <v>1059</v>
      </c>
      <c r="CF20" s="54" t="s">
        <v>1060</v>
      </c>
      <c r="CG20" s="54" t="s">
        <v>1061</v>
      </c>
      <c r="CH20" s="54" t="s">
        <v>1062</v>
      </c>
      <c r="CI20" s="54" t="s">
        <v>1063</v>
      </c>
      <c r="CJ20" s="54" t="s">
        <v>1064</v>
      </c>
      <c r="CK20" s="54" t="s">
        <v>1065</v>
      </c>
      <c r="CL20" s="54" t="s">
        <v>1066</v>
      </c>
      <c r="CM20" s="54" t="s">
        <v>1067</v>
      </c>
      <c r="CN20" s="54" t="s">
        <v>1068</v>
      </c>
      <c r="CO20" s="54" t="s">
        <v>1069</v>
      </c>
      <c r="CP20" s="56">
        <v>0</v>
      </c>
      <c r="CQ20" s="56">
        <v>0</v>
      </c>
      <c r="CR20" s="56">
        <v>0</v>
      </c>
      <c r="CS20" s="56">
        <v>0</v>
      </c>
      <c r="CT20" s="56">
        <v>0</v>
      </c>
      <c r="CU20" s="56">
        <v>0</v>
      </c>
      <c r="CV20" s="56">
        <v>0</v>
      </c>
      <c r="CW20" s="56">
        <v>0</v>
      </c>
      <c r="CX20" s="56">
        <v>0</v>
      </c>
      <c r="CY20" s="56">
        <v>0</v>
      </c>
      <c r="CZ20" s="56">
        <v>0</v>
      </c>
      <c r="DA20" s="56">
        <v>0</v>
      </c>
      <c r="DB20" s="56">
        <v>0</v>
      </c>
      <c r="DC20" s="56">
        <v>0</v>
      </c>
      <c r="DD20" s="56">
        <v>0</v>
      </c>
      <c r="DE20" s="56">
        <v>0</v>
      </c>
      <c r="DF20" s="56">
        <v>0</v>
      </c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56">
        <v>0</v>
      </c>
      <c r="ED20" s="56">
        <v>0</v>
      </c>
      <c r="EE20" s="56">
        <v>0</v>
      </c>
      <c r="EF20" s="56">
        <v>0</v>
      </c>
      <c r="EG20" s="56">
        <v>0</v>
      </c>
      <c r="EH20" s="56">
        <v>86.55</v>
      </c>
      <c r="EI20" s="56">
        <v>0</v>
      </c>
      <c r="EJ20" s="56">
        <v>0</v>
      </c>
      <c r="EK20" s="56">
        <v>0</v>
      </c>
      <c r="EL20" s="56">
        <v>0</v>
      </c>
      <c r="EM20" s="56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8">
        <v>0</v>
      </c>
      <c r="FD20" s="56">
        <v>0</v>
      </c>
      <c r="FE20" s="56">
        <v>0</v>
      </c>
      <c r="FF20" s="56">
        <v>0</v>
      </c>
      <c r="FG20" s="56">
        <v>0</v>
      </c>
      <c r="FH20" s="56">
        <v>0</v>
      </c>
      <c r="FI20" s="56">
        <v>0</v>
      </c>
      <c r="FJ20" s="56">
        <v>0</v>
      </c>
      <c r="FK20" s="56">
        <v>0</v>
      </c>
      <c r="FL20" s="56">
        <v>0</v>
      </c>
      <c r="FM20" s="56">
        <v>0</v>
      </c>
      <c r="FN20" s="56">
        <v>0</v>
      </c>
      <c r="FO20" s="56">
        <v>0</v>
      </c>
      <c r="FP20" s="56">
        <v>0</v>
      </c>
      <c r="FQ20" s="56">
        <v>0</v>
      </c>
      <c r="FR20" s="56">
        <v>0</v>
      </c>
      <c r="FS20" s="58">
        <v>0</v>
      </c>
      <c r="FT20" s="56">
        <v>0</v>
      </c>
      <c r="FU20" s="56">
        <v>0</v>
      </c>
      <c r="FV20" s="56">
        <v>0</v>
      </c>
      <c r="FW20" s="56">
        <v>0</v>
      </c>
      <c r="FX20" s="56">
        <v>0</v>
      </c>
      <c r="FY20" s="56">
        <v>0</v>
      </c>
      <c r="FZ20" s="54" t="s">
        <v>1083</v>
      </c>
      <c r="GA20" s="54" t="s">
        <v>1084</v>
      </c>
      <c r="GB20" s="54" t="s">
        <v>1072</v>
      </c>
      <c r="GC20" s="54" t="s">
        <v>1073</v>
      </c>
      <c r="GD20" s="54"/>
      <c r="GE20" s="54"/>
      <c r="GF20" s="54"/>
      <c r="GG20" s="55"/>
      <c r="GH20" s="54"/>
      <c r="GI20" s="54"/>
      <c r="GJ20" s="54" t="s">
        <v>1076</v>
      </c>
      <c r="GK20" s="54" t="s">
        <v>1077</v>
      </c>
      <c r="GL20" s="54"/>
      <c r="GM20" s="54"/>
      <c r="GN20" s="54" t="s">
        <v>1078</v>
      </c>
      <c r="GO20" s="54" t="s">
        <v>1059</v>
      </c>
      <c r="GP20" s="54"/>
      <c r="GQ20" s="56">
        <v>0</v>
      </c>
      <c r="GR20" s="54" t="s">
        <v>1079</v>
      </c>
      <c r="GS20" s="54"/>
    </row>
    <row r="21" spans="1:201" x14ac:dyDescent="0.25">
      <c r="A21" s="54" t="s">
        <v>1032</v>
      </c>
      <c r="B21" s="54" t="s">
        <v>1033</v>
      </c>
      <c r="C21" s="54" t="s">
        <v>1034</v>
      </c>
      <c r="D21" s="54" t="s">
        <v>1035</v>
      </c>
      <c r="E21" s="54" t="s">
        <v>1036</v>
      </c>
      <c r="F21" s="55">
        <v>46175</v>
      </c>
      <c r="G21" s="55">
        <v>46175</v>
      </c>
      <c r="H21" s="54" t="s">
        <v>1037</v>
      </c>
      <c r="I21" s="54" t="s">
        <v>1038</v>
      </c>
      <c r="J21" s="54" t="s">
        <v>1039</v>
      </c>
      <c r="K21" s="55"/>
      <c r="L21" s="54" t="s">
        <v>1040</v>
      </c>
      <c r="M21" s="54"/>
      <c r="N21" s="54" t="s">
        <v>1041</v>
      </c>
      <c r="O21" s="54" t="s">
        <v>1117</v>
      </c>
      <c r="P21" s="54" t="s">
        <v>638</v>
      </c>
      <c r="Q21" s="54" t="s">
        <v>642</v>
      </c>
      <c r="R21" s="54" t="s">
        <v>1043</v>
      </c>
      <c r="S21" s="56">
        <v>4149.6000000000004</v>
      </c>
      <c r="T21" s="56">
        <v>4149.6000000000004</v>
      </c>
      <c r="U21" s="56">
        <v>0</v>
      </c>
      <c r="V21" s="56">
        <v>0</v>
      </c>
      <c r="W21" s="56">
        <v>0</v>
      </c>
      <c r="X21" s="56">
        <v>0</v>
      </c>
      <c r="Y21" s="56">
        <v>0</v>
      </c>
      <c r="Z21" s="56">
        <v>420</v>
      </c>
      <c r="AA21" s="56">
        <v>420</v>
      </c>
      <c r="AB21" s="59">
        <v>0</v>
      </c>
      <c r="AC21" s="56">
        <v>0</v>
      </c>
      <c r="AD21" s="56">
        <v>0</v>
      </c>
      <c r="AE21" s="56">
        <v>0</v>
      </c>
      <c r="AF21" s="54" t="s">
        <v>1044</v>
      </c>
      <c r="AG21" s="57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 t="s">
        <v>1045</v>
      </c>
      <c r="AS21" s="54" t="s">
        <v>1081</v>
      </c>
      <c r="AT21" s="54" t="s">
        <v>1082</v>
      </c>
      <c r="AU21" s="54" t="s">
        <v>1048</v>
      </c>
      <c r="AV21" s="54"/>
      <c r="AW21" s="55">
        <v>46189</v>
      </c>
      <c r="AX21" s="55">
        <v>46175</v>
      </c>
      <c r="AY21" s="55">
        <v>46175</v>
      </c>
      <c r="AZ21" s="55">
        <v>46176</v>
      </c>
      <c r="BA21" s="55">
        <v>46189</v>
      </c>
      <c r="BB21" s="56">
        <v>0</v>
      </c>
      <c r="BC21" s="56">
        <v>0</v>
      </c>
      <c r="BD21" s="56">
        <v>0</v>
      </c>
      <c r="BE21" s="56">
        <v>0</v>
      </c>
      <c r="BF21" s="56">
        <v>0</v>
      </c>
      <c r="BG21" s="56">
        <v>0</v>
      </c>
      <c r="BH21" s="56">
        <v>0</v>
      </c>
      <c r="BI21" s="56">
        <v>0</v>
      </c>
      <c r="BJ21" s="56">
        <v>0</v>
      </c>
      <c r="BK21" s="56">
        <v>0</v>
      </c>
      <c r="BL21" s="56">
        <v>0</v>
      </c>
      <c r="BM21" s="56">
        <v>0</v>
      </c>
      <c r="BN21" s="56">
        <v>0</v>
      </c>
      <c r="BO21" s="56">
        <v>0</v>
      </c>
      <c r="BP21" s="54" t="s">
        <v>1049</v>
      </c>
      <c r="BQ21" s="54" t="s">
        <v>1050</v>
      </c>
      <c r="BR21" s="54" t="s">
        <v>1049</v>
      </c>
      <c r="BS21" s="54" t="s">
        <v>1050</v>
      </c>
      <c r="BT21" s="54" t="s">
        <v>1051</v>
      </c>
      <c r="BU21" s="54" t="s">
        <v>1043</v>
      </c>
      <c r="BV21" s="58">
        <v>420</v>
      </c>
      <c r="BW21" s="54" t="s">
        <v>1052</v>
      </c>
      <c r="BX21" s="54" t="s">
        <v>1053</v>
      </c>
      <c r="BY21" s="54" t="s">
        <v>1054</v>
      </c>
      <c r="BZ21" s="54" t="s">
        <v>1055</v>
      </c>
      <c r="CA21" s="55"/>
      <c r="CB21" s="54" t="s">
        <v>1056</v>
      </c>
      <c r="CC21" s="54" t="s">
        <v>1057</v>
      </c>
      <c r="CD21" s="54" t="s">
        <v>1058</v>
      </c>
      <c r="CE21" s="54" t="s">
        <v>1059</v>
      </c>
      <c r="CF21" s="54" t="s">
        <v>1060</v>
      </c>
      <c r="CG21" s="54" t="s">
        <v>1061</v>
      </c>
      <c r="CH21" s="54" t="s">
        <v>1062</v>
      </c>
      <c r="CI21" s="54" t="s">
        <v>1063</v>
      </c>
      <c r="CJ21" s="54" t="s">
        <v>1064</v>
      </c>
      <c r="CK21" s="54" t="s">
        <v>1065</v>
      </c>
      <c r="CL21" s="54" t="s">
        <v>1066</v>
      </c>
      <c r="CM21" s="54" t="s">
        <v>1067</v>
      </c>
      <c r="CN21" s="54" t="s">
        <v>1068</v>
      </c>
      <c r="CO21" s="54" t="s">
        <v>1069</v>
      </c>
      <c r="CP21" s="56">
        <v>0</v>
      </c>
      <c r="CQ21" s="56">
        <v>0</v>
      </c>
      <c r="CR21" s="56">
        <v>0</v>
      </c>
      <c r="CS21" s="56">
        <v>0</v>
      </c>
      <c r="CT21" s="56">
        <v>0</v>
      </c>
      <c r="CU21" s="56">
        <v>0</v>
      </c>
      <c r="CV21" s="56">
        <v>0</v>
      </c>
      <c r="CW21" s="56">
        <v>0</v>
      </c>
      <c r="CX21" s="56">
        <v>0</v>
      </c>
      <c r="CY21" s="56">
        <v>0</v>
      </c>
      <c r="CZ21" s="56">
        <v>0</v>
      </c>
      <c r="DA21" s="56">
        <v>0</v>
      </c>
      <c r="DB21" s="56">
        <v>0</v>
      </c>
      <c r="DC21" s="56">
        <v>0</v>
      </c>
      <c r="DD21" s="56">
        <v>0</v>
      </c>
      <c r="DE21" s="56">
        <v>0</v>
      </c>
      <c r="DF21" s="56">
        <v>0</v>
      </c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56">
        <v>0</v>
      </c>
      <c r="ED21" s="56">
        <v>0</v>
      </c>
      <c r="EE21" s="56">
        <v>0</v>
      </c>
      <c r="EF21" s="56">
        <v>0</v>
      </c>
      <c r="EG21" s="56">
        <v>0</v>
      </c>
      <c r="EH21" s="56">
        <v>497.95</v>
      </c>
      <c r="EI21" s="56">
        <v>0</v>
      </c>
      <c r="EJ21" s="56">
        <v>0</v>
      </c>
      <c r="EK21" s="56">
        <v>0</v>
      </c>
      <c r="EL21" s="56">
        <v>0</v>
      </c>
      <c r="EM21" s="56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8">
        <v>0</v>
      </c>
      <c r="FD21" s="56">
        <v>0</v>
      </c>
      <c r="FE21" s="56">
        <v>0</v>
      </c>
      <c r="FF21" s="56">
        <v>0</v>
      </c>
      <c r="FG21" s="56">
        <v>0</v>
      </c>
      <c r="FH21" s="56">
        <v>0</v>
      </c>
      <c r="FI21" s="56">
        <v>0</v>
      </c>
      <c r="FJ21" s="56">
        <v>0</v>
      </c>
      <c r="FK21" s="56">
        <v>0</v>
      </c>
      <c r="FL21" s="56">
        <v>0</v>
      </c>
      <c r="FM21" s="56">
        <v>0</v>
      </c>
      <c r="FN21" s="56">
        <v>0</v>
      </c>
      <c r="FO21" s="56">
        <v>0</v>
      </c>
      <c r="FP21" s="56">
        <v>0</v>
      </c>
      <c r="FQ21" s="56">
        <v>0</v>
      </c>
      <c r="FR21" s="56">
        <v>0</v>
      </c>
      <c r="FS21" s="58">
        <v>0</v>
      </c>
      <c r="FT21" s="56">
        <v>0</v>
      </c>
      <c r="FU21" s="56">
        <v>0</v>
      </c>
      <c r="FV21" s="56">
        <v>0</v>
      </c>
      <c r="FW21" s="56">
        <v>0</v>
      </c>
      <c r="FX21" s="56">
        <v>0</v>
      </c>
      <c r="FY21" s="56">
        <v>0</v>
      </c>
      <c r="FZ21" s="54" t="s">
        <v>1083</v>
      </c>
      <c r="GA21" s="54" t="s">
        <v>1084</v>
      </c>
      <c r="GB21" s="54" t="s">
        <v>1072</v>
      </c>
      <c r="GC21" s="54" t="s">
        <v>1073</v>
      </c>
      <c r="GD21" s="54"/>
      <c r="GE21" s="54"/>
      <c r="GF21" s="54"/>
      <c r="GG21" s="55"/>
      <c r="GH21" s="54"/>
      <c r="GI21" s="54"/>
      <c r="GJ21" s="54" t="s">
        <v>1076</v>
      </c>
      <c r="GK21" s="54" t="s">
        <v>1077</v>
      </c>
      <c r="GL21" s="54"/>
      <c r="GM21" s="54"/>
      <c r="GN21" s="54" t="s">
        <v>1078</v>
      </c>
      <c r="GO21" s="54" t="s">
        <v>1059</v>
      </c>
      <c r="GP21" s="54"/>
      <c r="GQ21" s="56">
        <v>0</v>
      </c>
      <c r="GR21" s="54" t="s">
        <v>1079</v>
      </c>
      <c r="GS21" s="54"/>
    </row>
    <row r="22" spans="1:201" x14ac:dyDescent="0.25">
      <c r="A22" s="54" t="s">
        <v>1032</v>
      </c>
      <c r="B22" s="54" t="s">
        <v>1033</v>
      </c>
      <c r="C22" s="54" t="s">
        <v>1034</v>
      </c>
      <c r="D22" s="54" t="s">
        <v>1035</v>
      </c>
      <c r="E22" s="54" t="s">
        <v>1036</v>
      </c>
      <c r="F22" s="55">
        <v>46175</v>
      </c>
      <c r="G22" s="55">
        <v>46175</v>
      </c>
      <c r="H22" s="54" t="s">
        <v>1037</v>
      </c>
      <c r="I22" s="54" t="s">
        <v>1038</v>
      </c>
      <c r="J22" s="54" t="s">
        <v>1039</v>
      </c>
      <c r="K22" s="55"/>
      <c r="L22" s="54" t="s">
        <v>1040</v>
      </c>
      <c r="M22" s="54"/>
      <c r="N22" s="54" t="s">
        <v>1041</v>
      </c>
      <c r="O22" s="54" t="s">
        <v>1118</v>
      </c>
      <c r="P22" s="54" t="s">
        <v>184</v>
      </c>
      <c r="Q22" s="54" t="s">
        <v>14</v>
      </c>
      <c r="R22" s="54" t="s">
        <v>1043</v>
      </c>
      <c r="S22" s="56">
        <v>50400</v>
      </c>
      <c r="T22" s="56">
        <v>50400</v>
      </c>
      <c r="U22" s="56">
        <v>0</v>
      </c>
      <c r="V22" s="56">
        <v>0</v>
      </c>
      <c r="W22" s="56">
        <v>0</v>
      </c>
      <c r="X22" s="56">
        <v>0</v>
      </c>
      <c r="Y22" s="56">
        <v>0</v>
      </c>
      <c r="Z22" s="56">
        <v>6000</v>
      </c>
      <c r="AA22" s="56">
        <v>6000</v>
      </c>
      <c r="AB22" s="59">
        <v>0</v>
      </c>
      <c r="AC22" s="56">
        <v>0</v>
      </c>
      <c r="AD22" s="56">
        <v>0</v>
      </c>
      <c r="AE22" s="56">
        <v>0</v>
      </c>
      <c r="AF22" s="54" t="s">
        <v>1044</v>
      </c>
      <c r="AG22" s="57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 t="s">
        <v>1045</v>
      </c>
      <c r="AS22" s="54" t="s">
        <v>1081</v>
      </c>
      <c r="AT22" s="54" t="s">
        <v>1082</v>
      </c>
      <c r="AU22" s="54" t="s">
        <v>1048</v>
      </c>
      <c r="AV22" s="54"/>
      <c r="AW22" s="55">
        <v>46189</v>
      </c>
      <c r="AX22" s="55">
        <v>46175</v>
      </c>
      <c r="AY22" s="55">
        <v>46175</v>
      </c>
      <c r="AZ22" s="55">
        <v>46176</v>
      </c>
      <c r="BA22" s="55">
        <v>46189</v>
      </c>
      <c r="BB22" s="56">
        <v>0</v>
      </c>
      <c r="BC22" s="56">
        <v>0</v>
      </c>
      <c r="BD22" s="56">
        <v>0</v>
      </c>
      <c r="BE22" s="56">
        <v>0</v>
      </c>
      <c r="BF22" s="56">
        <v>0</v>
      </c>
      <c r="BG22" s="56">
        <v>0</v>
      </c>
      <c r="BH22" s="56">
        <v>0</v>
      </c>
      <c r="BI22" s="56">
        <v>0</v>
      </c>
      <c r="BJ22" s="56">
        <v>0</v>
      </c>
      <c r="BK22" s="56">
        <v>0</v>
      </c>
      <c r="BL22" s="56">
        <v>0</v>
      </c>
      <c r="BM22" s="56">
        <v>0</v>
      </c>
      <c r="BN22" s="56">
        <v>0</v>
      </c>
      <c r="BO22" s="56">
        <v>0</v>
      </c>
      <c r="BP22" s="54" t="s">
        <v>1049</v>
      </c>
      <c r="BQ22" s="54" t="s">
        <v>1050</v>
      </c>
      <c r="BR22" s="54" t="s">
        <v>1049</v>
      </c>
      <c r="BS22" s="54" t="s">
        <v>1050</v>
      </c>
      <c r="BT22" s="54" t="s">
        <v>1051</v>
      </c>
      <c r="BU22" s="54" t="s">
        <v>1043</v>
      </c>
      <c r="BV22" s="58">
        <v>6000</v>
      </c>
      <c r="BW22" s="54" t="s">
        <v>1052</v>
      </c>
      <c r="BX22" s="54" t="s">
        <v>1053</v>
      </c>
      <c r="BY22" s="54" t="s">
        <v>1054</v>
      </c>
      <c r="BZ22" s="54" t="s">
        <v>1055</v>
      </c>
      <c r="CA22" s="55"/>
      <c r="CB22" s="54" t="s">
        <v>1056</v>
      </c>
      <c r="CC22" s="54" t="s">
        <v>1057</v>
      </c>
      <c r="CD22" s="54" t="s">
        <v>1058</v>
      </c>
      <c r="CE22" s="54" t="s">
        <v>1059</v>
      </c>
      <c r="CF22" s="54" t="s">
        <v>1060</v>
      </c>
      <c r="CG22" s="54" t="s">
        <v>1061</v>
      </c>
      <c r="CH22" s="54" t="s">
        <v>1062</v>
      </c>
      <c r="CI22" s="54" t="s">
        <v>1063</v>
      </c>
      <c r="CJ22" s="54" t="s">
        <v>1064</v>
      </c>
      <c r="CK22" s="54" t="s">
        <v>1065</v>
      </c>
      <c r="CL22" s="54" t="s">
        <v>1066</v>
      </c>
      <c r="CM22" s="54" t="s">
        <v>1067</v>
      </c>
      <c r="CN22" s="54" t="s">
        <v>1068</v>
      </c>
      <c r="CO22" s="54" t="s">
        <v>1069</v>
      </c>
      <c r="CP22" s="56">
        <v>0</v>
      </c>
      <c r="CQ22" s="56">
        <v>0</v>
      </c>
      <c r="CR22" s="56">
        <v>0</v>
      </c>
      <c r="CS22" s="56">
        <v>0</v>
      </c>
      <c r="CT22" s="56">
        <v>0</v>
      </c>
      <c r="CU22" s="56">
        <v>0</v>
      </c>
      <c r="CV22" s="56">
        <v>0</v>
      </c>
      <c r="CW22" s="56">
        <v>0</v>
      </c>
      <c r="CX22" s="56">
        <v>0</v>
      </c>
      <c r="CY22" s="56">
        <v>0</v>
      </c>
      <c r="CZ22" s="56">
        <v>0</v>
      </c>
      <c r="DA22" s="56">
        <v>0</v>
      </c>
      <c r="DB22" s="56">
        <v>0</v>
      </c>
      <c r="DC22" s="56">
        <v>0</v>
      </c>
      <c r="DD22" s="56">
        <v>0</v>
      </c>
      <c r="DE22" s="56">
        <v>0</v>
      </c>
      <c r="DF22" s="56">
        <v>0</v>
      </c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56">
        <v>0</v>
      </c>
      <c r="ED22" s="56">
        <v>0</v>
      </c>
      <c r="EE22" s="56">
        <v>0</v>
      </c>
      <c r="EF22" s="56">
        <v>0</v>
      </c>
      <c r="EG22" s="56">
        <v>0</v>
      </c>
      <c r="EH22" s="56">
        <v>6048</v>
      </c>
      <c r="EI22" s="56">
        <v>0</v>
      </c>
      <c r="EJ22" s="56">
        <v>0</v>
      </c>
      <c r="EK22" s="56">
        <v>0</v>
      </c>
      <c r="EL22" s="56">
        <v>0</v>
      </c>
      <c r="EM22" s="56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8">
        <v>0</v>
      </c>
      <c r="FD22" s="56">
        <v>0</v>
      </c>
      <c r="FE22" s="56">
        <v>0</v>
      </c>
      <c r="FF22" s="56">
        <v>0</v>
      </c>
      <c r="FG22" s="56">
        <v>0</v>
      </c>
      <c r="FH22" s="56">
        <v>0</v>
      </c>
      <c r="FI22" s="56">
        <v>0</v>
      </c>
      <c r="FJ22" s="56">
        <v>0</v>
      </c>
      <c r="FK22" s="56">
        <v>0</v>
      </c>
      <c r="FL22" s="56">
        <v>0</v>
      </c>
      <c r="FM22" s="56">
        <v>0</v>
      </c>
      <c r="FN22" s="56">
        <v>0</v>
      </c>
      <c r="FO22" s="56">
        <v>0</v>
      </c>
      <c r="FP22" s="56">
        <v>0</v>
      </c>
      <c r="FQ22" s="56">
        <v>0</v>
      </c>
      <c r="FR22" s="56">
        <v>0</v>
      </c>
      <c r="FS22" s="58">
        <v>0</v>
      </c>
      <c r="FT22" s="56">
        <v>0</v>
      </c>
      <c r="FU22" s="56">
        <v>0</v>
      </c>
      <c r="FV22" s="56">
        <v>0</v>
      </c>
      <c r="FW22" s="56">
        <v>0</v>
      </c>
      <c r="FX22" s="56">
        <v>0</v>
      </c>
      <c r="FY22" s="56">
        <v>0</v>
      </c>
      <c r="FZ22" s="54" t="s">
        <v>1083</v>
      </c>
      <c r="GA22" s="54" t="s">
        <v>1084</v>
      </c>
      <c r="GB22" s="54" t="s">
        <v>1072</v>
      </c>
      <c r="GC22" s="54" t="s">
        <v>1073</v>
      </c>
      <c r="GD22" s="54" t="s">
        <v>1119</v>
      </c>
      <c r="GE22" s="54" t="s">
        <v>1075</v>
      </c>
      <c r="GF22" s="54"/>
      <c r="GG22" s="55"/>
      <c r="GH22" s="54"/>
      <c r="GI22" s="54"/>
      <c r="GJ22" s="54" t="s">
        <v>1076</v>
      </c>
      <c r="GK22" s="54" t="s">
        <v>1077</v>
      </c>
      <c r="GL22" s="54"/>
      <c r="GM22" s="54"/>
      <c r="GN22" s="54" t="s">
        <v>1078</v>
      </c>
      <c r="GO22" s="54" t="s">
        <v>1059</v>
      </c>
      <c r="GP22" s="54"/>
      <c r="GQ22" s="56">
        <v>0</v>
      </c>
      <c r="GR22" s="54" t="s">
        <v>1079</v>
      </c>
      <c r="GS22" s="54"/>
    </row>
    <row r="23" spans="1:201" x14ac:dyDescent="0.25">
      <c r="A23" s="54" t="s">
        <v>1032</v>
      </c>
      <c r="B23" s="54" t="s">
        <v>1033</v>
      </c>
      <c r="C23" s="54" t="s">
        <v>1034</v>
      </c>
      <c r="D23" s="54" t="s">
        <v>1035</v>
      </c>
      <c r="E23" s="54" t="s">
        <v>1036</v>
      </c>
      <c r="F23" s="55">
        <v>46175</v>
      </c>
      <c r="G23" s="55">
        <v>46175</v>
      </c>
      <c r="H23" s="54" t="s">
        <v>1037</v>
      </c>
      <c r="I23" s="54" t="s">
        <v>1038</v>
      </c>
      <c r="J23" s="54" t="s">
        <v>1039</v>
      </c>
      <c r="K23" s="55"/>
      <c r="L23" s="54" t="s">
        <v>1040</v>
      </c>
      <c r="M23" s="54"/>
      <c r="N23" s="54" t="s">
        <v>1041</v>
      </c>
      <c r="O23" s="54" t="s">
        <v>1120</v>
      </c>
      <c r="P23" s="54" t="s">
        <v>185</v>
      </c>
      <c r="Q23" s="54" t="s">
        <v>15</v>
      </c>
      <c r="R23" s="54" t="s">
        <v>1043</v>
      </c>
      <c r="S23" s="56">
        <v>3410</v>
      </c>
      <c r="T23" s="56">
        <v>3410</v>
      </c>
      <c r="U23" s="56">
        <v>0</v>
      </c>
      <c r="V23" s="56">
        <v>0</v>
      </c>
      <c r="W23" s="56">
        <v>0</v>
      </c>
      <c r="X23" s="56">
        <v>0</v>
      </c>
      <c r="Y23" s="56">
        <v>0</v>
      </c>
      <c r="Z23" s="56">
        <v>500</v>
      </c>
      <c r="AA23" s="56">
        <v>500</v>
      </c>
      <c r="AB23" s="59">
        <v>0</v>
      </c>
      <c r="AC23" s="56">
        <v>0</v>
      </c>
      <c r="AD23" s="56">
        <v>0</v>
      </c>
      <c r="AE23" s="56">
        <v>0</v>
      </c>
      <c r="AF23" s="54" t="s">
        <v>1044</v>
      </c>
      <c r="AG23" s="57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 t="s">
        <v>1045</v>
      </c>
      <c r="AS23" s="54" t="s">
        <v>1081</v>
      </c>
      <c r="AT23" s="54" t="s">
        <v>1082</v>
      </c>
      <c r="AU23" s="54" t="s">
        <v>1048</v>
      </c>
      <c r="AV23" s="54"/>
      <c r="AW23" s="55">
        <v>46189</v>
      </c>
      <c r="AX23" s="55">
        <v>46175</v>
      </c>
      <c r="AY23" s="55">
        <v>46175</v>
      </c>
      <c r="AZ23" s="55">
        <v>46176</v>
      </c>
      <c r="BA23" s="55">
        <v>46189</v>
      </c>
      <c r="BB23" s="56">
        <v>0</v>
      </c>
      <c r="BC23" s="56">
        <v>0</v>
      </c>
      <c r="BD23" s="56">
        <v>0</v>
      </c>
      <c r="BE23" s="56">
        <v>0</v>
      </c>
      <c r="BF23" s="56">
        <v>0</v>
      </c>
      <c r="BG23" s="56">
        <v>0</v>
      </c>
      <c r="BH23" s="56">
        <v>0</v>
      </c>
      <c r="BI23" s="56">
        <v>0</v>
      </c>
      <c r="BJ23" s="56">
        <v>0</v>
      </c>
      <c r="BK23" s="56">
        <v>0</v>
      </c>
      <c r="BL23" s="56">
        <v>0</v>
      </c>
      <c r="BM23" s="56">
        <v>0</v>
      </c>
      <c r="BN23" s="56">
        <v>0</v>
      </c>
      <c r="BO23" s="56">
        <v>0</v>
      </c>
      <c r="BP23" s="54" t="s">
        <v>1049</v>
      </c>
      <c r="BQ23" s="54" t="s">
        <v>1050</v>
      </c>
      <c r="BR23" s="54" t="s">
        <v>1049</v>
      </c>
      <c r="BS23" s="54" t="s">
        <v>1050</v>
      </c>
      <c r="BT23" s="54" t="s">
        <v>1051</v>
      </c>
      <c r="BU23" s="54" t="s">
        <v>1043</v>
      </c>
      <c r="BV23" s="58">
        <v>500</v>
      </c>
      <c r="BW23" s="54" t="s">
        <v>1052</v>
      </c>
      <c r="BX23" s="54" t="s">
        <v>1053</v>
      </c>
      <c r="BY23" s="54" t="s">
        <v>1054</v>
      </c>
      <c r="BZ23" s="54" t="s">
        <v>1055</v>
      </c>
      <c r="CA23" s="55"/>
      <c r="CB23" s="54" t="s">
        <v>1056</v>
      </c>
      <c r="CC23" s="54" t="s">
        <v>1057</v>
      </c>
      <c r="CD23" s="54" t="s">
        <v>1058</v>
      </c>
      <c r="CE23" s="54" t="s">
        <v>1059</v>
      </c>
      <c r="CF23" s="54" t="s">
        <v>1060</v>
      </c>
      <c r="CG23" s="54" t="s">
        <v>1061</v>
      </c>
      <c r="CH23" s="54" t="s">
        <v>1062</v>
      </c>
      <c r="CI23" s="54" t="s">
        <v>1063</v>
      </c>
      <c r="CJ23" s="54" t="s">
        <v>1064</v>
      </c>
      <c r="CK23" s="54" t="s">
        <v>1065</v>
      </c>
      <c r="CL23" s="54" t="s">
        <v>1066</v>
      </c>
      <c r="CM23" s="54" t="s">
        <v>1067</v>
      </c>
      <c r="CN23" s="54" t="s">
        <v>1068</v>
      </c>
      <c r="CO23" s="54" t="s">
        <v>1069</v>
      </c>
      <c r="CP23" s="56">
        <v>0</v>
      </c>
      <c r="CQ23" s="56">
        <v>0</v>
      </c>
      <c r="CR23" s="56">
        <v>0</v>
      </c>
      <c r="CS23" s="56">
        <v>0</v>
      </c>
      <c r="CT23" s="56">
        <v>0</v>
      </c>
      <c r="CU23" s="56">
        <v>0</v>
      </c>
      <c r="CV23" s="56">
        <v>0</v>
      </c>
      <c r="CW23" s="56">
        <v>0</v>
      </c>
      <c r="CX23" s="56">
        <v>0</v>
      </c>
      <c r="CY23" s="56">
        <v>0</v>
      </c>
      <c r="CZ23" s="56">
        <v>0</v>
      </c>
      <c r="DA23" s="56">
        <v>0</v>
      </c>
      <c r="DB23" s="56">
        <v>0</v>
      </c>
      <c r="DC23" s="56">
        <v>0</v>
      </c>
      <c r="DD23" s="56">
        <v>0</v>
      </c>
      <c r="DE23" s="56">
        <v>0</v>
      </c>
      <c r="DF23" s="56">
        <v>0</v>
      </c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56">
        <v>0</v>
      </c>
      <c r="ED23" s="56">
        <v>0</v>
      </c>
      <c r="EE23" s="56">
        <v>0</v>
      </c>
      <c r="EF23" s="56">
        <v>0</v>
      </c>
      <c r="EG23" s="56">
        <v>0</v>
      </c>
      <c r="EH23" s="56">
        <v>409.2</v>
      </c>
      <c r="EI23" s="56">
        <v>0</v>
      </c>
      <c r="EJ23" s="56">
        <v>0</v>
      </c>
      <c r="EK23" s="56">
        <v>0</v>
      </c>
      <c r="EL23" s="56">
        <v>0</v>
      </c>
      <c r="EM23" s="56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8">
        <v>0</v>
      </c>
      <c r="FD23" s="56">
        <v>0</v>
      </c>
      <c r="FE23" s="56">
        <v>0</v>
      </c>
      <c r="FF23" s="56">
        <v>0</v>
      </c>
      <c r="FG23" s="56">
        <v>0</v>
      </c>
      <c r="FH23" s="56">
        <v>0</v>
      </c>
      <c r="FI23" s="56">
        <v>0</v>
      </c>
      <c r="FJ23" s="56">
        <v>0</v>
      </c>
      <c r="FK23" s="56">
        <v>0</v>
      </c>
      <c r="FL23" s="56">
        <v>0</v>
      </c>
      <c r="FM23" s="56">
        <v>0</v>
      </c>
      <c r="FN23" s="56">
        <v>0</v>
      </c>
      <c r="FO23" s="56">
        <v>0</v>
      </c>
      <c r="FP23" s="56">
        <v>0</v>
      </c>
      <c r="FQ23" s="56">
        <v>0</v>
      </c>
      <c r="FR23" s="56">
        <v>0</v>
      </c>
      <c r="FS23" s="58">
        <v>0</v>
      </c>
      <c r="FT23" s="56">
        <v>0</v>
      </c>
      <c r="FU23" s="56">
        <v>0</v>
      </c>
      <c r="FV23" s="56">
        <v>0</v>
      </c>
      <c r="FW23" s="56">
        <v>0</v>
      </c>
      <c r="FX23" s="56">
        <v>0</v>
      </c>
      <c r="FY23" s="56">
        <v>0</v>
      </c>
      <c r="FZ23" s="54" t="s">
        <v>1083</v>
      </c>
      <c r="GA23" s="54" t="s">
        <v>1084</v>
      </c>
      <c r="GB23" s="54" t="s">
        <v>1072</v>
      </c>
      <c r="GC23" s="54" t="s">
        <v>1073</v>
      </c>
      <c r="GD23" s="54" t="s">
        <v>1119</v>
      </c>
      <c r="GE23" s="54" t="s">
        <v>1075</v>
      </c>
      <c r="GF23" s="54"/>
      <c r="GG23" s="55"/>
      <c r="GH23" s="54"/>
      <c r="GI23" s="54"/>
      <c r="GJ23" s="54" t="s">
        <v>1076</v>
      </c>
      <c r="GK23" s="54" t="s">
        <v>1077</v>
      </c>
      <c r="GL23" s="54"/>
      <c r="GM23" s="54"/>
      <c r="GN23" s="54" t="s">
        <v>1078</v>
      </c>
      <c r="GO23" s="54" t="s">
        <v>1059</v>
      </c>
      <c r="GP23" s="54"/>
      <c r="GQ23" s="56">
        <v>0</v>
      </c>
      <c r="GR23" s="54" t="s">
        <v>1079</v>
      </c>
      <c r="GS23" s="54"/>
    </row>
    <row r="24" spans="1:201" x14ac:dyDescent="0.25">
      <c r="A24" s="54" t="s">
        <v>1032</v>
      </c>
      <c r="B24" s="54" t="s">
        <v>1033</v>
      </c>
      <c r="C24" s="54" t="s">
        <v>1034</v>
      </c>
      <c r="D24" s="54" t="s">
        <v>1035</v>
      </c>
      <c r="E24" s="54" t="s">
        <v>1036</v>
      </c>
      <c r="F24" s="55">
        <v>46175</v>
      </c>
      <c r="G24" s="55">
        <v>46175</v>
      </c>
      <c r="H24" s="54" t="s">
        <v>1037</v>
      </c>
      <c r="I24" s="54" t="s">
        <v>1038</v>
      </c>
      <c r="J24" s="54" t="s">
        <v>1039</v>
      </c>
      <c r="K24" s="55"/>
      <c r="L24" s="54" t="s">
        <v>1040</v>
      </c>
      <c r="M24" s="54"/>
      <c r="N24" s="54" t="s">
        <v>1041</v>
      </c>
      <c r="O24" s="54" t="s">
        <v>1121</v>
      </c>
      <c r="P24" s="54" t="s">
        <v>183</v>
      </c>
      <c r="Q24" s="54" t="s">
        <v>13</v>
      </c>
      <c r="R24" s="54" t="s">
        <v>1043</v>
      </c>
      <c r="S24" s="56">
        <v>11490</v>
      </c>
      <c r="T24" s="56">
        <v>11490</v>
      </c>
      <c r="U24" s="56">
        <v>0</v>
      </c>
      <c r="V24" s="56">
        <v>0</v>
      </c>
      <c r="W24" s="56">
        <v>0</v>
      </c>
      <c r="X24" s="56">
        <v>0</v>
      </c>
      <c r="Y24" s="56">
        <v>0</v>
      </c>
      <c r="Z24" s="56">
        <v>3000</v>
      </c>
      <c r="AA24" s="56">
        <v>3000</v>
      </c>
      <c r="AB24" s="59">
        <v>0</v>
      </c>
      <c r="AC24" s="56">
        <v>0</v>
      </c>
      <c r="AD24" s="56">
        <v>0</v>
      </c>
      <c r="AE24" s="56">
        <v>0</v>
      </c>
      <c r="AF24" s="54" t="s">
        <v>1044</v>
      </c>
      <c r="AG24" s="57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 t="s">
        <v>1045</v>
      </c>
      <c r="AS24" s="54" t="s">
        <v>1081</v>
      </c>
      <c r="AT24" s="54" t="s">
        <v>1082</v>
      </c>
      <c r="AU24" s="54" t="s">
        <v>1048</v>
      </c>
      <c r="AV24" s="54"/>
      <c r="AW24" s="55">
        <v>46189</v>
      </c>
      <c r="AX24" s="55">
        <v>46175</v>
      </c>
      <c r="AY24" s="55">
        <v>46175</v>
      </c>
      <c r="AZ24" s="55">
        <v>46176</v>
      </c>
      <c r="BA24" s="55">
        <v>46189</v>
      </c>
      <c r="BB24" s="56">
        <v>0</v>
      </c>
      <c r="BC24" s="56">
        <v>0</v>
      </c>
      <c r="BD24" s="56">
        <v>0</v>
      </c>
      <c r="BE24" s="56">
        <v>0</v>
      </c>
      <c r="BF24" s="56">
        <v>0</v>
      </c>
      <c r="BG24" s="56">
        <v>0</v>
      </c>
      <c r="BH24" s="56">
        <v>0</v>
      </c>
      <c r="BI24" s="56">
        <v>0</v>
      </c>
      <c r="BJ24" s="56">
        <v>0</v>
      </c>
      <c r="BK24" s="56">
        <v>0</v>
      </c>
      <c r="BL24" s="56">
        <v>0</v>
      </c>
      <c r="BM24" s="56">
        <v>0</v>
      </c>
      <c r="BN24" s="56">
        <v>0</v>
      </c>
      <c r="BO24" s="56">
        <v>0</v>
      </c>
      <c r="BP24" s="54" t="s">
        <v>1049</v>
      </c>
      <c r="BQ24" s="54" t="s">
        <v>1050</v>
      </c>
      <c r="BR24" s="54" t="s">
        <v>1049</v>
      </c>
      <c r="BS24" s="54" t="s">
        <v>1050</v>
      </c>
      <c r="BT24" s="54" t="s">
        <v>1051</v>
      </c>
      <c r="BU24" s="54" t="s">
        <v>1043</v>
      </c>
      <c r="BV24" s="58">
        <v>3000</v>
      </c>
      <c r="BW24" s="54" t="s">
        <v>1052</v>
      </c>
      <c r="BX24" s="54" t="s">
        <v>1053</v>
      </c>
      <c r="BY24" s="54" t="s">
        <v>1054</v>
      </c>
      <c r="BZ24" s="54" t="s">
        <v>1055</v>
      </c>
      <c r="CA24" s="55"/>
      <c r="CB24" s="54" t="s">
        <v>1056</v>
      </c>
      <c r="CC24" s="54" t="s">
        <v>1057</v>
      </c>
      <c r="CD24" s="54" t="s">
        <v>1058</v>
      </c>
      <c r="CE24" s="54" t="s">
        <v>1059</v>
      </c>
      <c r="CF24" s="54" t="s">
        <v>1060</v>
      </c>
      <c r="CG24" s="54" t="s">
        <v>1061</v>
      </c>
      <c r="CH24" s="54" t="s">
        <v>1062</v>
      </c>
      <c r="CI24" s="54" t="s">
        <v>1063</v>
      </c>
      <c r="CJ24" s="54" t="s">
        <v>1064</v>
      </c>
      <c r="CK24" s="54" t="s">
        <v>1065</v>
      </c>
      <c r="CL24" s="54" t="s">
        <v>1066</v>
      </c>
      <c r="CM24" s="54" t="s">
        <v>1067</v>
      </c>
      <c r="CN24" s="54" t="s">
        <v>1068</v>
      </c>
      <c r="CO24" s="54" t="s">
        <v>1069</v>
      </c>
      <c r="CP24" s="56">
        <v>0</v>
      </c>
      <c r="CQ24" s="56">
        <v>0</v>
      </c>
      <c r="CR24" s="56">
        <v>0</v>
      </c>
      <c r="CS24" s="56">
        <v>0</v>
      </c>
      <c r="CT24" s="56">
        <v>0</v>
      </c>
      <c r="CU24" s="56">
        <v>0</v>
      </c>
      <c r="CV24" s="56">
        <v>0</v>
      </c>
      <c r="CW24" s="56">
        <v>0</v>
      </c>
      <c r="CX24" s="56">
        <v>0</v>
      </c>
      <c r="CY24" s="56">
        <v>0</v>
      </c>
      <c r="CZ24" s="56">
        <v>0</v>
      </c>
      <c r="DA24" s="56">
        <v>0</v>
      </c>
      <c r="DB24" s="56">
        <v>0</v>
      </c>
      <c r="DC24" s="56">
        <v>0</v>
      </c>
      <c r="DD24" s="56">
        <v>0</v>
      </c>
      <c r="DE24" s="56">
        <v>0</v>
      </c>
      <c r="DF24" s="56">
        <v>0</v>
      </c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56">
        <v>0</v>
      </c>
      <c r="ED24" s="56">
        <v>0</v>
      </c>
      <c r="EE24" s="56">
        <v>0</v>
      </c>
      <c r="EF24" s="56">
        <v>0</v>
      </c>
      <c r="EG24" s="56">
        <v>0</v>
      </c>
      <c r="EH24" s="56">
        <v>1378.8</v>
      </c>
      <c r="EI24" s="56">
        <v>0</v>
      </c>
      <c r="EJ24" s="56">
        <v>0</v>
      </c>
      <c r="EK24" s="56">
        <v>0</v>
      </c>
      <c r="EL24" s="56">
        <v>0</v>
      </c>
      <c r="EM24" s="56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8">
        <v>0</v>
      </c>
      <c r="FD24" s="56">
        <v>0</v>
      </c>
      <c r="FE24" s="56">
        <v>0</v>
      </c>
      <c r="FF24" s="56">
        <v>0</v>
      </c>
      <c r="FG24" s="56">
        <v>0</v>
      </c>
      <c r="FH24" s="56">
        <v>0</v>
      </c>
      <c r="FI24" s="56">
        <v>0</v>
      </c>
      <c r="FJ24" s="56">
        <v>0</v>
      </c>
      <c r="FK24" s="56">
        <v>0</v>
      </c>
      <c r="FL24" s="56">
        <v>0</v>
      </c>
      <c r="FM24" s="56">
        <v>0</v>
      </c>
      <c r="FN24" s="56">
        <v>0</v>
      </c>
      <c r="FO24" s="56">
        <v>0</v>
      </c>
      <c r="FP24" s="56">
        <v>0</v>
      </c>
      <c r="FQ24" s="56">
        <v>0</v>
      </c>
      <c r="FR24" s="56">
        <v>0</v>
      </c>
      <c r="FS24" s="58">
        <v>0</v>
      </c>
      <c r="FT24" s="56">
        <v>0</v>
      </c>
      <c r="FU24" s="56">
        <v>0</v>
      </c>
      <c r="FV24" s="56">
        <v>0</v>
      </c>
      <c r="FW24" s="56">
        <v>0</v>
      </c>
      <c r="FX24" s="56">
        <v>0</v>
      </c>
      <c r="FY24" s="56">
        <v>0</v>
      </c>
      <c r="FZ24" s="54" t="s">
        <v>1083</v>
      </c>
      <c r="GA24" s="54" t="s">
        <v>1084</v>
      </c>
      <c r="GB24" s="54" t="s">
        <v>1072</v>
      </c>
      <c r="GC24" s="54" t="s">
        <v>1073</v>
      </c>
      <c r="GD24" s="54" t="s">
        <v>1119</v>
      </c>
      <c r="GE24" s="54" t="s">
        <v>1075</v>
      </c>
      <c r="GF24" s="54"/>
      <c r="GG24" s="55"/>
      <c r="GH24" s="54"/>
      <c r="GI24" s="54"/>
      <c r="GJ24" s="54" t="s">
        <v>1076</v>
      </c>
      <c r="GK24" s="54" t="s">
        <v>1077</v>
      </c>
      <c r="GL24" s="54"/>
      <c r="GM24" s="54"/>
      <c r="GN24" s="54" t="s">
        <v>1078</v>
      </c>
      <c r="GO24" s="54" t="s">
        <v>1059</v>
      </c>
      <c r="GP24" s="54"/>
      <c r="GQ24" s="56">
        <v>0</v>
      </c>
      <c r="GR24" s="54" t="s">
        <v>1079</v>
      </c>
      <c r="GS24" s="54"/>
    </row>
    <row r="25" spans="1:201" x14ac:dyDescent="0.25">
      <c r="A25" s="54" t="s">
        <v>1032</v>
      </c>
      <c r="B25" s="54" t="s">
        <v>1033</v>
      </c>
      <c r="C25" s="54" t="s">
        <v>1034</v>
      </c>
      <c r="D25" s="54" t="s">
        <v>1035</v>
      </c>
      <c r="E25" s="54" t="s">
        <v>1036</v>
      </c>
      <c r="F25" s="55">
        <v>46175</v>
      </c>
      <c r="G25" s="55">
        <v>46175</v>
      </c>
      <c r="H25" s="54" t="s">
        <v>1037</v>
      </c>
      <c r="I25" s="54" t="s">
        <v>1038</v>
      </c>
      <c r="J25" s="54" t="s">
        <v>1039</v>
      </c>
      <c r="K25" s="55"/>
      <c r="L25" s="54" t="s">
        <v>1040</v>
      </c>
      <c r="M25" s="54"/>
      <c r="N25" s="54" t="s">
        <v>1041</v>
      </c>
      <c r="O25" s="54" t="s">
        <v>1122</v>
      </c>
      <c r="P25" s="54" t="s">
        <v>186</v>
      </c>
      <c r="Q25" s="54" t="s">
        <v>17</v>
      </c>
      <c r="R25" s="54" t="s">
        <v>1043</v>
      </c>
      <c r="S25" s="56">
        <v>1054</v>
      </c>
      <c r="T25" s="56">
        <v>0</v>
      </c>
      <c r="U25" s="56">
        <v>0</v>
      </c>
      <c r="V25" s="56">
        <v>1054</v>
      </c>
      <c r="W25" s="56">
        <v>0</v>
      </c>
      <c r="X25" s="56">
        <v>0</v>
      </c>
      <c r="Y25" s="56">
        <v>0</v>
      </c>
      <c r="Z25" s="56">
        <v>200</v>
      </c>
      <c r="AA25" s="56">
        <v>0</v>
      </c>
      <c r="AB25" s="59">
        <v>0</v>
      </c>
      <c r="AC25" s="56">
        <v>200</v>
      </c>
      <c r="AD25" s="56">
        <v>0</v>
      </c>
      <c r="AE25" s="56">
        <v>0</v>
      </c>
      <c r="AF25" s="54" t="s">
        <v>1044</v>
      </c>
      <c r="AG25" s="57"/>
      <c r="AH25" s="54" t="s">
        <v>1123</v>
      </c>
      <c r="AI25" s="54" t="s">
        <v>1124</v>
      </c>
      <c r="AJ25" s="54"/>
      <c r="AK25" s="54"/>
      <c r="AL25" s="54"/>
      <c r="AM25" s="54"/>
      <c r="AN25" s="54"/>
      <c r="AO25" s="54"/>
      <c r="AP25" s="54"/>
      <c r="AQ25" s="54"/>
      <c r="AR25" s="54" t="s">
        <v>1045</v>
      </c>
      <c r="AS25" s="54" t="s">
        <v>1046</v>
      </c>
      <c r="AT25" s="54" t="s">
        <v>1047</v>
      </c>
      <c r="AU25" s="54" t="s">
        <v>1048</v>
      </c>
      <c r="AV25" s="54"/>
      <c r="AW25" s="55">
        <v>46189</v>
      </c>
      <c r="AX25" s="55">
        <v>46175</v>
      </c>
      <c r="AY25" s="55">
        <v>46175</v>
      </c>
      <c r="AZ25" s="55"/>
      <c r="BA25" s="55">
        <v>46189</v>
      </c>
      <c r="BB25" s="56">
        <v>0</v>
      </c>
      <c r="BC25" s="56">
        <v>0</v>
      </c>
      <c r="BD25" s="56">
        <v>0</v>
      </c>
      <c r="BE25" s="56">
        <v>0</v>
      </c>
      <c r="BF25" s="56">
        <v>0</v>
      </c>
      <c r="BG25" s="56">
        <v>0</v>
      </c>
      <c r="BH25" s="56">
        <v>0</v>
      </c>
      <c r="BI25" s="56">
        <v>0</v>
      </c>
      <c r="BJ25" s="56">
        <v>0</v>
      </c>
      <c r="BK25" s="56">
        <v>0</v>
      </c>
      <c r="BL25" s="56">
        <v>0</v>
      </c>
      <c r="BM25" s="56">
        <v>0</v>
      </c>
      <c r="BN25" s="56">
        <v>0</v>
      </c>
      <c r="BO25" s="56">
        <v>0</v>
      </c>
      <c r="BP25" s="54" t="s">
        <v>1049</v>
      </c>
      <c r="BQ25" s="54" t="s">
        <v>1050</v>
      </c>
      <c r="BR25" s="54" t="s">
        <v>1049</v>
      </c>
      <c r="BS25" s="54" t="s">
        <v>1050</v>
      </c>
      <c r="BT25" s="54" t="s">
        <v>1051</v>
      </c>
      <c r="BU25" s="54" t="s">
        <v>1043</v>
      </c>
      <c r="BV25" s="58">
        <v>0</v>
      </c>
      <c r="BW25" s="54" t="s">
        <v>1052</v>
      </c>
      <c r="BX25" s="54" t="s">
        <v>1053</v>
      </c>
      <c r="BY25" s="54" t="s">
        <v>1054</v>
      </c>
      <c r="BZ25" s="54" t="s">
        <v>1055</v>
      </c>
      <c r="CA25" s="55"/>
      <c r="CB25" s="54" t="s">
        <v>1056</v>
      </c>
      <c r="CC25" s="54" t="s">
        <v>1057</v>
      </c>
      <c r="CD25" s="54" t="s">
        <v>1058</v>
      </c>
      <c r="CE25" s="54" t="s">
        <v>1059</v>
      </c>
      <c r="CF25" s="54" t="s">
        <v>1060</v>
      </c>
      <c r="CG25" s="54" t="s">
        <v>1061</v>
      </c>
      <c r="CH25" s="54" t="s">
        <v>1062</v>
      </c>
      <c r="CI25" s="54" t="s">
        <v>1063</v>
      </c>
      <c r="CJ25" s="54" t="s">
        <v>1064</v>
      </c>
      <c r="CK25" s="54" t="s">
        <v>1065</v>
      </c>
      <c r="CL25" s="54" t="s">
        <v>1066</v>
      </c>
      <c r="CM25" s="54" t="s">
        <v>1067</v>
      </c>
      <c r="CN25" s="54" t="s">
        <v>1068</v>
      </c>
      <c r="CO25" s="54" t="s">
        <v>1069</v>
      </c>
      <c r="CP25" s="56">
        <v>0</v>
      </c>
      <c r="CQ25" s="56">
        <v>0</v>
      </c>
      <c r="CR25" s="56">
        <v>0</v>
      </c>
      <c r="CS25" s="56">
        <v>0</v>
      </c>
      <c r="CT25" s="56">
        <v>0</v>
      </c>
      <c r="CU25" s="56">
        <v>0</v>
      </c>
      <c r="CV25" s="56">
        <v>0</v>
      </c>
      <c r="CW25" s="56">
        <v>0</v>
      </c>
      <c r="CX25" s="56">
        <v>0</v>
      </c>
      <c r="CY25" s="56">
        <v>0</v>
      </c>
      <c r="CZ25" s="56">
        <v>0</v>
      </c>
      <c r="DA25" s="56">
        <v>0</v>
      </c>
      <c r="DB25" s="56">
        <v>0</v>
      </c>
      <c r="DC25" s="56">
        <v>0</v>
      </c>
      <c r="DD25" s="56">
        <v>0</v>
      </c>
      <c r="DE25" s="56">
        <v>0</v>
      </c>
      <c r="DF25" s="56">
        <v>0</v>
      </c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56">
        <v>0</v>
      </c>
      <c r="ED25" s="56">
        <v>0</v>
      </c>
      <c r="EE25" s="56">
        <v>0</v>
      </c>
      <c r="EF25" s="56">
        <v>0</v>
      </c>
      <c r="EG25" s="56">
        <v>0</v>
      </c>
      <c r="EH25" s="56">
        <v>126.48</v>
      </c>
      <c r="EI25" s="56">
        <v>0</v>
      </c>
      <c r="EJ25" s="56">
        <v>0</v>
      </c>
      <c r="EK25" s="56">
        <v>0</v>
      </c>
      <c r="EL25" s="56">
        <v>0</v>
      </c>
      <c r="EM25" s="56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8">
        <v>0</v>
      </c>
      <c r="FD25" s="56">
        <v>0</v>
      </c>
      <c r="FE25" s="56">
        <v>0</v>
      </c>
      <c r="FF25" s="56">
        <v>0</v>
      </c>
      <c r="FG25" s="56">
        <v>0</v>
      </c>
      <c r="FH25" s="56">
        <v>0</v>
      </c>
      <c r="FI25" s="56">
        <v>0</v>
      </c>
      <c r="FJ25" s="56">
        <v>0</v>
      </c>
      <c r="FK25" s="56">
        <v>0</v>
      </c>
      <c r="FL25" s="56">
        <v>0</v>
      </c>
      <c r="FM25" s="56">
        <v>0</v>
      </c>
      <c r="FN25" s="56">
        <v>0</v>
      </c>
      <c r="FO25" s="56">
        <v>0</v>
      </c>
      <c r="FP25" s="56">
        <v>0</v>
      </c>
      <c r="FQ25" s="56">
        <v>0</v>
      </c>
      <c r="FR25" s="56">
        <v>0</v>
      </c>
      <c r="FS25" s="58">
        <v>0</v>
      </c>
      <c r="FT25" s="56">
        <v>0</v>
      </c>
      <c r="FU25" s="56">
        <v>0</v>
      </c>
      <c r="FV25" s="56">
        <v>0</v>
      </c>
      <c r="FW25" s="56">
        <v>0</v>
      </c>
      <c r="FX25" s="56">
        <v>0</v>
      </c>
      <c r="FY25" s="56">
        <v>0</v>
      </c>
      <c r="FZ25" s="54" t="s">
        <v>1070</v>
      </c>
      <c r="GA25" s="54" t="s">
        <v>1071</v>
      </c>
      <c r="GB25" s="54" t="s">
        <v>1072</v>
      </c>
      <c r="GC25" s="54" t="s">
        <v>1073</v>
      </c>
      <c r="GD25" s="54" t="s">
        <v>1125</v>
      </c>
      <c r="GE25" s="54" t="s">
        <v>1075</v>
      </c>
      <c r="GF25" s="54"/>
      <c r="GG25" s="55"/>
      <c r="GH25" s="54"/>
      <c r="GI25" s="54"/>
      <c r="GJ25" s="54" t="s">
        <v>1076</v>
      </c>
      <c r="GK25" s="54" t="s">
        <v>1077</v>
      </c>
      <c r="GL25" s="54"/>
      <c r="GM25" s="54"/>
      <c r="GN25" s="54" t="s">
        <v>1078</v>
      </c>
      <c r="GO25" s="54" t="s">
        <v>1059</v>
      </c>
      <c r="GP25" s="54"/>
      <c r="GQ25" s="56">
        <v>0</v>
      </c>
      <c r="GR25" s="54" t="s">
        <v>1079</v>
      </c>
      <c r="GS25" s="54"/>
    </row>
    <row r="26" spans="1:201" x14ac:dyDescent="0.25">
      <c r="A26" s="54" t="s">
        <v>1032</v>
      </c>
      <c r="B26" s="54" t="s">
        <v>1033</v>
      </c>
      <c r="C26" s="54" t="s">
        <v>1034</v>
      </c>
      <c r="D26" s="54" t="s">
        <v>1035</v>
      </c>
      <c r="E26" s="54" t="s">
        <v>1036</v>
      </c>
      <c r="F26" s="55">
        <v>46175</v>
      </c>
      <c r="G26" s="55">
        <v>46175</v>
      </c>
      <c r="H26" s="54" t="s">
        <v>1037</v>
      </c>
      <c r="I26" s="54" t="s">
        <v>1038</v>
      </c>
      <c r="J26" s="54" t="s">
        <v>1039</v>
      </c>
      <c r="K26" s="55"/>
      <c r="L26" s="54" t="s">
        <v>1040</v>
      </c>
      <c r="M26" s="54"/>
      <c r="N26" s="54" t="s">
        <v>1041</v>
      </c>
      <c r="O26" s="54" t="s">
        <v>1126</v>
      </c>
      <c r="P26" s="54" t="s">
        <v>188</v>
      </c>
      <c r="Q26" s="54" t="s">
        <v>20</v>
      </c>
      <c r="R26" s="54" t="s">
        <v>1043</v>
      </c>
      <c r="S26" s="56">
        <v>585</v>
      </c>
      <c r="T26" s="56">
        <v>585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300</v>
      </c>
      <c r="AA26" s="56">
        <v>300</v>
      </c>
      <c r="AB26" s="59">
        <v>0</v>
      </c>
      <c r="AC26" s="56">
        <v>0</v>
      </c>
      <c r="AD26" s="56">
        <v>0</v>
      </c>
      <c r="AE26" s="56">
        <v>0</v>
      </c>
      <c r="AF26" s="54" t="s">
        <v>1044</v>
      </c>
      <c r="AG26" s="57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 t="s">
        <v>1045</v>
      </c>
      <c r="AS26" s="54" t="s">
        <v>1046</v>
      </c>
      <c r="AT26" s="54" t="s">
        <v>1047</v>
      </c>
      <c r="AU26" s="54" t="s">
        <v>1048</v>
      </c>
      <c r="AV26" s="54"/>
      <c r="AW26" s="55">
        <v>46189</v>
      </c>
      <c r="AX26" s="55">
        <v>46175</v>
      </c>
      <c r="AY26" s="55">
        <v>46175</v>
      </c>
      <c r="AZ26" s="55">
        <v>46176</v>
      </c>
      <c r="BA26" s="55">
        <v>46189</v>
      </c>
      <c r="BB26" s="56">
        <v>0</v>
      </c>
      <c r="BC26" s="56">
        <v>0</v>
      </c>
      <c r="BD26" s="56">
        <v>0</v>
      </c>
      <c r="BE26" s="56">
        <v>0</v>
      </c>
      <c r="BF26" s="56">
        <v>0</v>
      </c>
      <c r="BG26" s="56">
        <v>0</v>
      </c>
      <c r="BH26" s="56">
        <v>0</v>
      </c>
      <c r="BI26" s="56">
        <v>0</v>
      </c>
      <c r="BJ26" s="56">
        <v>0</v>
      </c>
      <c r="BK26" s="56">
        <v>0</v>
      </c>
      <c r="BL26" s="56">
        <v>0</v>
      </c>
      <c r="BM26" s="56">
        <v>0</v>
      </c>
      <c r="BN26" s="56">
        <v>0</v>
      </c>
      <c r="BO26" s="56">
        <v>0</v>
      </c>
      <c r="BP26" s="54" t="s">
        <v>1049</v>
      </c>
      <c r="BQ26" s="54" t="s">
        <v>1050</v>
      </c>
      <c r="BR26" s="54" t="s">
        <v>1049</v>
      </c>
      <c r="BS26" s="54" t="s">
        <v>1050</v>
      </c>
      <c r="BT26" s="54" t="s">
        <v>1051</v>
      </c>
      <c r="BU26" s="54" t="s">
        <v>1043</v>
      </c>
      <c r="BV26" s="58">
        <v>300</v>
      </c>
      <c r="BW26" s="54" t="s">
        <v>1052</v>
      </c>
      <c r="BX26" s="54" t="s">
        <v>1053</v>
      </c>
      <c r="BY26" s="54" t="s">
        <v>1054</v>
      </c>
      <c r="BZ26" s="54" t="s">
        <v>1055</v>
      </c>
      <c r="CA26" s="55"/>
      <c r="CB26" s="54" t="s">
        <v>1056</v>
      </c>
      <c r="CC26" s="54" t="s">
        <v>1057</v>
      </c>
      <c r="CD26" s="54" t="s">
        <v>1058</v>
      </c>
      <c r="CE26" s="54" t="s">
        <v>1059</v>
      </c>
      <c r="CF26" s="54" t="s">
        <v>1060</v>
      </c>
      <c r="CG26" s="54" t="s">
        <v>1061</v>
      </c>
      <c r="CH26" s="54" t="s">
        <v>1062</v>
      </c>
      <c r="CI26" s="54" t="s">
        <v>1063</v>
      </c>
      <c r="CJ26" s="54" t="s">
        <v>1064</v>
      </c>
      <c r="CK26" s="54" t="s">
        <v>1065</v>
      </c>
      <c r="CL26" s="54" t="s">
        <v>1066</v>
      </c>
      <c r="CM26" s="54" t="s">
        <v>1067</v>
      </c>
      <c r="CN26" s="54" t="s">
        <v>1068</v>
      </c>
      <c r="CO26" s="54" t="s">
        <v>1069</v>
      </c>
      <c r="CP26" s="56">
        <v>0</v>
      </c>
      <c r="CQ26" s="56">
        <v>0</v>
      </c>
      <c r="CR26" s="56">
        <v>0</v>
      </c>
      <c r="CS26" s="56">
        <v>0</v>
      </c>
      <c r="CT26" s="56">
        <v>0</v>
      </c>
      <c r="CU26" s="56">
        <v>0</v>
      </c>
      <c r="CV26" s="56">
        <v>0</v>
      </c>
      <c r="CW26" s="56">
        <v>0</v>
      </c>
      <c r="CX26" s="56">
        <v>0</v>
      </c>
      <c r="CY26" s="56">
        <v>0</v>
      </c>
      <c r="CZ26" s="56">
        <v>0</v>
      </c>
      <c r="DA26" s="56">
        <v>0</v>
      </c>
      <c r="DB26" s="56">
        <v>0</v>
      </c>
      <c r="DC26" s="56">
        <v>0</v>
      </c>
      <c r="DD26" s="56">
        <v>0</v>
      </c>
      <c r="DE26" s="56">
        <v>0</v>
      </c>
      <c r="DF26" s="56">
        <v>0</v>
      </c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56">
        <v>0</v>
      </c>
      <c r="ED26" s="56">
        <v>0</v>
      </c>
      <c r="EE26" s="56">
        <v>0</v>
      </c>
      <c r="EF26" s="56">
        <v>0</v>
      </c>
      <c r="EG26" s="56">
        <v>0</v>
      </c>
      <c r="EH26" s="56">
        <v>70.2</v>
      </c>
      <c r="EI26" s="56">
        <v>0</v>
      </c>
      <c r="EJ26" s="56">
        <v>0</v>
      </c>
      <c r="EK26" s="56">
        <v>0</v>
      </c>
      <c r="EL26" s="56">
        <v>0</v>
      </c>
      <c r="EM26" s="56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8">
        <v>0</v>
      </c>
      <c r="FD26" s="56">
        <v>0</v>
      </c>
      <c r="FE26" s="56">
        <v>0</v>
      </c>
      <c r="FF26" s="56">
        <v>0</v>
      </c>
      <c r="FG26" s="56">
        <v>0</v>
      </c>
      <c r="FH26" s="56">
        <v>0</v>
      </c>
      <c r="FI26" s="56">
        <v>0</v>
      </c>
      <c r="FJ26" s="56">
        <v>0</v>
      </c>
      <c r="FK26" s="56">
        <v>0</v>
      </c>
      <c r="FL26" s="56">
        <v>0</v>
      </c>
      <c r="FM26" s="56">
        <v>0</v>
      </c>
      <c r="FN26" s="56">
        <v>0</v>
      </c>
      <c r="FO26" s="56">
        <v>0</v>
      </c>
      <c r="FP26" s="56">
        <v>0</v>
      </c>
      <c r="FQ26" s="56">
        <v>0</v>
      </c>
      <c r="FR26" s="56">
        <v>0</v>
      </c>
      <c r="FS26" s="58">
        <v>0</v>
      </c>
      <c r="FT26" s="56">
        <v>0</v>
      </c>
      <c r="FU26" s="56">
        <v>0</v>
      </c>
      <c r="FV26" s="56">
        <v>0</v>
      </c>
      <c r="FW26" s="56">
        <v>0</v>
      </c>
      <c r="FX26" s="56">
        <v>0</v>
      </c>
      <c r="FY26" s="56">
        <v>0</v>
      </c>
      <c r="FZ26" s="54" t="s">
        <v>1083</v>
      </c>
      <c r="GA26" s="54" t="s">
        <v>1084</v>
      </c>
      <c r="GB26" s="54" t="s">
        <v>1072</v>
      </c>
      <c r="GC26" s="54" t="s">
        <v>1073</v>
      </c>
      <c r="GD26" s="54" t="s">
        <v>1127</v>
      </c>
      <c r="GE26" s="54" t="s">
        <v>1075</v>
      </c>
      <c r="GF26" s="54"/>
      <c r="GG26" s="55"/>
      <c r="GH26" s="54"/>
      <c r="GI26" s="54"/>
      <c r="GJ26" s="54" t="s">
        <v>1076</v>
      </c>
      <c r="GK26" s="54" t="s">
        <v>1077</v>
      </c>
      <c r="GL26" s="54"/>
      <c r="GM26" s="54"/>
      <c r="GN26" s="54" t="s">
        <v>1078</v>
      </c>
      <c r="GO26" s="54" t="s">
        <v>1059</v>
      </c>
      <c r="GP26" s="54"/>
      <c r="GQ26" s="56">
        <v>0</v>
      </c>
      <c r="GR26" s="54" t="s">
        <v>1079</v>
      </c>
      <c r="GS26" s="54"/>
    </row>
    <row r="27" spans="1:201" x14ac:dyDescent="0.25">
      <c r="A27" s="54" t="s">
        <v>1032</v>
      </c>
      <c r="B27" s="54" t="s">
        <v>1033</v>
      </c>
      <c r="C27" s="54" t="s">
        <v>1034</v>
      </c>
      <c r="D27" s="54" t="s">
        <v>1035</v>
      </c>
      <c r="E27" s="54" t="s">
        <v>1036</v>
      </c>
      <c r="F27" s="55">
        <v>46175</v>
      </c>
      <c r="G27" s="55">
        <v>46175</v>
      </c>
      <c r="H27" s="54" t="s">
        <v>1037</v>
      </c>
      <c r="I27" s="54" t="s">
        <v>1038</v>
      </c>
      <c r="J27" s="54" t="s">
        <v>1039</v>
      </c>
      <c r="K27" s="55"/>
      <c r="L27" s="54" t="s">
        <v>1040</v>
      </c>
      <c r="M27" s="54"/>
      <c r="N27" s="54" t="s">
        <v>1041</v>
      </c>
      <c r="O27" s="54" t="s">
        <v>1128</v>
      </c>
      <c r="P27" s="54" t="s">
        <v>191</v>
      </c>
      <c r="Q27" s="54" t="s">
        <v>23</v>
      </c>
      <c r="R27" s="54" t="s">
        <v>1043</v>
      </c>
      <c r="S27" s="56">
        <v>547</v>
      </c>
      <c r="T27" s="56">
        <v>547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100</v>
      </c>
      <c r="AA27" s="56">
        <v>100</v>
      </c>
      <c r="AB27" s="59">
        <v>0</v>
      </c>
      <c r="AC27" s="56">
        <v>0</v>
      </c>
      <c r="AD27" s="56">
        <v>0</v>
      </c>
      <c r="AE27" s="56">
        <v>0</v>
      </c>
      <c r="AF27" s="54" t="s">
        <v>1044</v>
      </c>
      <c r="AG27" s="57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 t="s">
        <v>1045</v>
      </c>
      <c r="AS27" s="54" t="s">
        <v>1081</v>
      </c>
      <c r="AT27" s="54" t="s">
        <v>1082</v>
      </c>
      <c r="AU27" s="54" t="s">
        <v>1048</v>
      </c>
      <c r="AV27" s="54"/>
      <c r="AW27" s="55">
        <v>46189</v>
      </c>
      <c r="AX27" s="55">
        <v>46175</v>
      </c>
      <c r="AY27" s="55">
        <v>46175</v>
      </c>
      <c r="AZ27" s="55"/>
      <c r="BA27" s="55">
        <v>46189</v>
      </c>
      <c r="BB27" s="56">
        <v>0</v>
      </c>
      <c r="BC27" s="56">
        <v>0</v>
      </c>
      <c r="BD27" s="56">
        <v>0</v>
      </c>
      <c r="BE27" s="56">
        <v>0</v>
      </c>
      <c r="BF27" s="56">
        <v>0</v>
      </c>
      <c r="BG27" s="56">
        <v>0</v>
      </c>
      <c r="BH27" s="56">
        <v>0</v>
      </c>
      <c r="BI27" s="56">
        <v>0</v>
      </c>
      <c r="BJ27" s="56">
        <v>0</v>
      </c>
      <c r="BK27" s="56">
        <v>0</v>
      </c>
      <c r="BL27" s="56">
        <v>0</v>
      </c>
      <c r="BM27" s="56">
        <v>0</v>
      </c>
      <c r="BN27" s="56">
        <v>0</v>
      </c>
      <c r="BO27" s="56">
        <v>0</v>
      </c>
      <c r="BP27" s="54" t="s">
        <v>1049</v>
      </c>
      <c r="BQ27" s="54" t="s">
        <v>1050</v>
      </c>
      <c r="BR27" s="54" t="s">
        <v>1049</v>
      </c>
      <c r="BS27" s="54" t="s">
        <v>1050</v>
      </c>
      <c r="BT27" s="54" t="s">
        <v>1051</v>
      </c>
      <c r="BU27" s="54" t="s">
        <v>1043</v>
      </c>
      <c r="BV27" s="58">
        <v>100</v>
      </c>
      <c r="BW27" s="54" t="s">
        <v>1052</v>
      </c>
      <c r="BX27" s="54" t="s">
        <v>1053</v>
      </c>
      <c r="BY27" s="54" t="s">
        <v>1054</v>
      </c>
      <c r="BZ27" s="54" t="s">
        <v>1055</v>
      </c>
      <c r="CA27" s="55"/>
      <c r="CB27" s="54" t="s">
        <v>1056</v>
      </c>
      <c r="CC27" s="54" t="s">
        <v>1057</v>
      </c>
      <c r="CD27" s="54" t="s">
        <v>1058</v>
      </c>
      <c r="CE27" s="54" t="s">
        <v>1059</v>
      </c>
      <c r="CF27" s="54" t="s">
        <v>1060</v>
      </c>
      <c r="CG27" s="54" t="s">
        <v>1061</v>
      </c>
      <c r="CH27" s="54" t="s">
        <v>1062</v>
      </c>
      <c r="CI27" s="54" t="s">
        <v>1063</v>
      </c>
      <c r="CJ27" s="54" t="s">
        <v>1064</v>
      </c>
      <c r="CK27" s="54" t="s">
        <v>1065</v>
      </c>
      <c r="CL27" s="54" t="s">
        <v>1066</v>
      </c>
      <c r="CM27" s="54" t="s">
        <v>1067</v>
      </c>
      <c r="CN27" s="54" t="s">
        <v>1068</v>
      </c>
      <c r="CO27" s="54" t="s">
        <v>1069</v>
      </c>
      <c r="CP27" s="56">
        <v>0</v>
      </c>
      <c r="CQ27" s="56">
        <v>0</v>
      </c>
      <c r="CR27" s="56">
        <v>0</v>
      </c>
      <c r="CS27" s="56">
        <v>0</v>
      </c>
      <c r="CT27" s="56">
        <v>0</v>
      </c>
      <c r="CU27" s="56">
        <v>0</v>
      </c>
      <c r="CV27" s="56">
        <v>0</v>
      </c>
      <c r="CW27" s="56">
        <v>0</v>
      </c>
      <c r="CX27" s="56">
        <v>0</v>
      </c>
      <c r="CY27" s="56">
        <v>0</v>
      </c>
      <c r="CZ27" s="56">
        <v>0</v>
      </c>
      <c r="DA27" s="56">
        <v>0</v>
      </c>
      <c r="DB27" s="56">
        <v>0</v>
      </c>
      <c r="DC27" s="56">
        <v>0</v>
      </c>
      <c r="DD27" s="56">
        <v>0</v>
      </c>
      <c r="DE27" s="56">
        <v>0</v>
      </c>
      <c r="DF27" s="56">
        <v>0</v>
      </c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56">
        <v>0</v>
      </c>
      <c r="ED27" s="56">
        <v>0</v>
      </c>
      <c r="EE27" s="56">
        <v>0</v>
      </c>
      <c r="EF27" s="56">
        <v>0</v>
      </c>
      <c r="EG27" s="56">
        <v>0</v>
      </c>
      <c r="EH27" s="56">
        <v>65.64</v>
      </c>
      <c r="EI27" s="56">
        <v>0</v>
      </c>
      <c r="EJ27" s="56">
        <v>0</v>
      </c>
      <c r="EK27" s="56">
        <v>0</v>
      </c>
      <c r="EL27" s="56">
        <v>0</v>
      </c>
      <c r="EM27" s="56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8">
        <v>0</v>
      </c>
      <c r="FD27" s="56">
        <v>0</v>
      </c>
      <c r="FE27" s="56">
        <v>0</v>
      </c>
      <c r="FF27" s="56">
        <v>0</v>
      </c>
      <c r="FG27" s="56">
        <v>0</v>
      </c>
      <c r="FH27" s="56">
        <v>0</v>
      </c>
      <c r="FI27" s="56">
        <v>0</v>
      </c>
      <c r="FJ27" s="56">
        <v>0</v>
      </c>
      <c r="FK27" s="56">
        <v>0</v>
      </c>
      <c r="FL27" s="56">
        <v>0</v>
      </c>
      <c r="FM27" s="56">
        <v>0</v>
      </c>
      <c r="FN27" s="56">
        <v>0</v>
      </c>
      <c r="FO27" s="56">
        <v>0</v>
      </c>
      <c r="FP27" s="56">
        <v>0</v>
      </c>
      <c r="FQ27" s="56">
        <v>0</v>
      </c>
      <c r="FR27" s="56">
        <v>0</v>
      </c>
      <c r="FS27" s="58">
        <v>0</v>
      </c>
      <c r="FT27" s="56">
        <v>0</v>
      </c>
      <c r="FU27" s="56">
        <v>0</v>
      </c>
      <c r="FV27" s="56">
        <v>0</v>
      </c>
      <c r="FW27" s="56">
        <v>0</v>
      </c>
      <c r="FX27" s="56">
        <v>0</v>
      </c>
      <c r="FY27" s="56">
        <v>0</v>
      </c>
      <c r="FZ27" s="54" t="s">
        <v>1083</v>
      </c>
      <c r="GA27" s="54" t="s">
        <v>1084</v>
      </c>
      <c r="GB27" s="54" t="s">
        <v>1072</v>
      </c>
      <c r="GC27" s="54" t="s">
        <v>1073</v>
      </c>
      <c r="GD27" s="54" t="s">
        <v>1129</v>
      </c>
      <c r="GE27" s="54" t="s">
        <v>1075</v>
      </c>
      <c r="GF27" s="54"/>
      <c r="GG27" s="55"/>
      <c r="GH27" s="54"/>
      <c r="GI27" s="54"/>
      <c r="GJ27" s="54" t="s">
        <v>1076</v>
      </c>
      <c r="GK27" s="54" t="s">
        <v>1077</v>
      </c>
      <c r="GL27" s="54"/>
      <c r="GM27" s="54"/>
      <c r="GN27" s="54" t="s">
        <v>1078</v>
      </c>
      <c r="GO27" s="54" t="s">
        <v>1059</v>
      </c>
      <c r="GP27" s="54"/>
      <c r="GQ27" s="56">
        <v>0</v>
      </c>
      <c r="GR27" s="54" t="s">
        <v>1079</v>
      </c>
      <c r="GS27" s="54"/>
    </row>
    <row r="28" spans="1:201" x14ac:dyDescent="0.25">
      <c r="A28" s="54" t="s">
        <v>1032</v>
      </c>
      <c r="B28" s="54" t="s">
        <v>1033</v>
      </c>
      <c r="C28" s="54" t="s">
        <v>1034</v>
      </c>
      <c r="D28" s="54" t="s">
        <v>1035</v>
      </c>
      <c r="E28" s="54" t="s">
        <v>1036</v>
      </c>
      <c r="F28" s="55">
        <v>46175</v>
      </c>
      <c r="G28" s="55">
        <v>46175</v>
      </c>
      <c r="H28" s="54" t="s">
        <v>1037</v>
      </c>
      <c r="I28" s="54" t="s">
        <v>1038</v>
      </c>
      <c r="J28" s="54" t="s">
        <v>1039</v>
      </c>
      <c r="K28" s="55"/>
      <c r="L28" s="54" t="s">
        <v>1040</v>
      </c>
      <c r="M28" s="54"/>
      <c r="N28" s="54" t="s">
        <v>1041</v>
      </c>
      <c r="O28" s="54" t="s">
        <v>1130</v>
      </c>
      <c r="P28" s="54" t="s">
        <v>189</v>
      </c>
      <c r="Q28" s="54" t="s">
        <v>21</v>
      </c>
      <c r="R28" s="54" t="s">
        <v>1043</v>
      </c>
      <c r="S28" s="56">
        <v>8086</v>
      </c>
      <c r="T28" s="56">
        <v>8086</v>
      </c>
      <c r="U28" s="56">
        <v>0</v>
      </c>
      <c r="V28" s="56">
        <v>0</v>
      </c>
      <c r="W28" s="56">
        <v>0</v>
      </c>
      <c r="X28" s="56">
        <v>0</v>
      </c>
      <c r="Y28" s="56">
        <v>0</v>
      </c>
      <c r="Z28" s="56">
        <v>650</v>
      </c>
      <c r="AA28" s="56">
        <v>650</v>
      </c>
      <c r="AB28" s="59">
        <v>0</v>
      </c>
      <c r="AC28" s="56">
        <v>0</v>
      </c>
      <c r="AD28" s="56">
        <v>0</v>
      </c>
      <c r="AE28" s="56">
        <v>0</v>
      </c>
      <c r="AF28" s="54" t="s">
        <v>1044</v>
      </c>
      <c r="AG28" s="57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 t="s">
        <v>1045</v>
      </c>
      <c r="AS28" s="54" t="s">
        <v>1081</v>
      </c>
      <c r="AT28" s="54" t="s">
        <v>1082</v>
      </c>
      <c r="AU28" s="54" t="s">
        <v>1048</v>
      </c>
      <c r="AV28" s="54"/>
      <c r="AW28" s="55">
        <v>46189</v>
      </c>
      <c r="AX28" s="55">
        <v>46175</v>
      </c>
      <c r="AY28" s="55">
        <v>46175</v>
      </c>
      <c r="AZ28" s="55">
        <v>46176</v>
      </c>
      <c r="BA28" s="55">
        <v>46189</v>
      </c>
      <c r="BB28" s="56">
        <v>0</v>
      </c>
      <c r="BC28" s="56">
        <v>0</v>
      </c>
      <c r="BD28" s="56">
        <v>0</v>
      </c>
      <c r="BE28" s="56">
        <v>0</v>
      </c>
      <c r="BF28" s="56">
        <v>0</v>
      </c>
      <c r="BG28" s="56">
        <v>0</v>
      </c>
      <c r="BH28" s="56">
        <v>0</v>
      </c>
      <c r="BI28" s="56">
        <v>0</v>
      </c>
      <c r="BJ28" s="56">
        <v>0</v>
      </c>
      <c r="BK28" s="56">
        <v>0</v>
      </c>
      <c r="BL28" s="56">
        <v>0</v>
      </c>
      <c r="BM28" s="56">
        <v>0</v>
      </c>
      <c r="BN28" s="56">
        <v>0</v>
      </c>
      <c r="BO28" s="56">
        <v>0</v>
      </c>
      <c r="BP28" s="54" t="s">
        <v>1049</v>
      </c>
      <c r="BQ28" s="54" t="s">
        <v>1050</v>
      </c>
      <c r="BR28" s="54" t="s">
        <v>1049</v>
      </c>
      <c r="BS28" s="54" t="s">
        <v>1050</v>
      </c>
      <c r="BT28" s="54" t="s">
        <v>1051</v>
      </c>
      <c r="BU28" s="54" t="s">
        <v>1043</v>
      </c>
      <c r="BV28" s="58">
        <v>650</v>
      </c>
      <c r="BW28" s="54" t="s">
        <v>1052</v>
      </c>
      <c r="BX28" s="54" t="s">
        <v>1053</v>
      </c>
      <c r="BY28" s="54" t="s">
        <v>1054</v>
      </c>
      <c r="BZ28" s="54" t="s">
        <v>1055</v>
      </c>
      <c r="CA28" s="55"/>
      <c r="CB28" s="54" t="s">
        <v>1056</v>
      </c>
      <c r="CC28" s="54" t="s">
        <v>1057</v>
      </c>
      <c r="CD28" s="54" t="s">
        <v>1058</v>
      </c>
      <c r="CE28" s="54" t="s">
        <v>1059</v>
      </c>
      <c r="CF28" s="54" t="s">
        <v>1060</v>
      </c>
      <c r="CG28" s="54" t="s">
        <v>1061</v>
      </c>
      <c r="CH28" s="54" t="s">
        <v>1062</v>
      </c>
      <c r="CI28" s="54" t="s">
        <v>1063</v>
      </c>
      <c r="CJ28" s="54" t="s">
        <v>1064</v>
      </c>
      <c r="CK28" s="54" t="s">
        <v>1065</v>
      </c>
      <c r="CL28" s="54" t="s">
        <v>1066</v>
      </c>
      <c r="CM28" s="54" t="s">
        <v>1067</v>
      </c>
      <c r="CN28" s="54" t="s">
        <v>1068</v>
      </c>
      <c r="CO28" s="54" t="s">
        <v>1069</v>
      </c>
      <c r="CP28" s="56">
        <v>0</v>
      </c>
      <c r="CQ28" s="56">
        <v>0</v>
      </c>
      <c r="CR28" s="56">
        <v>0</v>
      </c>
      <c r="CS28" s="56">
        <v>0</v>
      </c>
      <c r="CT28" s="56">
        <v>0</v>
      </c>
      <c r="CU28" s="56">
        <v>0</v>
      </c>
      <c r="CV28" s="56">
        <v>0</v>
      </c>
      <c r="CW28" s="56">
        <v>0</v>
      </c>
      <c r="CX28" s="56">
        <v>0</v>
      </c>
      <c r="CY28" s="56">
        <v>0</v>
      </c>
      <c r="CZ28" s="56">
        <v>0</v>
      </c>
      <c r="DA28" s="56">
        <v>0</v>
      </c>
      <c r="DB28" s="56">
        <v>0</v>
      </c>
      <c r="DC28" s="56">
        <v>0</v>
      </c>
      <c r="DD28" s="56">
        <v>0</v>
      </c>
      <c r="DE28" s="56">
        <v>0</v>
      </c>
      <c r="DF28" s="56">
        <v>0</v>
      </c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56">
        <v>0</v>
      </c>
      <c r="ED28" s="56">
        <v>0</v>
      </c>
      <c r="EE28" s="56">
        <v>0</v>
      </c>
      <c r="EF28" s="56">
        <v>0</v>
      </c>
      <c r="EG28" s="56">
        <v>0</v>
      </c>
      <c r="EH28" s="56">
        <v>970.32</v>
      </c>
      <c r="EI28" s="56">
        <v>0</v>
      </c>
      <c r="EJ28" s="56">
        <v>0</v>
      </c>
      <c r="EK28" s="56">
        <v>0</v>
      </c>
      <c r="EL28" s="56">
        <v>0</v>
      </c>
      <c r="EM28" s="56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8">
        <v>0</v>
      </c>
      <c r="FD28" s="56">
        <v>0</v>
      </c>
      <c r="FE28" s="56">
        <v>0</v>
      </c>
      <c r="FF28" s="56">
        <v>0</v>
      </c>
      <c r="FG28" s="56">
        <v>0</v>
      </c>
      <c r="FH28" s="56">
        <v>0</v>
      </c>
      <c r="FI28" s="56">
        <v>0</v>
      </c>
      <c r="FJ28" s="56">
        <v>0</v>
      </c>
      <c r="FK28" s="56">
        <v>0</v>
      </c>
      <c r="FL28" s="56">
        <v>0</v>
      </c>
      <c r="FM28" s="56">
        <v>0</v>
      </c>
      <c r="FN28" s="56">
        <v>0</v>
      </c>
      <c r="FO28" s="56">
        <v>0</v>
      </c>
      <c r="FP28" s="56">
        <v>0</v>
      </c>
      <c r="FQ28" s="56">
        <v>0</v>
      </c>
      <c r="FR28" s="56">
        <v>0</v>
      </c>
      <c r="FS28" s="58">
        <v>0</v>
      </c>
      <c r="FT28" s="56">
        <v>0</v>
      </c>
      <c r="FU28" s="56">
        <v>0</v>
      </c>
      <c r="FV28" s="56">
        <v>0</v>
      </c>
      <c r="FW28" s="56">
        <v>0</v>
      </c>
      <c r="FX28" s="56">
        <v>0</v>
      </c>
      <c r="FY28" s="56">
        <v>0</v>
      </c>
      <c r="FZ28" s="54" t="s">
        <v>1083</v>
      </c>
      <c r="GA28" s="54" t="s">
        <v>1084</v>
      </c>
      <c r="GB28" s="54" t="s">
        <v>1072</v>
      </c>
      <c r="GC28" s="54" t="s">
        <v>1073</v>
      </c>
      <c r="GD28" s="54" t="s">
        <v>1129</v>
      </c>
      <c r="GE28" s="54" t="s">
        <v>1075</v>
      </c>
      <c r="GF28" s="54"/>
      <c r="GG28" s="55"/>
      <c r="GH28" s="54"/>
      <c r="GI28" s="54"/>
      <c r="GJ28" s="54" t="s">
        <v>1076</v>
      </c>
      <c r="GK28" s="54" t="s">
        <v>1077</v>
      </c>
      <c r="GL28" s="54"/>
      <c r="GM28" s="54"/>
      <c r="GN28" s="54" t="s">
        <v>1078</v>
      </c>
      <c r="GO28" s="54" t="s">
        <v>1059</v>
      </c>
      <c r="GP28" s="54"/>
      <c r="GQ28" s="56">
        <v>0</v>
      </c>
      <c r="GR28" s="54" t="s">
        <v>1079</v>
      </c>
      <c r="GS28" s="54"/>
    </row>
    <row r="29" spans="1:201" x14ac:dyDescent="0.25">
      <c r="A29" s="54" t="s">
        <v>1032</v>
      </c>
      <c r="B29" s="54" t="s">
        <v>1033</v>
      </c>
      <c r="C29" s="54" t="s">
        <v>1034</v>
      </c>
      <c r="D29" s="54" t="s">
        <v>1035</v>
      </c>
      <c r="E29" s="54" t="s">
        <v>1036</v>
      </c>
      <c r="F29" s="55">
        <v>46175</v>
      </c>
      <c r="G29" s="55">
        <v>46175</v>
      </c>
      <c r="H29" s="54" t="s">
        <v>1037</v>
      </c>
      <c r="I29" s="54" t="s">
        <v>1038</v>
      </c>
      <c r="J29" s="54" t="s">
        <v>1039</v>
      </c>
      <c r="K29" s="55"/>
      <c r="L29" s="54" t="s">
        <v>1040</v>
      </c>
      <c r="M29" s="54"/>
      <c r="N29" s="54" t="s">
        <v>1041</v>
      </c>
      <c r="O29" s="54" t="s">
        <v>1131</v>
      </c>
      <c r="P29" s="54" t="s">
        <v>445</v>
      </c>
      <c r="Q29" s="54" t="s">
        <v>441</v>
      </c>
      <c r="R29" s="54" t="s">
        <v>1043</v>
      </c>
      <c r="S29" s="56">
        <v>7918.33</v>
      </c>
      <c r="T29" s="56">
        <v>7918.33</v>
      </c>
      <c r="U29" s="56">
        <v>0</v>
      </c>
      <c r="V29" s="56">
        <v>0</v>
      </c>
      <c r="W29" s="56">
        <v>0</v>
      </c>
      <c r="X29" s="56">
        <v>0</v>
      </c>
      <c r="Y29" s="56">
        <v>0</v>
      </c>
      <c r="Z29" s="56">
        <v>623</v>
      </c>
      <c r="AA29" s="56">
        <v>623</v>
      </c>
      <c r="AB29" s="59">
        <v>0</v>
      </c>
      <c r="AC29" s="56">
        <v>0</v>
      </c>
      <c r="AD29" s="56">
        <v>0</v>
      </c>
      <c r="AE29" s="56">
        <v>0</v>
      </c>
      <c r="AF29" s="54" t="s">
        <v>1044</v>
      </c>
      <c r="AG29" s="57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 t="s">
        <v>1045</v>
      </c>
      <c r="AS29" s="54" t="s">
        <v>1103</v>
      </c>
      <c r="AT29" s="54" t="s">
        <v>1104</v>
      </c>
      <c r="AU29" s="54" t="s">
        <v>1048</v>
      </c>
      <c r="AV29" s="54"/>
      <c r="AW29" s="55">
        <v>46189</v>
      </c>
      <c r="AX29" s="55">
        <v>46175</v>
      </c>
      <c r="AY29" s="55">
        <v>46175</v>
      </c>
      <c r="AZ29" s="55">
        <v>46176</v>
      </c>
      <c r="BA29" s="55">
        <v>46189</v>
      </c>
      <c r="BB29" s="56">
        <v>0</v>
      </c>
      <c r="BC29" s="56">
        <v>0</v>
      </c>
      <c r="BD29" s="56">
        <v>0</v>
      </c>
      <c r="BE29" s="56">
        <v>0</v>
      </c>
      <c r="BF29" s="56">
        <v>0</v>
      </c>
      <c r="BG29" s="56">
        <v>0</v>
      </c>
      <c r="BH29" s="56">
        <v>0</v>
      </c>
      <c r="BI29" s="56">
        <v>0</v>
      </c>
      <c r="BJ29" s="56">
        <v>0</v>
      </c>
      <c r="BK29" s="56">
        <v>0</v>
      </c>
      <c r="BL29" s="56">
        <v>0</v>
      </c>
      <c r="BM29" s="56">
        <v>0</v>
      </c>
      <c r="BN29" s="56">
        <v>0</v>
      </c>
      <c r="BO29" s="56">
        <v>0</v>
      </c>
      <c r="BP29" s="54" t="s">
        <v>1049</v>
      </c>
      <c r="BQ29" s="54" t="s">
        <v>1050</v>
      </c>
      <c r="BR29" s="54" t="s">
        <v>1049</v>
      </c>
      <c r="BS29" s="54" t="s">
        <v>1050</v>
      </c>
      <c r="BT29" s="54" t="s">
        <v>1051</v>
      </c>
      <c r="BU29" s="54" t="s">
        <v>1043</v>
      </c>
      <c r="BV29" s="58">
        <v>623</v>
      </c>
      <c r="BW29" s="54" t="s">
        <v>1052</v>
      </c>
      <c r="BX29" s="54" t="s">
        <v>1053</v>
      </c>
      <c r="BY29" s="54" t="s">
        <v>1054</v>
      </c>
      <c r="BZ29" s="54" t="s">
        <v>1055</v>
      </c>
      <c r="CA29" s="55"/>
      <c r="CB29" s="54" t="s">
        <v>1056</v>
      </c>
      <c r="CC29" s="54" t="s">
        <v>1057</v>
      </c>
      <c r="CD29" s="54" t="s">
        <v>1058</v>
      </c>
      <c r="CE29" s="54" t="s">
        <v>1059</v>
      </c>
      <c r="CF29" s="54" t="s">
        <v>1060</v>
      </c>
      <c r="CG29" s="54" t="s">
        <v>1061</v>
      </c>
      <c r="CH29" s="54" t="s">
        <v>1062</v>
      </c>
      <c r="CI29" s="54" t="s">
        <v>1063</v>
      </c>
      <c r="CJ29" s="54" t="s">
        <v>1064</v>
      </c>
      <c r="CK29" s="54" t="s">
        <v>1065</v>
      </c>
      <c r="CL29" s="54" t="s">
        <v>1066</v>
      </c>
      <c r="CM29" s="54" t="s">
        <v>1067</v>
      </c>
      <c r="CN29" s="54" t="s">
        <v>1068</v>
      </c>
      <c r="CO29" s="54" t="s">
        <v>1069</v>
      </c>
      <c r="CP29" s="56">
        <v>0</v>
      </c>
      <c r="CQ29" s="56">
        <v>0</v>
      </c>
      <c r="CR29" s="56">
        <v>0</v>
      </c>
      <c r="CS29" s="56">
        <v>0</v>
      </c>
      <c r="CT29" s="56">
        <v>0</v>
      </c>
      <c r="CU29" s="56">
        <v>0</v>
      </c>
      <c r="CV29" s="56">
        <v>0</v>
      </c>
      <c r="CW29" s="56">
        <v>0</v>
      </c>
      <c r="CX29" s="56">
        <v>0</v>
      </c>
      <c r="CY29" s="56">
        <v>0</v>
      </c>
      <c r="CZ29" s="56">
        <v>0</v>
      </c>
      <c r="DA29" s="56">
        <v>0</v>
      </c>
      <c r="DB29" s="56">
        <v>0</v>
      </c>
      <c r="DC29" s="56">
        <v>0</v>
      </c>
      <c r="DD29" s="56">
        <v>0</v>
      </c>
      <c r="DE29" s="56">
        <v>0</v>
      </c>
      <c r="DF29" s="56">
        <v>0</v>
      </c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56">
        <v>0</v>
      </c>
      <c r="ED29" s="56">
        <v>0</v>
      </c>
      <c r="EE29" s="56">
        <v>0</v>
      </c>
      <c r="EF29" s="56">
        <v>601.79</v>
      </c>
      <c r="EG29" s="56">
        <v>130.65</v>
      </c>
      <c r="EH29" s="56">
        <v>950.2</v>
      </c>
      <c r="EI29" s="56">
        <v>0</v>
      </c>
      <c r="EJ29" s="56">
        <v>0</v>
      </c>
      <c r="EK29" s="56">
        <v>0</v>
      </c>
      <c r="EL29" s="56">
        <v>0</v>
      </c>
      <c r="EM29" s="56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8">
        <v>0</v>
      </c>
      <c r="FD29" s="56">
        <v>0</v>
      </c>
      <c r="FE29" s="56">
        <v>0</v>
      </c>
      <c r="FF29" s="56">
        <v>0</v>
      </c>
      <c r="FG29" s="56">
        <v>0</v>
      </c>
      <c r="FH29" s="56">
        <v>0</v>
      </c>
      <c r="FI29" s="56">
        <v>0</v>
      </c>
      <c r="FJ29" s="56">
        <v>0</v>
      </c>
      <c r="FK29" s="56">
        <v>0</v>
      </c>
      <c r="FL29" s="56">
        <v>0</v>
      </c>
      <c r="FM29" s="56">
        <v>0</v>
      </c>
      <c r="FN29" s="56">
        <v>0</v>
      </c>
      <c r="FO29" s="56">
        <v>0</v>
      </c>
      <c r="FP29" s="56">
        <v>0</v>
      </c>
      <c r="FQ29" s="56">
        <v>0</v>
      </c>
      <c r="FR29" s="56">
        <v>0</v>
      </c>
      <c r="FS29" s="58">
        <v>0</v>
      </c>
      <c r="FT29" s="56">
        <v>0</v>
      </c>
      <c r="FU29" s="56">
        <v>0</v>
      </c>
      <c r="FV29" s="56">
        <v>0</v>
      </c>
      <c r="FW29" s="56">
        <v>0</v>
      </c>
      <c r="FX29" s="56">
        <v>0</v>
      </c>
      <c r="FY29" s="56">
        <v>0</v>
      </c>
      <c r="FZ29" s="54" t="s">
        <v>1105</v>
      </c>
      <c r="GA29" s="54" t="s">
        <v>1106</v>
      </c>
      <c r="GB29" s="54" t="s">
        <v>1072</v>
      </c>
      <c r="GC29" s="54" t="s">
        <v>1073</v>
      </c>
      <c r="GD29" s="54"/>
      <c r="GE29" s="54"/>
      <c r="GF29" s="54"/>
      <c r="GG29" s="55"/>
      <c r="GH29" s="54"/>
      <c r="GI29" s="54"/>
      <c r="GJ29" s="54" t="s">
        <v>1076</v>
      </c>
      <c r="GK29" s="54" t="s">
        <v>1077</v>
      </c>
      <c r="GL29" s="54"/>
      <c r="GM29" s="54"/>
      <c r="GN29" s="54" t="s">
        <v>1078</v>
      </c>
      <c r="GO29" s="54" t="s">
        <v>1059</v>
      </c>
      <c r="GP29" s="54"/>
      <c r="GQ29" s="56">
        <v>0</v>
      </c>
      <c r="GR29" s="54" t="s">
        <v>1079</v>
      </c>
      <c r="GS29" s="54"/>
    </row>
    <row r="30" spans="1:201" x14ac:dyDescent="0.25">
      <c r="A30" s="54" t="s">
        <v>1032</v>
      </c>
      <c r="B30" s="54" t="s">
        <v>1033</v>
      </c>
      <c r="C30" s="54" t="s">
        <v>1034</v>
      </c>
      <c r="D30" s="54" t="s">
        <v>1035</v>
      </c>
      <c r="E30" s="54" t="s">
        <v>1036</v>
      </c>
      <c r="F30" s="55">
        <v>46175</v>
      </c>
      <c r="G30" s="55">
        <v>46175</v>
      </c>
      <c r="H30" s="54" t="s">
        <v>1037</v>
      </c>
      <c r="I30" s="54" t="s">
        <v>1038</v>
      </c>
      <c r="J30" s="54" t="s">
        <v>1039</v>
      </c>
      <c r="K30" s="55"/>
      <c r="L30" s="54" t="s">
        <v>1040</v>
      </c>
      <c r="M30" s="54"/>
      <c r="N30" s="54" t="s">
        <v>1041</v>
      </c>
      <c r="O30" s="54" t="s">
        <v>1132</v>
      </c>
      <c r="P30" s="54" t="s">
        <v>796</v>
      </c>
      <c r="Q30" s="54" t="s">
        <v>800</v>
      </c>
      <c r="R30" s="54" t="s">
        <v>1043</v>
      </c>
      <c r="S30" s="56">
        <v>2671.2</v>
      </c>
      <c r="T30" s="56">
        <v>2671.2</v>
      </c>
      <c r="U30" s="56">
        <v>0</v>
      </c>
      <c r="V30" s="56">
        <v>0</v>
      </c>
      <c r="W30" s="56">
        <v>0</v>
      </c>
      <c r="X30" s="56">
        <v>0</v>
      </c>
      <c r="Y30" s="56">
        <v>0</v>
      </c>
      <c r="Z30" s="56">
        <v>420</v>
      </c>
      <c r="AA30" s="56">
        <v>420</v>
      </c>
      <c r="AB30" s="59">
        <v>0</v>
      </c>
      <c r="AC30" s="56">
        <v>0</v>
      </c>
      <c r="AD30" s="56">
        <v>0</v>
      </c>
      <c r="AE30" s="56">
        <v>0</v>
      </c>
      <c r="AF30" s="54" t="s">
        <v>1044</v>
      </c>
      <c r="AG30" s="57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 t="s">
        <v>1045</v>
      </c>
      <c r="AS30" s="54" t="s">
        <v>1081</v>
      </c>
      <c r="AT30" s="54" t="s">
        <v>1082</v>
      </c>
      <c r="AU30" s="54" t="s">
        <v>1048</v>
      </c>
      <c r="AV30" s="54"/>
      <c r="AW30" s="55">
        <v>46189</v>
      </c>
      <c r="AX30" s="55">
        <v>46175</v>
      </c>
      <c r="AY30" s="55">
        <v>46175</v>
      </c>
      <c r="AZ30" s="55">
        <v>46176</v>
      </c>
      <c r="BA30" s="55">
        <v>46189</v>
      </c>
      <c r="BB30" s="56">
        <v>0</v>
      </c>
      <c r="BC30" s="56">
        <v>0</v>
      </c>
      <c r="BD30" s="56">
        <v>0</v>
      </c>
      <c r="BE30" s="56">
        <v>0</v>
      </c>
      <c r="BF30" s="56">
        <v>0</v>
      </c>
      <c r="BG30" s="56">
        <v>0</v>
      </c>
      <c r="BH30" s="56">
        <v>0</v>
      </c>
      <c r="BI30" s="56">
        <v>0</v>
      </c>
      <c r="BJ30" s="56">
        <v>0</v>
      </c>
      <c r="BK30" s="56">
        <v>0</v>
      </c>
      <c r="BL30" s="56">
        <v>0</v>
      </c>
      <c r="BM30" s="56">
        <v>0</v>
      </c>
      <c r="BN30" s="56">
        <v>0</v>
      </c>
      <c r="BO30" s="56">
        <v>0</v>
      </c>
      <c r="BP30" s="54" t="s">
        <v>1049</v>
      </c>
      <c r="BQ30" s="54" t="s">
        <v>1050</v>
      </c>
      <c r="BR30" s="54" t="s">
        <v>1049</v>
      </c>
      <c r="BS30" s="54" t="s">
        <v>1050</v>
      </c>
      <c r="BT30" s="54" t="s">
        <v>1051</v>
      </c>
      <c r="BU30" s="54" t="s">
        <v>1043</v>
      </c>
      <c r="BV30" s="58">
        <v>420</v>
      </c>
      <c r="BW30" s="54" t="s">
        <v>1052</v>
      </c>
      <c r="BX30" s="54" t="s">
        <v>1053</v>
      </c>
      <c r="BY30" s="54" t="s">
        <v>1054</v>
      </c>
      <c r="BZ30" s="54" t="s">
        <v>1055</v>
      </c>
      <c r="CA30" s="55"/>
      <c r="CB30" s="54" t="s">
        <v>1056</v>
      </c>
      <c r="CC30" s="54" t="s">
        <v>1057</v>
      </c>
      <c r="CD30" s="54" t="s">
        <v>1058</v>
      </c>
      <c r="CE30" s="54" t="s">
        <v>1059</v>
      </c>
      <c r="CF30" s="54" t="s">
        <v>1060</v>
      </c>
      <c r="CG30" s="54" t="s">
        <v>1061</v>
      </c>
      <c r="CH30" s="54" t="s">
        <v>1062</v>
      </c>
      <c r="CI30" s="54" t="s">
        <v>1063</v>
      </c>
      <c r="CJ30" s="54" t="s">
        <v>1064</v>
      </c>
      <c r="CK30" s="54" t="s">
        <v>1065</v>
      </c>
      <c r="CL30" s="54" t="s">
        <v>1066</v>
      </c>
      <c r="CM30" s="54" t="s">
        <v>1067</v>
      </c>
      <c r="CN30" s="54" t="s">
        <v>1068</v>
      </c>
      <c r="CO30" s="54" t="s">
        <v>1069</v>
      </c>
      <c r="CP30" s="56">
        <v>0</v>
      </c>
      <c r="CQ30" s="56">
        <v>0</v>
      </c>
      <c r="CR30" s="56">
        <v>0</v>
      </c>
      <c r="CS30" s="56">
        <v>0</v>
      </c>
      <c r="CT30" s="56">
        <v>0</v>
      </c>
      <c r="CU30" s="56">
        <v>0</v>
      </c>
      <c r="CV30" s="56">
        <v>0</v>
      </c>
      <c r="CW30" s="56">
        <v>0</v>
      </c>
      <c r="CX30" s="56">
        <v>0</v>
      </c>
      <c r="CY30" s="56">
        <v>0</v>
      </c>
      <c r="CZ30" s="56">
        <v>0</v>
      </c>
      <c r="DA30" s="56">
        <v>0</v>
      </c>
      <c r="DB30" s="56">
        <v>0</v>
      </c>
      <c r="DC30" s="56">
        <v>0</v>
      </c>
      <c r="DD30" s="56">
        <v>0</v>
      </c>
      <c r="DE30" s="56">
        <v>0</v>
      </c>
      <c r="DF30" s="56">
        <v>0</v>
      </c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56">
        <v>0</v>
      </c>
      <c r="ED30" s="56">
        <v>0</v>
      </c>
      <c r="EE30" s="56">
        <v>0</v>
      </c>
      <c r="EF30" s="56">
        <v>0</v>
      </c>
      <c r="EG30" s="56">
        <v>0</v>
      </c>
      <c r="EH30" s="56">
        <v>320.54000000000002</v>
      </c>
      <c r="EI30" s="56">
        <v>0</v>
      </c>
      <c r="EJ30" s="56">
        <v>0</v>
      </c>
      <c r="EK30" s="56">
        <v>0</v>
      </c>
      <c r="EL30" s="56">
        <v>0</v>
      </c>
      <c r="EM30" s="56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8">
        <v>0</v>
      </c>
      <c r="FD30" s="56">
        <v>0</v>
      </c>
      <c r="FE30" s="56">
        <v>0</v>
      </c>
      <c r="FF30" s="56">
        <v>0</v>
      </c>
      <c r="FG30" s="56">
        <v>0</v>
      </c>
      <c r="FH30" s="56">
        <v>0</v>
      </c>
      <c r="FI30" s="56">
        <v>0</v>
      </c>
      <c r="FJ30" s="56">
        <v>0</v>
      </c>
      <c r="FK30" s="56">
        <v>0</v>
      </c>
      <c r="FL30" s="56">
        <v>0</v>
      </c>
      <c r="FM30" s="56">
        <v>0</v>
      </c>
      <c r="FN30" s="56">
        <v>0</v>
      </c>
      <c r="FO30" s="56">
        <v>0</v>
      </c>
      <c r="FP30" s="56">
        <v>0</v>
      </c>
      <c r="FQ30" s="56">
        <v>0</v>
      </c>
      <c r="FR30" s="56">
        <v>0</v>
      </c>
      <c r="FS30" s="58">
        <v>0</v>
      </c>
      <c r="FT30" s="56">
        <v>0</v>
      </c>
      <c r="FU30" s="56">
        <v>0</v>
      </c>
      <c r="FV30" s="56">
        <v>0</v>
      </c>
      <c r="FW30" s="56">
        <v>0</v>
      </c>
      <c r="FX30" s="56">
        <v>0</v>
      </c>
      <c r="FY30" s="56">
        <v>0</v>
      </c>
      <c r="FZ30" s="54" t="s">
        <v>1083</v>
      </c>
      <c r="GA30" s="54" t="s">
        <v>1084</v>
      </c>
      <c r="GB30" s="54" t="s">
        <v>1072</v>
      </c>
      <c r="GC30" s="54" t="s">
        <v>1073</v>
      </c>
      <c r="GD30" s="54"/>
      <c r="GE30" s="54"/>
      <c r="GF30" s="54"/>
      <c r="GG30" s="55"/>
      <c r="GH30" s="54"/>
      <c r="GI30" s="54"/>
      <c r="GJ30" s="54" t="s">
        <v>1076</v>
      </c>
      <c r="GK30" s="54" t="s">
        <v>1077</v>
      </c>
      <c r="GL30" s="54"/>
      <c r="GM30" s="54"/>
      <c r="GN30" s="54" t="s">
        <v>1078</v>
      </c>
      <c r="GO30" s="54" t="s">
        <v>1059</v>
      </c>
      <c r="GP30" s="54"/>
      <c r="GQ30" s="56">
        <v>0</v>
      </c>
      <c r="GR30" s="54" t="s">
        <v>1079</v>
      </c>
      <c r="GS30" s="54"/>
    </row>
    <row r="31" spans="1:201" x14ac:dyDescent="0.25">
      <c r="A31" s="54" t="s">
        <v>1032</v>
      </c>
      <c r="B31" s="54" t="s">
        <v>1033</v>
      </c>
      <c r="C31" s="54" t="s">
        <v>1034</v>
      </c>
      <c r="D31" s="54" t="s">
        <v>1035</v>
      </c>
      <c r="E31" s="54" t="s">
        <v>1036</v>
      </c>
      <c r="F31" s="55">
        <v>46175</v>
      </c>
      <c r="G31" s="55">
        <v>46175</v>
      </c>
      <c r="H31" s="54" t="s">
        <v>1037</v>
      </c>
      <c r="I31" s="54" t="s">
        <v>1038</v>
      </c>
      <c r="J31" s="54" t="s">
        <v>1039</v>
      </c>
      <c r="K31" s="55"/>
      <c r="L31" s="54" t="s">
        <v>1040</v>
      </c>
      <c r="M31" s="54"/>
      <c r="N31" s="54" t="s">
        <v>1041</v>
      </c>
      <c r="O31" s="54" t="s">
        <v>1133</v>
      </c>
      <c r="P31" s="54" t="s">
        <v>821</v>
      </c>
      <c r="Q31" s="54" t="s">
        <v>824</v>
      </c>
      <c r="R31" s="54" t="s">
        <v>1043</v>
      </c>
      <c r="S31" s="56">
        <v>248.64</v>
      </c>
      <c r="T31" s="56">
        <v>248.64</v>
      </c>
      <c r="U31" s="56">
        <v>0</v>
      </c>
      <c r="V31" s="56">
        <v>0</v>
      </c>
      <c r="W31" s="56">
        <v>0</v>
      </c>
      <c r="X31" s="56">
        <v>0</v>
      </c>
      <c r="Y31" s="56">
        <v>0</v>
      </c>
      <c r="Z31" s="56">
        <v>48</v>
      </c>
      <c r="AA31" s="56">
        <v>48</v>
      </c>
      <c r="AB31" s="59">
        <v>0</v>
      </c>
      <c r="AC31" s="56">
        <v>0</v>
      </c>
      <c r="AD31" s="56">
        <v>0</v>
      </c>
      <c r="AE31" s="56">
        <v>0</v>
      </c>
      <c r="AF31" s="54" t="s">
        <v>1044</v>
      </c>
      <c r="AG31" s="57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 t="s">
        <v>1045</v>
      </c>
      <c r="AS31" s="54" t="s">
        <v>1081</v>
      </c>
      <c r="AT31" s="54" t="s">
        <v>1082</v>
      </c>
      <c r="AU31" s="54" t="s">
        <v>1048</v>
      </c>
      <c r="AV31" s="54"/>
      <c r="AW31" s="55">
        <v>46189</v>
      </c>
      <c r="AX31" s="55">
        <v>46175</v>
      </c>
      <c r="AY31" s="55">
        <v>46175</v>
      </c>
      <c r="AZ31" s="55">
        <v>46176</v>
      </c>
      <c r="BA31" s="55">
        <v>46189</v>
      </c>
      <c r="BB31" s="56">
        <v>0</v>
      </c>
      <c r="BC31" s="56">
        <v>0</v>
      </c>
      <c r="BD31" s="56">
        <v>0</v>
      </c>
      <c r="BE31" s="56">
        <v>0</v>
      </c>
      <c r="BF31" s="56">
        <v>0</v>
      </c>
      <c r="BG31" s="56">
        <v>0</v>
      </c>
      <c r="BH31" s="56">
        <v>0</v>
      </c>
      <c r="BI31" s="56">
        <v>0</v>
      </c>
      <c r="BJ31" s="56">
        <v>0</v>
      </c>
      <c r="BK31" s="56">
        <v>0</v>
      </c>
      <c r="BL31" s="56">
        <v>0</v>
      </c>
      <c r="BM31" s="56">
        <v>0</v>
      </c>
      <c r="BN31" s="56">
        <v>0</v>
      </c>
      <c r="BO31" s="56">
        <v>0</v>
      </c>
      <c r="BP31" s="54" t="s">
        <v>1049</v>
      </c>
      <c r="BQ31" s="54" t="s">
        <v>1050</v>
      </c>
      <c r="BR31" s="54" t="s">
        <v>1049</v>
      </c>
      <c r="BS31" s="54" t="s">
        <v>1050</v>
      </c>
      <c r="BT31" s="54" t="s">
        <v>1051</v>
      </c>
      <c r="BU31" s="54" t="s">
        <v>1043</v>
      </c>
      <c r="BV31" s="58">
        <v>48</v>
      </c>
      <c r="BW31" s="54" t="s">
        <v>1052</v>
      </c>
      <c r="BX31" s="54" t="s">
        <v>1053</v>
      </c>
      <c r="BY31" s="54" t="s">
        <v>1054</v>
      </c>
      <c r="BZ31" s="54" t="s">
        <v>1055</v>
      </c>
      <c r="CA31" s="55"/>
      <c r="CB31" s="54" t="s">
        <v>1056</v>
      </c>
      <c r="CC31" s="54" t="s">
        <v>1057</v>
      </c>
      <c r="CD31" s="54" t="s">
        <v>1058</v>
      </c>
      <c r="CE31" s="54" t="s">
        <v>1059</v>
      </c>
      <c r="CF31" s="54" t="s">
        <v>1060</v>
      </c>
      <c r="CG31" s="54" t="s">
        <v>1061</v>
      </c>
      <c r="CH31" s="54" t="s">
        <v>1062</v>
      </c>
      <c r="CI31" s="54" t="s">
        <v>1063</v>
      </c>
      <c r="CJ31" s="54" t="s">
        <v>1064</v>
      </c>
      <c r="CK31" s="54" t="s">
        <v>1065</v>
      </c>
      <c r="CL31" s="54" t="s">
        <v>1066</v>
      </c>
      <c r="CM31" s="54" t="s">
        <v>1067</v>
      </c>
      <c r="CN31" s="54" t="s">
        <v>1068</v>
      </c>
      <c r="CO31" s="54" t="s">
        <v>1069</v>
      </c>
      <c r="CP31" s="56">
        <v>0</v>
      </c>
      <c r="CQ31" s="56">
        <v>0</v>
      </c>
      <c r="CR31" s="56">
        <v>0</v>
      </c>
      <c r="CS31" s="56">
        <v>0</v>
      </c>
      <c r="CT31" s="56">
        <v>0</v>
      </c>
      <c r="CU31" s="56">
        <v>0</v>
      </c>
      <c r="CV31" s="56">
        <v>0</v>
      </c>
      <c r="CW31" s="56">
        <v>0</v>
      </c>
      <c r="CX31" s="56">
        <v>0</v>
      </c>
      <c r="CY31" s="56">
        <v>0</v>
      </c>
      <c r="CZ31" s="56">
        <v>0</v>
      </c>
      <c r="DA31" s="56">
        <v>0</v>
      </c>
      <c r="DB31" s="56">
        <v>0</v>
      </c>
      <c r="DC31" s="56">
        <v>0</v>
      </c>
      <c r="DD31" s="56">
        <v>0</v>
      </c>
      <c r="DE31" s="56">
        <v>0</v>
      </c>
      <c r="DF31" s="56">
        <v>0</v>
      </c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56">
        <v>0</v>
      </c>
      <c r="ED31" s="56">
        <v>0</v>
      </c>
      <c r="EE31" s="56">
        <v>0</v>
      </c>
      <c r="EF31" s="56">
        <v>0</v>
      </c>
      <c r="EG31" s="56">
        <v>0</v>
      </c>
      <c r="EH31" s="56">
        <v>29.84</v>
      </c>
      <c r="EI31" s="56">
        <v>0</v>
      </c>
      <c r="EJ31" s="56">
        <v>0</v>
      </c>
      <c r="EK31" s="56">
        <v>0</v>
      </c>
      <c r="EL31" s="56">
        <v>0</v>
      </c>
      <c r="EM31" s="56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8">
        <v>0</v>
      </c>
      <c r="FD31" s="56">
        <v>0</v>
      </c>
      <c r="FE31" s="56">
        <v>0</v>
      </c>
      <c r="FF31" s="56">
        <v>0</v>
      </c>
      <c r="FG31" s="56">
        <v>0</v>
      </c>
      <c r="FH31" s="56">
        <v>0</v>
      </c>
      <c r="FI31" s="56">
        <v>0</v>
      </c>
      <c r="FJ31" s="56">
        <v>0</v>
      </c>
      <c r="FK31" s="56">
        <v>0</v>
      </c>
      <c r="FL31" s="56">
        <v>0</v>
      </c>
      <c r="FM31" s="56">
        <v>0</v>
      </c>
      <c r="FN31" s="56">
        <v>0</v>
      </c>
      <c r="FO31" s="56">
        <v>0</v>
      </c>
      <c r="FP31" s="56">
        <v>0</v>
      </c>
      <c r="FQ31" s="56">
        <v>0</v>
      </c>
      <c r="FR31" s="56">
        <v>0</v>
      </c>
      <c r="FS31" s="58">
        <v>0</v>
      </c>
      <c r="FT31" s="56">
        <v>0</v>
      </c>
      <c r="FU31" s="56">
        <v>0</v>
      </c>
      <c r="FV31" s="56">
        <v>0</v>
      </c>
      <c r="FW31" s="56">
        <v>0</v>
      </c>
      <c r="FX31" s="56">
        <v>0</v>
      </c>
      <c r="FY31" s="56">
        <v>0</v>
      </c>
      <c r="FZ31" s="54" t="s">
        <v>1083</v>
      </c>
      <c r="GA31" s="54" t="s">
        <v>1084</v>
      </c>
      <c r="GB31" s="54" t="s">
        <v>1072</v>
      </c>
      <c r="GC31" s="54" t="s">
        <v>1073</v>
      </c>
      <c r="GD31" s="54"/>
      <c r="GE31" s="54"/>
      <c r="GF31" s="54"/>
      <c r="GG31" s="55"/>
      <c r="GH31" s="54"/>
      <c r="GI31" s="54"/>
      <c r="GJ31" s="54" t="s">
        <v>1076</v>
      </c>
      <c r="GK31" s="54" t="s">
        <v>1077</v>
      </c>
      <c r="GL31" s="54"/>
      <c r="GM31" s="54"/>
      <c r="GN31" s="54" t="s">
        <v>1078</v>
      </c>
      <c r="GO31" s="54" t="s">
        <v>1059</v>
      </c>
      <c r="GP31" s="54"/>
      <c r="GQ31" s="56">
        <v>0</v>
      </c>
      <c r="GR31" s="54" t="s">
        <v>1079</v>
      </c>
      <c r="GS31" s="54"/>
    </row>
    <row r="32" spans="1:201" x14ac:dyDescent="0.25">
      <c r="A32" s="54" t="s">
        <v>1032</v>
      </c>
      <c r="B32" s="54" t="s">
        <v>1033</v>
      </c>
      <c r="C32" s="54" t="s">
        <v>1034</v>
      </c>
      <c r="D32" s="54" t="s">
        <v>1035</v>
      </c>
      <c r="E32" s="54" t="s">
        <v>1036</v>
      </c>
      <c r="F32" s="55">
        <v>46175</v>
      </c>
      <c r="G32" s="55">
        <v>46175</v>
      </c>
      <c r="H32" s="54" t="s">
        <v>1037</v>
      </c>
      <c r="I32" s="54" t="s">
        <v>1038</v>
      </c>
      <c r="J32" s="54" t="s">
        <v>1039</v>
      </c>
      <c r="K32" s="55"/>
      <c r="L32" s="54" t="s">
        <v>1040</v>
      </c>
      <c r="M32" s="54"/>
      <c r="N32" s="54" t="s">
        <v>1041</v>
      </c>
      <c r="O32" s="54" t="s">
        <v>1134</v>
      </c>
      <c r="P32" s="54" t="s">
        <v>822</v>
      </c>
      <c r="Q32" s="54" t="s">
        <v>825</v>
      </c>
      <c r="R32" s="54" t="s">
        <v>1043</v>
      </c>
      <c r="S32" s="56">
        <v>724.8</v>
      </c>
      <c r="T32" s="56">
        <v>724.8</v>
      </c>
      <c r="U32" s="56">
        <v>0</v>
      </c>
      <c r="V32" s="56">
        <v>0</v>
      </c>
      <c r="W32" s="56">
        <v>0</v>
      </c>
      <c r="X32" s="56">
        <v>0</v>
      </c>
      <c r="Y32" s="56">
        <v>0</v>
      </c>
      <c r="Z32" s="56">
        <v>96</v>
      </c>
      <c r="AA32" s="56">
        <v>96</v>
      </c>
      <c r="AB32" s="59">
        <v>0</v>
      </c>
      <c r="AC32" s="56">
        <v>0</v>
      </c>
      <c r="AD32" s="56">
        <v>0</v>
      </c>
      <c r="AE32" s="56">
        <v>0</v>
      </c>
      <c r="AF32" s="54" t="s">
        <v>1044</v>
      </c>
      <c r="AG32" s="57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 t="s">
        <v>1045</v>
      </c>
      <c r="AS32" s="54" t="s">
        <v>1081</v>
      </c>
      <c r="AT32" s="54" t="s">
        <v>1082</v>
      </c>
      <c r="AU32" s="54" t="s">
        <v>1048</v>
      </c>
      <c r="AV32" s="54"/>
      <c r="AW32" s="55">
        <v>46189</v>
      </c>
      <c r="AX32" s="55">
        <v>46175</v>
      </c>
      <c r="AY32" s="55">
        <v>46175</v>
      </c>
      <c r="AZ32" s="55">
        <v>46176</v>
      </c>
      <c r="BA32" s="55">
        <v>46189</v>
      </c>
      <c r="BB32" s="56">
        <v>0</v>
      </c>
      <c r="BC32" s="56">
        <v>0</v>
      </c>
      <c r="BD32" s="56">
        <v>0</v>
      </c>
      <c r="BE32" s="56">
        <v>0</v>
      </c>
      <c r="BF32" s="56">
        <v>0</v>
      </c>
      <c r="BG32" s="56">
        <v>0</v>
      </c>
      <c r="BH32" s="56">
        <v>0</v>
      </c>
      <c r="BI32" s="56">
        <v>0</v>
      </c>
      <c r="BJ32" s="56">
        <v>0</v>
      </c>
      <c r="BK32" s="56">
        <v>0</v>
      </c>
      <c r="BL32" s="56">
        <v>0</v>
      </c>
      <c r="BM32" s="56">
        <v>0</v>
      </c>
      <c r="BN32" s="56">
        <v>0</v>
      </c>
      <c r="BO32" s="56">
        <v>0</v>
      </c>
      <c r="BP32" s="54" t="s">
        <v>1049</v>
      </c>
      <c r="BQ32" s="54" t="s">
        <v>1050</v>
      </c>
      <c r="BR32" s="54" t="s">
        <v>1049</v>
      </c>
      <c r="BS32" s="54" t="s">
        <v>1050</v>
      </c>
      <c r="BT32" s="54" t="s">
        <v>1051</v>
      </c>
      <c r="BU32" s="54" t="s">
        <v>1043</v>
      </c>
      <c r="BV32" s="58">
        <v>96</v>
      </c>
      <c r="BW32" s="54" t="s">
        <v>1052</v>
      </c>
      <c r="BX32" s="54" t="s">
        <v>1053</v>
      </c>
      <c r="BY32" s="54" t="s">
        <v>1054</v>
      </c>
      <c r="BZ32" s="54" t="s">
        <v>1055</v>
      </c>
      <c r="CA32" s="55"/>
      <c r="CB32" s="54" t="s">
        <v>1056</v>
      </c>
      <c r="CC32" s="54" t="s">
        <v>1057</v>
      </c>
      <c r="CD32" s="54" t="s">
        <v>1058</v>
      </c>
      <c r="CE32" s="54" t="s">
        <v>1059</v>
      </c>
      <c r="CF32" s="54" t="s">
        <v>1060</v>
      </c>
      <c r="CG32" s="54" t="s">
        <v>1061</v>
      </c>
      <c r="CH32" s="54" t="s">
        <v>1062</v>
      </c>
      <c r="CI32" s="54" t="s">
        <v>1063</v>
      </c>
      <c r="CJ32" s="54" t="s">
        <v>1064</v>
      </c>
      <c r="CK32" s="54" t="s">
        <v>1065</v>
      </c>
      <c r="CL32" s="54" t="s">
        <v>1066</v>
      </c>
      <c r="CM32" s="54" t="s">
        <v>1067</v>
      </c>
      <c r="CN32" s="54" t="s">
        <v>1068</v>
      </c>
      <c r="CO32" s="54" t="s">
        <v>1069</v>
      </c>
      <c r="CP32" s="56">
        <v>0</v>
      </c>
      <c r="CQ32" s="56">
        <v>0</v>
      </c>
      <c r="CR32" s="56">
        <v>0</v>
      </c>
      <c r="CS32" s="56">
        <v>0</v>
      </c>
      <c r="CT32" s="56">
        <v>0</v>
      </c>
      <c r="CU32" s="56">
        <v>0</v>
      </c>
      <c r="CV32" s="56">
        <v>0</v>
      </c>
      <c r="CW32" s="56">
        <v>0</v>
      </c>
      <c r="CX32" s="56">
        <v>0</v>
      </c>
      <c r="CY32" s="56">
        <v>0</v>
      </c>
      <c r="CZ32" s="56">
        <v>0</v>
      </c>
      <c r="DA32" s="56">
        <v>0</v>
      </c>
      <c r="DB32" s="56">
        <v>0</v>
      </c>
      <c r="DC32" s="56">
        <v>0</v>
      </c>
      <c r="DD32" s="56">
        <v>0</v>
      </c>
      <c r="DE32" s="56">
        <v>0</v>
      </c>
      <c r="DF32" s="56">
        <v>0</v>
      </c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56">
        <v>0</v>
      </c>
      <c r="ED32" s="56">
        <v>0</v>
      </c>
      <c r="EE32" s="56">
        <v>0</v>
      </c>
      <c r="EF32" s="56">
        <v>0</v>
      </c>
      <c r="EG32" s="56">
        <v>0</v>
      </c>
      <c r="EH32" s="56">
        <v>86.98</v>
      </c>
      <c r="EI32" s="56">
        <v>0</v>
      </c>
      <c r="EJ32" s="56">
        <v>0</v>
      </c>
      <c r="EK32" s="56">
        <v>0</v>
      </c>
      <c r="EL32" s="56">
        <v>0</v>
      </c>
      <c r="EM32" s="56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8">
        <v>0</v>
      </c>
      <c r="FD32" s="56">
        <v>0</v>
      </c>
      <c r="FE32" s="56">
        <v>0</v>
      </c>
      <c r="FF32" s="56">
        <v>0</v>
      </c>
      <c r="FG32" s="56">
        <v>0</v>
      </c>
      <c r="FH32" s="56">
        <v>0</v>
      </c>
      <c r="FI32" s="56">
        <v>0</v>
      </c>
      <c r="FJ32" s="56">
        <v>0</v>
      </c>
      <c r="FK32" s="56">
        <v>0</v>
      </c>
      <c r="FL32" s="56">
        <v>0</v>
      </c>
      <c r="FM32" s="56">
        <v>0</v>
      </c>
      <c r="FN32" s="56">
        <v>0</v>
      </c>
      <c r="FO32" s="56">
        <v>0</v>
      </c>
      <c r="FP32" s="56">
        <v>0</v>
      </c>
      <c r="FQ32" s="56">
        <v>0</v>
      </c>
      <c r="FR32" s="56">
        <v>0</v>
      </c>
      <c r="FS32" s="58">
        <v>0</v>
      </c>
      <c r="FT32" s="56">
        <v>0</v>
      </c>
      <c r="FU32" s="56">
        <v>0</v>
      </c>
      <c r="FV32" s="56">
        <v>0</v>
      </c>
      <c r="FW32" s="56">
        <v>0</v>
      </c>
      <c r="FX32" s="56">
        <v>0</v>
      </c>
      <c r="FY32" s="56">
        <v>0</v>
      </c>
      <c r="FZ32" s="54" t="s">
        <v>1083</v>
      </c>
      <c r="GA32" s="54" t="s">
        <v>1084</v>
      </c>
      <c r="GB32" s="54" t="s">
        <v>1072</v>
      </c>
      <c r="GC32" s="54" t="s">
        <v>1073</v>
      </c>
      <c r="GD32" s="54"/>
      <c r="GE32" s="54"/>
      <c r="GF32" s="54"/>
      <c r="GG32" s="55"/>
      <c r="GH32" s="54"/>
      <c r="GI32" s="54"/>
      <c r="GJ32" s="54" t="s">
        <v>1076</v>
      </c>
      <c r="GK32" s="54" t="s">
        <v>1077</v>
      </c>
      <c r="GL32" s="54"/>
      <c r="GM32" s="54"/>
      <c r="GN32" s="54" t="s">
        <v>1078</v>
      </c>
      <c r="GO32" s="54" t="s">
        <v>1059</v>
      </c>
      <c r="GP32" s="54"/>
      <c r="GQ32" s="56">
        <v>0</v>
      </c>
      <c r="GR32" s="54" t="s">
        <v>1079</v>
      </c>
      <c r="GS32" s="54"/>
    </row>
    <row r="33" spans="1:201" x14ac:dyDescent="0.25">
      <c r="A33" s="54" t="s">
        <v>1032</v>
      </c>
      <c r="B33" s="54" t="s">
        <v>1033</v>
      </c>
      <c r="C33" s="54" t="s">
        <v>1034</v>
      </c>
      <c r="D33" s="54" t="s">
        <v>1035</v>
      </c>
      <c r="E33" s="54" t="s">
        <v>1036</v>
      </c>
      <c r="F33" s="55">
        <v>46175</v>
      </c>
      <c r="G33" s="55">
        <v>46175</v>
      </c>
      <c r="H33" s="54" t="s">
        <v>1037</v>
      </c>
      <c r="I33" s="54" t="s">
        <v>1038</v>
      </c>
      <c r="J33" s="54" t="s">
        <v>1039</v>
      </c>
      <c r="K33" s="55"/>
      <c r="L33" s="54" t="s">
        <v>1040</v>
      </c>
      <c r="M33" s="54"/>
      <c r="N33" s="54" t="s">
        <v>1041</v>
      </c>
      <c r="O33" s="54" t="s">
        <v>1135</v>
      </c>
      <c r="P33" s="54" t="s">
        <v>192</v>
      </c>
      <c r="Q33" s="54" t="s">
        <v>24</v>
      </c>
      <c r="R33" s="54" t="s">
        <v>1043</v>
      </c>
      <c r="S33" s="56">
        <v>3114</v>
      </c>
      <c r="T33" s="56">
        <v>3114</v>
      </c>
      <c r="U33" s="56">
        <v>0</v>
      </c>
      <c r="V33" s="56">
        <v>0</v>
      </c>
      <c r="W33" s="56">
        <v>0</v>
      </c>
      <c r="X33" s="56">
        <v>0</v>
      </c>
      <c r="Y33" s="56">
        <v>0</v>
      </c>
      <c r="Z33" s="56">
        <v>300</v>
      </c>
      <c r="AA33" s="56">
        <v>300</v>
      </c>
      <c r="AB33" s="59">
        <v>0</v>
      </c>
      <c r="AC33" s="56">
        <v>0</v>
      </c>
      <c r="AD33" s="56">
        <v>0</v>
      </c>
      <c r="AE33" s="56">
        <v>0</v>
      </c>
      <c r="AF33" s="54" t="s">
        <v>1044</v>
      </c>
      <c r="AG33" s="57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 t="s">
        <v>1045</v>
      </c>
      <c r="AS33" s="54" t="s">
        <v>1081</v>
      </c>
      <c r="AT33" s="54" t="s">
        <v>1082</v>
      </c>
      <c r="AU33" s="54" t="s">
        <v>1048</v>
      </c>
      <c r="AV33" s="54"/>
      <c r="AW33" s="55">
        <v>46189</v>
      </c>
      <c r="AX33" s="55">
        <v>46175</v>
      </c>
      <c r="AY33" s="55">
        <v>46175</v>
      </c>
      <c r="AZ33" s="55">
        <v>46176</v>
      </c>
      <c r="BA33" s="55">
        <v>46189</v>
      </c>
      <c r="BB33" s="56">
        <v>0</v>
      </c>
      <c r="BC33" s="56">
        <v>0</v>
      </c>
      <c r="BD33" s="56">
        <v>0</v>
      </c>
      <c r="BE33" s="56">
        <v>0</v>
      </c>
      <c r="BF33" s="56">
        <v>0</v>
      </c>
      <c r="BG33" s="56">
        <v>0</v>
      </c>
      <c r="BH33" s="56">
        <v>0</v>
      </c>
      <c r="BI33" s="56">
        <v>0</v>
      </c>
      <c r="BJ33" s="56">
        <v>0</v>
      </c>
      <c r="BK33" s="56">
        <v>0</v>
      </c>
      <c r="BL33" s="56">
        <v>0</v>
      </c>
      <c r="BM33" s="56">
        <v>0</v>
      </c>
      <c r="BN33" s="56">
        <v>0</v>
      </c>
      <c r="BO33" s="56">
        <v>0</v>
      </c>
      <c r="BP33" s="54" t="s">
        <v>1049</v>
      </c>
      <c r="BQ33" s="54" t="s">
        <v>1050</v>
      </c>
      <c r="BR33" s="54" t="s">
        <v>1049</v>
      </c>
      <c r="BS33" s="54" t="s">
        <v>1050</v>
      </c>
      <c r="BT33" s="54" t="s">
        <v>1051</v>
      </c>
      <c r="BU33" s="54" t="s">
        <v>1043</v>
      </c>
      <c r="BV33" s="58">
        <v>300</v>
      </c>
      <c r="BW33" s="54" t="s">
        <v>1052</v>
      </c>
      <c r="BX33" s="54" t="s">
        <v>1053</v>
      </c>
      <c r="BY33" s="54" t="s">
        <v>1054</v>
      </c>
      <c r="BZ33" s="54" t="s">
        <v>1055</v>
      </c>
      <c r="CA33" s="55"/>
      <c r="CB33" s="54" t="s">
        <v>1056</v>
      </c>
      <c r="CC33" s="54" t="s">
        <v>1057</v>
      </c>
      <c r="CD33" s="54" t="s">
        <v>1058</v>
      </c>
      <c r="CE33" s="54" t="s">
        <v>1059</v>
      </c>
      <c r="CF33" s="54" t="s">
        <v>1060</v>
      </c>
      <c r="CG33" s="54" t="s">
        <v>1061</v>
      </c>
      <c r="CH33" s="54" t="s">
        <v>1062</v>
      </c>
      <c r="CI33" s="54" t="s">
        <v>1063</v>
      </c>
      <c r="CJ33" s="54" t="s">
        <v>1064</v>
      </c>
      <c r="CK33" s="54" t="s">
        <v>1065</v>
      </c>
      <c r="CL33" s="54" t="s">
        <v>1066</v>
      </c>
      <c r="CM33" s="54" t="s">
        <v>1067</v>
      </c>
      <c r="CN33" s="54" t="s">
        <v>1068</v>
      </c>
      <c r="CO33" s="54" t="s">
        <v>1069</v>
      </c>
      <c r="CP33" s="56">
        <v>0</v>
      </c>
      <c r="CQ33" s="56">
        <v>0</v>
      </c>
      <c r="CR33" s="56">
        <v>0</v>
      </c>
      <c r="CS33" s="56">
        <v>0</v>
      </c>
      <c r="CT33" s="56">
        <v>0</v>
      </c>
      <c r="CU33" s="56">
        <v>0</v>
      </c>
      <c r="CV33" s="56">
        <v>0</v>
      </c>
      <c r="CW33" s="56">
        <v>0</v>
      </c>
      <c r="CX33" s="56">
        <v>0</v>
      </c>
      <c r="CY33" s="56">
        <v>0</v>
      </c>
      <c r="CZ33" s="56">
        <v>0</v>
      </c>
      <c r="DA33" s="56">
        <v>0</v>
      </c>
      <c r="DB33" s="56">
        <v>0</v>
      </c>
      <c r="DC33" s="56">
        <v>0</v>
      </c>
      <c r="DD33" s="56">
        <v>0</v>
      </c>
      <c r="DE33" s="56">
        <v>0</v>
      </c>
      <c r="DF33" s="56">
        <v>0</v>
      </c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56">
        <v>0</v>
      </c>
      <c r="ED33" s="56">
        <v>0</v>
      </c>
      <c r="EE33" s="56">
        <v>0</v>
      </c>
      <c r="EF33" s="56">
        <v>0</v>
      </c>
      <c r="EG33" s="56">
        <v>0</v>
      </c>
      <c r="EH33" s="56">
        <v>373.68</v>
      </c>
      <c r="EI33" s="56">
        <v>0</v>
      </c>
      <c r="EJ33" s="56">
        <v>0</v>
      </c>
      <c r="EK33" s="56">
        <v>0</v>
      </c>
      <c r="EL33" s="56">
        <v>0</v>
      </c>
      <c r="EM33" s="56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8">
        <v>0</v>
      </c>
      <c r="FD33" s="56">
        <v>0</v>
      </c>
      <c r="FE33" s="56">
        <v>0</v>
      </c>
      <c r="FF33" s="56">
        <v>0</v>
      </c>
      <c r="FG33" s="56">
        <v>0</v>
      </c>
      <c r="FH33" s="56">
        <v>0</v>
      </c>
      <c r="FI33" s="56">
        <v>0</v>
      </c>
      <c r="FJ33" s="56">
        <v>0</v>
      </c>
      <c r="FK33" s="56">
        <v>0</v>
      </c>
      <c r="FL33" s="56">
        <v>0</v>
      </c>
      <c r="FM33" s="56">
        <v>0</v>
      </c>
      <c r="FN33" s="56">
        <v>0</v>
      </c>
      <c r="FO33" s="56">
        <v>0</v>
      </c>
      <c r="FP33" s="56">
        <v>0</v>
      </c>
      <c r="FQ33" s="56">
        <v>0</v>
      </c>
      <c r="FR33" s="56">
        <v>0</v>
      </c>
      <c r="FS33" s="58">
        <v>0</v>
      </c>
      <c r="FT33" s="56">
        <v>0</v>
      </c>
      <c r="FU33" s="56">
        <v>0</v>
      </c>
      <c r="FV33" s="56">
        <v>0</v>
      </c>
      <c r="FW33" s="56">
        <v>0</v>
      </c>
      <c r="FX33" s="56">
        <v>0</v>
      </c>
      <c r="FY33" s="56">
        <v>0</v>
      </c>
      <c r="FZ33" s="54" t="s">
        <v>1083</v>
      </c>
      <c r="GA33" s="54" t="s">
        <v>1084</v>
      </c>
      <c r="GB33" s="54" t="s">
        <v>1072</v>
      </c>
      <c r="GC33" s="54" t="s">
        <v>1073</v>
      </c>
      <c r="GD33" s="54" t="s">
        <v>1136</v>
      </c>
      <c r="GE33" s="54" t="s">
        <v>1075</v>
      </c>
      <c r="GF33" s="54"/>
      <c r="GG33" s="55"/>
      <c r="GH33" s="54"/>
      <c r="GI33" s="54"/>
      <c r="GJ33" s="54" t="s">
        <v>1076</v>
      </c>
      <c r="GK33" s="54" t="s">
        <v>1077</v>
      </c>
      <c r="GL33" s="54"/>
      <c r="GM33" s="54"/>
      <c r="GN33" s="54" t="s">
        <v>1078</v>
      </c>
      <c r="GO33" s="54" t="s">
        <v>1059</v>
      </c>
      <c r="GP33" s="54"/>
      <c r="GQ33" s="56">
        <v>0</v>
      </c>
      <c r="GR33" s="54" t="s">
        <v>1079</v>
      </c>
      <c r="GS33" s="54"/>
    </row>
    <row r="34" spans="1:201" x14ac:dyDescent="0.25">
      <c r="A34" s="54" t="s">
        <v>1032</v>
      </c>
      <c r="B34" s="54" t="s">
        <v>1033</v>
      </c>
      <c r="C34" s="54" t="s">
        <v>1034</v>
      </c>
      <c r="D34" s="54" t="s">
        <v>1035</v>
      </c>
      <c r="E34" s="54" t="s">
        <v>1036</v>
      </c>
      <c r="F34" s="55">
        <v>46175</v>
      </c>
      <c r="G34" s="55">
        <v>46175</v>
      </c>
      <c r="H34" s="54" t="s">
        <v>1037</v>
      </c>
      <c r="I34" s="54" t="s">
        <v>1038</v>
      </c>
      <c r="J34" s="54" t="s">
        <v>1039</v>
      </c>
      <c r="K34" s="55"/>
      <c r="L34" s="54" t="s">
        <v>1040</v>
      </c>
      <c r="M34" s="54"/>
      <c r="N34" s="54" t="s">
        <v>1041</v>
      </c>
      <c r="O34" s="54" t="s">
        <v>1137</v>
      </c>
      <c r="P34" s="54" t="s">
        <v>315</v>
      </c>
      <c r="Q34" s="54" t="s">
        <v>319</v>
      </c>
      <c r="R34" s="54" t="s">
        <v>1043</v>
      </c>
      <c r="S34" s="56">
        <v>3348</v>
      </c>
      <c r="T34" s="56">
        <v>3348</v>
      </c>
      <c r="U34" s="56">
        <v>0</v>
      </c>
      <c r="V34" s="56">
        <v>0</v>
      </c>
      <c r="W34" s="56">
        <v>0</v>
      </c>
      <c r="X34" s="56">
        <v>0</v>
      </c>
      <c r="Y34" s="56">
        <v>0</v>
      </c>
      <c r="Z34" s="56">
        <v>600</v>
      </c>
      <c r="AA34" s="56">
        <v>600</v>
      </c>
      <c r="AB34" s="59">
        <v>0</v>
      </c>
      <c r="AC34" s="56">
        <v>0</v>
      </c>
      <c r="AD34" s="56">
        <v>0</v>
      </c>
      <c r="AE34" s="56">
        <v>0</v>
      </c>
      <c r="AF34" s="54" t="s">
        <v>1044</v>
      </c>
      <c r="AG34" s="57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 t="s">
        <v>1045</v>
      </c>
      <c r="AS34" s="54" t="s">
        <v>1081</v>
      </c>
      <c r="AT34" s="54" t="s">
        <v>1082</v>
      </c>
      <c r="AU34" s="54" t="s">
        <v>1048</v>
      </c>
      <c r="AV34" s="54"/>
      <c r="AW34" s="55">
        <v>46189</v>
      </c>
      <c r="AX34" s="55">
        <v>46175</v>
      </c>
      <c r="AY34" s="55">
        <v>46175</v>
      </c>
      <c r="AZ34" s="55">
        <v>46176</v>
      </c>
      <c r="BA34" s="55">
        <v>46189</v>
      </c>
      <c r="BB34" s="56">
        <v>0</v>
      </c>
      <c r="BC34" s="56">
        <v>0</v>
      </c>
      <c r="BD34" s="56">
        <v>0</v>
      </c>
      <c r="BE34" s="56">
        <v>0</v>
      </c>
      <c r="BF34" s="56">
        <v>0</v>
      </c>
      <c r="BG34" s="56">
        <v>0</v>
      </c>
      <c r="BH34" s="56">
        <v>0</v>
      </c>
      <c r="BI34" s="56">
        <v>0</v>
      </c>
      <c r="BJ34" s="56">
        <v>0</v>
      </c>
      <c r="BK34" s="56">
        <v>0</v>
      </c>
      <c r="BL34" s="56">
        <v>0</v>
      </c>
      <c r="BM34" s="56">
        <v>0</v>
      </c>
      <c r="BN34" s="56">
        <v>0</v>
      </c>
      <c r="BO34" s="56">
        <v>0</v>
      </c>
      <c r="BP34" s="54" t="s">
        <v>1049</v>
      </c>
      <c r="BQ34" s="54" t="s">
        <v>1050</v>
      </c>
      <c r="BR34" s="54" t="s">
        <v>1049</v>
      </c>
      <c r="BS34" s="54" t="s">
        <v>1050</v>
      </c>
      <c r="BT34" s="54" t="s">
        <v>1051</v>
      </c>
      <c r="BU34" s="54" t="s">
        <v>1043</v>
      </c>
      <c r="BV34" s="58">
        <v>600</v>
      </c>
      <c r="BW34" s="54" t="s">
        <v>1052</v>
      </c>
      <c r="BX34" s="54" t="s">
        <v>1053</v>
      </c>
      <c r="BY34" s="54" t="s">
        <v>1054</v>
      </c>
      <c r="BZ34" s="54" t="s">
        <v>1055</v>
      </c>
      <c r="CA34" s="55"/>
      <c r="CB34" s="54" t="s">
        <v>1056</v>
      </c>
      <c r="CC34" s="54" t="s">
        <v>1057</v>
      </c>
      <c r="CD34" s="54" t="s">
        <v>1058</v>
      </c>
      <c r="CE34" s="54" t="s">
        <v>1059</v>
      </c>
      <c r="CF34" s="54" t="s">
        <v>1060</v>
      </c>
      <c r="CG34" s="54" t="s">
        <v>1061</v>
      </c>
      <c r="CH34" s="54" t="s">
        <v>1062</v>
      </c>
      <c r="CI34" s="54" t="s">
        <v>1063</v>
      </c>
      <c r="CJ34" s="54" t="s">
        <v>1064</v>
      </c>
      <c r="CK34" s="54" t="s">
        <v>1065</v>
      </c>
      <c r="CL34" s="54" t="s">
        <v>1066</v>
      </c>
      <c r="CM34" s="54" t="s">
        <v>1067</v>
      </c>
      <c r="CN34" s="54" t="s">
        <v>1068</v>
      </c>
      <c r="CO34" s="54" t="s">
        <v>1069</v>
      </c>
      <c r="CP34" s="56">
        <v>0</v>
      </c>
      <c r="CQ34" s="56">
        <v>0</v>
      </c>
      <c r="CR34" s="56">
        <v>0</v>
      </c>
      <c r="CS34" s="56">
        <v>0</v>
      </c>
      <c r="CT34" s="56">
        <v>0</v>
      </c>
      <c r="CU34" s="56">
        <v>0</v>
      </c>
      <c r="CV34" s="56">
        <v>0</v>
      </c>
      <c r="CW34" s="56">
        <v>0</v>
      </c>
      <c r="CX34" s="56">
        <v>0</v>
      </c>
      <c r="CY34" s="56">
        <v>0</v>
      </c>
      <c r="CZ34" s="56">
        <v>0</v>
      </c>
      <c r="DA34" s="56">
        <v>0</v>
      </c>
      <c r="DB34" s="56">
        <v>0</v>
      </c>
      <c r="DC34" s="56">
        <v>0</v>
      </c>
      <c r="DD34" s="56">
        <v>0</v>
      </c>
      <c r="DE34" s="56">
        <v>0</v>
      </c>
      <c r="DF34" s="56">
        <v>0</v>
      </c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0</v>
      </c>
      <c r="DQ34" s="56">
        <v>0</v>
      </c>
      <c r="DR34" s="56">
        <v>0</v>
      </c>
      <c r="DS34" s="56">
        <v>0</v>
      </c>
      <c r="DT34" s="56">
        <v>0</v>
      </c>
      <c r="DU34" s="56">
        <v>0</v>
      </c>
      <c r="DV34" s="56">
        <v>0</v>
      </c>
      <c r="DW34" s="56">
        <v>0</v>
      </c>
      <c r="DX34" s="56">
        <v>0</v>
      </c>
      <c r="DY34" s="56">
        <v>0</v>
      </c>
      <c r="DZ34" s="56">
        <v>0</v>
      </c>
      <c r="EA34" s="56">
        <v>0</v>
      </c>
      <c r="EB34" s="56">
        <v>0</v>
      </c>
      <c r="EC34" s="56">
        <v>0</v>
      </c>
      <c r="ED34" s="56">
        <v>0</v>
      </c>
      <c r="EE34" s="56">
        <v>0</v>
      </c>
      <c r="EF34" s="56">
        <v>0</v>
      </c>
      <c r="EG34" s="56">
        <v>0</v>
      </c>
      <c r="EH34" s="56">
        <v>401.76</v>
      </c>
      <c r="EI34" s="56">
        <v>0</v>
      </c>
      <c r="EJ34" s="56">
        <v>0</v>
      </c>
      <c r="EK34" s="56">
        <v>0</v>
      </c>
      <c r="EL34" s="56">
        <v>0</v>
      </c>
      <c r="EM34" s="56">
        <v>0</v>
      </c>
      <c r="EN34" s="56">
        <v>0</v>
      </c>
      <c r="EO34" s="56">
        <v>0</v>
      </c>
      <c r="EP34" s="56">
        <v>0</v>
      </c>
      <c r="EQ34" s="56">
        <v>0</v>
      </c>
      <c r="ER34" s="56">
        <v>0</v>
      </c>
      <c r="ES34" s="56">
        <v>0</v>
      </c>
      <c r="ET34" s="56">
        <v>0</v>
      </c>
      <c r="EU34" s="56">
        <v>0</v>
      </c>
      <c r="EV34" s="56">
        <v>0</v>
      </c>
      <c r="EW34" s="56">
        <v>0</v>
      </c>
      <c r="EX34" s="56">
        <v>0</v>
      </c>
      <c r="EY34" s="56">
        <v>0</v>
      </c>
      <c r="EZ34" s="56">
        <v>0</v>
      </c>
      <c r="FA34" s="56">
        <v>0</v>
      </c>
      <c r="FB34" s="56">
        <v>0</v>
      </c>
      <c r="FC34" s="58">
        <v>0</v>
      </c>
      <c r="FD34" s="56">
        <v>0</v>
      </c>
      <c r="FE34" s="56">
        <v>0</v>
      </c>
      <c r="FF34" s="56">
        <v>0</v>
      </c>
      <c r="FG34" s="56">
        <v>0</v>
      </c>
      <c r="FH34" s="56">
        <v>0</v>
      </c>
      <c r="FI34" s="56">
        <v>0</v>
      </c>
      <c r="FJ34" s="56">
        <v>0</v>
      </c>
      <c r="FK34" s="56">
        <v>0</v>
      </c>
      <c r="FL34" s="56">
        <v>0</v>
      </c>
      <c r="FM34" s="56">
        <v>0</v>
      </c>
      <c r="FN34" s="56">
        <v>0</v>
      </c>
      <c r="FO34" s="56">
        <v>0</v>
      </c>
      <c r="FP34" s="56">
        <v>0</v>
      </c>
      <c r="FQ34" s="56">
        <v>0</v>
      </c>
      <c r="FR34" s="56">
        <v>0</v>
      </c>
      <c r="FS34" s="58">
        <v>0</v>
      </c>
      <c r="FT34" s="56">
        <v>0</v>
      </c>
      <c r="FU34" s="56">
        <v>0</v>
      </c>
      <c r="FV34" s="56">
        <v>0</v>
      </c>
      <c r="FW34" s="56">
        <v>0</v>
      </c>
      <c r="FX34" s="56">
        <v>0</v>
      </c>
      <c r="FY34" s="56">
        <v>0</v>
      </c>
      <c r="FZ34" s="54" t="s">
        <v>1083</v>
      </c>
      <c r="GA34" s="54" t="s">
        <v>1084</v>
      </c>
      <c r="GB34" s="54" t="s">
        <v>1072</v>
      </c>
      <c r="GC34" s="54" t="s">
        <v>1073</v>
      </c>
      <c r="GD34" s="54" t="s">
        <v>1138</v>
      </c>
      <c r="GE34" s="54" t="s">
        <v>1075</v>
      </c>
      <c r="GF34" s="54"/>
      <c r="GG34" s="55"/>
      <c r="GH34" s="54"/>
      <c r="GI34" s="54"/>
      <c r="GJ34" s="54" t="s">
        <v>1076</v>
      </c>
      <c r="GK34" s="54" t="s">
        <v>1077</v>
      </c>
      <c r="GL34" s="54"/>
      <c r="GM34" s="54"/>
      <c r="GN34" s="54" t="s">
        <v>1078</v>
      </c>
      <c r="GO34" s="54" t="s">
        <v>1059</v>
      </c>
      <c r="GP34" s="54"/>
      <c r="GQ34" s="56">
        <v>0</v>
      </c>
      <c r="GR34" s="54" t="s">
        <v>1079</v>
      </c>
      <c r="GS34" s="54"/>
    </row>
    <row r="35" spans="1:201" x14ac:dyDescent="0.25">
      <c r="A35" s="54" t="s">
        <v>1032</v>
      </c>
      <c r="B35" s="54" t="s">
        <v>1033</v>
      </c>
      <c r="C35" s="54" t="s">
        <v>1034</v>
      </c>
      <c r="D35" s="54" t="s">
        <v>1035</v>
      </c>
      <c r="E35" s="54" t="s">
        <v>1036</v>
      </c>
      <c r="F35" s="55">
        <v>46175</v>
      </c>
      <c r="G35" s="55">
        <v>46175</v>
      </c>
      <c r="H35" s="54" t="s">
        <v>1037</v>
      </c>
      <c r="I35" s="54" t="s">
        <v>1038</v>
      </c>
      <c r="J35" s="54" t="s">
        <v>1039</v>
      </c>
      <c r="K35" s="55"/>
      <c r="L35" s="54" t="s">
        <v>1040</v>
      </c>
      <c r="M35" s="54"/>
      <c r="N35" s="54" t="s">
        <v>1041</v>
      </c>
      <c r="O35" s="54" t="s">
        <v>1139</v>
      </c>
      <c r="P35" s="54" t="s">
        <v>193</v>
      </c>
      <c r="Q35" s="54" t="s">
        <v>25</v>
      </c>
      <c r="R35" s="54" t="s">
        <v>1043</v>
      </c>
      <c r="S35" s="56">
        <v>2514.6</v>
      </c>
      <c r="T35" s="56">
        <v>2514.6</v>
      </c>
      <c r="U35" s="56">
        <v>0</v>
      </c>
      <c r="V35" s="56">
        <v>0</v>
      </c>
      <c r="W35" s="56">
        <v>0</v>
      </c>
      <c r="X35" s="56">
        <v>0</v>
      </c>
      <c r="Y35" s="56">
        <v>0</v>
      </c>
      <c r="Z35" s="56">
        <v>180</v>
      </c>
      <c r="AA35" s="56">
        <v>180</v>
      </c>
      <c r="AB35" s="59">
        <v>0</v>
      </c>
      <c r="AC35" s="56">
        <v>0</v>
      </c>
      <c r="AD35" s="56">
        <v>0</v>
      </c>
      <c r="AE35" s="56">
        <v>0</v>
      </c>
      <c r="AF35" s="54" t="s">
        <v>1044</v>
      </c>
      <c r="AG35" s="57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 t="s">
        <v>1045</v>
      </c>
      <c r="AS35" s="54" t="s">
        <v>1046</v>
      </c>
      <c r="AT35" s="54" t="s">
        <v>1047</v>
      </c>
      <c r="AU35" s="54" t="s">
        <v>1048</v>
      </c>
      <c r="AV35" s="54"/>
      <c r="AW35" s="55">
        <v>46189</v>
      </c>
      <c r="AX35" s="55">
        <v>46175</v>
      </c>
      <c r="AY35" s="55">
        <v>46175</v>
      </c>
      <c r="AZ35" s="55">
        <v>46176</v>
      </c>
      <c r="BA35" s="55">
        <v>46189</v>
      </c>
      <c r="BB35" s="56">
        <v>0</v>
      </c>
      <c r="BC35" s="56">
        <v>0</v>
      </c>
      <c r="BD35" s="56">
        <v>0</v>
      </c>
      <c r="BE35" s="56">
        <v>0</v>
      </c>
      <c r="BF35" s="56">
        <v>0</v>
      </c>
      <c r="BG35" s="56">
        <v>0</v>
      </c>
      <c r="BH35" s="56">
        <v>0</v>
      </c>
      <c r="BI35" s="56">
        <v>0</v>
      </c>
      <c r="BJ35" s="56">
        <v>0</v>
      </c>
      <c r="BK35" s="56">
        <v>0</v>
      </c>
      <c r="BL35" s="56">
        <v>0</v>
      </c>
      <c r="BM35" s="56">
        <v>0</v>
      </c>
      <c r="BN35" s="56">
        <v>0</v>
      </c>
      <c r="BO35" s="56">
        <v>0</v>
      </c>
      <c r="BP35" s="54" t="s">
        <v>1049</v>
      </c>
      <c r="BQ35" s="54" t="s">
        <v>1050</v>
      </c>
      <c r="BR35" s="54" t="s">
        <v>1049</v>
      </c>
      <c r="BS35" s="54" t="s">
        <v>1050</v>
      </c>
      <c r="BT35" s="54" t="s">
        <v>1051</v>
      </c>
      <c r="BU35" s="54" t="s">
        <v>1043</v>
      </c>
      <c r="BV35" s="58">
        <v>180</v>
      </c>
      <c r="BW35" s="54" t="s">
        <v>1052</v>
      </c>
      <c r="BX35" s="54" t="s">
        <v>1053</v>
      </c>
      <c r="BY35" s="54" t="s">
        <v>1054</v>
      </c>
      <c r="BZ35" s="54" t="s">
        <v>1055</v>
      </c>
      <c r="CA35" s="55"/>
      <c r="CB35" s="54" t="s">
        <v>1056</v>
      </c>
      <c r="CC35" s="54" t="s">
        <v>1057</v>
      </c>
      <c r="CD35" s="54" t="s">
        <v>1058</v>
      </c>
      <c r="CE35" s="54" t="s">
        <v>1059</v>
      </c>
      <c r="CF35" s="54" t="s">
        <v>1060</v>
      </c>
      <c r="CG35" s="54" t="s">
        <v>1061</v>
      </c>
      <c r="CH35" s="54" t="s">
        <v>1062</v>
      </c>
      <c r="CI35" s="54" t="s">
        <v>1063</v>
      </c>
      <c r="CJ35" s="54" t="s">
        <v>1064</v>
      </c>
      <c r="CK35" s="54" t="s">
        <v>1065</v>
      </c>
      <c r="CL35" s="54" t="s">
        <v>1066</v>
      </c>
      <c r="CM35" s="54" t="s">
        <v>1067</v>
      </c>
      <c r="CN35" s="54" t="s">
        <v>1068</v>
      </c>
      <c r="CO35" s="54" t="s">
        <v>1069</v>
      </c>
      <c r="CP35" s="56">
        <v>0</v>
      </c>
      <c r="CQ35" s="56">
        <v>0</v>
      </c>
      <c r="CR35" s="56">
        <v>0</v>
      </c>
      <c r="CS35" s="56">
        <v>0</v>
      </c>
      <c r="CT35" s="56">
        <v>0</v>
      </c>
      <c r="CU35" s="56">
        <v>0</v>
      </c>
      <c r="CV35" s="56">
        <v>0</v>
      </c>
      <c r="CW35" s="56">
        <v>0</v>
      </c>
      <c r="CX35" s="56">
        <v>0</v>
      </c>
      <c r="CY35" s="56">
        <v>0</v>
      </c>
      <c r="CZ35" s="56">
        <v>0</v>
      </c>
      <c r="DA35" s="56">
        <v>0</v>
      </c>
      <c r="DB35" s="56">
        <v>0</v>
      </c>
      <c r="DC35" s="56">
        <v>0</v>
      </c>
      <c r="DD35" s="56">
        <v>0</v>
      </c>
      <c r="DE35" s="56">
        <v>0</v>
      </c>
      <c r="DF35" s="56">
        <v>0</v>
      </c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0</v>
      </c>
      <c r="DY35" s="56">
        <v>0</v>
      </c>
      <c r="DZ35" s="56">
        <v>0</v>
      </c>
      <c r="EA35" s="56">
        <v>0</v>
      </c>
      <c r="EB35" s="56">
        <v>0</v>
      </c>
      <c r="EC35" s="56">
        <v>0</v>
      </c>
      <c r="ED35" s="56">
        <v>0</v>
      </c>
      <c r="EE35" s="56">
        <v>0</v>
      </c>
      <c r="EF35" s="56">
        <v>0</v>
      </c>
      <c r="EG35" s="56">
        <v>0</v>
      </c>
      <c r="EH35" s="56">
        <v>301.75</v>
      </c>
      <c r="EI35" s="56">
        <v>0</v>
      </c>
      <c r="EJ35" s="56">
        <v>0</v>
      </c>
      <c r="EK35" s="56">
        <v>0</v>
      </c>
      <c r="EL35" s="56">
        <v>0</v>
      </c>
      <c r="EM35" s="56">
        <v>0</v>
      </c>
      <c r="EN35" s="56">
        <v>0</v>
      </c>
      <c r="EO35" s="56">
        <v>0</v>
      </c>
      <c r="EP35" s="56">
        <v>0</v>
      </c>
      <c r="EQ35" s="56">
        <v>0</v>
      </c>
      <c r="ER35" s="56">
        <v>0</v>
      </c>
      <c r="ES35" s="56">
        <v>0</v>
      </c>
      <c r="ET35" s="56">
        <v>0</v>
      </c>
      <c r="EU35" s="56">
        <v>0</v>
      </c>
      <c r="EV35" s="56">
        <v>0</v>
      </c>
      <c r="EW35" s="56">
        <v>0</v>
      </c>
      <c r="EX35" s="56">
        <v>0</v>
      </c>
      <c r="EY35" s="56">
        <v>0</v>
      </c>
      <c r="EZ35" s="56">
        <v>0</v>
      </c>
      <c r="FA35" s="56">
        <v>0</v>
      </c>
      <c r="FB35" s="56">
        <v>0</v>
      </c>
      <c r="FC35" s="58">
        <v>0</v>
      </c>
      <c r="FD35" s="56">
        <v>0</v>
      </c>
      <c r="FE35" s="56">
        <v>0</v>
      </c>
      <c r="FF35" s="56">
        <v>0</v>
      </c>
      <c r="FG35" s="56">
        <v>0</v>
      </c>
      <c r="FH35" s="56">
        <v>0</v>
      </c>
      <c r="FI35" s="56">
        <v>0</v>
      </c>
      <c r="FJ35" s="56">
        <v>0</v>
      </c>
      <c r="FK35" s="56">
        <v>0</v>
      </c>
      <c r="FL35" s="56">
        <v>0</v>
      </c>
      <c r="FM35" s="56">
        <v>0</v>
      </c>
      <c r="FN35" s="56">
        <v>0</v>
      </c>
      <c r="FO35" s="56">
        <v>0</v>
      </c>
      <c r="FP35" s="56">
        <v>0</v>
      </c>
      <c r="FQ35" s="56">
        <v>0</v>
      </c>
      <c r="FR35" s="56">
        <v>0</v>
      </c>
      <c r="FS35" s="58">
        <v>0</v>
      </c>
      <c r="FT35" s="56">
        <v>0</v>
      </c>
      <c r="FU35" s="56">
        <v>0</v>
      </c>
      <c r="FV35" s="56">
        <v>0</v>
      </c>
      <c r="FW35" s="56">
        <v>0</v>
      </c>
      <c r="FX35" s="56">
        <v>0</v>
      </c>
      <c r="FY35" s="56">
        <v>0</v>
      </c>
      <c r="FZ35" s="54" t="s">
        <v>1070</v>
      </c>
      <c r="GA35" s="54" t="s">
        <v>1071</v>
      </c>
      <c r="GB35" s="54" t="s">
        <v>1072</v>
      </c>
      <c r="GC35" s="54" t="s">
        <v>1073</v>
      </c>
      <c r="GD35" s="54" t="s">
        <v>1140</v>
      </c>
      <c r="GE35" s="54" t="s">
        <v>1075</v>
      </c>
      <c r="GF35" s="54"/>
      <c r="GG35" s="55"/>
      <c r="GH35" s="54"/>
      <c r="GI35" s="54"/>
      <c r="GJ35" s="54" t="s">
        <v>1076</v>
      </c>
      <c r="GK35" s="54" t="s">
        <v>1077</v>
      </c>
      <c r="GL35" s="54"/>
      <c r="GM35" s="54"/>
      <c r="GN35" s="54" t="s">
        <v>1078</v>
      </c>
      <c r="GO35" s="54" t="s">
        <v>1059</v>
      </c>
      <c r="GP35" s="54"/>
      <c r="GQ35" s="56">
        <v>0</v>
      </c>
      <c r="GR35" s="54" t="s">
        <v>1079</v>
      </c>
      <c r="GS35" s="54"/>
    </row>
    <row r="36" spans="1:201" x14ac:dyDescent="0.25">
      <c r="A36" s="54" t="s">
        <v>1032</v>
      </c>
      <c r="B36" s="54" t="s">
        <v>1033</v>
      </c>
      <c r="C36" s="54" t="s">
        <v>1034</v>
      </c>
      <c r="D36" s="54" t="s">
        <v>1035</v>
      </c>
      <c r="E36" s="54" t="s">
        <v>1036</v>
      </c>
      <c r="F36" s="55">
        <v>46175</v>
      </c>
      <c r="G36" s="55">
        <v>46175</v>
      </c>
      <c r="H36" s="54" t="s">
        <v>1037</v>
      </c>
      <c r="I36" s="54" t="s">
        <v>1038</v>
      </c>
      <c r="J36" s="54" t="s">
        <v>1039</v>
      </c>
      <c r="K36" s="55"/>
      <c r="L36" s="54" t="s">
        <v>1040</v>
      </c>
      <c r="M36" s="54"/>
      <c r="N36" s="54" t="s">
        <v>1041</v>
      </c>
      <c r="O36" s="54" t="s">
        <v>1141</v>
      </c>
      <c r="P36" s="54" t="s">
        <v>194</v>
      </c>
      <c r="Q36" s="54" t="s">
        <v>26</v>
      </c>
      <c r="R36" s="54" t="s">
        <v>1043</v>
      </c>
      <c r="S36" s="56">
        <v>8136</v>
      </c>
      <c r="T36" s="56">
        <v>8136</v>
      </c>
      <c r="U36" s="56">
        <v>0</v>
      </c>
      <c r="V36" s="56">
        <v>0</v>
      </c>
      <c r="W36" s="56">
        <v>0</v>
      </c>
      <c r="X36" s="56">
        <v>0</v>
      </c>
      <c r="Y36" s="56">
        <v>0</v>
      </c>
      <c r="Z36" s="56">
        <v>1200</v>
      </c>
      <c r="AA36" s="56">
        <v>1200</v>
      </c>
      <c r="AB36" s="59">
        <v>0</v>
      </c>
      <c r="AC36" s="56">
        <v>0</v>
      </c>
      <c r="AD36" s="56">
        <v>0</v>
      </c>
      <c r="AE36" s="56">
        <v>0</v>
      </c>
      <c r="AF36" s="54" t="s">
        <v>1044</v>
      </c>
      <c r="AG36" s="57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 t="s">
        <v>1045</v>
      </c>
      <c r="AS36" s="54" t="s">
        <v>1046</v>
      </c>
      <c r="AT36" s="54" t="s">
        <v>1047</v>
      </c>
      <c r="AU36" s="54" t="s">
        <v>1048</v>
      </c>
      <c r="AV36" s="54"/>
      <c r="AW36" s="55">
        <v>46189</v>
      </c>
      <c r="AX36" s="55">
        <v>46175</v>
      </c>
      <c r="AY36" s="55">
        <v>46175</v>
      </c>
      <c r="AZ36" s="55">
        <v>46176</v>
      </c>
      <c r="BA36" s="55">
        <v>46189</v>
      </c>
      <c r="BB36" s="56">
        <v>0</v>
      </c>
      <c r="BC36" s="56">
        <v>0</v>
      </c>
      <c r="BD36" s="56">
        <v>0</v>
      </c>
      <c r="BE36" s="56">
        <v>0</v>
      </c>
      <c r="BF36" s="56">
        <v>0</v>
      </c>
      <c r="BG36" s="56">
        <v>0</v>
      </c>
      <c r="BH36" s="56">
        <v>0</v>
      </c>
      <c r="BI36" s="56">
        <v>0</v>
      </c>
      <c r="BJ36" s="56">
        <v>0</v>
      </c>
      <c r="BK36" s="56">
        <v>0</v>
      </c>
      <c r="BL36" s="56">
        <v>0</v>
      </c>
      <c r="BM36" s="56">
        <v>0</v>
      </c>
      <c r="BN36" s="56">
        <v>0</v>
      </c>
      <c r="BO36" s="56">
        <v>0</v>
      </c>
      <c r="BP36" s="54" t="s">
        <v>1049</v>
      </c>
      <c r="BQ36" s="54" t="s">
        <v>1050</v>
      </c>
      <c r="BR36" s="54" t="s">
        <v>1049</v>
      </c>
      <c r="BS36" s="54" t="s">
        <v>1050</v>
      </c>
      <c r="BT36" s="54" t="s">
        <v>1051</v>
      </c>
      <c r="BU36" s="54" t="s">
        <v>1043</v>
      </c>
      <c r="BV36" s="58">
        <v>1200</v>
      </c>
      <c r="BW36" s="54" t="s">
        <v>1052</v>
      </c>
      <c r="BX36" s="54" t="s">
        <v>1053</v>
      </c>
      <c r="BY36" s="54" t="s">
        <v>1054</v>
      </c>
      <c r="BZ36" s="54" t="s">
        <v>1055</v>
      </c>
      <c r="CA36" s="55"/>
      <c r="CB36" s="54" t="s">
        <v>1056</v>
      </c>
      <c r="CC36" s="54" t="s">
        <v>1057</v>
      </c>
      <c r="CD36" s="54" t="s">
        <v>1058</v>
      </c>
      <c r="CE36" s="54" t="s">
        <v>1059</v>
      </c>
      <c r="CF36" s="54" t="s">
        <v>1060</v>
      </c>
      <c r="CG36" s="54" t="s">
        <v>1061</v>
      </c>
      <c r="CH36" s="54" t="s">
        <v>1062</v>
      </c>
      <c r="CI36" s="54" t="s">
        <v>1063</v>
      </c>
      <c r="CJ36" s="54" t="s">
        <v>1064</v>
      </c>
      <c r="CK36" s="54" t="s">
        <v>1065</v>
      </c>
      <c r="CL36" s="54" t="s">
        <v>1066</v>
      </c>
      <c r="CM36" s="54" t="s">
        <v>1067</v>
      </c>
      <c r="CN36" s="54" t="s">
        <v>1068</v>
      </c>
      <c r="CO36" s="54" t="s">
        <v>1069</v>
      </c>
      <c r="CP36" s="56">
        <v>0</v>
      </c>
      <c r="CQ36" s="56">
        <v>0</v>
      </c>
      <c r="CR36" s="56">
        <v>0</v>
      </c>
      <c r="CS36" s="56">
        <v>0</v>
      </c>
      <c r="CT36" s="56">
        <v>0</v>
      </c>
      <c r="CU36" s="56">
        <v>0</v>
      </c>
      <c r="CV36" s="56">
        <v>0</v>
      </c>
      <c r="CW36" s="56">
        <v>0</v>
      </c>
      <c r="CX36" s="56">
        <v>0</v>
      </c>
      <c r="CY36" s="56">
        <v>0</v>
      </c>
      <c r="CZ36" s="56">
        <v>0</v>
      </c>
      <c r="DA36" s="56">
        <v>0</v>
      </c>
      <c r="DB36" s="56">
        <v>0</v>
      </c>
      <c r="DC36" s="56">
        <v>0</v>
      </c>
      <c r="DD36" s="56">
        <v>0</v>
      </c>
      <c r="DE36" s="56">
        <v>0</v>
      </c>
      <c r="DF36" s="56">
        <v>0</v>
      </c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56">
        <v>0</v>
      </c>
      <c r="ED36" s="56">
        <v>0</v>
      </c>
      <c r="EE36" s="56">
        <v>0</v>
      </c>
      <c r="EF36" s="56">
        <v>0</v>
      </c>
      <c r="EG36" s="56">
        <v>0</v>
      </c>
      <c r="EH36" s="56">
        <v>976.32</v>
      </c>
      <c r="EI36" s="56">
        <v>0</v>
      </c>
      <c r="EJ36" s="56">
        <v>0</v>
      </c>
      <c r="EK36" s="56">
        <v>0</v>
      </c>
      <c r="EL36" s="56">
        <v>0</v>
      </c>
      <c r="EM36" s="56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0</v>
      </c>
      <c r="ET36" s="56">
        <v>0</v>
      </c>
      <c r="EU36" s="56">
        <v>0</v>
      </c>
      <c r="EV36" s="56">
        <v>0</v>
      </c>
      <c r="EW36" s="56">
        <v>0</v>
      </c>
      <c r="EX36" s="56">
        <v>0</v>
      </c>
      <c r="EY36" s="56">
        <v>0</v>
      </c>
      <c r="EZ36" s="56">
        <v>0</v>
      </c>
      <c r="FA36" s="56">
        <v>0</v>
      </c>
      <c r="FB36" s="56">
        <v>0</v>
      </c>
      <c r="FC36" s="58">
        <v>0</v>
      </c>
      <c r="FD36" s="56">
        <v>0</v>
      </c>
      <c r="FE36" s="56">
        <v>0</v>
      </c>
      <c r="FF36" s="56">
        <v>0</v>
      </c>
      <c r="FG36" s="56">
        <v>0</v>
      </c>
      <c r="FH36" s="56">
        <v>0</v>
      </c>
      <c r="FI36" s="56">
        <v>0</v>
      </c>
      <c r="FJ36" s="56">
        <v>0</v>
      </c>
      <c r="FK36" s="56">
        <v>0</v>
      </c>
      <c r="FL36" s="56">
        <v>0</v>
      </c>
      <c r="FM36" s="56">
        <v>0</v>
      </c>
      <c r="FN36" s="56">
        <v>0</v>
      </c>
      <c r="FO36" s="56">
        <v>0</v>
      </c>
      <c r="FP36" s="56">
        <v>0</v>
      </c>
      <c r="FQ36" s="56">
        <v>0</v>
      </c>
      <c r="FR36" s="56">
        <v>0</v>
      </c>
      <c r="FS36" s="58">
        <v>0</v>
      </c>
      <c r="FT36" s="56">
        <v>0</v>
      </c>
      <c r="FU36" s="56">
        <v>0</v>
      </c>
      <c r="FV36" s="56">
        <v>0</v>
      </c>
      <c r="FW36" s="56">
        <v>0</v>
      </c>
      <c r="FX36" s="56">
        <v>0</v>
      </c>
      <c r="FY36" s="56">
        <v>0</v>
      </c>
      <c r="FZ36" s="54" t="s">
        <v>1070</v>
      </c>
      <c r="GA36" s="54" t="s">
        <v>1071</v>
      </c>
      <c r="GB36" s="54" t="s">
        <v>1072</v>
      </c>
      <c r="GC36" s="54" t="s">
        <v>1073</v>
      </c>
      <c r="GD36" s="54" t="s">
        <v>1140</v>
      </c>
      <c r="GE36" s="54" t="s">
        <v>1075</v>
      </c>
      <c r="GF36" s="54"/>
      <c r="GG36" s="55"/>
      <c r="GH36" s="54"/>
      <c r="GI36" s="54"/>
      <c r="GJ36" s="54" t="s">
        <v>1076</v>
      </c>
      <c r="GK36" s="54" t="s">
        <v>1077</v>
      </c>
      <c r="GL36" s="54"/>
      <c r="GM36" s="54"/>
      <c r="GN36" s="54" t="s">
        <v>1078</v>
      </c>
      <c r="GO36" s="54" t="s">
        <v>1059</v>
      </c>
      <c r="GP36" s="54"/>
      <c r="GQ36" s="56">
        <v>0</v>
      </c>
      <c r="GR36" s="54" t="s">
        <v>1079</v>
      </c>
      <c r="GS36" s="54"/>
    </row>
    <row r="37" spans="1:201" x14ac:dyDescent="0.25">
      <c r="A37" s="54" t="s">
        <v>1032</v>
      </c>
      <c r="B37" s="54" t="s">
        <v>1033</v>
      </c>
      <c r="C37" s="54" t="s">
        <v>1034</v>
      </c>
      <c r="D37" s="54" t="s">
        <v>1035</v>
      </c>
      <c r="E37" s="54" t="s">
        <v>1036</v>
      </c>
      <c r="F37" s="55">
        <v>46175</v>
      </c>
      <c r="G37" s="55">
        <v>46175</v>
      </c>
      <c r="H37" s="54" t="s">
        <v>1037</v>
      </c>
      <c r="I37" s="54" t="s">
        <v>1038</v>
      </c>
      <c r="J37" s="54" t="s">
        <v>1039</v>
      </c>
      <c r="K37" s="55"/>
      <c r="L37" s="54" t="s">
        <v>1040</v>
      </c>
      <c r="M37" s="54"/>
      <c r="N37" s="54" t="s">
        <v>1041</v>
      </c>
      <c r="O37" s="54" t="s">
        <v>1142</v>
      </c>
      <c r="P37" s="54" t="s">
        <v>195</v>
      </c>
      <c r="Q37" s="54" t="s">
        <v>27</v>
      </c>
      <c r="R37" s="54" t="s">
        <v>1043</v>
      </c>
      <c r="S37" s="56">
        <v>500.4</v>
      </c>
      <c r="T37" s="56">
        <v>500.4</v>
      </c>
      <c r="U37" s="56">
        <v>0</v>
      </c>
      <c r="V37" s="56">
        <v>0</v>
      </c>
      <c r="W37" s="56">
        <v>0</v>
      </c>
      <c r="X37" s="56">
        <v>0</v>
      </c>
      <c r="Y37" s="56">
        <v>0</v>
      </c>
      <c r="Z37" s="56">
        <v>180</v>
      </c>
      <c r="AA37" s="56">
        <v>180</v>
      </c>
      <c r="AB37" s="59">
        <v>0</v>
      </c>
      <c r="AC37" s="56">
        <v>0</v>
      </c>
      <c r="AD37" s="56">
        <v>0</v>
      </c>
      <c r="AE37" s="56">
        <v>0</v>
      </c>
      <c r="AF37" s="54" t="s">
        <v>1044</v>
      </c>
      <c r="AG37" s="57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 t="s">
        <v>1045</v>
      </c>
      <c r="AS37" s="54" t="s">
        <v>1046</v>
      </c>
      <c r="AT37" s="54" t="s">
        <v>1047</v>
      </c>
      <c r="AU37" s="54" t="s">
        <v>1048</v>
      </c>
      <c r="AV37" s="54"/>
      <c r="AW37" s="55">
        <v>46189</v>
      </c>
      <c r="AX37" s="55">
        <v>46175</v>
      </c>
      <c r="AY37" s="55">
        <v>46175</v>
      </c>
      <c r="AZ37" s="55">
        <v>46176</v>
      </c>
      <c r="BA37" s="55">
        <v>46189</v>
      </c>
      <c r="BB37" s="56">
        <v>0</v>
      </c>
      <c r="BC37" s="56">
        <v>0</v>
      </c>
      <c r="BD37" s="56">
        <v>0</v>
      </c>
      <c r="BE37" s="56">
        <v>0</v>
      </c>
      <c r="BF37" s="56">
        <v>0</v>
      </c>
      <c r="BG37" s="56">
        <v>0</v>
      </c>
      <c r="BH37" s="56">
        <v>0</v>
      </c>
      <c r="BI37" s="56">
        <v>0</v>
      </c>
      <c r="BJ37" s="56">
        <v>0</v>
      </c>
      <c r="BK37" s="56">
        <v>0</v>
      </c>
      <c r="BL37" s="56">
        <v>0</v>
      </c>
      <c r="BM37" s="56">
        <v>0</v>
      </c>
      <c r="BN37" s="56">
        <v>0</v>
      </c>
      <c r="BO37" s="56">
        <v>0</v>
      </c>
      <c r="BP37" s="54" t="s">
        <v>1049</v>
      </c>
      <c r="BQ37" s="54" t="s">
        <v>1050</v>
      </c>
      <c r="BR37" s="54" t="s">
        <v>1049</v>
      </c>
      <c r="BS37" s="54" t="s">
        <v>1050</v>
      </c>
      <c r="BT37" s="54" t="s">
        <v>1051</v>
      </c>
      <c r="BU37" s="54" t="s">
        <v>1043</v>
      </c>
      <c r="BV37" s="58">
        <v>180</v>
      </c>
      <c r="BW37" s="54" t="s">
        <v>1052</v>
      </c>
      <c r="BX37" s="54" t="s">
        <v>1053</v>
      </c>
      <c r="BY37" s="54" t="s">
        <v>1054</v>
      </c>
      <c r="BZ37" s="54" t="s">
        <v>1055</v>
      </c>
      <c r="CA37" s="55"/>
      <c r="CB37" s="54" t="s">
        <v>1056</v>
      </c>
      <c r="CC37" s="54" t="s">
        <v>1057</v>
      </c>
      <c r="CD37" s="54" t="s">
        <v>1058</v>
      </c>
      <c r="CE37" s="54" t="s">
        <v>1059</v>
      </c>
      <c r="CF37" s="54" t="s">
        <v>1060</v>
      </c>
      <c r="CG37" s="54" t="s">
        <v>1061</v>
      </c>
      <c r="CH37" s="54" t="s">
        <v>1062</v>
      </c>
      <c r="CI37" s="54" t="s">
        <v>1063</v>
      </c>
      <c r="CJ37" s="54" t="s">
        <v>1064</v>
      </c>
      <c r="CK37" s="54" t="s">
        <v>1065</v>
      </c>
      <c r="CL37" s="54" t="s">
        <v>1066</v>
      </c>
      <c r="CM37" s="54" t="s">
        <v>1067</v>
      </c>
      <c r="CN37" s="54" t="s">
        <v>1068</v>
      </c>
      <c r="CO37" s="54" t="s">
        <v>1069</v>
      </c>
      <c r="CP37" s="56">
        <v>0</v>
      </c>
      <c r="CQ37" s="56">
        <v>0</v>
      </c>
      <c r="CR37" s="56">
        <v>0</v>
      </c>
      <c r="CS37" s="56">
        <v>0</v>
      </c>
      <c r="CT37" s="56">
        <v>0</v>
      </c>
      <c r="CU37" s="56">
        <v>0</v>
      </c>
      <c r="CV37" s="56">
        <v>0</v>
      </c>
      <c r="CW37" s="56">
        <v>0</v>
      </c>
      <c r="CX37" s="56">
        <v>0</v>
      </c>
      <c r="CY37" s="56">
        <v>0</v>
      </c>
      <c r="CZ37" s="56">
        <v>0</v>
      </c>
      <c r="DA37" s="56">
        <v>0</v>
      </c>
      <c r="DB37" s="56">
        <v>0</v>
      </c>
      <c r="DC37" s="56">
        <v>0</v>
      </c>
      <c r="DD37" s="56">
        <v>0</v>
      </c>
      <c r="DE37" s="56">
        <v>0</v>
      </c>
      <c r="DF37" s="56">
        <v>0</v>
      </c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56">
        <v>0</v>
      </c>
      <c r="ED37" s="56">
        <v>0</v>
      </c>
      <c r="EE37" s="56">
        <v>0</v>
      </c>
      <c r="EF37" s="56">
        <v>0</v>
      </c>
      <c r="EG37" s="56">
        <v>0</v>
      </c>
      <c r="EH37" s="56">
        <v>60.05</v>
      </c>
      <c r="EI37" s="56">
        <v>0</v>
      </c>
      <c r="EJ37" s="56">
        <v>0</v>
      </c>
      <c r="EK37" s="56">
        <v>0</v>
      </c>
      <c r="EL37" s="56">
        <v>0</v>
      </c>
      <c r="EM37" s="56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8">
        <v>0</v>
      </c>
      <c r="FD37" s="56">
        <v>0</v>
      </c>
      <c r="FE37" s="56">
        <v>0</v>
      </c>
      <c r="FF37" s="56">
        <v>0</v>
      </c>
      <c r="FG37" s="56">
        <v>0</v>
      </c>
      <c r="FH37" s="56">
        <v>0</v>
      </c>
      <c r="FI37" s="56">
        <v>0</v>
      </c>
      <c r="FJ37" s="56">
        <v>0</v>
      </c>
      <c r="FK37" s="56">
        <v>0</v>
      </c>
      <c r="FL37" s="56">
        <v>0</v>
      </c>
      <c r="FM37" s="56">
        <v>0</v>
      </c>
      <c r="FN37" s="56">
        <v>0</v>
      </c>
      <c r="FO37" s="56">
        <v>0</v>
      </c>
      <c r="FP37" s="56">
        <v>0</v>
      </c>
      <c r="FQ37" s="56">
        <v>0</v>
      </c>
      <c r="FR37" s="56">
        <v>0</v>
      </c>
      <c r="FS37" s="58">
        <v>0</v>
      </c>
      <c r="FT37" s="56">
        <v>0</v>
      </c>
      <c r="FU37" s="56">
        <v>0</v>
      </c>
      <c r="FV37" s="56">
        <v>0</v>
      </c>
      <c r="FW37" s="56">
        <v>0</v>
      </c>
      <c r="FX37" s="56">
        <v>0</v>
      </c>
      <c r="FY37" s="56">
        <v>0</v>
      </c>
      <c r="FZ37" s="54" t="s">
        <v>1083</v>
      </c>
      <c r="GA37" s="54" t="s">
        <v>1084</v>
      </c>
      <c r="GB37" s="54" t="s">
        <v>1072</v>
      </c>
      <c r="GC37" s="54" t="s">
        <v>1073</v>
      </c>
      <c r="GD37" s="54" t="s">
        <v>1143</v>
      </c>
      <c r="GE37" s="54" t="s">
        <v>1075</v>
      </c>
      <c r="GF37" s="54"/>
      <c r="GG37" s="55"/>
      <c r="GH37" s="54"/>
      <c r="GI37" s="54"/>
      <c r="GJ37" s="54" t="s">
        <v>1076</v>
      </c>
      <c r="GK37" s="54" t="s">
        <v>1077</v>
      </c>
      <c r="GL37" s="54"/>
      <c r="GM37" s="54"/>
      <c r="GN37" s="54" t="s">
        <v>1078</v>
      </c>
      <c r="GO37" s="54" t="s">
        <v>1059</v>
      </c>
      <c r="GP37" s="54"/>
      <c r="GQ37" s="56">
        <v>0</v>
      </c>
      <c r="GR37" s="54" t="s">
        <v>1079</v>
      </c>
      <c r="GS37" s="54"/>
    </row>
    <row r="38" spans="1:201" x14ac:dyDescent="0.25">
      <c r="A38" s="54" t="s">
        <v>1032</v>
      </c>
      <c r="B38" s="54" t="s">
        <v>1033</v>
      </c>
      <c r="C38" s="54" t="s">
        <v>1034</v>
      </c>
      <c r="D38" s="54" t="s">
        <v>1035</v>
      </c>
      <c r="E38" s="54" t="s">
        <v>1036</v>
      </c>
      <c r="F38" s="55">
        <v>46175</v>
      </c>
      <c r="G38" s="55">
        <v>46175</v>
      </c>
      <c r="H38" s="54" t="s">
        <v>1037</v>
      </c>
      <c r="I38" s="54" t="s">
        <v>1038</v>
      </c>
      <c r="J38" s="54" t="s">
        <v>1039</v>
      </c>
      <c r="K38" s="55"/>
      <c r="L38" s="54" t="s">
        <v>1040</v>
      </c>
      <c r="M38" s="54"/>
      <c r="N38" s="54" t="s">
        <v>1041</v>
      </c>
      <c r="O38" s="54" t="s">
        <v>1144</v>
      </c>
      <c r="P38" s="54" t="s">
        <v>196</v>
      </c>
      <c r="Q38" s="54" t="s">
        <v>29</v>
      </c>
      <c r="R38" s="54" t="s">
        <v>1043</v>
      </c>
      <c r="S38" s="56">
        <v>261.60000000000002</v>
      </c>
      <c r="T38" s="56">
        <v>261.60000000000002</v>
      </c>
      <c r="U38" s="56">
        <v>0</v>
      </c>
      <c r="V38" s="56">
        <v>0</v>
      </c>
      <c r="W38" s="56">
        <v>0</v>
      </c>
      <c r="X38" s="56">
        <v>0</v>
      </c>
      <c r="Y38" s="56">
        <v>0</v>
      </c>
      <c r="Z38" s="56">
        <v>60</v>
      </c>
      <c r="AA38" s="56">
        <v>60</v>
      </c>
      <c r="AB38" s="59">
        <v>0</v>
      </c>
      <c r="AC38" s="56">
        <v>0</v>
      </c>
      <c r="AD38" s="56">
        <v>0</v>
      </c>
      <c r="AE38" s="56">
        <v>0</v>
      </c>
      <c r="AF38" s="54" t="s">
        <v>1044</v>
      </c>
      <c r="AG38" s="57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 t="s">
        <v>1045</v>
      </c>
      <c r="AS38" s="54" t="s">
        <v>1046</v>
      </c>
      <c r="AT38" s="54" t="s">
        <v>1047</v>
      </c>
      <c r="AU38" s="54" t="s">
        <v>1048</v>
      </c>
      <c r="AV38" s="54"/>
      <c r="AW38" s="55">
        <v>46189</v>
      </c>
      <c r="AX38" s="55">
        <v>46175</v>
      </c>
      <c r="AY38" s="55">
        <v>46175</v>
      </c>
      <c r="AZ38" s="55">
        <v>46176</v>
      </c>
      <c r="BA38" s="55">
        <v>46189</v>
      </c>
      <c r="BB38" s="56">
        <v>0</v>
      </c>
      <c r="BC38" s="56">
        <v>0</v>
      </c>
      <c r="BD38" s="56">
        <v>0</v>
      </c>
      <c r="BE38" s="56">
        <v>0</v>
      </c>
      <c r="BF38" s="56">
        <v>0</v>
      </c>
      <c r="BG38" s="56">
        <v>0</v>
      </c>
      <c r="BH38" s="56">
        <v>0</v>
      </c>
      <c r="BI38" s="56">
        <v>0</v>
      </c>
      <c r="BJ38" s="56">
        <v>0</v>
      </c>
      <c r="BK38" s="56">
        <v>0</v>
      </c>
      <c r="BL38" s="56">
        <v>0</v>
      </c>
      <c r="BM38" s="56">
        <v>0</v>
      </c>
      <c r="BN38" s="56">
        <v>0</v>
      </c>
      <c r="BO38" s="56">
        <v>0</v>
      </c>
      <c r="BP38" s="54" t="s">
        <v>1049</v>
      </c>
      <c r="BQ38" s="54" t="s">
        <v>1050</v>
      </c>
      <c r="BR38" s="54" t="s">
        <v>1049</v>
      </c>
      <c r="BS38" s="54" t="s">
        <v>1050</v>
      </c>
      <c r="BT38" s="54" t="s">
        <v>1051</v>
      </c>
      <c r="BU38" s="54" t="s">
        <v>1043</v>
      </c>
      <c r="BV38" s="58">
        <v>60</v>
      </c>
      <c r="BW38" s="54" t="s">
        <v>1052</v>
      </c>
      <c r="BX38" s="54" t="s">
        <v>1053</v>
      </c>
      <c r="BY38" s="54" t="s">
        <v>1054</v>
      </c>
      <c r="BZ38" s="54" t="s">
        <v>1055</v>
      </c>
      <c r="CA38" s="55"/>
      <c r="CB38" s="54" t="s">
        <v>1056</v>
      </c>
      <c r="CC38" s="54" t="s">
        <v>1057</v>
      </c>
      <c r="CD38" s="54" t="s">
        <v>1058</v>
      </c>
      <c r="CE38" s="54" t="s">
        <v>1059</v>
      </c>
      <c r="CF38" s="54" t="s">
        <v>1060</v>
      </c>
      <c r="CG38" s="54" t="s">
        <v>1061</v>
      </c>
      <c r="CH38" s="54" t="s">
        <v>1062</v>
      </c>
      <c r="CI38" s="54" t="s">
        <v>1063</v>
      </c>
      <c r="CJ38" s="54" t="s">
        <v>1064</v>
      </c>
      <c r="CK38" s="54" t="s">
        <v>1065</v>
      </c>
      <c r="CL38" s="54" t="s">
        <v>1066</v>
      </c>
      <c r="CM38" s="54" t="s">
        <v>1067</v>
      </c>
      <c r="CN38" s="54" t="s">
        <v>1068</v>
      </c>
      <c r="CO38" s="54" t="s">
        <v>1069</v>
      </c>
      <c r="CP38" s="56">
        <v>0</v>
      </c>
      <c r="CQ38" s="56">
        <v>0</v>
      </c>
      <c r="CR38" s="56">
        <v>0</v>
      </c>
      <c r="CS38" s="56">
        <v>0</v>
      </c>
      <c r="CT38" s="56">
        <v>0</v>
      </c>
      <c r="CU38" s="56">
        <v>0</v>
      </c>
      <c r="CV38" s="56">
        <v>0</v>
      </c>
      <c r="CW38" s="56">
        <v>0</v>
      </c>
      <c r="CX38" s="56">
        <v>0</v>
      </c>
      <c r="CY38" s="56">
        <v>0</v>
      </c>
      <c r="CZ38" s="56">
        <v>0</v>
      </c>
      <c r="DA38" s="56">
        <v>0</v>
      </c>
      <c r="DB38" s="56">
        <v>0</v>
      </c>
      <c r="DC38" s="56">
        <v>0</v>
      </c>
      <c r="DD38" s="56">
        <v>0</v>
      </c>
      <c r="DE38" s="56">
        <v>0</v>
      </c>
      <c r="DF38" s="56">
        <v>0</v>
      </c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56">
        <v>0</v>
      </c>
      <c r="ED38" s="56">
        <v>0</v>
      </c>
      <c r="EE38" s="56">
        <v>0</v>
      </c>
      <c r="EF38" s="56">
        <v>0</v>
      </c>
      <c r="EG38" s="56">
        <v>0</v>
      </c>
      <c r="EH38" s="56">
        <v>31.39</v>
      </c>
      <c r="EI38" s="56">
        <v>0</v>
      </c>
      <c r="EJ38" s="56">
        <v>0</v>
      </c>
      <c r="EK38" s="56">
        <v>0</v>
      </c>
      <c r="EL38" s="56">
        <v>0</v>
      </c>
      <c r="EM38" s="56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8">
        <v>0</v>
      </c>
      <c r="FD38" s="56">
        <v>0</v>
      </c>
      <c r="FE38" s="56">
        <v>0</v>
      </c>
      <c r="FF38" s="56">
        <v>0</v>
      </c>
      <c r="FG38" s="56">
        <v>0</v>
      </c>
      <c r="FH38" s="56">
        <v>0</v>
      </c>
      <c r="FI38" s="56">
        <v>0</v>
      </c>
      <c r="FJ38" s="56">
        <v>0</v>
      </c>
      <c r="FK38" s="56">
        <v>0</v>
      </c>
      <c r="FL38" s="56">
        <v>0</v>
      </c>
      <c r="FM38" s="56">
        <v>0</v>
      </c>
      <c r="FN38" s="56">
        <v>0</v>
      </c>
      <c r="FO38" s="56">
        <v>0</v>
      </c>
      <c r="FP38" s="56">
        <v>0</v>
      </c>
      <c r="FQ38" s="56">
        <v>0</v>
      </c>
      <c r="FR38" s="56">
        <v>0</v>
      </c>
      <c r="FS38" s="58">
        <v>0</v>
      </c>
      <c r="FT38" s="56">
        <v>0</v>
      </c>
      <c r="FU38" s="56">
        <v>0</v>
      </c>
      <c r="FV38" s="56">
        <v>0</v>
      </c>
      <c r="FW38" s="56">
        <v>0</v>
      </c>
      <c r="FX38" s="56">
        <v>0</v>
      </c>
      <c r="FY38" s="56">
        <v>0</v>
      </c>
      <c r="FZ38" s="54" t="s">
        <v>1070</v>
      </c>
      <c r="GA38" s="54" t="s">
        <v>1071</v>
      </c>
      <c r="GB38" s="54" t="s">
        <v>1072</v>
      </c>
      <c r="GC38" s="54" t="s">
        <v>1073</v>
      </c>
      <c r="GD38" s="54" t="s">
        <v>1145</v>
      </c>
      <c r="GE38" s="54" t="s">
        <v>1075</v>
      </c>
      <c r="GF38" s="54"/>
      <c r="GG38" s="55"/>
      <c r="GH38" s="54"/>
      <c r="GI38" s="54"/>
      <c r="GJ38" s="54" t="s">
        <v>1076</v>
      </c>
      <c r="GK38" s="54" t="s">
        <v>1077</v>
      </c>
      <c r="GL38" s="54"/>
      <c r="GM38" s="54"/>
      <c r="GN38" s="54" t="s">
        <v>1078</v>
      </c>
      <c r="GO38" s="54" t="s">
        <v>1059</v>
      </c>
      <c r="GP38" s="54"/>
      <c r="GQ38" s="56">
        <v>0</v>
      </c>
      <c r="GR38" s="54" t="s">
        <v>1079</v>
      </c>
      <c r="GS38" s="54"/>
    </row>
    <row r="39" spans="1:201" x14ac:dyDescent="0.25">
      <c r="A39" s="54" t="s">
        <v>1032</v>
      </c>
      <c r="B39" s="54" t="s">
        <v>1033</v>
      </c>
      <c r="C39" s="54" t="s">
        <v>1034</v>
      </c>
      <c r="D39" s="54" t="s">
        <v>1035</v>
      </c>
      <c r="E39" s="54" t="s">
        <v>1036</v>
      </c>
      <c r="F39" s="55">
        <v>46175</v>
      </c>
      <c r="G39" s="55">
        <v>46175</v>
      </c>
      <c r="H39" s="54" t="s">
        <v>1037</v>
      </c>
      <c r="I39" s="54" t="s">
        <v>1038</v>
      </c>
      <c r="J39" s="54" t="s">
        <v>1039</v>
      </c>
      <c r="K39" s="55"/>
      <c r="L39" s="54" t="s">
        <v>1040</v>
      </c>
      <c r="M39" s="54"/>
      <c r="N39" s="54" t="s">
        <v>1041</v>
      </c>
      <c r="O39" s="54" t="s">
        <v>1146</v>
      </c>
      <c r="P39" s="54" t="s">
        <v>199</v>
      </c>
      <c r="Q39" s="54" t="s">
        <v>31</v>
      </c>
      <c r="R39" s="54" t="s">
        <v>1043</v>
      </c>
      <c r="S39" s="56">
        <v>1063.04</v>
      </c>
      <c r="T39" s="56">
        <v>1063.04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56">
        <v>176</v>
      </c>
      <c r="AA39" s="56">
        <v>176</v>
      </c>
      <c r="AB39" s="59">
        <v>0</v>
      </c>
      <c r="AC39" s="56">
        <v>0</v>
      </c>
      <c r="AD39" s="56">
        <v>0</v>
      </c>
      <c r="AE39" s="56">
        <v>0</v>
      </c>
      <c r="AF39" s="54" t="s">
        <v>1044</v>
      </c>
      <c r="AG39" s="57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 t="s">
        <v>1045</v>
      </c>
      <c r="AS39" s="54" t="s">
        <v>1081</v>
      </c>
      <c r="AT39" s="54" t="s">
        <v>1082</v>
      </c>
      <c r="AU39" s="54" t="s">
        <v>1048</v>
      </c>
      <c r="AV39" s="54"/>
      <c r="AW39" s="55">
        <v>46189</v>
      </c>
      <c r="AX39" s="55">
        <v>46175</v>
      </c>
      <c r="AY39" s="55">
        <v>46175</v>
      </c>
      <c r="AZ39" s="55">
        <v>46176</v>
      </c>
      <c r="BA39" s="55">
        <v>46189</v>
      </c>
      <c r="BB39" s="56">
        <v>0</v>
      </c>
      <c r="BC39" s="56">
        <v>0</v>
      </c>
      <c r="BD39" s="56">
        <v>0</v>
      </c>
      <c r="BE39" s="56">
        <v>0</v>
      </c>
      <c r="BF39" s="56">
        <v>0</v>
      </c>
      <c r="BG39" s="56">
        <v>0</v>
      </c>
      <c r="BH39" s="56">
        <v>0</v>
      </c>
      <c r="BI39" s="56">
        <v>0</v>
      </c>
      <c r="BJ39" s="56">
        <v>0</v>
      </c>
      <c r="BK39" s="56">
        <v>0</v>
      </c>
      <c r="BL39" s="56">
        <v>0</v>
      </c>
      <c r="BM39" s="56">
        <v>0</v>
      </c>
      <c r="BN39" s="56">
        <v>0</v>
      </c>
      <c r="BO39" s="56">
        <v>0</v>
      </c>
      <c r="BP39" s="54" t="s">
        <v>1049</v>
      </c>
      <c r="BQ39" s="54" t="s">
        <v>1050</v>
      </c>
      <c r="BR39" s="54" t="s">
        <v>1049</v>
      </c>
      <c r="BS39" s="54" t="s">
        <v>1050</v>
      </c>
      <c r="BT39" s="54" t="s">
        <v>1051</v>
      </c>
      <c r="BU39" s="54" t="s">
        <v>1043</v>
      </c>
      <c r="BV39" s="58">
        <v>176</v>
      </c>
      <c r="BW39" s="54" t="s">
        <v>1052</v>
      </c>
      <c r="BX39" s="54" t="s">
        <v>1053</v>
      </c>
      <c r="BY39" s="54" t="s">
        <v>1054</v>
      </c>
      <c r="BZ39" s="54" t="s">
        <v>1055</v>
      </c>
      <c r="CA39" s="55"/>
      <c r="CB39" s="54" t="s">
        <v>1056</v>
      </c>
      <c r="CC39" s="54" t="s">
        <v>1057</v>
      </c>
      <c r="CD39" s="54" t="s">
        <v>1058</v>
      </c>
      <c r="CE39" s="54" t="s">
        <v>1059</v>
      </c>
      <c r="CF39" s="54" t="s">
        <v>1060</v>
      </c>
      <c r="CG39" s="54" t="s">
        <v>1061</v>
      </c>
      <c r="CH39" s="54" t="s">
        <v>1062</v>
      </c>
      <c r="CI39" s="54" t="s">
        <v>1063</v>
      </c>
      <c r="CJ39" s="54" t="s">
        <v>1064</v>
      </c>
      <c r="CK39" s="54" t="s">
        <v>1065</v>
      </c>
      <c r="CL39" s="54" t="s">
        <v>1066</v>
      </c>
      <c r="CM39" s="54" t="s">
        <v>1067</v>
      </c>
      <c r="CN39" s="54" t="s">
        <v>1068</v>
      </c>
      <c r="CO39" s="54" t="s">
        <v>1069</v>
      </c>
      <c r="CP39" s="56">
        <v>0</v>
      </c>
      <c r="CQ39" s="56">
        <v>0</v>
      </c>
      <c r="CR39" s="56">
        <v>0</v>
      </c>
      <c r="CS39" s="56">
        <v>0</v>
      </c>
      <c r="CT39" s="56">
        <v>0</v>
      </c>
      <c r="CU39" s="56">
        <v>0</v>
      </c>
      <c r="CV39" s="56">
        <v>0</v>
      </c>
      <c r="CW39" s="56">
        <v>0</v>
      </c>
      <c r="CX39" s="56">
        <v>0</v>
      </c>
      <c r="CY39" s="56">
        <v>0</v>
      </c>
      <c r="CZ39" s="56">
        <v>0</v>
      </c>
      <c r="DA39" s="56">
        <v>0</v>
      </c>
      <c r="DB39" s="56">
        <v>0</v>
      </c>
      <c r="DC39" s="56">
        <v>0</v>
      </c>
      <c r="DD39" s="56">
        <v>0</v>
      </c>
      <c r="DE39" s="56">
        <v>0</v>
      </c>
      <c r="DF39" s="56">
        <v>0</v>
      </c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56">
        <v>0</v>
      </c>
      <c r="ED39" s="56">
        <v>0</v>
      </c>
      <c r="EE39" s="56">
        <v>0</v>
      </c>
      <c r="EF39" s="56">
        <v>0</v>
      </c>
      <c r="EG39" s="56">
        <v>0</v>
      </c>
      <c r="EH39" s="56">
        <v>127.56</v>
      </c>
      <c r="EI39" s="56">
        <v>0</v>
      </c>
      <c r="EJ39" s="56">
        <v>0</v>
      </c>
      <c r="EK39" s="56">
        <v>0</v>
      </c>
      <c r="EL39" s="56">
        <v>0</v>
      </c>
      <c r="EM39" s="56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8">
        <v>0</v>
      </c>
      <c r="FD39" s="56">
        <v>0</v>
      </c>
      <c r="FE39" s="56">
        <v>0</v>
      </c>
      <c r="FF39" s="56">
        <v>0</v>
      </c>
      <c r="FG39" s="56">
        <v>0</v>
      </c>
      <c r="FH39" s="56">
        <v>0</v>
      </c>
      <c r="FI39" s="56">
        <v>0</v>
      </c>
      <c r="FJ39" s="56">
        <v>0</v>
      </c>
      <c r="FK39" s="56">
        <v>0</v>
      </c>
      <c r="FL39" s="56">
        <v>0</v>
      </c>
      <c r="FM39" s="56">
        <v>0</v>
      </c>
      <c r="FN39" s="56">
        <v>0</v>
      </c>
      <c r="FO39" s="56">
        <v>0</v>
      </c>
      <c r="FP39" s="56">
        <v>0</v>
      </c>
      <c r="FQ39" s="56">
        <v>0</v>
      </c>
      <c r="FR39" s="56">
        <v>0</v>
      </c>
      <c r="FS39" s="58">
        <v>0</v>
      </c>
      <c r="FT39" s="56">
        <v>0</v>
      </c>
      <c r="FU39" s="56">
        <v>0</v>
      </c>
      <c r="FV39" s="56">
        <v>0</v>
      </c>
      <c r="FW39" s="56">
        <v>0</v>
      </c>
      <c r="FX39" s="56">
        <v>0</v>
      </c>
      <c r="FY39" s="56">
        <v>0</v>
      </c>
      <c r="FZ39" s="54" t="s">
        <v>1083</v>
      </c>
      <c r="GA39" s="54" t="s">
        <v>1084</v>
      </c>
      <c r="GB39" s="54" t="s">
        <v>1072</v>
      </c>
      <c r="GC39" s="54" t="s">
        <v>1073</v>
      </c>
      <c r="GD39" s="54" t="s">
        <v>1147</v>
      </c>
      <c r="GE39" s="54" t="s">
        <v>1075</v>
      </c>
      <c r="GF39" s="54"/>
      <c r="GG39" s="55"/>
      <c r="GH39" s="54"/>
      <c r="GI39" s="54"/>
      <c r="GJ39" s="54" t="s">
        <v>1076</v>
      </c>
      <c r="GK39" s="54" t="s">
        <v>1077</v>
      </c>
      <c r="GL39" s="54"/>
      <c r="GM39" s="54"/>
      <c r="GN39" s="54" t="s">
        <v>1078</v>
      </c>
      <c r="GO39" s="54" t="s">
        <v>1059</v>
      </c>
      <c r="GP39" s="54"/>
      <c r="GQ39" s="56">
        <v>0</v>
      </c>
      <c r="GR39" s="54" t="s">
        <v>1079</v>
      </c>
      <c r="GS39" s="54"/>
    </row>
    <row r="40" spans="1:201" x14ac:dyDescent="0.25">
      <c r="A40" s="54" t="s">
        <v>1032</v>
      </c>
      <c r="B40" s="54" t="s">
        <v>1033</v>
      </c>
      <c r="C40" s="54" t="s">
        <v>1034</v>
      </c>
      <c r="D40" s="54" t="s">
        <v>1035</v>
      </c>
      <c r="E40" s="54" t="s">
        <v>1036</v>
      </c>
      <c r="F40" s="55">
        <v>46175</v>
      </c>
      <c r="G40" s="55">
        <v>46175</v>
      </c>
      <c r="H40" s="54" t="s">
        <v>1037</v>
      </c>
      <c r="I40" s="54" t="s">
        <v>1038</v>
      </c>
      <c r="J40" s="54" t="s">
        <v>1039</v>
      </c>
      <c r="K40" s="55"/>
      <c r="L40" s="54" t="s">
        <v>1040</v>
      </c>
      <c r="M40" s="54"/>
      <c r="N40" s="54" t="s">
        <v>1041</v>
      </c>
      <c r="O40" s="54" t="s">
        <v>1148</v>
      </c>
      <c r="P40" s="54" t="s">
        <v>198</v>
      </c>
      <c r="Q40" s="54" t="s">
        <v>394</v>
      </c>
      <c r="R40" s="54" t="s">
        <v>1043</v>
      </c>
      <c r="S40" s="56">
        <v>9189</v>
      </c>
      <c r="T40" s="56">
        <v>9189</v>
      </c>
      <c r="U40" s="56">
        <v>0</v>
      </c>
      <c r="V40" s="56">
        <v>0</v>
      </c>
      <c r="W40" s="56">
        <v>0</v>
      </c>
      <c r="X40" s="56">
        <v>0</v>
      </c>
      <c r="Y40" s="56">
        <v>0</v>
      </c>
      <c r="Z40" s="56">
        <v>900</v>
      </c>
      <c r="AA40" s="56">
        <v>900</v>
      </c>
      <c r="AB40" s="59">
        <v>0</v>
      </c>
      <c r="AC40" s="56">
        <v>0</v>
      </c>
      <c r="AD40" s="56">
        <v>0</v>
      </c>
      <c r="AE40" s="56">
        <v>0</v>
      </c>
      <c r="AF40" s="54" t="s">
        <v>1044</v>
      </c>
      <c r="AG40" s="57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 t="s">
        <v>1045</v>
      </c>
      <c r="AS40" s="54" t="s">
        <v>1081</v>
      </c>
      <c r="AT40" s="54" t="s">
        <v>1082</v>
      </c>
      <c r="AU40" s="54" t="s">
        <v>1048</v>
      </c>
      <c r="AV40" s="54"/>
      <c r="AW40" s="55">
        <v>46189</v>
      </c>
      <c r="AX40" s="55">
        <v>46175</v>
      </c>
      <c r="AY40" s="55">
        <v>46175</v>
      </c>
      <c r="AZ40" s="55">
        <v>46176</v>
      </c>
      <c r="BA40" s="55">
        <v>46189</v>
      </c>
      <c r="BB40" s="56">
        <v>0</v>
      </c>
      <c r="BC40" s="56">
        <v>0</v>
      </c>
      <c r="BD40" s="56">
        <v>0</v>
      </c>
      <c r="BE40" s="56">
        <v>0</v>
      </c>
      <c r="BF40" s="56">
        <v>0</v>
      </c>
      <c r="BG40" s="56">
        <v>0</v>
      </c>
      <c r="BH40" s="56">
        <v>0</v>
      </c>
      <c r="BI40" s="56">
        <v>0</v>
      </c>
      <c r="BJ40" s="56">
        <v>0</v>
      </c>
      <c r="BK40" s="56">
        <v>0</v>
      </c>
      <c r="BL40" s="56">
        <v>0</v>
      </c>
      <c r="BM40" s="56">
        <v>0</v>
      </c>
      <c r="BN40" s="56">
        <v>0</v>
      </c>
      <c r="BO40" s="56">
        <v>0</v>
      </c>
      <c r="BP40" s="54" t="s">
        <v>1049</v>
      </c>
      <c r="BQ40" s="54" t="s">
        <v>1050</v>
      </c>
      <c r="BR40" s="54" t="s">
        <v>1049</v>
      </c>
      <c r="BS40" s="54" t="s">
        <v>1050</v>
      </c>
      <c r="BT40" s="54" t="s">
        <v>1051</v>
      </c>
      <c r="BU40" s="54" t="s">
        <v>1043</v>
      </c>
      <c r="BV40" s="58">
        <v>900</v>
      </c>
      <c r="BW40" s="54" t="s">
        <v>1052</v>
      </c>
      <c r="BX40" s="54" t="s">
        <v>1053</v>
      </c>
      <c r="BY40" s="54" t="s">
        <v>1054</v>
      </c>
      <c r="BZ40" s="54" t="s">
        <v>1055</v>
      </c>
      <c r="CA40" s="55"/>
      <c r="CB40" s="54" t="s">
        <v>1056</v>
      </c>
      <c r="CC40" s="54" t="s">
        <v>1057</v>
      </c>
      <c r="CD40" s="54" t="s">
        <v>1058</v>
      </c>
      <c r="CE40" s="54" t="s">
        <v>1059</v>
      </c>
      <c r="CF40" s="54" t="s">
        <v>1060</v>
      </c>
      <c r="CG40" s="54" t="s">
        <v>1061</v>
      </c>
      <c r="CH40" s="54" t="s">
        <v>1062</v>
      </c>
      <c r="CI40" s="54" t="s">
        <v>1063</v>
      </c>
      <c r="CJ40" s="54" t="s">
        <v>1064</v>
      </c>
      <c r="CK40" s="54" t="s">
        <v>1065</v>
      </c>
      <c r="CL40" s="54" t="s">
        <v>1066</v>
      </c>
      <c r="CM40" s="54" t="s">
        <v>1067</v>
      </c>
      <c r="CN40" s="54" t="s">
        <v>1068</v>
      </c>
      <c r="CO40" s="54" t="s">
        <v>1069</v>
      </c>
      <c r="CP40" s="56">
        <v>0</v>
      </c>
      <c r="CQ40" s="56">
        <v>0</v>
      </c>
      <c r="CR40" s="56">
        <v>0</v>
      </c>
      <c r="CS40" s="56">
        <v>0</v>
      </c>
      <c r="CT40" s="56">
        <v>0</v>
      </c>
      <c r="CU40" s="56">
        <v>0</v>
      </c>
      <c r="CV40" s="56">
        <v>0</v>
      </c>
      <c r="CW40" s="56">
        <v>0</v>
      </c>
      <c r="CX40" s="56">
        <v>0</v>
      </c>
      <c r="CY40" s="56">
        <v>0</v>
      </c>
      <c r="CZ40" s="56">
        <v>0</v>
      </c>
      <c r="DA40" s="56">
        <v>0</v>
      </c>
      <c r="DB40" s="56">
        <v>0</v>
      </c>
      <c r="DC40" s="56">
        <v>0</v>
      </c>
      <c r="DD40" s="56">
        <v>0</v>
      </c>
      <c r="DE40" s="56">
        <v>0</v>
      </c>
      <c r="DF40" s="56">
        <v>0</v>
      </c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56">
        <v>0</v>
      </c>
      <c r="ED40" s="56">
        <v>0</v>
      </c>
      <c r="EE40" s="56">
        <v>0</v>
      </c>
      <c r="EF40" s="56">
        <v>0</v>
      </c>
      <c r="EG40" s="56">
        <v>0</v>
      </c>
      <c r="EH40" s="56">
        <v>1102.68</v>
      </c>
      <c r="EI40" s="56">
        <v>0</v>
      </c>
      <c r="EJ40" s="56">
        <v>0</v>
      </c>
      <c r="EK40" s="56">
        <v>0</v>
      </c>
      <c r="EL40" s="56">
        <v>0</v>
      </c>
      <c r="EM40" s="56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8">
        <v>0</v>
      </c>
      <c r="FD40" s="56">
        <v>0</v>
      </c>
      <c r="FE40" s="56">
        <v>0</v>
      </c>
      <c r="FF40" s="56">
        <v>0</v>
      </c>
      <c r="FG40" s="56">
        <v>0</v>
      </c>
      <c r="FH40" s="56">
        <v>0</v>
      </c>
      <c r="FI40" s="56">
        <v>0</v>
      </c>
      <c r="FJ40" s="56">
        <v>0</v>
      </c>
      <c r="FK40" s="56">
        <v>0</v>
      </c>
      <c r="FL40" s="56">
        <v>0</v>
      </c>
      <c r="FM40" s="56">
        <v>0</v>
      </c>
      <c r="FN40" s="56">
        <v>0</v>
      </c>
      <c r="FO40" s="56">
        <v>0</v>
      </c>
      <c r="FP40" s="56">
        <v>0</v>
      </c>
      <c r="FQ40" s="56">
        <v>0</v>
      </c>
      <c r="FR40" s="56">
        <v>0</v>
      </c>
      <c r="FS40" s="58">
        <v>0</v>
      </c>
      <c r="FT40" s="56">
        <v>0</v>
      </c>
      <c r="FU40" s="56">
        <v>0</v>
      </c>
      <c r="FV40" s="56">
        <v>0</v>
      </c>
      <c r="FW40" s="56">
        <v>0</v>
      </c>
      <c r="FX40" s="56">
        <v>0</v>
      </c>
      <c r="FY40" s="56">
        <v>0</v>
      </c>
      <c r="FZ40" s="54" t="s">
        <v>1083</v>
      </c>
      <c r="GA40" s="54" t="s">
        <v>1084</v>
      </c>
      <c r="GB40" s="54" t="s">
        <v>1072</v>
      </c>
      <c r="GC40" s="54" t="s">
        <v>1073</v>
      </c>
      <c r="GD40" s="54" t="s">
        <v>1147</v>
      </c>
      <c r="GE40" s="54" t="s">
        <v>1075</v>
      </c>
      <c r="GF40" s="54"/>
      <c r="GG40" s="55"/>
      <c r="GH40" s="54"/>
      <c r="GI40" s="54"/>
      <c r="GJ40" s="54" t="s">
        <v>1076</v>
      </c>
      <c r="GK40" s="54" t="s">
        <v>1077</v>
      </c>
      <c r="GL40" s="54"/>
      <c r="GM40" s="54"/>
      <c r="GN40" s="54" t="s">
        <v>1078</v>
      </c>
      <c r="GO40" s="54" t="s">
        <v>1059</v>
      </c>
      <c r="GP40" s="54"/>
      <c r="GQ40" s="56">
        <v>0</v>
      </c>
      <c r="GR40" s="54" t="s">
        <v>1079</v>
      </c>
      <c r="GS40" s="54"/>
    </row>
    <row r="41" spans="1:201" x14ac:dyDescent="0.25">
      <c r="A41" s="54" t="s">
        <v>1032</v>
      </c>
      <c r="B41" s="54" t="s">
        <v>1033</v>
      </c>
      <c r="C41" s="54" t="s">
        <v>1034</v>
      </c>
      <c r="D41" s="54" t="s">
        <v>1035</v>
      </c>
      <c r="E41" s="54" t="s">
        <v>1036</v>
      </c>
      <c r="F41" s="55">
        <v>46175</v>
      </c>
      <c r="G41" s="55">
        <v>46175</v>
      </c>
      <c r="H41" s="54" t="s">
        <v>1037</v>
      </c>
      <c r="I41" s="54" t="s">
        <v>1038</v>
      </c>
      <c r="J41" s="54" t="s">
        <v>1039</v>
      </c>
      <c r="K41" s="55"/>
      <c r="L41" s="54" t="s">
        <v>1040</v>
      </c>
      <c r="M41" s="54"/>
      <c r="N41" s="54" t="s">
        <v>1041</v>
      </c>
      <c r="O41" s="54" t="s">
        <v>1149</v>
      </c>
      <c r="P41" s="54" t="s">
        <v>202</v>
      </c>
      <c r="Q41" s="54" t="s">
        <v>36</v>
      </c>
      <c r="R41" s="54" t="s">
        <v>1043</v>
      </c>
      <c r="S41" s="56">
        <v>18894</v>
      </c>
      <c r="T41" s="56">
        <v>18894</v>
      </c>
      <c r="U41" s="56">
        <v>0</v>
      </c>
      <c r="V41" s="56">
        <v>0</v>
      </c>
      <c r="W41" s="56">
        <v>0</v>
      </c>
      <c r="X41" s="56">
        <v>0</v>
      </c>
      <c r="Y41" s="56">
        <v>0</v>
      </c>
      <c r="Z41" s="56">
        <v>2820</v>
      </c>
      <c r="AA41" s="56">
        <v>2820</v>
      </c>
      <c r="AB41" s="59">
        <v>0</v>
      </c>
      <c r="AC41" s="56">
        <v>0</v>
      </c>
      <c r="AD41" s="56">
        <v>0</v>
      </c>
      <c r="AE41" s="56">
        <v>0</v>
      </c>
      <c r="AF41" s="54" t="s">
        <v>1044</v>
      </c>
      <c r="AG41" s="57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 t="s">
        <v>1045</v>
      </c>
      <c r="AS41" s="54" t="s">
        <v>1081</v>
      </c>
      <c r="AT41" s="54" t="s">
        <v>1082</v>
      </c>
      <c r="AU41" s="54" t="s">
        <v>1048</v>
      </c>
      <c r="AV41" s="54"/>
      <c r="AW41" s="55">
        <v>46189</v>
      </c>
      <c r="AX41" s="55">
        <v>46175</v>
      </c>
      <c r="AY41" s="55">
        <v>46175</v>
      </c>
      <c r="AZ41" s="55">
        <v>46176</v>
      </c>
      <c r="BA41" s="55">
        <v>46189</v>
      </c>
      <c r="BB41" s="56">
        <v>0</v>
      </c>
      <c r="BC41" s="56">
        <v>0</v>
      </c>
      <c r="BD41" s="56">
        <v>0</v>
      </c>
      <c r="BE41" s="56">
        <v>0</v>
      </c>
      <c r="BF41" s="56">
        <v>0</v>
      </c>
      <c r="BG41" s="56">
        <v>0</v>
      </c>
      <c r="BH41" s="56">
        <v>0</v>
      </c>
      <c r="BI41" s="56">
        <v>0</v>
      </c>
      <c r="BJ41" s="56">
        <v>0</v>
      </c>
      <c r="BK41" s="56">
        <v>0</v>
      </c>
      <c r="BL41" s="56">
        <v>0</v>
      </c>
      <c r="BM41" s="56">
        <v>0</v>
      </c>
      <c r="BN41" s="56">
        <v>0</v>
      </c>
      <c r="BO41" s="56">
        <v>0</v>
      </c>
      <c r="BP41" s="54" t="s">
        <v>1049</v>
      </c>
      <c r="BQ41" s="54" t="s">
        <v>1050</v>
      </c>
      <c r="BR41" s="54" t="s">
        <v>1049</v>
      </c>
      <c r="BS41" s="54" t="s">
        <v>1050</v>
      </c>
      <c r="BT41" s="54" t="s">
        <v>1051</v>
      </c>
      <c r="BU41" s="54" t="s">
        <v>1043</v>
      </c>
      <c r="BV41" s="58">
        <v>2820</v>
      </c>
      <c r="BW41" s="54" t="s">
        <v>1052</v>
      </c>
      <c r="BX41" s="54" t="s">
        <v>1053</v>
      </c>
      <c r="BY41" s="54" t="s">
        <v>1054</v>
      </c>
      <c r="BZ41" s="54" t="s">
        <v>1055</v>
      </c>
      <c r="CA41" s="55"/>
      <c r="CB41" s="54" t="s">
        <v>1056</v>
      </c>
      <c r="CC41" s="54" t="s">
        <v>1057</v>
      </c>
      <c r="CD41" s="54" t="s">
        <v>1058</v>
      </c>
      <c r="CE41" s="54" t="s">
        <v>1059</v>
      </c>
      <c r="CF41" s="54" t="s">
        <v>1060</v>
      </c>
      <c r="CG41" s="54" t="s">
        <v>1061</v>
      </c>
      <c r="CH41" s="54" t="s">
        <v>1062</v>
      </c>
      <c r="CI41" s="54" t="s">
        <v>1063</v>
      </c>
      <c r="CJ41" s="54" t="s">
        <v>1064</v>
      </c>
      <c r="CK41" s="54" t="s">
        <v>1065</v>
      </c>
      <c r="CL41" s="54" t="s">
        <v>1066</v>
      </c>
      <c r="CM41" s="54" t="s">
        <v>1067</v>
      </c>
      <c r="CN41" s="54" t="s">
        <v>1068</v>
      </c>
      <c r="CO41" s="54" t="s">
        <v>1069</v>
      </c>
      <c r="CP41" s="56">
        <v>0</v>
      </c>
      <c r="CQ41" s="56">
        <v>0</v>
      </c>
      <c r="CR41" s="56">
        <v>0</v>
      </c>
      <c r="CS41" s="56">
        <v>0</v>
      </c>
      <c r="CT41" s="56">
        <v>0</v>
      </c>
      <c r="CU41" s="56">
        <v>0</v>
      </c>
      <c r="CV41" s="56">
        <v>0</v>
      </c>
      <c r="CW41" s="56">
        <v>0</v>
      </c>
      <c r="CX41" s="56">
        <v>0</v>
      </c>
      <c r="CY41" s="56">
        <v>0</v>
      </c>
      <c r="CZ41" s="56">
        <v>0</v>
      </c>
      <c r="DA41" s="56">
        <v>0</v>
      </c>
      <c r="DB41" s="56">
        <v>0</v>
      </c>
      <c r="DC41" s="56">
        <v>0</v>
      </c>
      <c r="DD41" s="56">
        <v>0</v>
      </c>
      <c r="DE41" s="56">
        <v>0</v>
      </c>
      <c r="DF41" s="56">
        <v>0</v>
      </c>
      <c r="DG41" s="56">
        <v>0</v>
      </c>
      <c r="DH41" s="56">
        <v>0</v>
      </c>
      <c r="DI41" s="56">
        <v>0</v>
      </c>
      <c r="DJ41" s="56">
        <v>0</v>
      </c>
      <c r="DK41" s="56">
        <v>0</v>
      </c>
      <c r="DL41" s="56">
        <v>0</v>
      </c>
      <c r="DM41" s="56">
        <v>0</v>
      </c>
      <c r="DN41" s="56">
        <v>0</v>
      </c>
      <c r="DO41" s="56">
        <v>0</v>
      </c>
      <c r="DP41" s="56">
        <v>0</v>
      </c>
      <c r="DQ41" s="56">
        <v>0</v>
      </c>
      <c r="DR41" s="56">
        <v>0</v>
      </c>
      <c r="DS41" s="56">
        <v>0</v>
      </c>
      <c r="DT41" s="56">
        <v>0</v>
      </c>
      <c r="DU41" s="56">
        <v>0</v>
      </c>
      <c r="DV41" s="56">
        <v>0</v>
      </c>
      <c r="DW41" s="56">
        <v>0</v>
      </c>
      <c r="DX41" s="56">
        <v>0</v>
      </c>
      <c r="DY41" s="56">
        <v>0</v>
      </c>
      <c r="DZ41" s="56">
        <v>0</v>
      </c>
      <c r="EA41" s="56">
        <v>0</v>
      </c>
      <c r="EB41" s="56">
        <v>0</v>
      </c>
      <c r="EC41" s="56">
        <v>0</v>
      </c>
      <c r="ED41" s="56">
        <v>0</v>
      </c>
      <c r="EE41" s="56">
        <v>0</v>
      </c>
      <c r="EF41" s="56">
        <v>0</v>
      </c>
      <c r="EG41" s="56">
        <v>0</v>
      </c>
      <c r="EH41" s="56">
        <v>2267.2800000000002</v>
      </c>
      <c r="EI41" s="56">
        <v>0</v>
      </c>
      <c r="EJ41" s="56">
        <v>0</v>
      </c>
      <c r="EK41" s="56">
        <v>0</v>
      </c>
      <c r="EL41" s="56">
        <v>0</v>
      </c>
      <c r="EM41" s="56">
        <v>0</v>
      </c>
      <c r="EN41" s="56">
        <v>0</v>
      </c>
      <c r="EO41" s="56">
        <v>0</v>
      </c>
      <c r="EP41" s="56">
        <v>0</v>
      </c>
      <c r="EQ41" s="56">
        <v>0</v>
      </c>
      <c r="ER41" s="56">
        <v>0</v>
      </c>
      <c r="ES41" s="56">
        <v>0</v>
      </c>
      <c r="ET41" s="56">
        <v>0</v>
      </c>
      <c r="EU41" s="56">
        <v>0</v>
      </c>
      <c r="EV41" s="56">
        <v>0</v>
      </c>
      <c r="EW41" s="56">
        <v>0</v>
      </c>
      <c r="EX41" s="56">
        <v>0</v>
      </c>
      <c r="EY41" s="56">
        <v>0</v>
      </c>
      <c r="EZ41" s="56">
        <v>0</v>
      </c>
      <c r="FA41" s="56">
        <v>0</v>
      </c>
      <c r="FB41" s="56">
        <v>0</v>
      </c>
      <c r="FC41" s="58">
        <v>0</v>
      </c>
      <c r="FD41" s="56">
        <v>0</v>
      </c>
      <c r="FE41" s="56">
        <v>0</v>
      </c>
      <c r="FF41" s="56">
        <v>0</v>
      </c>
      <c r="FG41" s="56">
        <v>0</v>
      </c>
      <c r="FH41" s="56">
        <v>0</v>
      </c>
      <c r="FI41" s="56">
        <v>0</v>
      </c>
      <c r="FJ41" s="56">
        <v>0</v>
      </c>
      <c r="FK41" s="56">
        <v>0</v>
      </c>
      <c r="FL41" s="56">
        <v>0</v>
      </c>
      <c r="FM41" s="56">
        <v>0</v>
      </c>
      <c r="FN41" s="56">
        <v>0</v>
      </c>
      <c r="FO41" s="56">
        <v>0</v>
      </c>
      <c r="FP41" s="56">
        <v>0</v>
      </c>
      <c r="FQ41" s="56">
        <v>0</v>
      </c>
      <c r="FR41" s="56">
        <v>0</v>
      </c>
      <c r="FS41" s="58">
        <v>0</v>
      </c>
      <c r="FT41" s="56">
        <v>0</v>
      </c>
      <c r="FU41" s="56">
        <v>0</v>
      </c>
      <c r="FV41" s="56">
        <v>0</v>
      </c>
      <c r="FW41" s="56">
        <v>0</v>
      </c>
      <c r="FX41" s="56">
        <v>0</v>
      </c>
      <c r="FY41" s="56">
        <v>0</v>
      </c>
      <c r="FZ41" s="54" t="s">
        <v>1083</v>
      </c>
      <c r="GA41" s="54" t="s">
        <v>1084</v>
      </c>
      <c r="GB41" s="54" t="s">
        <v>1072</v>
      </c>
      <c r="GC41" s="54" t="s">
        <v>1073</v>
      </c>
      <c r="GD41" s="54" t="s">
        <v>1150</v>
      </c>
      <c r="GE41" s="54" t="s">
        <v>1075</v>
      </c>
      <c r="GF41" s="54"/>
      <c r="GG41" s="55"/>
      <c r="GH41" s="54"/>
      <c r="GI41" s="54"/>
      <c r="GJ41" s="54" t="s">
        <v>1076</v>
      </c>
      <c r="GK41" s="54" t="s">
        <v>1077</v>
      </c>
      <c r="GL41" s="54"/>
      <c r="GM41" s="54"/>
      <c r="GN41" s="54" t="s">
        <v>1078</v>
      </c>
      <c r="GO41" s="54" t="s">
        <v>1059</v>
      </c>
      <c r="GP41" s="54"/>
      <c r="GQ41" s="56">
        <v>0</v>
      </c>
      <c r="GR41" s="54" t="s">
        <v>1079</v>
      </c>
      <c r="GS41" s="54"/>
    </row>
    <row r="42" spans="1:201" x14ac:dyDescent="0.25">
      <c r="A42" s="54" t="s">
        <v>1032</v>
      </c>
      <c r="B42" s="54" t="s">
        <v>1033</v>
      </c>
      <c r="C42" s="54" t="s">
        <v>1034</v>
      </c>
      <c r="D42" s="54" t="s">
        <v>1035</v>
      </c>
      <c r="E42" s="54" t="s">
        <v>1036</v>
      </c>
      <c r="F42" s="55">
        <v>46175</v>
      </c>
      <c r="G42" s="55">
        <v>46175</v>
      </c>
      <c r="H42" s="54" t="s">
        <v>1037</v>
      </c>
      <c r="I42" s="54" t="s">
        <v>1038</v>
      </c>
      <c r="J42" s="54" t="s">
        <v>1039</v>
      </c>
      <c r="K42" s="55"/>
      <c r="L42" s="54" t="s">
        <v>1040</v>
      </c>
      <c r="M42" s="54"/>
      <c r="N42" s="54" t="s">
        <v>1041</v>
      </c>
      <c r="O42" s="54" t="s">
        <v>1151</v>
      </c>
      <c r="P42" s="54" t="s">
        <v>337</v>
      </c>
      <c r="Q42" s="54" t="s">
        <v>34</v>
      </c>
      <c r="R42" s="54" t="s">
        <v>1043</v>
      </c>
      <c r="S42" s="56">
        <v>8481.6</v>
      </c>
      <c r="T42" s="56">
        <v>0</v>
      </c>
      <c r="U42" s="56">
        <v>8481.6</v>
      </c>
      <c r="V42" s="56">
        <v>0</v>
      </c>
      <c r="W42" s="56">
        <v>0</v>
      </c>
      <c r="X42" s="56">
        <v>0</v>
      </c>
      <c r="Y42" s="56">
        <v>0</v>
      </c>
      <c r="Z42" s="56">
        <v>1710</v>
      </c>
      <c r="AA42" s="56">
        <v>0</v>
      </c>
      <c r="AB42" s="59">
        <v>1710</v>
      </c>
      <c r="AC42" s="56">
        <v>0</v>
      </c>
      <c r="AD42" s="56">
        <v>0</v>
      </c>
      <c r="AE42" s="56">
        <v>0</v>
      </c>
      <c r="AF42" s="54" t="s">
        <v>1044</v>
      </c>
      <c r="AG42" s="57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 t="s">
        <v>1045</v>
      </c>
      <c r="AS42" s="54" t="s">
        <v>1081</v>
      </c>
      <c r="AT42" s="54" t="s">
        <v>1082</v>
      </c>
      <c r="AU42" s="54" t="s">
        <v>1048</v>
      </c>
      <c r="AV42" s="54"/>
      <c r="AW42" s="55">
        <v>46189</v>
      </c>
      <c r="AX42" s="55">
        <v>46175</v>
      </c>
      <c r="AY42" s="55">
        <v>46175</v>
      </c>
      <c r="AZ42" s="55"/>
      <c r="BA42" s="55">
        <v>46189</v>
      </c>
      <c r="BB42" s="56">
        <v>0</v>
      </c>
      <c r="BC42" s="56">
        <v>0</v>
      </c>
      <c r="BD42" s="56">
        <v>0</v>
      </c>
      <c r="BE42" s="56">
        <v>0</v>
      </c>
      <c r="BF42" s="56">
        <v>0</v>
      </c>
      <c r="BG42" s="56">
        <v>0</v>
      </c>
      <c r="BH42" s="56">
        <v>0</v>
      </c>
      <c r="BI42" s="56">
        <v>0</v>
      </c>
      <c r="BJ42" s="56">
        <v>0</v>
      </c>
      <c r="BK42" s="56">
        <v>0</v>
      </c>
      <c r="BL42" s="56">
        <v>0</v>
      </c>
      <c r="BM42" s="56">
        <v>0</v>
      </c>
      <c r="BN42" s="56">
        <v>0</v>
      </c>
      <c r="BO42" s="56">
        <v>0</v>
      </c>
      <c r="BP42" s="54" t="s">
        <v>1049</v>
      </c>
      <c r="BQ42" s="54" t="s">
        <v>1050</v>
      </c>
      <c r="BR42" s="54" t="s">
        <v>1049</v>
      </c>
      <c r="BS42" s="54" t="s">
        <v>1050</v>
      </c>
      <c r="BT42" s="54" t="s">
        <v>1051</v>
      </c>
      <c r="BU42" s="54" t="s">
        <v>1043</v>
      </c>
      <c r="BV42" s="58">
        <v>0</v>
      </c>
      <c r="BW42" s="54" t="s">
        <v>1052</v>
      </c>
      <c r="BX42" s="54" t="s">
        <v>1053</v>
      </c>
      <c r="BY42" s="54" t="s">
        <v>1054</v>
      </c>
      <c r="BZ42" s="54" t="s">
        <v>1055</v>
      </c>
      <c r="CA42" s="55"/>
      <c r="CB42" s="54" t="s">
        <v>1056</v>
      </c>
      <c r="CC42" s="54" t="s">
        <v>1057</v>
      </c>
      <c r="CD42" s="54" t="s">
        <v>1058</v>
      </c>
      <c r="CE42" s="54" t="s">
        <v>1059</v>
      </c>
      <c r="CF42" s="54" t="s">
        <v>1060</v>
      </c>
      <c r="CG42" s="54" t="s">
        <v>1061</v>
      </c>
      <c r="CH42" s="54" t="s">
        <v>1062</v>
      </c>
      <c r="CI42" s="54" t="s">
        <v>1063</v>
      </c>
      <c r="CJ42" s="54" t="s">
        <v>1064</v>
      </c>
      <c r="CK42" s="54" t="s">
        <v>1065</v>
      </c>
      <c r="CL42" s="54" t="s">
        <v>1066</v>
      </c>
      <c r="CM42" s="54" t="s">
        <v>1067</v>
      </c>
      <c r="CN42" s="54" t="s">
        <v>1068</v>
      </c>
      <c r="CO42" s="54" t="s">
        <v>1069</v>
      </c>
      <c r="CP42" s="56">
        <v>0</v>
      </c>
      <c r="CQ42" s="56">
        <v>0</v>
      </c>
      <c r="CR42" s="56">
        <v>0</v>
      </c>
      <c r="CS42" s="56">
        <v>0</v>
      </c>
      <c r="CT42" s="56">
        <v>0</v>
      </c>
      <c r="CU42" s="56">
        <v>0</v>
      </c>
      <c r="CV42" s="56">
        <v>0</v>
      </c>
      <c r="CW42" s="56">
        <v>0</v>
      </c>
      <c r="CX42" s="56">
        <v>0</v>
      </c>
      <c r="CY42" s="56">
        <v>0</v>
      </c>
      <c r="CZ42" s="56">
        <v>0</v>
      </c>
      <c r="DA42" s="56">
        <v>0</v>
      </c>
      <c r="DB42" s="56">
        <v>0</v>
      </c>
      <c r="DC42" s="56">
        <v>0</v>
      </c>
      <c r="DD42" s="56">
        <v>0</v>
      </c>
      <c r="DE42" s="56">
        <v>0</v>
      </c>
      <c r="DF42" s="56">
        <v>0</v>
      </c>
      <c r="DG42" s="56">
        <v>0</v>
      </c>
      <c r="DH42" s="56">
        <v>0</v>
      </c>
      <c r="DI42" s="56">
        <v>0</v>
      </c>
      <c r="DJ42" s="56">
        <v>0</v>
      </c>
      <c r="DK42" s="56">
        <v>0</v>
      </c>
      <c r="DL42" s="56">
        <v>0</v>
      </c>
      <c r="DM42" s="56">
        <v>0</v>
      </c>
      <c r="DN42" s="56">
        <v>0</v>
      </c>
      <c r="DO42" s="56">
        <v>0</v>
      </c>
      <c r="DP42" s="56">
        <v>0</v>
      </c>
      <c r="DQ42" s="56">
        <v>0</v>
      </c>
      <c r="DR42" s="56">
        <v>0</v>
      </c>
      <c r="DS42" s="56">
        <v>0</v>
      </c>
      <c r="DT42" s="56">
        <v>0</v>
      </c>
      <c r="DU42" s="56">
        <v>0</v>
      </c>
      <c r="DV42" s="56">
        <v>0</v>
      </c>
      <c r="DW42" s="56">
        <v>0</v>
      </c>
      <c r="DX42" s="56">
        <v>0</v>
      </c>
      <c r="DY42" s="56">
        <v>0</v>
      </c>
      <c r="DZ42" s="56">
        <v>0</v>
      </c>
      <c r="EA42" s="56">
        <v>0</v>
      </c>
      <c r="EB42" s="56">
        <v>0</v>
      </c>
      <c r="EC42" s="56">
        <v>1017.79</v>
      </c>
      <c r="ED42" s="56">
        <v>0</v>
      </c>
      <c r="EE42" s="56">
        <v>0</v>
      </c>
      <c r="EF42" s="56">
        <v>0</v>
      </c>
      <c r="EG42" s="56">
        <v>0</v>
      </c>
      <c r="EH42" s="56">
        <v>1017.79</v>
      </c>
      <c r="EI42" s="56">
        <v>0</v>
      </c>
      <c r="EJ42" s="56">
        <v>0</v>
      </c>
      <c r="EK42" s="56">
        <v>0</v>
      </c>
      <c r="EL42" s="56">
        <v>0</v>
      </c>
      <c r="EM42" s="56">
        <v>0</v>
      </c>
      <c r="EN42" s="56">
        <v>0</v>
      </c>
      <c r="EO42" s="56">
        <v>0</v>
      </c>
      <c r="EP42" s="56">
        <v>8481.6</v>
      </c>
      <c r="EQ42" s="56">
        <v>0</v>
      </c>
      <c r="ER42" s="56">
        <v>0</v>
      </c>
      <c r="ES42" s="56">
        <v>1710</v>
      </c>
      <c r="ET42" s="56">
        <v>0</v>
      </c>
      <c r="EU42" s="56">
        <v>0</v>
      </c>
      <c r="EV42" s="56">
        <v>0</v>
      </c>
      <c r="EW42" s="56">
        <v>0</v>
      </c>
      <c r="EX42" s="56">
        <v>0</v>
      </c>
      <c r="EY42" s="56">
        <v>0</v>
      </c>
      <c r="EZ42" s="56">
        <v>0</v>
      </c>
      <c r="FA42" s="56">
        <v>0</v>
      </c>
      <c r="FB42" s="56">
        <v>0</v>
      </c>
      <c r="FC42" s="58">
        <v>0</v>
      </c>
      <c r="FD42" s="56">
        <v>0</v>
      </c>
      <c r="FE42" s="56">
        <v>0</v>
      </c>
      <c r="FF42" s="56">
        <v>0</v>
      </c>
      <c r="FG42" s="56">
        <v>0</v>
      </c>
      <c r="FH42" s="56">
        <v>0</v>
      </c>
      <c r="FI42" s="56">
        <v>0</v>
      </c>
      <c r="FJ42" s="56">
        <v>0</v>
      </c>
      <c r="FK42" s="56">
        <v>0</v>
      </c>
      <c r="FL42" s="56">
        <v>0</v>
      </c>
      <c r="FM42" s="56">
        <v>0</v>
      </c>
      <c r="FN42" s="56">
        <v>0</v>
      </c>
      <c r="FO42" s="56">
        <v>0</v>
      </c>
      <c r="FP42" s="56">
        <v>0</v>
      </c>
      <c r="FQ42" s="56">
        <v>0</v>
      </c>
      <c r="FR42" s="56">
        <v>0</v>
      </c>
      <c r="FS42" s="58">
        <v>0</v>
      </c>
      <c r="FT42" s="56">
        <v>0</v>
      </c>
      <c r="FU42" s="56">
        <v>0</v>
      </c>
      <c r="FV42" s="56">
        <v>0</v>
      </c>
      <c r="FW42" s="56">
        <v>0</v>
      </c>
      <c r="FX42" s="56">
        <v>0</v>
      </c>
      <c r="FY42" s="56">
        <v>0</v>
      </c>
      <c r="FZ42" s="54" t="s">
        <v>1083</v>
      </c>
      <c r="GA42" s="54" t="s">
        <v>1084</v>
      </c>
      <c r="GB42" s="54" t="s">
        <v>1072</v>
      </c>
      <c r="GC42" s="54" t="s">
        <v>1073</v>
      </c>
      <c r="GD42" s="54" t="s">
        <v>1150</v>
      </c>
      <c r="GE42" s="54" t="s">
        <v>1075</v>
      </c>
      <c r="GF42" s="54" t="s">
        <v>1152</v>
      </c>
      <c r="GG42" s="55">
        <v>46205</v>
      </c>
      <c r="GH42" s="54"/>
      <c r="GI42" s="54"/>
      <c r="GJ42" s="54" t="s">
        <v>1076</v>
      </c>
      <c r="GK42" s="54" t="s">
        <v>1077</v>
      </c>
      <c r="GL42" s="54"/>
      <c r="GM42" s="54"/>
      <c r="GN42" s="54" t="s">
        <v>1078</v>
      </c>
      <c r="GO42" s="54" t="s">
        <v>1059</v>
      </c>
      <c r="GP42" s="54"/>
      <c r="GQ42" s="56">
        <v>0</v>
      </c>
      <c r="GR42" s="54" t="s">
        <v>1079</v>
      </c>
      <c r="GS42" s="54" t="s">
        <v>1101</v>
      </c>
    </row>
    <row r="43" spans="1:201" x14ac:dyDescent="0.25">
      <c r="A43" s="54" t="s">
        <v>1032</v>
      </c>
      <c r="B43" s="54" t="s">
        <v>1033</v>
      </c>
      <c r="C43" s="54" t="s">
        <v>1034</v>
      </c>
      <c r="D43" s="54" t="s">
        <v>1035</v>
      </c>
      <c r="E43" s="54" t="s">
        <v>1036</v>
      </c>
      <c r="F43" s="55">
        <v>46175</v>
      </c>
      <c r="G43" s="55">
        <v>46175</v>
      </c>
      <c r="H43" s="54" t="s">
        <v>1037</v>
      </c>
      <c r="I43" s="54" t="s">
        <v>1038</v>
      </c>
      <c r="J43" s="54" t="s">
        <v>1039</v>
      </c>
      <c r="K43" s="55"/>
      <c r="L43" s="54" t="s">
        <v>1040</v>
      </c>
      <c r="M43" s="54"/>
      <c r="N43" s="54" t="s">
        <v>1041</v>
      </c>
      <c r="O43" s="54" t="s">
        <v>1153</v>
      </c>
      <c r="P43" s="54" t="s">
        <v>631</v>
      </c>
      <c r="Q43" s="54" t="s">
        <v>632</v>
      </c>
      <c r="R43" s="54" t="s">
        <v>1043</v>
      </c>
      <c r="S43" s="56">
        <v>2272.1999999999998</v>
      </c>
      <c r="T43" s="56">
        <v>0</v>
      </c>
      <c r="U43" s="56">
        <v>2272.1999999999998</v>
      </c>
      <c r="V43" s="56">
        <v>0</v>
      </c>
      <c r="W43" s="56">
        <v>0</v>
      </c>
      <c r="X43" s="56">
        <v>0</v>
      </c>
      <c r="Y43" s="56">
        <v>0</v>
      </c>
      <c r="Z43" s="56">
        <v>420</v>
      </c>
      <c r="AA43" s="56">
        <v>0</v>
      </c>
      <c r="AB43" s="59">
        <v>420</v>
      </c>
      <c r="AC43" s="56">
        <v>0</v>
      </c>
      <c r="AD43" s="56">
        <v>0</v>
      </c>
      <c r="AE43" s="56">
        <v>0</v>
      </c>
      <c r="AF43" s="54" t="s">
        <v>1044</v>
      </c>
      <c r="AG43" s="57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 t="s">
        <v>1154</v>
      </c>
      <c r="AS43" s="54" t="s">
        <v>1094</v>
      </c>
      <c r="AT43" s="54" t="s">
        <v>1095</v>
      </c>
      <c r="AU43" s="54" t="s">
        <v>1048</v>
      </c>
      <c r="AV43" s="54"/>
      <c r="AW43" s="55">
        <v>46183</v>
      </c>
      <c r="AX43" s="55">
        <v>46175</v>
      </c>
      <c r="AY43" s="55">
        <v>46175</v>
      </c>
      <c r="AZ43" s="55"/>
      <c r="BA43" s="55">
        <v>46183</v>
      </c>
      <c r="BB43" s="56">
        <v>0</v>
      </c>
      <c r="BC43" s="56">
        <v>0</v>
      </c>
      <c r="BD43" s="56">
        <v>0</v>
      </c>
      <c r="BE43" s="56">
        <v>0</v>
      </c>
      <c r="BF43" s="56">
        <v>0</v>
      </c>
      <c r="BG43" s="56">
        <v>0</v>
      </c>
      <c r="BH43" s="56">
        <v>0</v>
      </c>
      <c r="BI43" s="56">
        <v>0</v>
      </c>
      <c r="BJ43" s="56">
        <v>0</v>
      </c>
      <c r="BK43" s="56">
        <v>0</v>
      </c>
      <c r="BL43" s="56">
        <v>0</v>
      </c>
      <c r="BM43" s="56">
        <v>0</v>
      </c>
      <c r="BN43" s="56">
        <v>0</v>
      </c>
      <c r="BO43" s="56">
        <v>0</v>
      </c>
      <c r="BP43" s="54" t="s">
        <v>1049</v>
      </c>
      <c r="BQ43" s="54" t="s">
        <v>1050</v>
      </c>
      <c r="BR43" s="54" t="s">
        <v>1049</v>
      </c>
      <c r="BS43" s="54" t="s">
        <v>1050</v>
      </c>
      <c r="BT43" s="54" t="s">
        <v>1155</v>
      </c>
      <c r="BU43" s="54" t="s">
        <v>1043</v>
      </c>
      <c r="BV43" s="58">
        <v>0</v>
      </c>
      <c r="BW43" s="54" t="s">
        <v>1052</v>
      </c>
      <c r="BX43" s="54" t="s">
        <v>1053</v>
      </c>
      <c r="BY43" s="54" t="s">
        <v>1054</v>
      </c>
      <c r="BZ43" s="54" t="s">
        <v>1055</v>
      </c>
      <c r="CA43" s="55"/>
      <c r="CB43" s="54" t="s">
        <v>1056</v>
      </c>
      <c r="CC43" s="54" t="s">
        <v>1057</v>
      </c>
      <c r="CD43" s="54" t="s">
        <v>1058</v>
      </c>
      <c r="CE43" s="54" t="s">
        <v>1059</v>
      </c>
      <c r="CF43" s="54" t="s">
        <v>1060</v>
      </c>
      <c r="CG43" s="54" t="s">
        <v>1061</v>
      </c>
      <c r="CH43" s="54" t="s">
        <v>1062</v>
      </c>
      <c r="CI43" s="54" t="s">
        <v>1063</v>
      </c>
      <c r="CJ43" s="54" t="s">
        <v>1064</v>
      </c>
      <c r="CK43" s="54" t="s">
        <v>1065</v>
      </c>
      <c r="CL43" s="54" t="s">
        <v>1066</v>
      </c>
      <c r="CM43" s="54" t="s">
        <v>1067</v>
      </c>
      <c r="CN43" s="54" t="s">
        <v>1156</v>
      </c>
      <c r="CO43" s="54" t="s">
        <v>1157</v>
      </c>
      <c r="CP43" s="56">
        <v>0</v>
      </c>
      <c r="CQ43" s="56">
        <v>0</v>
      </c>
      <c r="CR43" s="56">
        <v>0</v>
      </c>
      <c r="CS43" s="56">
        <v>0</v>
      </c>
      <c r="CT43" s="56">
        <v>0</v>
      </c>
      <c r="CU43" s="56">
        <v>0</v>
      </c>
      <c r="CV43" s="56">
        <v>0</v>
      </c>
      <c r="CW43" s="56">
        <v>0</v>
      </c>
      <c r="CX43" s="56">
        <v>0</v>
      </c>
      <c r="CY43" s="56">
        <v>0</v>
      </c>
      <c r="CZ43" s="56">
        <v>0</v>
      </c>
      <c r="DA43" s="56">
        <v>0</v>
      </c>
      <c r="DB43" s="56">
        <v>0</v>
      </c>
      <c r="DC43" s="56">
        <v>0</v>
      </c>
      <c r="DD43" s="56">
        <v>0</v>
      </c>
      <c r="DE43" s="56">
        <v>0</v>
      </c>
      <c r="DF43" s="56">
        <v>0</v>
      </c>
      <c r="DG43" s="56">
        <v>0</v>
      </c>
      <c r="DH43" s="56">
        <v>0</v>
      </c>
      <c r="DI43" s="56">
        <v>0</v>
      </c>
      <c r="DJ43" s="56">
        <v>0</v>
      </c>
      <c r="DK43" s="56">
        <v>0</v>
      </c>
      <c r="DL43" s="56">
        <v>0</v>
      </c>
      <c r="DM43" s="56">
        <v>0</v>
      </c>
      <c r="DN43" s="56">
        <v>0</v>
      </c>
      <c r="DO43" s="56">
        <v>0</v>
      </c>
      <c r="DP43" s="56">
        <v>0</v>
      </c>
      <c r="DQ43" s="56">
        <v>0</v>
      </c>
      <c r="DR43" s="56">
        <v>0</v>
      </c>
      <c r="DS43" s="56">
        <v>0</v>
      </c>
      <c r="DT43" s="56">
        <v>0</v>
      </c>
      <c r="DU43" s="56">
        <v>0</v>
      </c>
      <c r="DV43" s="56">
        <v>0</v>
      </c>
      <c r="DW43" s="56">
        <v>0</v>
      </c>
      <c r="DX43" s="56">
        <v>0</v>
      </c>
      <c r="DY43" s="56">
        <v>0</v>
      </c>
      <c r="DZ43" s="56">
        <v>0</v>
      </c>
      <c r="EA43" s="56">
        <v>0</v>
      </c>
      <c r="EB43" s="56">
        <v>0</v>
      </c>
      <c r="EC43" s="56">
        <v>272.66000000000003</v>
      </c>
      <c r="ED43" s="56">
        <v>0</v>
      </c>
      <c r="EE43" s="56">
        <v>0</v>
      </c>
      <c r="EF43" s="56">
        <v>0</v>
      </c>
      <c r="EG43" s="56">
        <v>0</v>
      </c>
      <c r="EH43" s="56">
        <v>272.66000000000003</v>
      </c>
      <c r="EI43" s="56">
        <v>0</v>
      </c>
      <c r="EJ43" s="56">
        <v>0</v>
      </c>
      <c r="EK43" s="56">
        <v>0</v>
      </c>
      <c r="EL43" s="56">
        <v>0</v>
      </c>
      <c r="EM43" s="56">
        <v>0</v>
      </c>
      <c r="EN43" s="56">
        <v>0</v>
      </c>
      <c r="EO43" s="56">
        <v>0</v>
      </c>
      <c r="EP43" s="56">
        <v>2272.1999999999998</v>
      </c>
      <c r="EQ43" s="56">
        <v>0</v>
      </c>
      <c r="ER43" s="56">
        <v>0</v>
      </c>
      <c r="ES43" s="56">
        <v>420</v>
      </c>
      <c r="ET43" s="56">
        <v>0</v>
      </c>
      <c r="EU43" s="56">
        <v>0</v>
      </c>
      <c r="EV43" s="56">
        <v>0</v>
      </c>
      <c r="EW43" s="56">
        <v>0</v>
      </c>
      <c r="EX43" s="56">
        <v>0</v>
      </c>
      <c r="EY43" s="56">
        <v>0</v>
      </c>
      <c r="EZ43" s="56">
        <v>0</v>
      </c>
      <c r="FA43" s="56">
        <v>0</v>
      </c>
      <c r="FB43" s="56">
        <v>0</v>
      </c>
      <c r="FC43" s="58">
        <v>0</v>
      </c>
      <c r="FD43" s="56">
        <v>0</v>
      </c>
      <c r="FE43" s="56">
        <v>0</v>
      </c>
      <c r="FF43" s="56">
        <v>0</v>
      </c>
      <c r="FG43" s="56">
        <v>0</v>
      </c>
      <c r="FH43" s="56">
        <v>0</v>
      </c>
      <c r="FI43" s="56">
        <v>0</v>
      </c>
      <c r="FJ43" s="56">
        <v>0</v>
      </c>
      <c r="FK43" s="56">
        <v>0</v>
      </c>
      <c r="FL43" s="56">
        <v>0</v>
      </c>
      <c r="FM43" s="56">
        <v>0</v>
      </c>
      <c r="FN43" s="56">
        <v>0</v>
      </c>
      <c r="FO43" s="56">
        <v>0</v>
      </c>
      <c r="FP43" s="56">
        <v>0</v>
      </c>
      <c r="FQ43" s="56">
        <v>0</v>
      </c>
      <c r="FR43" s="56">
        <v>0</v>
      </c>
      <c r="FS43" s="58">
        <v>0</v>
      </c>
      <c r="FT43" s="56">
        <v>0</v>
      </c>
      <c r="FU43" s="56">
        <v>0</v>
      </c>
      <c r="FV43" s="56">
        <v>0</v>
      </c>
      <c r="FW43" s="56">
        <v>0</v>
      </c>
      <c r="FX43" s="56">
        <v>0</v>
      </c>
      <c r="FY43" s="56">
        <v>0</v>
      </c>
      <c r="FZ43" s="54" t="s">
        <v>1097</v>
      </c>
      <c r="GA43" s="54" t="s">
        <v>1098</v>
      </c>
      <c r="GB43" s="54" t="s">
        <v>1072</v>
      </c>
      <c r="GC43" s="54" t="s">
        <v>1073</v>
      </c>
      <c r="GD43" s="54"/>
      <c r="GE43" s="54"/>
      <c r="GF43" s="54" t="s">
        <v>1158</v>
      </c>
      <c r="GG43" s="55">
        <v>46205</v>
      </c>
      <c r="GH43" s="54"/>
      <c r="GI43" s="54"/>
      <c r="GJ43" s="54" t="s">
        <v>1076</v>
      </c>
      <c r="GK43" s="54" t="s">
        <v>1077</v>
      </c>
      <c r="GL43" s="54"/>
      <c r="GM43" s="54"/>
      <c r="GN43" s="54" t="s">
        <v>1078</v>
      </c>
      <c r="GO43" s="54" t="s">
        <v>1059</v>
      </c>
      <c r="GP43" s="54"/>
      <c r="GQ43" s="56">
        <v>0</v>
      </c>
      <c r="GR43" s="54" t="s">
        <v>1079</v>
      </c>
      <c r="GS43" s="54" t="s">
        <v>1101</v>
      </c>
    </row>
    <row r="44" spans="1:201" x14ac:dyDescent="0.25">
      <c r="A44" s="54" t="s">
        <v>1032</v>
      </c>
      <c r="B44" s="54" t="s">
        <v>1033</v>
      </c>
      <c r="C44" s="54" t="s">
        <v>1034</v>
      </c>
      <c r="D44" s="54" t="s">
        <v>1035</v>
      </c>
      <c r="E44" s="54" t="s">
        <v>1036</v>
      </c>
      <c r="F44" s="55">
        <v>46175</v>
      </c>
      <c r="G44" s="55">
        <v>46175</v>
      </c>
      <c r="H44" s="54" t="s">
        <v>1037</v>
      </c>
      <c r="I44" s="54" t="s">
        <v>1038</v>
      </c>
      <c r="J44" s="54" t="s">
        <v>1039</v>
      </c>
      <c r="K44" s="55"/>
      <c r="L44" s="54" t="s">
        <v>1040</v>
      </c>
      <c r="M44" s="54"/>
      <c r="N44" s="54" t="s">
        <v>1041</v>
      </c>
      <c r="O44" s="54" t="s">
        <v>1159</v>
      </c>
      <c r="P44" s="54" t="s">
        <v>204</v>
      </c>
      <c r="Q44" s="54" t="s">
        <v>38</v>
      </c>
      <c r="R44" s="54" t="s">
        <v>1043</v>
      </c>
      <c r="S44" s="56">
        <v>5664</v>
      </c>
      <c r="T44" s="56">
        <v>5664</v>
      </c>
      <c r="U44" s="56">
        <v>0</v>
      </c>
      <c r="V44" s="56">
        <v>0</v>
      </c>
      <c r="W44" s="56">
        <v>0</v>
      </c>
      <c r="X44" s="56">
        <v>0</v>
      </c>
      <c r="Y44" s="56">
        <v>0</v>
      </c>
      <c r="Z44" s="56">
        <v>600</v>
      </c>
      <c r="AA44" s="56">
        <v>600</v>
      </c>
      <c r="AB44" s="59">
        <v>0</v>
      </c>
      <c r="AC44" s="56">
        <v>0</v>
      </c>
      <c r="AD44" s="56">
        <v>0</v>
      </c>
      <c r="AE44" s="56">
        <v>0</v>
      </c>
      <c r="AF44" s="54" t="s">
        <v>1044</v>
      </c>
      <c r="AG44" s="57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 t="s">
        <v>1045</v>
      </c>
      <c r="AS44" s="54" t="s">
        <v>1081</v>
      </c>
      <c r="AT44" s="54" t="s">
        <v>1082</v>
      </c>
      <c r="AU44" s="54" t="s">
        <v>1048</v>
      </c>
      <c r="AV44" s="54"/>
      <c r="AW44" s="55">
        <v>46189</v>
      </c>
      <c r="AX44" s="55">
        <v>46175</v>
      </c>
      <c r="AY44" s="55">
        <v>46175</v>
      </c>
      <c r="AZ44" s="55"/>
      <c r="BA44" s="55">
        <v>46189</v>
      </c>
      <c r="BB44" s="56">
        <v>0</v>
      </c>
      <c r="BC44" s="56">
        <v>0</v>
      </c>
      <c r="BD44" s="56">
        <v>0</v>
      </c>
      <c r="BE44" s="56">
        <v>0</v>
      </c>
      <c r="BF44" s="56">
        <v>0</v>
      </c>
      <c r="BG44" s="56">
        <v>0</v>
      </c>
      <c r="BH44" s="56">
        <v>0</v>
      </c>
      <c r="BI44" s="56">
        <v>0</v>
      </c>
      <c r="BJ44" s="56">
        <v>0</v>
      </c>
      <c r="BK44" s="56">
        <v>0</v>
      </c>
      <c r="BL44" s="56">
        <v>0</v>
      </c>
      <c r="BM44" s="56">
        <v>0</v>
      </c>
      <c r="BN44" s="56">
        <v>0</v>
      </c>
      <c r="BO44" s="56">
        <v>0</v>
      </c>
      <c r="BP44" s="54" t="s">
        <v>1049</v>
      </c>
      <c r="BQ44" s="54" t="s">
        <v>1050</v>
      </c>
      <c r="BR44" s="54" t="s">
        <v>1049</v>
      </c>
      <c r="BS44" s="54" t="s">
        <v>1050</v>
      </c>
      <c r="BT44" s="54" t="s">
        <v>1051</v>
      </c>
      <c r="BU44" s="54" t="s">
        <v>1043</v>
      </c>
      <c r="BV44" s="58">
        <v>600</v>
      </c>
      <c r="BW44" s="54" t="s">
        <v>1052</v>
      </c>
      <c r="BX44" s="54" t="s">
        <v>1053</v>
      </c>
      <c r="BY44" s="54" t="s">
        <v>1054</v>
      </c>
      <c r="BZ44" s="54" t="s">
        <v>1055</v>
      </c>
      <c r="CA44" s="55"/>
      <c r="CB44" s="54" t="s">
        <v>1056</v>
      </c>
      <c r="CC44" s="54" t="s">
        <v>1057</v>
      </c>
      <c r="CD44" s="54" t="s">
        <v>1058</v>
      </c>
      <c r="CE44" s="54" t="s">
        <v>1059</v>
      </c>
      <c r="CF44" s="54" t="s">
        <v>1060</v>
      </c>
      <c r="CG44" s="54" t="s">
        <v>1061</v>
      </c>
      <c r="CH44" s="54" t="s">
        <v>1062</v>
      </c>
      <c r="CI44" s="54" t="s">
        <v>1063</v>
      </c>
      <c r="CJ44" s="54" t="s">
        <v>1064</v>
      </c>
      <c r="CK44" s="54" t="s">
        <v>1065</v>
      </c>
      <c r="CL44" s="54" t="s">
        <v>1066</v>
      </c>
      <c r="CM44" s="54" t="s">
        <v>1067</v>
      </c>
      <c r="CN44" s="54" t="s">
        <v>1068</v>
      </c>
      <c r="CO44" s="54" t="s">
        <v>1069</v>
      </c>
      <c r="CP44" s="56">
        <v>0</v>
      </c>
      <c r="CQ44" s="56">
        <v>0</v>
      </c>
      <c r="CR44" s="56">
        <v>0</v>
      </c>
      <c r="CS44" s="56">
        <v>0</v>
      </c>
      <c r="CT44" s="56">
        <v>0</v>
      </c>
      <c r="CU44" s="56">
        <v>0</v>
      </c>
      <c r="CV44" s="56">
        <v>0</v>
      </c>
      <c r="CW44" s="56">
        <v>0</v>
      </c>
      <c r="CX44" s="56">
        <v>0</v>
      </c>
      <c r="CY44" s="56">
        <v>0</v>
      </c>
      <c r="CZ44" s="56">
        <v>0</v>
      </c>
      <c r="DA44" s="56">
        <v>0</v>
      </c>
      <c r="DB44" s="56">
        <v>0</v>
      </c>
      <c r="DC44" s="56">
        <v>0</v>
      </c>
      <c r="DD44" s="56">
        <v>0</v>
      </c>
      <c r="DE44" s="56">
        <v>0</v>
      </c>
      <c r="DF44" s="56">
        <v>0</v>
      </c>
      <c r="DG44" s="56">
        <v>0</v>
      </c>
      <c r="DH44" s="56">
        <v>0</v>
      </c>
      <c r="DI44" s="56">
        <v>0</v>
      </c>
      <c r="DJ44" s="56">
        <v>0</v>
      </c>
      <c r="DK44" s="56">
        <v>0</v>
      </c>
      <c r="DL44" s="56">
        <v>0</v>
      </c>
      <c r="DM44" s="56">
        <v>0</v>
      </c>
      <c r="DN44" s="56">
        <v>0</v>
      </c>
      <c r="DO44" s="56">
        <v>0</v>
      </c>
      <c r="DP44" s="56">
        <v>0</v>
      </c>
      <c r="DQ44" s="56">
        <v>0</v>
      </c>
      <c r="DR44" s="56">
        <v>0</v>
      </c>
      <c r="DS44" s="56">
        <v>0</v>
      </c>
      <c r="DT44" s="56">
        <v>0</v>
      </c>
      <c r="DU44" s="56">
        <v>0</v>
      </c>
      <c r="DV44" s="56">
        <v>0</v>
      </c>
      <c r="DW44" s="56">
        <v>0</v>
      </c>
      <c r="DX44" s="56">
        <v>0</v>
      </c>
      <c r="DY44" s="56">
        <v>0</v>
      </c>
      <c r="DZ44" s="56">
        <v>0</v>
      </c>
      <c r="EA44" s="56">
        <v>0</v>
      </c>
      <c r="EB44" s="56">
        <v>0</v>
      </c>
      <c r="EC44" s="56">
        <v>0</v>
      </c>
      <c r="ED44" s="56">
        <v>0</v>
      </c>
      <c r="EE44" s="56">
        <v>0</v>
      </c>
      <c r="EF44" s="56">
        <v>0</v>
      </c>
      <c r="EG44" s="56">
        <v>0</v>
      </c>
      <c r="EH44" s="56">
        <v>679.68</v>
      </c>
      <c r="EI44" s="56">
        <v>0</v>
      </c>
      <c r="EJ44" s="56">
        <v>0</v>
      </c>
      <c r="EK44" s="56">
        <v>0</v>
      </c>
      <c r="EL44" s="56">
        <v>0</v>
      </c>
      <c r="EM44" s="56">
        <v>0</v>
      </c>
      <c r="EN44" s="56">
        <v>0</v>
      </c>
      <c r="EO44" s="56">
        <v>0</v>
      </c>
      <c r="EP44" s="56">
        <v>0</v>
      </c>
      <c r="EQ44" s="56">
        <v>0</v>
      </c>
      <c r="ER44" s="56">
        <v>0</v>
      </c>
      <c r="ES44" s="56">
        <v>0</v>
      </c>
      <c r="ET44" s="56">
        <v>0</v>
      </c>
      <c r="EU44" s="56">
        <v>0</v>
      </c>
      <c r="EV44" s="56">
        <v>0</v>
      </c>
      <c r="EW44" s="56">
        <v>0</v>
      </c>
      <c r="EX44" s="56">
        <v>0</v>
      </c>
      <c r="EY44" s="56">
        <v>0</v>
      </c>
      <c r="EZ44" s="56">
        <v>0</v>
      </c>
      <c r="FA44" s="56">
        <v>0</v>
      </c>
      <c r="FB44" s="56">
        <v>0</v>
      </c>
      <c r="FC44" s="58">
        <v>0</v>
      </c>
      <c r="FD44" s="56">
        <v>0</v>
      </c>
      <c r="FE44" s="56">
        <v>0</v>
      </c>
      <c r="FF44" s="56">
        <v>0</v>
      </c>
      <c r="FG44" s="56">
        <v>0</v>
      </c>
      <c r="FH44" s="56">
        <v>0</v>
      </c>
      <c r="FI44" s="56">
        <v>0</v>
      </c>
      <c r="FJ44" s="56">
        <v>0</v>
      </c>
      <c r="FK44" s="56">
        <v>0</v>
      </c>
      <c r="FL44" s="56">
        <v>0</v>
      </c>
      <c r="FM44" s="56">
        <v>0</v>
      </c>
      <c r="FN44" s="56">
        <v>0</v>
      </c>
      <c r="FO44" s="56">
        <v>0</v>
      </c>
      <c r="FP44" s="56">
        <v>0</v>
      </c>
      <c r="FQ44" s="56">
        <v>0</v>
      </c>
      <c r="FR44" s="56">
        <v>0</v>
      </c>
      <c r="FS44" s="58">
        <v>0</v>
      </c>
      <c r="FT44" s="56">
        <v>0</v>
      </c>
      <c r="FU44" s="56">
        <v>0</v>
      </c>
      <c r="FV44" s="56">
        <v>0</v>
      </c>
      <c r="FW44" s="56">
        <v>0</v>
      </c>
      <c r="FX44" s="56">
        <v>0</v>
      </c>
      <c r="FY44" s="56">
        <v>0</v>
      </c>
      <c r="FZ44" s="54" t="s">
        <v>1083</v>
      </c>
      <c r="GA44" s="54" t="s">
        <v>1084</v>
      </c>
      <c r="GB44" s="54" t="s">
        <v>1072</v>
      </c>
      <c r="GC44" s="54" t="s">
        <v>1073</v>
      </c>
      <c r="GD44" s="54" t="s">
        <v>1160</v>
      </c>
      <c r="GE44" s="54" t="s">
        <v>1075</v>
      </c>
      <c r="GF44" s="54"/>
      <c r="GG44" s="55"/>
      <c r="GH44" s="54"/>
      <c r="GI44" s="54"/>
      <c r="GJ44" s="54" t="s">
        <v>1076</v>
      </c>
      <c r="GK44" s="54" t="s">
        <v>1077</v>
      </c>
      <c r="GL44" s="54"/>
      <c r="GM44" s="54"/>
      <c r="GN44" s="54" t="s">
        <v>1078</v>
      </c>
      <c r="GO44" s="54" t="s">
        <v>1059</v>
      </c>
      <c r="GP44" s="54"/>
      <c r="GQ44" s="56">
        <v>0</v>
      </c>
      <c r="GR44" s="54" t="s">
        <v>1079</v>
      </c>
      <c r="GS44" s="54"/>
    </row>
    <row r="45" spans="1:201" x14ac:dyDescent="0.25">
      <c r="A45" s="54" t="s">
        <v>1032</v>
      </c>
      <c r="B45" s="54" t="s">
        <v>1033</v>
      </c>
      <c r="C45" s="54" t="s">
        <v>1034</v>
      </c>
      <c r="D45" s="54" t="s">
        <v>1035</v>
      </c>
      <c r="E45" s="54" t="s">
        <v>1036</v>
      </c>
      <c r="F45" s="55">
        <v>46175</v>
      </c>
      <c r="G45" s="55">
        <v>46175</v>
      </c>
      <c r="H45" s="54" t="s">
        <v>1037</v>
      </c>
      <c r="I45" s="54" t="s">
        <v>1038</v>
      </c>
      <c r="J45" s="54" t="s">
        <v>1039</v>
      </c>
      <c r="K45" s="55"/>
      <c r="L45" s="54" t="s">
        <v>1040</v>
      </c>
      <c r="M45" s="54"/>
      <c r="N45" s="54" t="s">
        <v>1041</v>
      </c>
      <c r="O45" s="54" t="s">
        <v>1161</v>
      </c>
      <c r="P45" s="54" t="s">
        <v>203</v>
      </c>
      <c r="Q45" s="54" t="s">
        <v>37</v>
      </c>
      <c r="R45" s="54" t="s">
        <v>1043</v>
      </c>
      <c r="S45" s="56">
        <v>27416.400000000001</v>
      </c>
      <c r="T45" s="56">
        <v>27416.400000000001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4020</v>
      </c>
      <c r="AA45" s="56">
        <v>4020</v>
      </c>
      <c r="AB45" s="59">
        <v>0</v>
      </c>
      <c r="AC45" s="56">
        <v>0</v>
      </c>
      <c r="AD45" s="56">
        <v>0</v>
      </c>
      <c r="AE45" s="56">
        <v>0</v>
      </c>
      <c r="AF45" s="54" t="s">
        <v>1044</v>
      </c>
      <c r="AG45" s="57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 t="s">
        <v>1045</v>
      </c>
      <c r="AS45" s="54" t="s">
        <v>1081</v>
      </c>
      <c r="AT45" s="54" t="s">
        <v>1082</v>
      </c>
      <c r="AU45" s="54" t="s">
        <v>1048</v>
      </c>
      <c r="AV45" s="54"/>
      <c r="AW45" s="55">
        <v>46189</v>
      </c>
      <c r="AX45" s="55">
        <v>46175</v>
      </c>
      <c r="AY45" s="55">
        <v>46175</v>
      </c>
      <c r="AZ45" s="55">
        <v>46176</v>
      </c>
      <c r="BA45" s="55">
        <v>46189</v>
      </c>
      <c r="BB45" s="56">
        <v>0</v>
      </c>
      <c r="BC45" s="56">
        <v>0</v>
      </c>
      <c r="BD45" s="56">
        <v>0</v>
      </c>
      <c r="BE45" s="56">
        <v>0</v>
      </c>
      <c r="BF45" s="56">
        <v>0</v>
      </c>
      <c r="BG45" s="56">
        <v>0</v>
      </c>
      <c r="BH45" s="56">
        <v>0</v>
      </c>
      <c r="BI45" s="56">
        <v>0</v>
      </c>
      <c r="BJ45" s="56">
        <v>0</v>
      </c>
      <c r="BK45" s="56">
        <v>0</v>
      </c>
      <c r="BL45" s="56">
        <v>0</v>
      </c>
      <c r="BM45" s="56">
        <v>0</v>
      </c>
      <c r="BN45" s="56">
        <v>0</v>
      </c>
      <c r="BO45" s="56">
        <v>0</v>
      </c>
      <c r="BP45" s="54" t="s">
        <v>1049</v>
      </c>
      <c r="BQ45" s="54" t="s">
        <v>1050</v>
      </c>
      <c r="BR45" s="54" t="s">
        <v>1049</v>
      </c>
      <c r="BS45" s="54" t="s">
        <v>1050</v>
      </c>
      <c r="BT45" s="54" t="s">
        <v>1051</v>
      </c>
      <c r="BU45" s="54" t="s">
        <v>1043</v>
      </c>
      <c r="BV45" s="58">
        <v>4020</v>
      </c>
      <c r="BW45" s="54" t="s">
        <v>1052</v>
      </c>
      <c r="BX45" s="54" t="s">
        <v>1053</v>
      </c>
      <c r="BY45" s="54" t="s">
        <v>1054</v>
      </c>
      <c r="BZ45" s="54" t="s">
        <v>1055</v>
      </c>
      <c r="CA45" s="55"/>
      <c r="CB45" s="54" t="s">
        <v>1056</v>
      </c>
      <c r="CC45" s="54" t="s">
        <v>1057</v>
      </c>
      <c r="CD45" s="54" t="s">
        <v>1058</v>
      </c>
      <c r="CE45" s="54" t="s">
        <v>1059</v>
      </c>
      <c r="CF45" s="54" t="s">
        <v>1060</v>
      </c>
      <c r="CG45" s="54" t="s">
        <v>1061</v>
      </c>
      <c r="CH45" s="54" t="s">
        <v>1062</v>
      </c>
      <c r="CI45" s="54" t="s">
        <v>1063</v>
      </c>
      <c r="CJ45" s="54" t="s">
        <v>1064</v>
      </c>
      <c r="CK45" s="54" t="s">
        <v>1065</v>
      </c>
      <c r="CL45" s="54" t="s">
        <v>1066</v>
      </c>
      <c r="CM45" s="54" t="s">
        <v>1067</v>
      </c>
      <c r="CN45" s="54" t="s">
        <v>1068</v>
      </c>
      <c r="CO45" s="54" t="s">
        <v>1069</v>
      </c>
      <c r="CP45" s="56">
        <v>0</v>
      </c>
      <c r="CQ45" s="56">
        <v>0</v>
      </c>
      <c r="CR45" s="56">
        <v>0</v>
      </c>
      <c r="CS45" s="56">
        <v>0</v>
      </c>
      <c r="CT45" s="56">
        <v>0</v>
      </c>
      <c r="CU45" s="56">
        <v>0</v>
      </c>
      <c r="CV45" s="56">
        <v>0</v>
      </c>
      <c r="CW45" s="56">
        <v>0</v>
      </c>
      <c r="CX45" s="56">
        <v>0</v>
      </c>
      <c r="CY45" s="56">
        <v>0</v>
      </c>
      <c r="CZ45" s="56">
        <v>0</v>
      </c>
      <c r="DA45" s="56">
        <v>0</v>
      </c>
      <c r="DB45" s="56">
        <v>0</v>
      </c>
      <c r="DC45" s="56">
        <v>0</v>
      </c>
      <c r="DD45" s="56">
        <v>0</v>
      </c>
      <c r="DE45" s="56">
        <v>0</v>
      </c>
      <c r="DF45" s="56">
        <v>0</v>
      </c>
      <c r="DG45" s="56">
        <v>0</v>
      </c>
      <c r="DH45" s="56">
        <v>0</v>
      </c>
      <c r="DI45" s="56">
        <v>0</v>
      </c>
      <c r="DJ45" s="56">
        <v>0</v>
      </c>
      <c r="DK45" s="56">
        <v>0</v>
      </c>
      <c r="DL45" s="56">
        <v>0</v>
      </c>
      <c r="DM45" s="56">
        <v>0</v>
      </c>
      <c r="DN45" s="56">
        <v>0</v>
      </c>
      <c r="DO45" s="56">
        <v>0</v>
      </c>
      <c r="DP45" s="56">
        <v>0</v>
      </c>
      <c r="DQ45" s="56">
        <v>0</v>
      </c>
      <c r="DR45" s="56">
        <v>0</v>
      </c>
      <c r="DS45" s="56">
        <v>0</v>
      </c>
      <c r="DT45" s="56">
        <v>0</v>
      </c>
      <c r="DU45" s="56">
        <v>0</v>
      </c>
      <c r="DV45" s="56">
        <v>0</v>
      </c>
      <c r="DW45" s="56">
        <v>0</v>
      </c>
      <c r="DX45" s="56">
        <v>0</v>
      </c>
      <c r="DY45" s="56">
        <v>0</v>
      </c>
      <c r="DZ45" s="56">
        <v>0</v>
      </c>
      <c r="EA45" s="56">
        <v>0</v>
      </c>
      <c r="EB45" s="56">
        <v>0</v>
      </c>
      <c r="EC45" s="56">
        <v>0</v>
      </c>
      <c r="ED45" s="56">
        <v>0</v>
      </c>
      <c r="EE45" s="56">
        <v>0</v>
      </c>
      <c r="EF45" s="56">
        <v>0</v>
      </c>
      <c r="EG45" s="56">
        <v>0</v>
      </c>
      <c r="EH45" s="56">
        <v>3289.97</v>
      </c>
      <c r="EI45" s="56">
        <v>0</v>
      </c>
      <c r="EJ45" s="56">
        <v>0</v>
      </c>
      <c r="EK45" s="56">
        <v>0</v>
      </c>
      <c r="EL45" s="56">
        <v>0</v>
      </c>
      <c r="EM45" s="56">
        <v>0</v>
      </c>
      <c r="EN45" s="56">
        <v>0</v>
      </c>
      <c r="EO45" s="56">
        <v>0</v>
      </c>
      <c r="EP45" s="56">
        <v>0</v>
      </c>
      <c r="EQ45" s="56">
        <v>0</v>
      </c>
      <c r="ER45" s="56">
        <v>0</v>
      </c>
      <c r="ES45" s="56">
        <v>0</v>
      </c>
      <c r="ET45" s="56">
        <v>0</v>
      </c>
      <c r="EU45" s="56">
        <v>0</v>
      </c>
      <c r="EV45" s="56">
        <v>0</v>
      </c>
      <c r="EW45" s="56">
        <v>0</v>
      </c>
      <c r="EX45" s="56">
        <v>0</v>
      </c>
      <c r="EY45" s="56">
        <v>0</v>
      </c>
      <c r="EZ45" s="56">
        <v>0</v>
      </c>
      <c r="FA45" s="56">
        <v>0</v>
      </c>
      <c r="FB45" s="56">
        <v>0</v>
      </c>
      <c r="FC45" s="58">
        <v>0</v>
      </c>
      <c r="FD45" s="56">
        <v>0</v>
      </c>
      <c r="FE45" s="56">
        <v>0</v>
      </c>
      <c r="FF45" s="56">
        <v>0</v>
      </c>
      <c r="FG45" s="56">
        <v>0</v>
      </c>
      <c r="FH45" s="56">
        <v>0</v>
      </c>
      <c r="FI45" s="56">
        <v>0</v>
      </c>
      <c r="FJ45" s="56">
        <v>0</v>
      </c>
      <c r="FK45" s="56">
        <v>0</v>
      </c>
      <c r="FL45" s="56">
        <v>0</v>
      </c>
      <c r="FM45" s="56">
        <v>0</v>
      </c>
      <c r="FN45" s="56">
        <v>0</v>
      </c>
      <c r="FO45" s="56">
        <v>0</v>
      </c>
      <c r="FP45" s="56">
        <v>0</v>
      </c>
      <c r="FQ45" s="56">
        <v>0</v>
      </c>
      <c r="FR45" s="56">
        <v>0</v>
      </c>
      <c r="FS45" s="58">
        <v>0</v>
      </c>
      <c r="FT45" s="56">
        <v>0</v>
      </c>
      <c r="FU45" s="56">
        <v>0</v>
      </c>
      <c r="FV45" s="56">
        <v>0</v>
      </c>
      <c r="FW45" s="56">
        <v>0</v>
      </c>
      <c r="FX45" s="56">
        <v>0</v>
      </c>
      <c r="FY45" s="56">
        <v>0</v>
      </c>
      <c r="FZ45" s="54" t="s">
        <v>1083</v>
      </c>
      <c r="GA45" s="54" t="s">
        <v>1084</v>
      </c>
      <c r="GB45" s="54" t="s">
        <v>1072</v>
      </c>
      <c r="GC45" s="54" t="s">
        <v>1073</v>
      </c>
      <c r="GD45" s="54" t="s">
        <v>1160</v>
      </c>
      <c r="GE45" s="54" t="s">
        <v>1075</v>
      </c>
      <c r="GF45" s="54"/>
      <c r="GG45" s="55"/>
      <c r="GH45" s="54"/>
      <c r="GI45" s="54"/>
      <c r="GJ45" s="54" t="s">
        <v>1076</v>
      </c>
      <c r="GK45" s="54" t="s">
        <v>1077</v>
      </c>
      <c r="GL45" s="54"/>
      <c r="GM45" s="54"/>
      <c r="GN45" s="54" t="s">
        <v>1078</v>
      </c>
      <c r="GO45" s="54" t="s">
        <v>1059</v>
      </c>
      <c r="GP45" s="54"/>
      <c r="GQ45" s="56">
        <v>0</v>
      </c>
      <c r="GR45" s="54" t="s">
        <v>1079</v>
      </c>
      <c r="GS45" s="54"/>
    </row>
    <row r="46" spans="1:201" x14ac:dyDescent="0.25">
      <c r="A46" s="54" t="s">
        <v>1032</v>
      </c>
      <c r="B46" s="54" t="s">
        <v>1033</v>
      </c>
      <c r="C46" s="54" t="s">
        <v>1034</v>
      </c>
      <c r="D46" s="54" t="s">
        <v>1035</v>
      </c>
      <c r="E46" s="54" t="s">
        <v>1036</v>
      </c>
      <c r="F46" s="55">
        <v>46175</v>
      </c>
      <c r="G46" s="55">
        <v>46175</v>
      </c>
      <c r="H46" s="54" t="s">
        <v>1037</v>
      </c>
      <c r="I46" s="54" t="s">
        <v>1038</v>
      </c>
      <c r="J46" s="54" t="s">
        <v>1039</v>
      </c>
      <c r="K46" s="55"/>
      <c r="L46" s="54" t="s">
        <v>1040</v>
      </c>
      <c r="M46" s="54"/>
      <c r="N46" s="54" t="s">
        <v>1041</v>
      </c>
      <c r="O46" s="54" t="s">
        <v>1162</v>
      </c>
      <c r="P46" s="54" t="s">
        <v>513</v>
      </c>
      <c r="Q46" s="54" t="s">
        <v>526</v>
      </c>
      <c r="R46" s="54" t="s">
        <v>1043</v>
      </c>
      <c r="S46" s="56">
        <v>313.44</v>
      </c>
      <c r="T46" s="56">
        <v>313.44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48</v>
      </c>
      <c r="AA46" s="56">
        <v>48</v>
      </c>
      <c r="AB46" s="59">
        <v>0</v>
      </c>
      <c r="AC46" s="56">
        <v>0</v>
      </c>
      <c r="AD46" s="56">
        <v>0</v>
      </c>
      <c r="AE46" s="56">
        <v>0</v>
      </c>
      <c r="AF46" s="54" t="s">
        <v>1044</v>
      </c>
      <c r="AG46" s="57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 t="s">
        <v>1045</v>
      </c>
      <c r="AS46" s="54" t="s">
        <v>1103</v>
      </c>
      <c r="AT46" s="54" t="s">
        <v>1104</v>
      </c>
      <c r="AU46" s="54" t="s">
        <v>1048</v>
      </c>
      <c r="AV46" s="54"/>
      <c r="AW46" s="55">
        <v>46189</v>
      </c>
      <c r="AX46" s="55">
        <v>46175</v>
      </c>
      <c r="AY46" s="55">
        <v>46175</v>
      </c>
      <c r="AZ46" s="55">
        <v>46176</v>
      </c>
      <c r="BA46" s="55">
        <v>46189</v>
      </c>
      <c r="BB46" s="56">
        <v>0</v>
      </c>
      <c r="BC46" s="56">
        <v>0</v>
      </c>
      <c r="BD46" s="56">
        <v>0</v>
      </c>
      <c r="BE46" s="56">
        <v>0</v>
      </c>
      <c r="BF46" s="56">
        <v>0</v>
      </c>
      <c r="BG46" s="56">
        <v>0</v>
      </c>
      <c r="BH46" s="56">
        <v>0</v>
      </c>
      <c r="BI46" s="56">
        <v>0</v>
      </c>
      <c r="BJ46" s="56">
        <v>0</v>
      </c>
      <c r="BK46" s="56">
        <v>0</v>
      </c>
      <c r="BL46" s="56">
        <v>0</v>
      </c>
      <c r="BM46" s="56">
        <v>0</v>
      </c>
      <c r="BN46" s="56">
        <v>0</v>
      </c>
      <c r="BO46" s="56">
        <v>0</v>
      </c>
      <c r="BP46" s="54" t="s">
        <v>1049</v>
      </c>
      <c r="BQ46" s="54" t="s">
        <v>1050</v>
      </c>
      <c r="BR46" s="54" t="s">
        <v>1049</v>
      </c>
      <c r="BS46" s="54" t="s">
        <v>1050</v>
      </c>
      <c r="BT46" s="54" t="s">
        <v>1051</v>
      </c>
      <c r="BU46" s="54" t="s">
        <v>1043</v>
      </c>
      <c r="BV46" s="58">
        <v>48</v>
      </c>
      <c r="BW46" s="54" t="s">
        <v>1052</v>
      </c>
      <c r="BX46" s="54" t="s">
        <v>1053</v>
      </c>
      <c r="BY46" s="54" t="s">
        <v>1054</v>
      </c>
      <c r="BZ46" s="54" t="s">
        <v>1055</v>
      </c>
      <c r="CA46" s="55"/>
      <c r="CB46" s="54" t="s">
        <v>1056</v>
      </c>
      <c r="CC46" s="54" t="s">
        <v>1057</v>
      </c>
      <c r="CD46" s="54" t="s">
        <v>1058</v>
      </c>
      <c r="CE46" s="54" t="s">
        <v>1059</v>
      </c>
      <c r="CF46" s="54" t="s">
        <v>1060</v>
      </c>
      <c r="CG46" s="54" t="s">
        <v>1061</v>
      </c>
      <c r="CH46" s="54" t="s">
        <v>1062</v>
      </c>
      <c r="CI46" s="54" t="s">
        <v>1063</v>
      </c>
      <c r="CJ46" s="54" t="s">
        <v>1064</v>
      </c>
      <c r="CK46" s="54" t="s">
        <v>1065</v>
      </c>
      <c r="CL46" s="54" t="s">
        <v>1066</v>
      </c>
      <c r="CM46" s="54" t="s">
        <v>1067</v>
      </c>
      <c r="CN46" s="54" t="s">
        <v>1068</v>
      </c>
      <c r="CO46" s="54" t="s">
        <v>1069</v>
      </c>
      <c r="CP46" s="56">
        <v>0</v>
      </c>
      <c r="CQ46" s="56">
        <v>0</v>
      </c>
      <c r="CR46" s="56">
        <v>0</v>
      </c>
      <c r="CS46" s="56">
        <v>0</v>
      </c>
      <c r="CT46" s="56">
        <v>0</v>
      </c>
      <c r="CU46" s="56">
        <v>0</v>
      </c>
      <c r="CV46" s="56">
        <v>0</v>
      </c>
      <c r="CW46" s="56">
        <v>0</v>
      </c>
      <c r="CX46" s="56">
        <v>0</v>
      </c>
      <c r="CY46" s="56">
        <v>0</v>
      </c>
      <c r="CZ46" s="56">
        <v>0</v>
      </c>
      <c r="DA46" s="56">
        <v>0</v>
      </c>
      <c r="DB46" s="56">
        <v>0</v>
      </c>
      <c r="DC46" s="56">
        <v>0</v>
      </c>
      <c r="DD46" s="56">
        <v>0</v>
      </c>
      <c r="DE46" s="56">
        <v>0</v>
      </c>
      <c r="DF46" s="56">
        <v>0</v>
      </c>
      <c r="DG46" s="56">
        <v>0</v>
      </c>
      <c r="DH46" s="56">
        <v>0</v>
      </c>
      <c r="DI46" s="56">
        <v>0</v>
      </c>
      <c r="DJ46" s="56">
        <v>0</v>
      </c>
      <c r="DK46" s="56">
        <v>0</v>
      </c>
      <c r="DL46" s="56">
        <v>0</v>
      </c>
      <c r="DM46" s="56">
        <v>0</v>
      </c>
      <c r="DN46" s="56">
        <v>0</v>
      </c>
      <c r="DO46" s="56">
        <v>0</v>
      </c>
      <c r="DP46" s="56">
        <v>0</v>
      </c>
      <c r="DQ46" s="56">
        <v>0</v>
      </c>
      <c r="DR46" s="56">
        <v>0</v>
      </c>
      <c r="DS46" s="56">
        <v>0</v>
      </c>
      <c r="DT46" s="56">
        <v>0</v>
      </c>
      <c r="DU46" s="56">
        <v>0</v>
      </c>
      <c r="DV46" s="56">
        <v>0</v>
      </c>
      <c r="DW46" s="56">
        <v>0</v>
      </c>
      <c r="DX46" s="56">
        <v>0</v>
      </c>
      <c r="DY46" s="56">
        <v>0</v>
      </c>
      <c r="DZ46" s="56">
        <v>0</v>
      </c>
      <c r="EA46" s="56">
        <v>0</v>
      </c>
      <c r="EB46" s="56">
        <v>0</v>
      </c>
      <c r="EC46" s="56">
        <v>0</v>
      </c>
      <c r="ED46" s="56">
        <v>0</v>
      </c>
      <c r="EE46" s="56">
        <v>0</v>
      </c>
      <c r="EF46" s="56">
        <v>23.82</v>
      </c>
      <c r="EG46" s="56">
        <v>5.17</v>
      </c>
      <c r="EH46" s="56">
        <v>37.61</v>
      </c>
      <c r="EI46" s="56">
        <v>0</v>
      </c>
      <c r="EJ46" s="56">
        <v>0</v>
      </c>
      <c r="EK46" s="56">
        <v>0</v>
      </c>
      <c r="EL46" s="56">
        <v>0</v>
      </c>
      <c r="EM46" s="56">
        <v>0</v>
      </c>
      <c r="EN46" s="56">
        <v>0</v>
      </c>
      <c r="EO46" s="56">
        <v>0</v>
      </c>
      <c r="EP46" s="56">
        <v>0</v>
      </c>
      <c r="EQ46" s="56">
        <v>0</v>
      </c>
      <c r="ER46" s="56">
        <v>0</v>
      </c>
      <c r="ES46" s="56">
        <v>0</v>
      </c>
      <c r="ET46" s="56">
        <v>0</v>
      </c>
      <c r="EU46" s="56">
        <v>0</v>
      </c>
      <c r="EV46" s="56">
        <v>0</v>
      </c>
      <c r="EW46" s="56">
        <v>0</v>
      </c>
      <c r="EX46" s="56">
        <v>0</v>
      </c>
      <c r="EY46" s="56">
        <v>0</v>
      </c>
      <c r="EZ46" s="56">
        <v>0</v>
      </c>
      <c r="FA46" s="56">
        <v>0</v>
      </c>
      <c r="FB46" s="56">
        <v>0</v>
      </c>
      <c r="FC46" s="58">
        <v>0</v>
      </c>
      <c r="FD46" s="56">
        <v>0</v>
      </c>
      <c r="FE46" s="56">
        <v>0</v>
      </c>
      <c r="FF46" s="56">
        <v>0</v>
      </c>
      <c r="FG46" s="56">
        <v>0</v>
      </c>
      <c r="FH46" s="56">
        <v>0</v>
      </c>
      <c r="FI46" s="56">
        <v>0</v>
      </c>
      <c r="FJ46" s="56">
        <v>0</v>
      </c>
      <c r="FK46" s="56">
        <v>0</v>
      </c>
      <c r="FL46" s="56">
        <v>0</v>
      </c>
      <c r="FM46" s="56">
        <v>0</v>
      </c>
      <c r="FN46" s="56">
        <v>0</v>
      </c>
      <c r="FO46" s="56">
        <v>0</v>
      </c>
      <c r="FP46" s="56">
        <v>0</v>
      </c>
      <c r="FQ46" s="56">
        <v>0</v>
      </c>
      <c r="FR46" s="56">
        <v>0</v>
      </c>
      <c r="FS46" s="58">
        <v>0</v>
      </c>
      <c r="FT46" s="56">
        <v>0</v>
      </c>
      <c r="FU46" s="56">
        <v>0</v>
      </c>
      <c r="FV46" s="56">
        <v>0</v>
      </c>
      <c r="FW46" s="56">
        <v>0</v>
      </c>
      <c r="FX46" s="56">
        <v>0</v>
      </c>
      <c r="FY46" s="56">
        <v>0</v>
      </c>
      <c r="FZ46" s="54" t="s">
        <v>1105</v>
      </c>
      <c r="GA46" s="54" t="s">
        <v>1106</v>
      </c>
      <c r="GB46" s="54" t="s">
        <v>1072</v>
      </c>
      <c r="GC46" s="54" t="s">
        <v>1073</v>
      </c>
      <c r="GD46" s="54"/>
      <c r="GE46" s="54"/>
      <c r="GF46" s="54"/>
      <c r="GG46" s="55"/>
      <c r="GH46" s="54"/>
      <c r="GI46" s="54"/>
      <c r="GJ46" s="54" t="s">
        <v>1076</v>
      </c>
      <c r="GK46" s="54" t="s">
        <v>1077</v>
      </c>
      <c r="GL46" s="54"/>
      <c r="GM46" s="54"/>
      <c r="GN46" s="54" t="s">
        <v>1078</v>
      </c>
      <c r="GO46" s="54" t="s">
        <v>1059</v>
      </c>
      <c r="GP46" s="54"/>
      <c r="GQ46" s="56">
        <v>0</v>
      </c>
      <c r="GR46" s="54" t="s">
        <v>1079</v>
      </c>
      <c r="GS46" s="54"/>
    </row>
    <row r="47" spans="1:201" x14ac:dyDescent="0.25">
      <c r="A47" s="54" t="s">
        <v>1032</v>
      </c>
      <c r="B47" s="54" t="s">
        <v>1033</v>
      </c>
      <c r="C47" s="54" t="s">
        <v>1034</v>
      </c>
      <c r="D47" s="54" t="s">
        <v>1035</v>
      </c>
      <c r="E47" s="54" t="s">
        <v>1036</v>
      </c>
      <c r="F47" s="55">
        <v>46175</v>
      </c>
      <c r="G47" s="55">
        <v>46175</v>
      </c>
      <c r="H47" s="54" t="s">
        <v>1037</v>
      </c>
      <c r="I47" s="54" t="s">
        <v>1038</v>
      </c>
      <c r="J47" s="54" t="s">
        <v>1039</v>
      </c>
      <c r="K47" s="55"/>
      <c r="L47" s="54" t="s">
        <v>1040</v>
      </c>
      <c r="M47" s="54"/>
      <c r="N47" s="54" t="s">
        <v>1041</v>
      </c>
      <c r="O47" s="54" t="s">
        <v>1163</v>
      </c>
      <c r="P47" s="54" t="s">
        <v>205</v>
      </c>
      <c r="Q47" s="54" t="s">
        <v>39</v>
      </c>
      <c r="R47" s="54" t="s">
        <v>1043</v>
      </c>
      <c r="S47" s="56">
        <v>348</v>
      </c>
      <c r="T47" s="56">
        <v>348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120</v>
      </c>
      <c r="AA47" s="56">
        <v>120</v>
      </c>
      <c r="AB47" s="59">
        <v>0</v>
      </c>
      <c r="AC47" s="56">
        <v>0</v>
      </c>
      <c r="AD47" s="56">
        <v>0</v>
      </c>
      <c r="AE47" s="56">
        <v>0</v>
      </c>
      <c r="AF47" s="54" t="s">
        <v>1044</v>
      </c>
      <c r="AG47" s="57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 t="s">
        <v>1045</v>
      </c>
      <c r="AS47" s="54" t="s">
        <v>1046</v>
      </c>
      <c r="AT47" s="54" t="s">
        <v>1047</v>
      </c>
      <c r="AU47" s="54" t="s">
        <v>1048</v>
      </c>
      <c r="AV47" s="54"/>
      <c r="AW47" s="55">
        <v>46189</v>
      </c>
      <c r="AX47" s="55">
        <v>46175</v>
      </c>
      <c r="AY47" s="55">
        <v>46175</v>
      </c>
      <c r="AZ47" s="55">
        <v>46176</v>
      </c>
      <c r="BA47" s="55">
        <v>46189</v>
      </c>
      <c r="BB47" s="56">
        <v>0</v>
      </c>
      <c r="BC47" s="56">
        <v>0</v>
      </c>
      <c r="BD47" s="56">
        <v>0</v>
      </c>
      <c r="BE47" s="56">
        <v>0</v>
      </c>
      <c r="BF47" s="56">
        <v>0</v>
      </c>
      <c r="BG47" s="56">
        <v>0</v>
      </c>
      <c r="BH47" s="56">
        <v>0</v>
      </c>
      <c r="BI47" s="56">
        <v>0</v>
      </c>
      <c r="BJ47" s="56">
        <v>0</v>
      </c>
      <c r="BK47" s="56">
        <v>0</v>
      </c>
      <c r="BL47" s="56">
        <v>0</v>
      </c>
      <c r="BM47" s="56">
        <v>0</v>
      </c>
      <c r="BN47" s="56">
        <v>0</v>
      </c>
      <c r="BO47" s="56">
        <v>0</v>
      </c>
      <c r="BP47" s="54" t="s">
        <v>1049</v>
      </c>
      <c r="BQ47" s="54" t="s">
        <v>1050</v>
      </c>
      <c r="BR47" s="54" t="s">
        <v>1049</v>
      </c>
      <c r="BS47" s="54" t="s">
        <v>1050</v>
      </c>
      <c r="BT47" s="54" t="s">
        <v>1051</v>
      </c>
      <c r="BU47" s="54" t="s">
        <v>1043</v>
      </c>
      <c r="BV47" s="58">
        <v>120</v>
      </c>
      <c r="BW47" s="54" t="s">
        <v>1052</v>
      </c>
      <c r="BX47" s="54" t="s">
        <v>1053</v>
      </c>
      <c r="BY47" s="54" t="s">
        <v>1054</v>
      </c>
      <c r="BZ47" s="54" t="s">
        <v>1055</v>
      </c>
      <c r="CA47" s="55"/>
      <c r="CB47" s="54" t="s">
        <v>1056</v>
      </c>
      <c r="CC47" s="54" t="s">
        <v>1057</v>
      </c>
      <c r="CD47" s="54" t="s">
        <v>1058</v>
      </c>
      <c r="CE47" s="54" t="s">
        <v>1059</v>
      </c>
      <c r="CF47" s="54" t="s">
        <v>1060</v>
      </c>
      <c r="CG47" s="54" t="s">
        <v>1061</v>
      </c>
      <c r="CH47" s="54" t="s">
        <v>1062</v>
      </c>
      <c r="CI47" s="54" t="s">
        <v>1063</v>
      </c>
      <c r="CJ47" s="54" t="s">
        <v>1064</v>
      </c>
      <c r="CK47" s="54" t="s">
        <v>1065</v>
      </c>
      <c r="CL47" s="54" t="s">
        <v>1066</v>
      </c>
      <c r="CM47" s="54" t="s">
        <v>1067</v>
      </c>
      <c r="CN47" s="54" t="s">
        <v>1068</v>
      </c>
      <c r="CO47" s="54" t="s">
        <v>1069</v>
      </c>
      <c r="CP47" s="56">
        <v>0</v>
      </c>
      <c r="CQ47" s="56">
        <v>0</v>
      </c>
      <c r="CR47" s="56">
        <v>0</v>
      </c>
      <c r="CS47" s="56">
        <v>0</v>
      </c>
      <c r="CT47" s="56">
        <v>0</v>
      </c>
      <c r="CU47" s="56">
        <v>0</v>
      </c>
      <c r="CV47" s="56">
        <v>0</v>
      </c>
      <c r="CW47" s="56">
        <v>0</v>
      </c>
      <c r="CX47" s="56">
        <v>0</v>
      </c>
      <c r="CY47" s="56">
        <v>0</v>
      </c>
      <c r="CZ47" s="56">
        <v>0</v>
      </c>
      <c r="DA47" s="56">
        <v>0</v>
      </c>
      <c r="DB47" s="56">
        <v>0</v>
      </c>
      <c r="DC47" s="56">
        <v>0</v>
      </c>
      <c r="DD47" s="56">
        <v>0</v>
      </c>
      <c r="DE47" s="56">
        <v>0</v>
      </c>
      <c r="DF47" s="56">
        <v>0</v>
      </c>
      <c r="DG47" s="56">
        <v>0</v>
      </c>
      <c r="DH47" s="56">
        <v>0</v>
      </c>
      <c r="DI47" s="56">
        <v>0</v>
      </c>
      <c r="DJ47" s="56">
        <v>0</v>
      </c>
      <c r="DK47" s="56">
        <v>0</v>
      </c>
      <c r="DL47" s="56">
        <v>0</v>
      </c>
      <c r="DM47" s="56">
        <v>0</v>
      </c>
      <c r="DN47" s="56">
        <v>0</v>
      </c>
      <c r="DO47" s="56">
        <v>0</v>
      </c>
      <c r="DP47" s="56">
        <v>0</v>
      </c>
      <c r="DQ47" s="56">
        <v>0</v>
      </c>
      <c r="DR47" s="56">
        <v>0</v>
      </c>
      <c r="DS47" s="56">
        <v>0</v>
      </c>
      <c r="DT47" s="56">
        <v>0</v>
      </c>
      <c r="DU47" s="56">
        <v>0</v>
      </c>
      <c r="DV47" s="56">
        <v>0</v>
      </c>
      <c r="DW47" s="56">
        <v>0</v>
      </c>
      <c r="DX47" s="56">
        <v>0</v>
      </c>
      <c r="DY47" s="56">
        <v>0</v>
      </c>
      <c r="DZ47" s="56">
        <v>0</v>
      </c>
      <c r="EA47" s="56">
        <v>0</v>
      </c>
      <c r="EB47" s="56">
        <v>0</v>
      </c>
      <c r="EC47" s="56">
        <v>0</v>
      </c>
      <c r="ED47" s="56">
        <v>0</v>
      </c>
      <c r="EE47" s="56">
        <v>0</v>
      </c>
      <c r="EF47" s="56">
        <v>0</v>
      </c>
      <c r="EG47" s="56">
        <v>0</v>
      </c>
      <c r="EH47" s="56">
        <v>41.76</v>
      </c>
      <c r="EI47" s="56">
        <v>0</v>
      </c>
      <c r="EJ47" s="56">
        <v>0</v>
      </c>
      <c r="EK47" s="56">
        <v>0</v>
      </c>
      <c r="EL47" s="56">
        <v>0</v>
      </c>
      <c r="EM47" s="56">
        <v>0</v>
      </c>
      <c r="EN47" s="56">
        <v>0</v>
      </c>
      <c r="EO47" s="56">
        <v>0</v>
      </c>
      <c r="EP47" s="56">
        <v>0</v>
      </c>
      <c r="EQ47" s="56">
        <v>0</v>
      </c>
      <c r="ER47" s="56">
        <v>0</v>
      </c>
      <c r="ES47" s="56">
        <v>0</v>
      </c>
      <c r="ET47" s="56">
        <v>0</v>
      </c>
      <c r="EU47" s="56">
        <v>0</v>
      </c>
      <c r="EV47" s="56">
        <v>0</v>
      </c>
      <c r="EW47" s="56">
        <v>0</v>
      </c>
      <c r="EX47" s="56">
        <v>0</v>
      </c>
      <c r="EY47" s="56">
        <v>0</v>
      </c>
      <c r="EZ47" s="56">
        <v>0</v>
      </c>
      <c r="FA47" s="56">
        <v>0</v>
      </c>
      <c r="FB47" s="56">
        <v>0</v>
      </c>
      <c r="FC47" s="58">
        <v>0</v>
      </c>
      <c r="FD47" s="56">
        <v>0</v>
      </c>
      <c r="FE47" s="56">
        <v>0</v>
      </c>
      <c r="FF47" s="56">
        <v>0</v>
      </c>
      <c r="FG47" s="56">
        <v>0</v>
      </c>
      <c r="FH47" s="56">
        <v>0</v>
      </c>
      <c r="FI47" s="56">
        <v>0</v>
      </c>
      <c r="FJ47" s="56">
        <v>0</v>
      </c>
      <c r="FK47" s="56">
        <v>0</v>
      </c>
      <c r="FL47" s="56">
        <v>0</v>
      </c>
      <c r="FM47" s="56">
        <v>0</v>
      </c>
      <c r="FN47" s="56">
        <v>0</v>
      </c>
      <c r="FO47" s="56">
        <v>0</v>
      </c>
      <c r="FP47" s="56">
        <v>0</v>
      </c>
      <c r="FQ47" s="56">
        <v>0</v>
      </c>
      <c r="FR47" s="56">
        <v>0</v>
      </c>
      <c r="FS47" s="58">
        <v>0</v>
      </c>
      <c r="FT47" s="56">
        <v>0</v>
      </c>
      <c r="FU47" s="56">
        <v>0</v>
      </c>
      <c r="FV47" s="56">
        <v>0</v>
      </c>
      <c r="FW47" s="56">
        <v>0</v>
      </c>
      <c r="FX47" s="56">
        <v>0</v>
      </c>
      <c r="FY47" s="56">
        <v>0</v>
      </c>
      <c r="FZ47" s="54" t="s">
        <v>1070</v>
      </c>
      <c r="GA47" s="54" t="s">
        <v>1071</v>
      </c>
      <c r="GB47" s="54" t="s">
        <v>1072</v>
      </c>
      <c r="GC47" s="54" t="s">
        <v>1073</v>
      </c>
      <c r="GD47" s="54" t="s">
        <v>1164</v>
      </c>
      <c r="GE47" s="54" t="s">
        <v>1075</v>
      </c>
      <c r="GF47" s="54"/>
      <c r="GG47" s="55"/>
      <c r="GH47" s="54"/>
      <c r="GI47" s="54"/>
      <c r="GJ47" s="54" t="s">
        <v>1076</v>
      </c>
      <c r="GK47" s="54" t="s">
        <v>1077</v>
      </c>
      <c r="GL47" s="54"/>
      <c r="GM47" s="54"/>
      <c r="GN47" s="54" t="s">
        <v>1078</v>
      </c>
      <c r="GO47" s="54" t="s">
        <v>1059</v>
      </c>
      <c r="GP47" s="54"/>
      <c r="GQ47" s="56">
        <v>0</v>
      </c>
      <c r="GR47" s="54" t="s">
        <v>1079</v>
      </c>
      <c r="GS47" s="54"/>
    </row>
    <row r="48" spans="1:201" x14ac:dyDescent="0.25">
      <c r="A48" s="54" t="s">
        <v>1032</v>
      </c>
      <c r="B48" s="54" t="s">
        <v>1033</v>
      </c>
      <c r="C48" s="54" t="s">
        <v>1034</v>
      </c>
      <c r="D48" s="54" t="s">
        <v>1035</v>
      </c>
      <c r="E48" s="54" t="s">
        <v>1036</v>
      </c>
      <c r="F48" s="55">
        <v>46175</v>
      </c>
      <c r="G48" s="55">
        <v>46175</v>
      </c>
      <c r="H48" s="54" t="s">
        <v>1037</v>
      </c>
      <c r="I48" s="54" t="s">
        <v>1038</v>
      </c>
      <c r="J48" s="54" t="s">
        <v>1039</v>
      </c>
      <c r="K48" s="55"/>
      <c r="L48" s="54" t="s">
        <v>1040</v>
      </c>
      <c r="M48" s="54"/>
      <c r="N48" s="54" t="s">
        <v>1041</v>
      </c>
      <c r="O48" s="54" t="s">
        <v>1165</v>
      </c>
      <c r="P48" s="54" t="s">
        <v>206</v>
      </c>
      <c r="Q48" s="54" t="s">
        <v>776</v>
      </c>
      <c r="R48" s="54" t="s">
        <v>1043</v>
      </c>
      <c r="S48" s="56">
        <v>924</v>
      </c>
      <c r="T48" s="56">
        <v>924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240</v>
      </c>
      <c r="AA48" s="56">
        <v>240</v>
      </c>
      <c r="AB48" s="59">
        <v>0</v>
      </c>
      <c r="AC48" s="56">
        <v>0</v>
      </c>
      <c r="AD48" s="56">
        <v>0</v>
      </c>
      <c r="AE48" s="56">
        <v>0</v>
      </c>
      <c r="AF48" s="54" t="s">
        <v>1044</v>
      </c>
      <c r="AG48" s="57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 t="s">
        <v>1045</v>
      </c>
      <c r="AS48" s="54" t="s">
        <v>1081</v>
      </c>
      <c r="AT48" s="54" t="s">
        <v>1082</v>
      </c>
      <c r="AU48" s="54" t="s">
        <v>1048</v>
      </c>
      <c r="AV48" s="54"/>
      <c r="AW48" s="55">
        <v>46189</v>
      </c>
      <c r="AX48" s="55">
        <v>46175</v>
      </c>
      <c r="AY48" s="55">
        <v>46175</v>
      </c>
      <c r="AZ48" s="55">
        <v>46176</v>
      </c>
      <c r="BA48" s="55">
        <v>46189</v>
      </c>
      <c r="BB48" s="56">
        <v>0</v>
      </c>
      <c r="BC48" s="56">
        <v>0</v>
      </c>
      <c r="BD48" s="56">
        <v>0</v>
      </c>
      <c r="BE48" s="56">
        <v>0</v>
      </c>
      <c r="BF48" s="56">
        <v>0</v>
      </c>
      <c r="BG48" s="56">
        <v>0</v>
      </c>
      <c r="BH48" s="56">
        <v>0</v>
      </c>
      <c r="BI48" s="56">
        <v>0</v>
      </c>
      <c r="BJ48" s="56">
        <v>0</v>
      </c>
      <c r="BK48" s="56">
        <v>0</v>
      </c>
      <c r="BL48" s="56">
        <v>0</v>
      </c>
      <c r="BM48" s="56">
        <v>0</v>
      </c>
      <c r="BN48" s="56">
        <v>0</v>
      </c>
      <c r="BO48" s="56">
        <v>0</v>
      </c>
      <c r="BP48" s="54" t="s">
        <v>1049</v>
      </c>
      <c r="BQ48" s="54" t="s">
        <v>1050</v>
      </c>
      <c r="BR48" s="54" t="s">
        <v>1049</v>
      </c>
      <c r="BS48" s="54" t="s">
        <v>1050</v>
      </c>
      <c r="BT48" s="54" t="s">
        <v>1051</v>
      </c>
      <c r="BU48" s="54" t="s">
        <v>1043</v>
      </c>
      <c r="BV48" s="58">
        <v>240</v>
      </c>
      <c r="BW48" s="54" t="s">
        <v>1052</v>
      </c>
      <c r="BX48" s="54" t="s">
        <v>1053</v>
      </c>
      <c r="BY48" s="54" t="s">
        <v>1054</v>
      </c>
      <c r="BZ48" s="54" t="s">
        <v>1055</v>
      </c>
      <c r="CA48" s="55"/>
      <c r="CB48" s="54" t="s">
        <v>1056</v>
      </c>
      <c r="CC48" s="54" t="s">
        <v>1057</v>
      </c>
      <c r="CD48" s="54" t="s">
        <v>1058</v>
      </c>
      <c r="CE48" s="54" t="s">
        <v>1059</v>
      </c>
      <c r="CF48" s="54" t="s">
        <v>1060</v>
      </c>
      <c r="CG48" s="54" t="s">
        <v>1061</v>
      </c>
      <c r="CH48" s="54" t="s">
        <v>1062</v>
      </c>
      <c r="CI48" s="54" t="s">
        <v>1063</v>
      </c>
      <c r="CJ48" s="54" t="s">
        <v>1064</v>
      </c>
      <c r="CK48" s="54" t="s">
        <v>1065</v>
      </c>
      <c r="CL48" s="54" t="s">
        <v>1066</v>
      </c>
      <c r="CM48" s="54" t="s">
        <v>1067</v>
      </c>
      <c r="CN48" s="54" t="s">
        <v>1068</v>
      </c>
      <c r="CO48" s="54" t="s">
        <v>1069</v>
      </c>
      <c r="CP48" s="56">
        <v>0</v>
      </c>
      <c r="CQ48" s="56">
        <v>0</v>
      </c>
      <c r="CR48" s="56">
        <v>0</v>
      </c>
      <c r="CS48" s="56">
        <v>0</v>
      </c>
      <c r="CT48" s="56">
        <v>0</v>
      </c>
      <c r="CU48" s="56">
        <v>0</v>
      </c>
      <c r="CV48" s="56">
        <v>0</v>
      </c>
      <c r="CW48" s="56">
        <v>0</v>
      </c>
      <c r="CX48" s="56">
        <v>0</v>
      </c>
      <c r="CY48" s="56">
        <v>0</v>
      </c>
      <c r="CZ48" s="56">
        <v>0</v>
      </c>
      <c r="DA48" s="56">
        <v>0</v>
      </c>
      <c r="DB48" s="56">
        <v>0</v>
      </c>
      <c r="DC48" s="56">
        <v>0</v>
      </c>
      <c r="DD48" s="56">
        <v>0</v>
      </c>
      <c r="DE48" s="56">
        <v>0</v>
      </c>
      <c r="DF48" s="56">
        <v>0</v>
      </c>
      <c r="DG48" s="56">
        <v>0</v>
      </c>
      <c r="DH48" s="56">
        <v>0</v>
      </c>
      <c r="DI48" s="56">
        <v>0</v>
      </c>
      <c r="DJ48" s="56">
        <v>0</v>
      </c>
      <c r="DK48" s="56">
        <v>0</v>
      </c>
      <c r="DL48" s="56">
        <v>0</v>
      </c>
      <c r="DM48" s="56">
        <v>0</v>
      </c>
      <c r="DN48" s="56">
        <v>0</v>
      </c>
      <c r="DO48" s="56">
        <v>0</v>
      </c>
      <c r="DP48" s="56">
        <v>0</v>
      </c>
      <c r="DQ48" s="56">
        <v>0</v>
      </c>
      <c r="DR48" s="56">
        <v>0</v>
      </c>
      <c r="DS48" s="56">
        <v>0</v>
      </c>
      <c r="DT48" s="56">
        <v>0</v>
      </c>
      <c r="DU48" s="56">
        <v>0</v>
      </c>
      <c r="DV48" s="56">
        <v>0</v>
      </c>
      <c r="DW48" s="56">
        <v>0</v>
      </c>
      <c r="DX48" s="56">
        <v>0</v>
      </c>
      <c r="DY48" s="56">
        <v>0</v>
      </c>
      <c r="DZ48" s="56">
        <v>0</v>
      </c>
      <c r="EA48" s="56">
        <v>0</v>
      </c>
      <c r="EB48" s="56">
        <v>0</v>
      </c>
      <c r="EC48" s="56">
        <v>0</v>
      </c>
      <c r="ED48" s="56">
        <v>0</v>
      </c>
      <c r="EE48" s="56">
        <v>0</v>
      </c>
      <c r="EF48" s="56">
        <v>0</v>
      </c>
      <c r="EG48" s="56">
        <v>0</v>
      </c>
      <c r="EH48" s="56">
        <v>110.88</v>
      </c>
      <c r="EI48" s="56">
        <v>0</v>
      </c>
      <c r="EJ48" s="56">
        <v>0</v>
      </c>
      <c r="EK48" s="56">
        <v>0</v>
      </c>
      <c r="EL48" s="56">
        <v>0</v>
      </c>
      <c r="EM48" s="56">
        <v>0</v>
      </c>
      <c r="EN48" s="56">
        <v>0</v>
      </c>
      <c r="EO48" s="56">
        <v>0</v>
      </c>
      <c r="EP48" s="56">
        <v>0</v>
      </c>
      <c r="EQ48" s="56">
        <v>0</v>
      </c>
      <c r="ER48" s="56">
        <v>0</v>
      </c>
      <c r="ES48" s="56">
        <v>0</v>
      </c>
      <c r="ET48" s="56">
        <v>0</v>
      </c>
      <c r="EU48" s="56">
        <v>0</v>
      </c>
      <c r="EV48" s="56">
        <v>0</v>
      </c>
      <c r="EW48" s="56">
        <v>0</v>
      </c>
      <c r="EX48" s="56">
        <v>0</v>
      </c>
      <c r="EY48" s="56">
        <v>0</v>
      </c>
      <c r="EZ48" s="56">
        <v>0</v>
      </c>
      <c r="FA48" s="56">
        <v>0</v>
      </c>
      <c r="FB48" s="56">
        <v>0</v>
      </c>
      <c r="FC48" s="58">
        <v>0</v>
      </c>
      <c r="FD48" s="56">
        <v>0</v>
      </c>
      <c r="FE48" s="56">
        <v>0</v>
      </c>
      <c r="FF48" s="56">
        <v>0</v>
      </c>
      <c r="FG48" s="56">
        <v>0</v>
      </c>
      <c r="FH48" s="56">
        <v>0</v>
      </c>
      <c r="FI48" s="56">
        <v>0</v>
      </c>
      <c r="FJ48" s="56">
        <v>0</v>
      </c>
      <c r="FK48" s="56">
        <v>0</v>
      </c>
      <c r="FL48" s="56">
        <v>0</v>
      </c>
      <c r="FM48" s="56">
        <v>0</v>
      </c>
      <c r="FN48" s="56">
        <v>0</v>
      </c>
      <c r="FO48" s="56">
        <v>0</v>
      </c>
      <c r="FP48" s="56">
        <v>0</v>
      </c>
      <c r="FQ48" s="56">
        <v>0</v>
      </c>
      <c r="FR48" s="56">
        <v>0</v>
      </c>
      <c r="FS48" s="58">
        <v>0</v>
      </c>
      <c r="FT48" s="56">
        <v>0</v>
      </c>
      <c r="FU48" s="56">
        <v>0</v>
      </c>
      <c r="FV48" s="56">
        <v>0</v>
      </c>
      <c r="FW48" s="56">
        <v>0</v>
      </c>
      <c r="FX48" s="56">
        <v>0</v>
      </c>
      <c r="FY48" s="56">
        <v>0</v>
      </c>
      <c r="FZ48" s="54" t="s">
        <v>1083</v>
      </c>
      <c r="GA48" s="54" t="s">
        <v>1084</v>
      </c>
      <c r="GB48" s="54" t="s">
        <v>1072</v>
      </c>
      <c r="GC48" s="54" t="s">
        <v>1073</v>
      </c>
      <c r="GD48" s="54" t="s">
        <v>1166</v>
      </c>
      <c r="GE48" s="54" t="s">
        <v>1075</v>
      </c>
      <c r="GF48" s="54"/>
      <c r="GG48" s="55"/>
      <c r="GH48" s="54"/>
      <c r="GI48" s="54"/>
      <c r="GJ48" s="54" t="s">
        <v>1076</v>
      </c>
      <c r="GK48" s="54" t="s">
        <v>1077</v>
      </c>
      <c r="GL48" s="54"/>
      <c r="GM48" s="54"/>
      <c r="GN48" s="54" t="s">
        <v>1078</v>
      </c>
      <c r="GO48" s="54" t="s">
        <v>1059</v>
      </c>
      <c r="GP48" s="54"/>
      <c r="GQ48" s="56">
        <v>0</v>
      </c>
      <c r="GR48" s="54" t="s">
        <v>1079</v>
      </c>
      <c r="GS48" s="54"/>
    </row>
    <row r="49" spans="1:201" x14ac:dyDescent="0.25">
      <c r="A49" s="54" t="s">
        <v>1032</v>
      </c>
      <c r="B49" s="54" t="s">
        <v>1033</v>
      </c>
      <c r="C49" s="54" t="s">
        <v>1034</v>
      </c>
      <c r="D49" s="54" t="s">
        <v>1035</v>
      </c>
      <c r="E49" s="54" t="s">
        <v>1036</v>
      </c>
      <c r="F49" s="55">
        <v>46175</v>
      </c>
      <c r="G49" s="55">
        <v>46175</v>
      </c>
      <c r="H49" s="54" t="s">
        <v>1037</v>
      </c>
      <c r="I49" s="54" t="s">
        <v>1038</v>
      </c>
      <c r="J49" s="54" t="s">
        <v>1039</v>
      </c>
      <c r="K49" s="55"/>
      <c r="L49" s="54" t="s">
        <v>1040</v>
      </c>
      <c r="M49" s="54"/>
      <c r="N49" s="54" t="s">
        <v>1041</v>
      </c>
      <c r="O49" s="54" t="s">
        <v>1167</v>
      </c>
      <c r="P49" s="54" t="s">
        <v>338</v>
      </c>
      <c r="Q49" s="54" t="s">
        <v>40</v>
      </c>
      <c r="R49" s="54" t="s">
        <v>1043</v>
      </c>
      <c r="S49" s="56">
        <v>33240</v>
      </c>
      <c r="T49" s="56">
        <v>33240</v>
      </c>
      <c r="U49" s="56">
        <v>0</v>
      </c>
      <c r="V49" s="56">
        <v>0</v>
      </c>
      <c r="W49" s="56">
        <v>0</v>
      </c>
      <c r="X49" s="56">
        <v>0</v>
      </c>
      <c r="Y49" s="56">
        <v>0</v>
      </c>
      <c r="Z49" s="56">
        <v>12000</v>
      </c>
      <c r="AA49" s="56">
        <v>12000</v>
      </c>
      <c r="AB49" s="59">
        <v>0</v>
      </c>
      <c r="AC49" s="56">
        <v>0</v>
      </c>
      <c r="AD49" s="56">
        <v>0</v>
      </c>
      <c r="AE49" s="56">
        <v>0</v>
      </c>
      <c r="AF49" s="54" t="s">
        <v>1044</v>
      </c>
      <c r="AG49" s="57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 t="s">
        <v>1045</v>
      </c>
      <c r="AS49" s="54" t="s">
        <v>1046</v>
      </c>
      <c r="AT49" s="54" t="s">
        <v>1047</v>
      </c>
      <c r="AU49" s="54" t="s">
        <v>1048</v>
      </c>
      <c r="AV49" s="54"/>
      <c r="AW49" s="55">
        <v>46189</v>
      </c>
      <c r="AX49" s="55">
        <v>46175</v>
      </c>
      <c r="AY49" s="55">
        <v>46175</v>
      </c>
      <c r="AZ49" s="55">
        <v>46176</v>
      </c>
      <c r="BA49" s="55">
        <v>46189</v>
      </c>
      <c r="BB49" s="56">
        <v>0</v>
      </c>
      <c r="BC49" s="56">
        <v>0</v>
      </c>
      <c r="BD49" s="56">
        <v>0</v>
      </c>
      <c r="BE49" s="56">
        <v>0</v>
      </c>
      <c r="BF49" s="56">
        <v>0</v>
      </c>
      <c r="BG49" s="56">
        <v>0</v>
      </c>
      <c r="BH49" s="56">
        <v>0</v>
      </c>
      <c r="BI49" s="56">
        <v>0</v>
      </c>
      <c r="BJ49" s="56">
        <v>0</v>
      </c>
      <c r="BK49" s="56">
        <v>0</v>
      </c>
      <c r="BL49" s="56">
        <v>0</v>
      </c>
      <c r="BM49" s="56">
        <v>0</v>
      </c>
      <c r="BN49" s="56">
        <v>0</v>
      </c>
      <c r="BO49" s="56">
        <v>0</v>
      </c>
      <c r="BP49" s="54" t="s">
        <v>1049</v>
      </c>
      <c r="BQ49" s="54" t="s">
        <v>1050</v>
      </c>
      <c r="BR49" s="54" t="s">
        <v>1049</v>
      </c>
      <c r="BS49" s="54" t="s">
        <v>1050</v>
      </c>
      <c r="BT49" s="54" t="s">
        <v>1051</v>
      </c>
      <c r="BU49" s="54" t="s">
        <v>1043</v>
      </c>
      <c r="BV49" s="58">
        <v>12000</v>
      </c>
      <c r="BW49" s="54" t="s">
        <v>1052</v>
      </c>
      <c r="BX49" s="54" t="s">
        <v>1053</v>
      </c>
      <c r="BY49" s="54" t="s">
        <v>1054</v>
      </c>
      <c r="BZ49" s="54" t="s">
        <v>1055</v>
      </c>
      <c r="CA49" s="55"/>
      <c r="CB49" s="54" t="s">
        <v>1056</v>
      </c>
      <c r="CC49" s="54" t="s">
        <v>1057</v>
      </c>
      <c r="CD49" s="54" t="s">
        <v>1058</v>
      </c>
      <c r="CE49" s="54" t="s">
        <v>1059</v>
      </c>
      <c r="CF49" s="54" t="s">
        <v>1060</v>
      </c>
      <c r="CG49" s="54" t="s">
        <v>1061</v>
      </c>
      <c r="CH49" s="54" t="s">
        <v>1062</v>
      </c>
      <c r="CI49" s="54" t="s">
        <v>1063</v>
      </c>
      <c r="CJ49" s="54" t="s">
        <v>1064</v>
      </c>
      <c r="CK49" s="54" t="s">
        <v>1065</v>
      </c>
      <c r="CL49" s="54" t="s">
        <v>1066</v>
      </c>
      <c r="CM49" s="54" t="s">
        <v>1067</v>
      </c>
      <c r="CN49" s="54" t="s">
        <v>1068</v>
      </c>
      <c r="CO49" s="54" t="s">
        <v>1069</v>
      </c>
      <c r="CP49" s="56">
        <v>0</v>
      </c>
      <c r="CQ49" s="56">
        <v>0</v>
      </c>
      <c r="CR49" s="56">
        <v>0</v>
      </c>
      <c r="CS49" s="56">
        <v>0</v>
      </c>
      <c r="CT49" s="56">
        <v>0</v>
      </c>
      <c r="CU49" s="56">
        <v>0</v>
      </c>
      <c r="CV49" s="56">
        <v>0</v>
      </c>
      <c r="CW49" s="56">
        <v>0</v>
      </c>
      <c r="CX49" s="56">
        <v>0</v>
      </c>
      <c r="CY49" s="56">
        <v>0</v>
      </c>
      <c r="CZ49" s="56">
        <v>0</v>
      </c>
      <c r="DA49" s="56">
        <v>0</v>
      </c>
      <c r="DB49" s="56">
        <v>0</v>
      </c>
      <c r="DC49" s="56">
        <v>0</v>
      </c>
      <c r="DD49" s="56">
        <v>0</v>
      </c>
      <c r="DE49" s="56">
        <v>0</v>
      </c>
      <c r="DF49" s="56">
        <v>0</v>
      </c>
      <c r="DG49" s="56">
        <v>0</v>
      </c>
      <c r="DH49" s="56">
        <v>0</v>
      </c>
      <c r="DI49" s="56">
        <v>0</v>
      </c>
      <c r="DJ49" s="56">
        <v>0</v>
      </c>
      <c r="DK49" s="56">
        <v>0</v>
      </c>
      <c r="DL49" s="56">
        <v>0</v>
      </c>
      <c r="DM49" s="56">
        <v>0</v>
      </c>
      <c r="DN49" s="56">
        <v>0</v>
      </c>
      <c r="DO49" s="56">
        <v>0</v>
      </c>
      <c r="DP49" s="56">
        <v>0</v>
      </c>
      <c r="DQ49" s="56">
        <v>0</v>
      </c>
      <c r="DR49" s="56">
        <v>0</v>
      </c>
      <c r="DS49" s="56">
        <v>0</v>
      </c>
      <c r="DT49" s="56">
        <v>0</v>
      </c>
      <c r="DU49" s="56">
        <v>0</v>
      </c>
      <c r="DV49" s="56">
        <v>0</v>
      </c>
      <c r="DW49" s="56">
        <v>0</v>
      </c>
      <c r="DX49" s="56">
        <v>0</v>
      </c>
      <c r="DY49" s="56">
        <v>0</v>
      </c>
      <c r="DZ49" s="56">
        <v>0</v>
      </c>
      <c r="EA49" s="56">
        <v>0</v>
      </c>
      <c r="EB49" s="56">
        <v>0</v>
      </c>
      <c r="EC49" s="56">
        <v>0</v>
      </c>
      <c r="ED49" s="56">
        <v>0</v>
      </c>
      <c r="EE49" s="56">
        <v>0</v>
      </c>
      <c r="EF49" s="56">
        <v>0</v>
      </c>
      <c r="EG49" s="56">
        <v>0</v>
      </c>
      <c r="EH49" s="56">
        <v>3988.8</v>
      </c>
      <c r="EI49" s="56">
        <v>0</v>
      </c>
      <c r="EJ49" s="56">
        <v>0</v>
      </c>
      <c r="EK49" s="56">
        <v>0</v>
      </c>
      <c r="EL49" s="56">
        <v>0</v>
      </c>
      <c r="EM49" s="56">
        <v>0</v>
      </c>
      <c r="EN49" s="56">
        <v>0</v>
      </c>
      <c r="EO49" s="56">
        <v>0</v>
      </c>
      <c r="EP49" s="56">
        <v>0</v>
      </c>
      <c r="EQ49" s="56">
        <v>0</v>
      </c>
      <c r="ER49" s="56">
        <v>0</v>
      </c>
      <c r="ES49" s="56">
        <v>0</v>
      </c>
      <c r="ET49" s="56">
        <v>0</v>
      </c>
      <c r="EU49" s="56">
        <v>0</v>
      </c>
      <c r="EV49" s="56">
        <v>0</v>
      </c>
      <c r="EW49" s="56">
        <v>0</v>
      </c>
      <c r="EX49" s="56">
        <v>0</v>
      </c>
      <c r="EY49" s="56">
        <v>0</v>
      </c>
      <c r="EZ49" s="56">
        <v>0</v>
      </c>
      <c r="FA49" s="56">
        <v>0</v>
      </c>
      <c r="FB49" s="56">
        <v>0</v>
      </c>
      <c r="FC49" s="58">
        <v>0</v>
      </c>
      <c r="FD49" s="56">
        <v>0</v>
      </c>
      <c r="FE49" s="56">
        <v>0</v>
      </c>
      <c r="FF49" s="56">
        <v>0</v>
      </c>
      <c r="FG49" s="56">
        <v>0</v>
      </c>
      <c r="FH49" s="56">
        <v>0</v>
      </c>
      <c r="FI49" s="56">
        <v>0</v>
      </c>
      <c r="FJ49" s="56">
        <v>0</v>
      </c>
      <c r="FK49" s="56">
        <v>0</v>
      </c>
      <c r="FL49" s="56">
        <v>0</v>
      </c>
      <c r="FM49" s="56">
        <v>0</v>
      </c>
      <c r="FN49" s="56">
        <v>0</v>
      </c>
      <c r="FO49" s="56">
        <v>0</v>
      </c>
      <c r="FP49" s="56">
        <v>0</v>
      </c>
      <c r="FQ49" s="56">
        <v>0</v>
      </c>
      <c r="FR49" s="56">
        <v>0</v>
      </c>
      <c r="FS49" s="58">
        <v>0</v>
      </c>
      <c r="FT49" s="56">
        <v>0</v>
      </c>
      <c r="FU49" s="56">
        <v>0</v>
      </c>
      <c r="FV49" s="56">
        <v>0</v>
      </c>
      <c r="FW49" s="56">
        <v>0</v>
      </c>
      <c r="FX49" s="56">
        <v>0</v>
      </c>
      <c r="FY49" s="56">
        <v>0</v>
      </c>
      <c r="FZ49" s="54" t="s">
        <v>1083</v>
      </c>
      <c r="GA49" s="54" t="s">
        <v>1084</v>
      </c>
      <c r="GB49" s="54" t="s">
        <v>1072</v>
      </c>
      <c r="GC49" s="54" t="s">
        <v>1073</v>
      </c>
      <c r="GD49" s="54" t="s">
        <v>1166</v>
      </c>
      <c r="GE49" s="54" t="s">
        <v>1075</v>
      </c>
      <c r="GF49" s="54"/>
      <c r="GG49" s="55"/>
      <c r="GH49" s="54"/>
      <c r="GI49" s="54"/>
      <c r="GJ49" s="54" t="s">
        <v>1076</v>
      </c>
      <c r="GK49" s="54" t="s">
        <v>1077</v>
      </c>
      <c r="GL49" s="54"/>
      <c r="GM49" s="54"/>
      <c r="GN49" s="54" t="s">
        <v>1078</v>
      </c>
      <c r="GO49" s="54" t="s">
        <v>1059</v>
      </c>
      <c r="GP49" s="54"/>
      <c r="GQ49" s="56">
        <v>0</v>
      </c>
      <c r="GR49" s="54" t="s">
        <v>1079</v>
      </c>
      <c r="GS49" s="54"/>
    </row>
    <row r="50" spans="1:201" x14ac:dyDescent="0.25">
      <c r="A50" s="54" t="s">
        <v>1032</v>
      </c>
      <c r="B50" s="54" t="s">
        <v>1033</v>
      </c>
      <c r="C50" s="54" t="s">
        <v>1034</v>
      </c>
      <c r="D50" s="54" t="s">
        <v>1035</v>
      </c>
      <c r="E50" s="54" t="s">
        <v>1036</v>
      </c>
      <c r="F50" s="55">
        <v>46175</v>
      </c>
      <c r="G50" s="55">
        <v>46175</v>
      </c>
      <c r="H50" s="54" t="s">
        <v>1037</v>
      </c>
      <c r="I50" s="54" t="s">
        <v>1038</v>
      </c>
      <c r="J50" s="54" t="s">
        <v>1039</v>
      </c>
      <c r="K50" s="55"/>
      <c r="L50" s="54" t="s">
        <v>1040</v>
      </c>
      <c r="M50" s="54"/>
      <c r="N50" s="54" t="s">
        <v>1041</v>
      </c>
      <c r="O50" s="54" t="s">
        <v>1168</v>
      </c>
      <c r="P50" s="54" t="s">
        <v>676</v>
      </c>
      <c r="Q50" s="54" t="s">
        <v>677</v>
      </c>
      <c r="R50" s="54" t="s">
        <v>1043</v>
      </c>
      <c r="S50" s="56">
        <v>597</v>
      </c>
      <c r="T50" s="56">
        <v>0</v>
      </c>
      <c r="U50" s="56">
        <v>597</v>
      </c>
      <c r="V50" s="56">
        <v>0</v>
      </c>
      <c r="W50" s="56">
        <v>0</v>
      </c>
      <c r="X50" s="56">
        <v>0</v>
      </c>
      <c r="Y50" s="56">
        <v>0</v>
      </c>
      <c r="Z50" s="56">
        <v>60</v>
      </c>
      <c r="AA50" s="56">
        <v>0</v>
      </c>
      <c r="AB50" s="59">
        <v>60</v>
      </c>
      <c r="AC50" s="56">
        <v>0</v>
      </c>
      <c r="AD50" s="56">
        <v>0</v>
      </c>
      <c r="AE50" s="56">
        <v>0</v>
      </c>
      <c r="AF50" s="54" t="s">
        <v>1044</v>
      </c>
      <c r="AG50" s="57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 t="s">
        <v>1045</v>
      </c>
      <c r="AS50" s="54" t="s">
        <v>1081</v>
      </c>
      <c r="AT50" s="54" t="s">
        <v>1082</v>
      </c>
      <c r="AU50" s="54" t="s">
        <v>1048</v>
      </c>
      <c r="AV50" s="54"/>
      <c r="AW50" s="55">
        <v>46189</v>
      </c>
      <c r="AX50" s="55">
        <v>46175</v>
      </c>
      <c r="AY50" s="55">
        <v>46175</v>
      </c>
      <c r="AZ50" s="55"/>
      <c r="BA50" s="55">
        <v>46189</v>
      </c>
      <c r="BB50" s="56">
        <v>0</v>
      </c>
      <c r="BC50" s="56">
        <v>0</v>
      </c>
      <c r="BD50" s="56">
        <v>0</v>
      </c>
      <c r="BE50" s="56">
        <v>0</v>
      </c>
      <c r="BF50" s="56">
        <v>0</v>
      </c>
      <c r="BG50" s="56">
        <v>0</v>
      </c>
      <c r="BH50" s="56">
        <v>0</v>
      </c>
      <c r="BI50" s="56">
        <v>0</v>
      </c>
      <c r="BJ50" s="56">
        <v>0</v>
      </c>
      <c r="BK50" s="56">
        <v>0</v>
      </c>
      <c r="BL50" s="56">
        <v>0</v>
      </c>
      <c r="BM50" s="56">
        <v>0</v>
      </c>
      <c r="BN50" s="56">
        <v>0</v>
      </c>
      <c r="BO50" s="56">
        <v>0</v>
      </c>
      <c r="BP50" s="54" t="s">
        <v>1049</v>
      </c>
      <c r="BQ50" s="54" t="s">
        <v>1050</v>
      </c>
      <c r="BR50" s="54" t="s">
        <v>1049</v>
      </c>
      <c r="BS50" s="54" t="s">
        <v>1050</v>
      </c>
      <c r="BT50" s="54" t="s">
        <v>1051</v>
      </c>
      <c r="BU50" s="54" t="s">
        <v>1043</v>
      </c>
      <c r="BV50" s="58">
        <v>0</v>
      </c>
      <c r="BW50" s="54" t="s">
        <v>1052</v>
      </c>
      <c r="BX50" s="54" t="s">
        <v>1053</v>
      </c>
      <c r="BY50" s="54" t="s">
        <v>1054</v>
      </c>
      <c r="BZ50" s="54" t="s">
        <v>1055</v>
      </c>
      <c r="CA50" s="55"/>
      <c r="CB50" s="54" t="s">
        <v>1056</v>
      </c>
      <c r="CC50" s="54" t="s">
        <v>1057</v>
      </c>
      <c r="CD50" s="54" t="s">
        <v>1058</v>
      </c>
      <c r="CE50" s="54" t="s">
        <v>1059</v>
      </c>
      <c r="CF50" s="54" t="s">
        <v>1060</v>
      </c>
      <c r="CG50" s="54" t="s">
        <v>1061</v>
      </c>
      <c r="CH50" s="54" t="s">
        <v>1062</v>
      </c>
      <c r="CI50" s="54" t="s">
        <v>1063</v>
      </c>
      <c r="CJ50" s="54" t="s">
        <v>1064</v>
      </c>
      <c r="CK50" s="54" t="s">
        <v>1065</v>
      </c>
      <c r="CL50" s="54" t="s">
        <v>1066</v>
      </c>
      <c r="CM50" s="54" t="s">
        <v>1067</v>
      </c>
      <c r="CN50" s="54" t="s">
        <v>1068</v>
      </c>
      <c r="CO50" s="54" t="s">
        <v>1069</v>
      </c>
      <c r="CP50" s="56">
        <v>0</v>
      </c>
      <c r="CQ50" s="56">
        <v>0</v>
      </c>
      <c r="CR50" s="56">
        <v>0</v>
      </c>
      <c r="CS50" s="56">
        <v>0</v>
      </c>
      <c r="CT50" s="56">
        <v>0</v>
      </c>
      <c r="CU50" s="56">
        <v>0</v>
      </c>
      <c r="CV50" s="56">
        <v>0</v>
      </c>
      <c r="CW50" s="56">
        <v>0</v>
      </c>
      <c r="CX50" s="56">
        <v>0</v>
      </c>
      <c r="CY50" s="56">
        <v>0</v>
      </c>
      <c r="CZ50" s="56">
        <v>0</v>
      </c>
      <c r="DA50" s="56">
        <v>0</v>
      </c>
      <c r="DB50" s="56">
        <v>0</v>
      </c>
      <c r="DC50" s="56">
        <v>0</v>
      </c>
      <c r="DD50" s="56">
        <v>0</v>
      </c>
      <c r="DE50" s="56">
        <v>0</v>
      </c>
      <c r="DF50" s="56">
        <v>0</v>
      </c>
      <c r="DG50" s="56">
        <v>0</v>
      </c>
      <c r="DH50" s="56">
        <v>0</v>
      </c>
      <c r="DI50" s="56">
        <v>0</v>
      </c>
      <c r="DJ50" s="56">
        <v>0</v>
      </c>
      <c r="DK50" s="56">
        <v>0</v>
      </c>
      <c r="DL50" s="56">
        <v>0</v>
      </c>
      <c r="DM50" s="56">
        <v>0</v>
      </c>
      <c r="DN50" s="56">
        <v>0</v>
      </c>
      <c r="DO50" s="56">
        <v>0</v>
      </c>
      <c r="DP50" s="56">
        <v>0</v>
      </c>
      <c r="DQ50" s="56">
        <v>0</v>
      </c>
      <c r="DR50" s="56">
        <v>0</v>
      </c>
      <c r="DS50" s="56">
        <v>0</v>
      </c>
      <c r="DT50" s="56">
        <v>0</v>
      </c>
      <c r="DU50" s="56">
        <v>0</v>
      </c>
      <c r="DV50" s="56">
        <v>0</v>
      </c>
      <c r="DW50" s="56">
        <v>0</v>
      </c>
      <c r="DX50" s="56">
        <v>0</v>
      </c>
      <c r="DY50" s="56">
        <v>0</v>
      </c>
      <c r="DZ50" s="56">
        <v>0</v>
      </c>
      <c r="EA50" s="56">
        <v>0</v>
      </c>
      <c r="EB50" s="56">
        <v>0</v>
      </c>
      <c r="EC50" s="56">
        <v>71.64</v>
      </c>
      <c r="ED50" s="56">
        <v>0</v>
      </c>
      <c r="EE50" s="56">
        <v>0</v>
      </c>
      <c r="EF50" s="56">
        <v>0</v>
      </c>
      <c r="EG50" s="56">
        <v>0</v>
      </c>
      <c r="EH50" s="56">
        <v>71.64</v>
      </c>
      <c r="EI50" s="56">
        <v>0</v>
      </c>
      <c r="EJ50" s="56">
        <v>0</v>
      </c>
      <c r="EK50" s="56">
        <v>0</v>
      </c>
      <c r="EL50" s="56">
        <v>0</v>
      </c>
      <c r="EM50" s="56">
        <v>0</v>
      </c>
      <c r="EN50" s="56">
        <v>0</v>
      </c>
      <c r="EO50" s="56">
        <v>0</v>
      </c>
      <c r="EP50" s="56">
        <v>597</v>
      </c>
      <c r="EQ50" s="56">
        <v>0</v>
      </c>
      <c r="ER50" s="56">
        <v>0</v>
      </c>
      <c r="ES50" s="56">
        <v>60</v>
      </c>
      <c r="ET50" s="56">
        <v>0</v>
      </c>
      <c r="EU50" s="56">
        <v>0</v>
      </c>
      <c r="EV50" s="56">
        <v>0</v>
      </c>
      <c r="EW50" s="56">
        <v>0</v>
      </c>
      <c r="EX50" s="56">
        <v>0</v>
      </c>
      <c r="EY50" s="56">
        <v>0</v>
      </c>
      <c r="EZ50" s="56">
        <v>0</v>
      </c>
      <c r="FA50" s="56">
        <v>0</v>
      </c>
      <c r="FB50" s="56">
        <v>0</v>
      </c>
      <c r="FC50" s="58">
        <v>0</v>
      </c>
      <c r="FD50" s="56">
        <v>0</v>
      </c>
      <c r="FE50" s="56">
        <v>0</v>
      </c>
      <c r="FF50" s="56">
        <v>0</v>
      </c>
      <c r="FG50" s="56">
        <v>0</v>
      </c>
      <c r="FH50" s="56">
        <v>0</v>
      </c>
      <c r="FI50" s="56">
        <v>0</v>
      </c>
      <c r="FJ50" s="56">
        <v>0</v>
      </c>
      <c r="FK50" s="56">
        <v>0</v>
      </c>
      <c r="FL50" s="56">
        <v>0</v>
      </c>
      <c r="FM50" s="56">
        <v>0</v>
      </c>
      <c r="FN50" s="56">
        <v>0</v>
      </c>
      <c r="FO50" s="56">
        <v>0</v>
      </c>
      <c r="FP50" s="56">
        <v>0</v>
      </c>
      <c r="FQ50" s="56">
        <v>0</v>
      </c>
      <c r="FR50" s="56">
        <v>0</v>
      </c>
      <c r="FS50" s="58">
        <v>0</v>
      </c>
      <c r="FT50" s="56">
        <v>0</v>
      </c>
      <c r="FU50" s="56">
        <v>0</v>
      </c>
      <c r="FV50" s="56">
        <v>0</v>
      </c>
      <c r="FW50" s="56">
        <v>0</v>
      </c>
      <c r="FX50" s="56">
        <v>0</v>
      </c>
      <c r="FY50" s="56">
        <v>0</v>
      </c>
      <c r="FZ50" s="54" t="s">
        <v>1083</v>
      </c>
      <c r="GA50" s="54" t="s">
        <v>1084</v>
      </c>
      <c r="GB50" s="54" t="s">
        <v>1072</v>
      </c>
      <c r="GC50" s="54" t="s">
        <v>1073</v>
      </c>
      <c r="GD50" s="54"/>
      <c r="GE50" s="54"/>
      <c r="GF50" s="54" t="s">
        <v>1169</v>
      </c>
      <c r="GG50" s="55">
        <v>46205</v>
      </c>
      <c r="GH50" s="54"/>
      <c r="GI50" s="54"/>
      <c r="GJ50" s="54" t="s">
        <v>1076</v>
      </c>
      <c r="GK50" s="54" t="s">
        <v>1077</v>
      </c>
      <c r="GL50" s="54"/>
      <c r="GM50" s="54"/>
      <c r="GN50" s="54" t="s">
        <v>1078</v>
      </c>
      <c r="GO50" s="54" t="s">
        <v>1059</v>
      </c>
      <c r="GP50" s="54"/>
      <c r="GQ50" s="56">
        <v>0</v>
      </c>
      <c r="GR50" s="54" t="s">
        <v>1079</v>
      </c>
      <c r="GS50" s="54" t="s">
        <v>1101</v>
      </c>
    </row>
    <row r="51" spans="1:201" x14ac:dyDescent="0.25">
      <c r="A51" s="54" t="s">
        <v>1032</v>
      </c>
      <c r="B51" s="54" t="s">
        <v>1033</v>
      </c>
      <c r="C51" s="54" t="s">
        <v>1034</v>
      </c>
      <c r="D51" s="54" t="s">
        <v>1035</v>
      </c>
      <c r="E51" s="54" t="s">
        <v>1036</v>
      </c>
      <c r="F51" s="55">
        <v>46175</v>
      </c>
      <c r="G51" s="55">
        <v>46175</v>
      </c>
      <c r="H51" s="54" t="s">
        <v>1037</v>
      </c>
      <c r="I51" s="54" t="s">
        <v>1038</v>
      </c>
      <c r="J51" s="54" t="s">
        <v>1039</v>
      </c>
      <c r="K51" s="55"/>
      <c r="L51" s="54" t="s">
        <v>1040</v>
      </c>
      <c r="M51" s="54"/>
      <c r="N51" s="54" t="s">
        <v>1041</v>
      </c>
      <c r="O51" s="54" t="s">
        <v>1170</v>
      </c>
      <c r="P51" s="54" t="s">
        <v>208</v>
      </c>
      <c r="Q51" s="54" t="s">
        <v>42</v>
      </c>
      <c r="R51" s="54" t="s">
        <v>1043</v>
      </c>
      <c r="S51" s="56">
        <v>561</v>
      </c>
      <c r="T51" s="56">
        <v>561</v>
      </c>
      <c r="U51" s="56">
        <v>0</v>
      </c>
      <c r="V51" s="56">
        <v>0</v>
      </c>
      <c r="W51" s="56">
        <v>0</v>
      </c>
      <c r="X51" s="56">
        <v>0</v>
      </c>
      <c r="Y51" s="56">
        <v>0</v>
      </c>
      <c r="Z51" s="56">
        <v>60</v>
      </c>
      <c r="AA51" s="56">
        <v>60</v>
      </c>
      <c r="AB51" s="59">
        <v>0</v>
      </c>
      <c r="AC51" s="56">
        <v>0</v>
      </c>
      <c r="AD51" s="56">
        <v>0</v>
      </c>
      <c r="AE51" s="56">
        <v>0</v>
      </c>
      <c r="AF51" s="54" t="s">
        <v>1044</v>
      </c>
      <c r="AG51" s="57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 t="s">
        <v>1045</v>
      </c>
      <c r="AS51" s="54" t="s">
        <v>1081</v>
      </c>
      <c r="AT51" s="54" t="s">
        <v>1082</v>
      </c>
      <c r="AU51" s="54" t="s">
        <v>1048</v>
      </c>
      <c r="AV51" s="54"/>
      <c r="AW51" s="55">
        <v>46189</v>
      </c>
      <c r="AX51" s="55">
        <v>46175</v>
      </c>
      <c r="AY51" s="55">
        <v>46175</v>
      </c>
      <c r="AZ51" s="55">
        <v>46176</v>
      </c>
      <c r="BA51" s="55">
        <v>46189</v>
      </c>
      <c r="BB51" s="56">
        <v>0</v>
      </c>
      <c r="BC51" s="56">
        <v>0</v>
      </c>
      <c r="BD51" s="56">
        <v>0</v>
      </c>
      <c r="BE51" s="56">
        <v>0</v>
      </c>
      <c r="BF51" s="56">
        <v>0</v>
      </c>
      <c r="BG51" s="56">
        <v>0</v>
      </c>
      <c r="BH51" s="56">
        <v>0</v>
      </c>
      <c r="BI51" s="56">
        <v>0</v>
      </c>
      <c r="BJ51" s="56">
        <v>0</v>
      </c>
      <c r="BK51" s="56">
        <v>0</v>
      </c>
      <c r="BL51" s="56">
        <v>0</v>
      </c>
      <c r="BM51" s="56">
        <v>0</v>
      </c>
      <c r="BN51" s="56">
        <v>0</v>
      </c>
      <c r="BO51" s="56">
        <v>0</v>
      </c>
      <c r="BP51" s="54" t="s">
        <v>1049</v>
      </c>
      <c r="BQ51" s="54" t="s">
        <v>1050</v>
      </c>
      <c r="BR51" s="54" t="s">
        <v>1049</v>
      </c>
      <c r="BS51" s="54" t="s">
        <v>1050</v>
      </c>
      <c r="BT51" s="54" t="s">
        <v>1051</v>
      </c>
      <c r="BU51" s="54" t="s">
        <v>1043</v>
      </c>
      <c r="BV51" s="58">
        <v>60</v>
      </c>
      <c r="BW51" s="54" t="s">
        <v>1052</v>
      </c>
      <c r="BX51" s="54" t="s">
        <v>1053</v>
      </c>
      <c r="BY51" s="54" t="s">
        <v>1054</v>
      </c>
      <c r="BZ51" s="54" t="s">
        <v>1055</v>
      </c>
      <c r="CA51" s="55"/>
      <c r="CB51" s="54" t="s">
        <v>1056</v>
      </c>
      <c r="CC51" s="54" t="s">
        <v>1057</v>
      </c>
      <c r="CD51" s="54" t="s">
        <v>1058</v>
      </c>
      <c r="CE51" s="54" t="s">
        <v>1059</v>
      </c>
      <c r="CF51" s="54" t="s">
        <v>1060</v>
      </c>
      <c r="CG51" s="54" t="s">
        <v>1061</v>
      </c>
      <c r="CH51" s="54" t="s">
        <v>1062</v>
      </c>
      <c r="CI51" s="54" t="s">
        <v>1063</v>
      </c>
      <c r="CJ51" s="54" t="s">
        <v>1064</v>
      </c>
      <c r="CK51" s="54" t="s">
        <v>1065</v>
      </c>
      <c r="CL51" s="54" t="s">
        <v>1066</v>
      </c>
      <c r="CM51" s="54" t="s">
        <v>1067</v>
      </c>
      <c r="CN51" s="54" t="s">
        <v>1068</v>
      </c>
      <c r="CO51" s="54" t="s">
        <v>1069</v>
      </c>
      <c r="CP51" s="56">
        <v>0</v>
      </c>
      <c r="CQ51" s="56">
        <v>0</v>
      </c>
      <c r="CR51" s="56">
        <v>0</v>
      </c>
      <c r="CS51" s="56">
        <v>0</v>
      </c>
      <c r="CT51" s="56">
        <v>0</v>
      </c>
      <c r="CU51" s="56">
        <v>0</v>
      </c>
      <c r="CV51" s="56">
        <v>0</v>
      </c>
      <c r="CW51" s="56">
        <v>0</v>
      </c>
      <c r="CX51" s="56">
        <v>0</v>
      </c>
      <c r="CY51" s="56">
        <v>0</v>
      </c>
      <c r="CZ51" s="56">
        <v>0</v>
      </c>
      <c r="DA51" s="56">
        <v>0</v>
      </c>
      <c r="DB51" s="56">
        <v>0</v>
      </c>
      <c r="DC51" s="56">
        <v>0</v>
      </c>
      <c r="DD51" s="56">
        <v>0</v>
      </c>
      <c r="DE51" s="56">
        <v>0</v>
      </c>
      <c r="DF51" s="56">
        <v>0</v>
      </c>
      <c r="DG51" s="56">
        <v>0</v>
      </c>
      <c r="DH51" s="56">
        <v>0</v>
      </c>
      <c r="DI51" s="56">
        <v>0</v>
      </c>
      <c r="DJ51" s="56">
        <v>0</v>
      </c>
      <c r="DK51" s="56">
        <v>0</v>
      </c>
      <c r="DL51" s="56">
        <v>0</v>
      </c>
      <c r="DM51" s="56">
        <v>0</v>
      </c>
      <c r="DN51" s="56">
        <v>0</v>
      </c>
      <c r="DO51" s="56">
        <v>0</v>
      </c>
      <c r="DP51" s="56">
        <v>0</v>
      </c>
      <c r="DQ51" s="56">
        <v>0</v>
      </c>
      <c r="DR51" s="56">
        <v>0</v>
      </c>
      <c r="DS51" s="56">
        <v>0</v>
      </c>
      <c r="DT51" s="56">
        <v>0</v>
      </c>
      <c r="DU51" s="56">
        <v>0</v>
      </c>
      <c r="DV51" s="56">
        <v>0</v>
      </c>
      <c r="DW51" s="56">
        <v>0</v>
      </c>
      <c r="DX51" s="56">
        <v>0</v>
      </c>
      <c r="DY51" s="56">
        <v>0</v>
      </c>
      <c r="DZ51" s="56">
        <v>0</v>
      </c>
      <c r="EA51" s="56">
        <v>0</v>
      </c>
      <c r="EB51" s="56">
        <v>0</v>
      </c>
      <c r="EC51" s="56">
        <v>0</v>
      </c>
      <c r="ED51" s="56">
        <v>0</v>
      </c>
      <c r="EE51" s="56">
        <v>0</v>
      </c>
      <c r="EF51" s="56">
        <v>0</v>
      </c>
      <c r="EG51" s="56">
        <v>0</v>
      </c>
      <c r="EH51" s="56">
        <v>67.319999999999993</v>
      </c>
      <c r="EI51" s="56">
        <v>0</v>
      </c>
      <c r="EJ51" s="56">
        <v>0</v>
      </c>
      <c r="EK51" s="56">
        <v>0</v>
      </c>
      <c r="EL51" s="56">
        <v>0</v>
      </c>
      <c r="EM51" s="56">
        <v>0</v>
      </c>
      <c r="EN51" s="56">
        <v>0</v>
      </c>
      <c r="EO51" s="56">
        <v>0</v>
      </c>
      <c r="EP51" s="56">
        <v>0</v>
      </c>
      <c r="EQ51" s="56">
        <v>0</v>
      </c>
      <c r="ER51" s="56">
        <v>0</v>
      </c>
      <c r="ES51" s="56">
        <v>0</v>
      </c>
      <c r="ET51" s="56">
        <v>0</v>
      </c>
      <c r="EU51" s="56">
        <v>0</v>
      </c>
      <c r="EV51" s="56">
        <v>0</v>
      </c>
      <c r="EW51" s="56">
        <v>0</v>
      </c>
      <c r="EX51" s="56">
        <v>0</v>
      </c>
      <c r="EY51" s="56">
        <v>0</v>
      </c>
      <c r="EZ51" s="56">
        <v>0</v>
      </c>
      <c r="FA51" s="56">
        <v>0</v>
      </c>
      <c r="FB51" s="56">
        <v>0</v>
      </c>
      <c r="FC51" s="58">
        <v>0</v>
      </c>
      <c r="FD51" s="56">
        <v>0</v>
      </c>
      <c r="FE51" s="56">
        <v>0</v>
      </c>
      <c r="FF51" s="56">
        <v>0</v>
      </c>
      <c r="FG51" s="56">
        <v>0</v>
      </c>
      <c r="FH51" s="56">
        <v>0</v>
      </c>
      <c r="FI51" s="56">
        <v>0</v>
      </c>
      <c r="FJ51" s="56">
        <v>0</v>
      </c>
      <c r="FK51" s="56">
        <v>0</v>
      </c>
      <c r="FL51" s="56">
        <v>0</v>
      </c>
      <c r="FM51" s="56">
        <v>0</v>
      </c>
      <c r="FN51" s="56">
        <v>0</v>
      </c>
      <c r="FO51" s="56">
        <v>0</v>
      </c>
      <c r="FP51" s="56">
        <v>0</v>
      </c>
      <c r="FQ51" s="56">
        <v>0</v>
      </c>
      <c r="FR51" s="56">
        <v>0</v>
      </c>
      <c r="FS51" s="58">
        <v>0</v>
      </c>
      <c r="FT51" s="56">
        <v>0</v>
      </c>
      <c r="FU51" s="56">
        <v>0</v>
      </c>
      <c r="FV51" s="56">
        <v>0</v>
      </c>
      <c r="FW51" s="56">
        <v>0</v>
      </c>
      <c r="FX51" s="56">
        <v>0</v>
      </c>
      <c r="FY51" s="56">
        <v>0</v>
      </c>
      <c r="FZ51" s="54" t="s">
        <v>1083</v>
      </c>
      <c r="GA51" s="54" t="s">
        <v>1084</v>
      </c>
      <c r="GB51" s="54" t="s">
        <v>1072</v>
      </c>
      <c r="GC51" s="54" t="s">
        <v>1073</v>
      </c>
      <c r="GD51" s="54" t="s">
        <v>1171</v>
      </c>
      <c r="GE51" s="54" t="s">
        <v>1075</v>
      </c>
      <c r="GF51" s="54"/>
      <c r="GG51" s="55"/>
      <c r="GH51" s="54"/>
      <c r="GI51" s="54"/>
      <c r="GJ51" s="54" t="s">
        <v>1076</v>
      </c>
      <c r="GK51" s="54" t="s">
        <v>1077</v>
      </c>
      <c r="GL51" s="54"/>
      <c r="GM51" s="54"/>
      <c r="GN51" s="54" t="s">
        <v>1078</v>
      </c>
      <c r="GO51" s="54" t="s">
        <v>1059</v>
      </c>
      <c r="GP51" s="54"/>
      <c r="GQ51" s="56">
        <v>0</v>
      </c>
      <c r="GR51" s="54" t="s">
        <v>1079</v>
      </c>
      <c r="GS51" s="54"/>
    </row>
    <row r="52" spans="1:201" x14ac:dyDescent="0.25">
      <c r="A52" s="54" t="s">
        <v>1032</v>
      </c>
      <c r="B52" s="54" t="s">
        <v>1033</v>
      </c>
      <c r="C52" s="54" t="s">
        <v>1034</v>
      </c>
      <c r="D52" s="54" t="s">
        <v>1035</v>
      </c>
      <c r="E52" s="54" t="s">
        <v>1036</v>
      </c>
      <c r="F52" s="55">
        <v>46175</v>
      </c>
      <c r="G52" s="55">
        <v>46175</v>
      </c>
      <c r="H52" s="54" t="s">
        <v>1037</v>
      </c>
      <c r="I52" s="54" t="s">
        <v>1038</v>
      </c>
      <c r="J52" s="54" t="s">
        <v>1039</v>
      </c>
      <c r="K52" s="55"/>
      <c r="L52" s="54" t="s">
        <v>1040</v>
      </c>
      <c r="M52" s="54"/>
      <c r="N52" s="54" t="s">
        <v>1041</v>
      </c>
      <c r="O52" s="54" t="s">
        <v>1172</v>
      </c>
      <c r="P52" s="54" t="s">
        <v>207</v>
      </c>
      <c r="Q52" s="54" t="s">
        <v>41</v>
      </c>
      <c r="R52" s="54" t="s">
        <v>1043</v>
      </c>
      <c r="S52" s="56">
        <v>520.20000000000005</v>
      </c>
      <c r="T52" s="56">
        <v>520.20000000000005</v>
      </c>
      <c r="U52" s="56">
        <v>0</v>
      </c>
      <c r="V52" s="56">
        <v>0</v>
      </c>
      <c r="W52" s="56">
        <v>0</v>
      </c>
      <c r="X52" s="56">
        <v>0</v>
      </c>
      <c r="Y52" s="56">
        <v>0</v>
      </c>
      <c r="Z52" s="56">
        <v>60</v>
      </c>
      <c r="AA52" s="56">
        <v>60</v>
      </c>
      <c r="AB52" s="59">
        <v>0</v>
      </c>
      <c r="AC52" s="56">
        <v>0</v>
      </c>
      <c r="AD52" s="56">
        <v>0</v>
      </c>
      <c r="AE52" s="56">
        <v>0</v>
      </c>
      <c r="AF52" s="54" t="s">
        <v>1044</v>
      </c>
      <c r="AG52" s="57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 t="s">
        <v>1045</v>
      </c>
      <c r="AS52" s="54" t="s">
        <v>1081</v>
      </c>
      <c r="AT52" s="54" t="s">
        <v>1082</v>
      </c>
      <c r="AU52" s="54" t="s">
        <v>1048</v>
      </c>
      <c r="AV52" s="54"/>
      <c r="AW52" s="55">
        <v>46189</v>
      </c>
      <c r="AX52" s="55">
        <v>46175</v>
      </c>
      <c r="AY52" s="55">
        <v>46175</v>
      </c>
      <c r="AZ52" s="55">
        <v>46176</v>
      </c>
      <c r="BA52" s="55">
        <v>46189</v>
      </c>
      <c r="BB52" s="56">
        <v>0</v>
      </c>
      <c r="BC52" s="56">
        <v>0</v>
      </c>
      <c r="BD52" s="56">
        <v>0</v>
      </c>
      <c r="BE52" s="56">
        <v>0</v>
      </c>
      <c r="BF52" s="56">
        <v>0</v>
      </c>
      <c r="BG52" s="56">
        <v>0</v>
      </c>
      <c r="BH52" s="56">
        <v>0</v>
      </c>
      <c r="BI52" s="56">
        <v>0</v>
      </c>
      <c r="BJ52" s="56">
        <v>0</v>
      </c>
      <c r="BK52" s="56">
        <v>0</v>
      </c>
      <c r="BL52" s="56">
        <v>0</v>
      </c>
      <c r="BM52" s="56">
        <v>0</v>
      </c>
      <c r="BN52" s="56">
        <v>0</v>
      </c>
      <c r="BO52" s="56">
        <v>0</v>
      </c>
      <c r="BP52" s="54" t="s">
        <v>1049</v>
      </c>
      <c r="BQ52" s="54" t="s">
        <v>1050</v>
      </c>
      <c r="BR52" s="54" t="s">
        <v>1049</v>
      </c>
      <c r="BS52" s="54" t="s">
        <v>1050</v>
      </c>
      <c r="BT52" s="54" t="s">
        <v>1051</v>
      </c>
      <c r="BU52" s="54" t="s">
        <v>1043</v>
      </c>
      <c r="BV52" s="58">
        <v>60</v>
      </c>
      <c r="BW52" s="54" t="s">
        <v>1052</v>
      </c>
      <c r="BX52" s="54" t="s">
        <v>1053</v>
      </c>
      <c r="BY52" s="54" t="s">
        <v>1054</v>
      </c>
      <c r="BZ52" s="54" t="s">
        <v>1055</v>
      </c>
      <c r="CA52" s="55"/>
      <c r="CB52" s="54" t="s">
        <v>1056</v>
      </c>
      <c r="CC52" s="54" t="s">
        <v>1057</v>
      </c>
      <c r="CD52" s="54" t="s">
        <v>1058</v>
      </c>
      <c r="CE52" s="54" t="s">
        <v>1059</v>
      </c>
      <c r="CF52" s="54" t="s">
        <v>1060</v>
      </c>
      <c r="CG52" s="54" t="s">
        <v>1061</v>
      </c>
      <c r="CH52" s="54" t="s">
        <v>1062</v>
      </c>
      <c r="CI52" s="54" t="s">
        <v>1063</v>
      </c>
      <c r="CJ52" s="54" t="s">
        <v>1064</v>
      </c>
      <c r="CK52" s="54" t="s">
        <v>1065</v>
      </c>
      <c r="CL52" s="54" t="s">
        <v>1066</v>
      </c>
      <c r="CM52" s="54" t="s">
        <v>1067</v>
      </c>
      <c r="CN52" s="54" t="s">
        <v>1068</v>
      </c>
      <c r="CO52" s="54" t="s">
        <v>1069</v>
      </c>
      <c r="CP52" s="56">
        <v>0</v>
      </c>
      <c r="CQ52" s="56">
        <v>0</v>
      </c>
      <c r="CR52" s="56">
        <v>0</v>
      </c>
      <c r="CS52" s="56">
        <v>0</v>
      </c>
      <c r="CT52" s="56">
        <v>0</v>
      </c>
      <c r="CU52" s="56">
        <v>0</v>
      </c>
      <c r="CV52" s="56">
        <v>0</v>
      </c>
      <c r="CW52" s="56">
        <v>0</v>
      </c>
      <c r="CX52" s="56">
        <v>0</v>
      </c>
      <c r="CY52" s="56">
        <v>0</v>
      </c>
      <c r="CZ52" s="56">
        <v>0</v>
      </c>
      <c r="DA52" s="56">
        <v>0</v>
      </c>
      <c r="DB52" s="56">
        <v>0</v>
      </c>
      <c r="DC52" s="56">
        <v>0</v>
      </c>
      <c r="DD52" s="56">
        <v>0</v>
      </c>
      <c r="DE52" s="56">
        <v>0</v>
      </c>
      <c r="DF52" s="56">
        <v>0</v>
      </c>
      <c r="DG52" s="56">
        <v>0</v>
      </c>
      <c r="DH52" s="56">
        <v>0</v>
      </c>
      <c r="DI52" s="56">
        <v>0</v>
      </c>
      <c r="DJ52" s="56">
        <v>0</v>
      </c>
      <c r="DK52" s="56">
        <v>0</v>
      </c>
      <c r="DL52" s="56">
        <v>0</v>
      </c>
      <c r="DM52" s="56">
        <v>0</v>
      </c>
      <c r="DN52" s="56">
        <v>0</v>
      </c>
      <c r="DO52" s="56">
        <v>0</v>
      </c>
      <c r="DP52" s="56">
        <v>0</v>
      </c>
      <c r="DQ52" s="56">
        <v>0</v>
      </c>
      <c r="DR52" s="56">
        <v>0</v>
      </c>
      <c r="DS52" s="56">
        <v>0</v>
      </c>
      <c r="DT52" s="56">
        <v>0</v>
      </c>
      <c r="DU52" s="56">
        <v>0</v>
      </c>
      <c r="DV52" s="56">
        <v>0</v>
      </c>
      <c r="DW52" s="56">
        <v>0</v>
      </c>
      <c r="DX52" s="56">
        <v>0</v>
      </c>
      <c r="DY52" s="56">
        <v>0</v>
      </c>
      <c r="DZ52" s="56">
        <v>0</v>
      </c>
      <c r="EA52" s="56">
        <v>0</v>
      </c>
      <c r="EB52" s="56">
        <v>0</v>
      </c>
      <c r="EC52" s="56">
        <v>0</v>
      </c>
      <c r="ED52" s="56">
        <v>0</v>
      </c>
      <c r="EE52" s="56">
        <v>0</v>
      </c>
      <c r="EF52" s="56">
        <v>0</v>
      </c>
      <c r="EG52" s="56">
        <v>0</v>
      </c>
      <c r="EH52" s="56">
        <v>62.42</v>
      </c>
      <c r="EI52" s="56">
        <v>0</v>
      </c>
      <c r="EJ52" s="56">
        <v>0</v>
      </c>
      <c r="EK52" s="56">
        <v>0</v>
      </c>
      <c r="EL52" s="56">
        <v>0</v>
      </c>
      <c r="EM52" s="56">
        <v>0</v>
      </c>
      <c r="EN52" s="56">
        <v>0</v>
      </c>
      <c r="EO52" s="56">
        <v>0</v>
      </c>
      <c r="EP52" s="56">
        <v>0</v>
      </c>
      <c r="EQ52" s="56">
        <v>0</v>
      </c>
      <c r="ER52" s="56">
        <v>0</v>
      </c>
      <c r="ES52" s="56">
        <v>0</v>
      </c>
      <c r="ET52" s="56">
        <v>0</v>
      </c>
      <c r="EU52" s="56">
        <v>0</v>
      </c>
      <c r="EV52" s="56">
        <v>0</v>
      </c>
      <c r="EW52" s="56">
        <v>0</v>
      </c>
      <c r="EX52" s="56">
        <v>0</v>
      </c>
      <c r="EY52" s="56">
        <v>0</v>
      </c>
      <c r="EZ52" s="56">
        <v>0</v>
      </c>
      <c r="FA52" s="56">
        <v>0</v>
      </c>
      <c r="FB52" s="56">
        <v>0</v>
      </c>
      <c r="FC52" s="58">
        <v>0</v>
      </c>
      <c r="FD52" s="56">
        <v>0</v>
      </c>
      <c r="FE52" s="56">
        <v>0</v>
      </c>
      <c r="FF52" s="56">
        <v>0</v>
      </c>
      <c r="FG52" s="56">
        <v>0</v>
      </c>
      <c r="FH52" s="56">
        <v>0</v>
      </c>
      <c r="FI52" s="56">
        <v>0</v>
      </c>
      <c r="FJ52" s="56">
        <v>0</v>
      </c>
      <c r="FK52" s="56">
        <v>0</v>
      </c>
      <c r="FL52" s="56">
        <v>0</v>
      </c>
      <c r="FM52" s="56">
        <v>0</v>
      </c>
      <c r="FN52" s="56">
        <v>0</v>
      </c>
      <c r="FO52" s="56">
        <v>0</v>
      </c>
      <c r="FP52" s="56">
        <v>0</v>
      </c>
      <c r="FQ52" s="56">
        <v>0</v>
      </c>
      <c r="FR52" s="56">
        <v>0</v>
      </c>
      <c r="FS52" s="58">
        <v>0</v>
      </c>
      <c r="FT52" s="56">
        <v>0</v>
      </c>
      <c r="FU52" s="56">
        <v>0</v>
      </c>
      <c r="FV52" s="56">
        <v>0</v>
      </c>
      <c r="FW52" s="56">
        <v>0</v>
      </c>
      <c r="FX52" s="56">
        <v>0</v>
      </c>
      <c r="FY52" s="56">
        <v>0</v>
      </c>
      <c r="FZ52" s="54" t="s">
        <v>1083</v>
      </c>
      <c r="GA52" s="54" t="s">
        <v>1084</v>
      </c>
      <c r="GB52" s="54" t="s">
        <v>1072</v>
      </c>
      <c r="GC52" s="54" t="s">
        <v>1073</v>
      </c>
      <c r="GD52" s="54" t="s">
        <v>1171</v>
      </c>
      <c r="GE52" s="54" t="s">
        <v>1075</v>
      </c>
      <c r="GF52" s="54"/>
      <c r="GG52" s="55"/>
      <c r="GH52" s="54"/>
      <c r="GI52" s="54"/>
      <c r="GJ52" s="54" t="s">
        <v>1076</v>
      </c>
      <c r="GK52" s="54" t="s">
        <v>1077</v>
      </c>
      <c r="GL52" s="54"/>
      <c r="GM52" s="54"/>
      <c r="GN52" s="54" t="s">
        <v>1078</v>
      </c>
      <c r="GO52" s="54" t="s">
        <v>1059</v>
      </c>
      <c r="GP52" s="54"/>
      <c r="GQ52" s="56">
        <v>0</v>
      </c>
      <c r="GR52" s="54" t="s">
        <v>1079</v>
      </c>
      <c r="GS52" s="54"/>
    </row>
    <row r="53" spans="1:201" x14ac:dyDescent="0.25">
      <c r="A53" s="54" t="s">
        <v>1032</v>
      </c>
      <c r="B53" s="54" t="s">
        <v>1033</v>
      </c>
      <c r="C53" s="54" t="s">
        <v>1034</v>
      </c>
      <c r="D53" s="54" t="s">
        <v>1035</v>
      </c>
      <c r="E53" s="54" t="s">
        <v>1036</v>
      </c>
      <c r="F53" s="55">
        <v>46175</v>
      </c>
      <c r="G53" s="55">
        <v>46175</v>
      </c>
      <c r="H53" s="54" t="s">
        <v>1037</v>
      </c>
      <c r="I53" s="54" t="s">
        <v>1038</v>
      </c>
      <c r="J53" s="54" t="s">
        <v>1039</v>
      </c>
      <c r="K53" s="55"/>
      <c r="L53" s="54" t="s">
        <v>1040</v>
      </c>
      <c r="M53" s="54"/>
      <c r="N53" s="54" t="s">
        <v>1041</v>
      </c>
      <c r="O53" s="54" t="s">
        <v>1173</v>
      </c>
      <c r="P53" s="54" t="s">
        <v>503</v>
      </c>
      <c r="Q53" s="54" t="s">
        <v>504</v>
      </c>
      <c r="R53" s="54" t="s">
        <v>1043</v>
      </c>
      <c r="S53" s="56">
        <v>1014</v>
      </c>
      <c r="T53" s="56">
        <v>1014</v>
      </c>
      <c r="U53" s="56">
        <v>0</v>
      </c>
      <c r="V53" s="56">
        <v>0</v>
      </c>
      <c r="W53" s="56">
        <v>0</v>
      </c>
      <c r="X53" s="56">
        <v>0</v>
      </c>
      <c r="Y53" s="56">
        <v>0</v>
      </c>
      <c r="Z53" s="56">
        <v>600</v>
      </c>
      <c r="AA53" s="56">
        <v>600</v>
      </c>
      <c r="AB53" s="59">
        <v>0</v>
      </c>
      <c r="AC53" s="56">
        <v>0</v>
      </c>
      <c r="AD53" s="56">
        <v>0</v>
      </c>
      <c r="AE53" s="56">
        <v>0</v>
      </c>
      <c r="AF53" s="54" t="s">
        <v>1044</v>
      </c>
      <c r="AG53" s="57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 t="s">
        <v>1045</v>
      </c>
      <c r="AS53" s="54" t="s">
        <v>1046</v>
      </c>
      <c r="AT53" s="54" t="s">
        <v>1047</v>
      </c>
      <c r="AU53" s="54" t="s">
        <v>1048</v>
      </c>
      <c r="AV53" s="54"/>
      <c r="AW53" s="55">
        <v>46189</v>
      </c>
      <c r="AX53" s="55">
        <v>46175</v>
      </c>
      <c r="AY53" s="55">
        <v>46175</v>
      </c>
      <c r="AZ53" s="55">
        <v>46176</v>
      </c>
      <c r="BA53" s="55">
        <v>46189</v>
      </c>
      <c r="BB53" s="56">
        <v>0</v>
      </c>
      <c r="BC53" s="56">
        <v>0</v>
      </c>
      <c r="BD53" s="56">
        <v>0</v>
      </c>
      <c r="BE53" s="56">
        <v>0</v>
      </c>
      <c r="BF53" s="56">
        <v>0</v>
      </c>
      <c r="BG53" s="56">
        <v>0</v>
      </c>
      <c r="BH53" s="56">
        <v>0</v>
      </c>
      <c r="BI53" s="56">
        <v>0</v>
      </c>
      <c r="BJ53" s="56">
        <v>0</v>
      </c>
      <c r="BK53" s="56">
        <v>0</v>
      </c>
      <c r="BL53" s="56">
        <v>0</v>
      </c>
      <c r="BM53" s="56">
        <v>0</v>
      </c>
      <c r="BN53" s="56">
        <v>0</v>
      </c>
      <c r="BO53" s="56">
        <v>0</v>
      </c>
      <c r="BP53" s="54" t="s">
        <v>1049</v>
      </c>
      <c r="BQ53" s="54" t="s">
        <v>1050</v>
      </c>
      <c r="BR53" s="54" t="s">
        <v>1049</v>
      </c>
      <c r="BS53" s="54" t="s">
        <v>1050</v>
      </c>
      <c r="BT53" s="54" t="s">
        <v>1051</v>
      </c>
      <c r="BU53" s="54" t="s">
        <v>1043</v>
      </c>
      <c r="BV53" s="58">
        <v>600</v>
      </c>
      <c r="BW53" s="54" t="s">
        <v>1052</v>
      </c>
      <c r="BX53" s="54" t="s">
        <v>1053</v>
      </c>
      <c r="BY53" s="54" t="s">
        <v>1054</v>
      </c>
      <c r="BZ53" s="54" t="s">
        <v>1055</v>
      </c>
      <c r="CA53" s="55"/>
      <c r="CB53" s="54" t="s">
        <v>1056</v>
      </c>
      <c r="CC53" s="54" t="s">
        <v>1057</v>
      </c>
      <c r="CD53" s="54" t="s">
        <v>1058</v>
      </c>
      <c r="CE53" s="54" t="s">
        <v>1059</v>
      </c>
      <c r="CF53" s="54" t="s">
        <v>1060</v>
      </c>
      <c r="CG53" s="54" t="s">
        <v>1061</v>
      </c>
      <c r="CH53" s="54" t="s">
        <v>1062</v>
      </c>
      <c r="CI53" s="54" t="s">
        <v>1063</v>
      </c>
      <c r="CJ53" s="54" t="s">
        <v>1064</v>
      </c>
      <c r="CK53" s="54" t="s">
        <v>1065</v>
      </c>
      <c r="CL53" s="54" t="s">
        <v>1066</v>
      </c>
      <c r="CM53" s="54" t="s">
        <v>1067</v>
      </c>
      <c r="CN53" s="54" t="s">
        <v>1068</v>
      </c>
      <c r="CO53" s="54" t="s">
        <v>1069</v>
      </c>
      <c r="CP53" s="56">
        <v>0</v>
      </c>
      <c r="CQ53" s="56">
        <v>0</v>
      </c>
      <c r="CR53" s="56">
        <v>0</v>
      </c>
      <c r="CS53" s="56">
        <v>0</v>
      </c>
      <c r="CT53" s="56">
        <v>0</v>
      </c>
      <c r="CU53" s="56">
        <v>0</v>
      </c>
      <c r="CV53" s="56">
        <v>0</v>
      </c>
      <c r="CW53" s="56">
        <v>0</v>
      </c>
      <c r="CX53" s="56">
        <v>0</v>
      </c>
      <c r="CY53" s="56">
        <v>0</v>
      </c>
      <c r="CZ53" s="56">
        <v>0</v>
      </c>
      <c r="DA53" s="56">
        <v>0</v>
      </c>
      <c r="DB53" s="56">
        <v>0</v>
      </c>
      <c r="DC53" s="56">
        <v>0</v>
      </c>
      <c r="DD53" s="56">
        <v>0</v>
      </c>
      <c r="DE53" s="56">
        <v>0</v>
      </c>
      <c r="DF53" s="56">
        <v>0</v>
      </c>
      <c r="DG53" s="56">
        <v>0</v>
      </c>
      <c r="DH53" s="56">
        <v>0</v>
      </c>
      <c r="DI53" s="56">
        <v>0</v>
      </c>
      <c r="DJ53" s="56">
        <v>0</v>
      </c>
      <c r="DK53" s="56">
        <v>0</v>
      </c>
      <c r="DL53" s="56">
        <v>0</v>
      </c>
      <c r="DM53" s="56">
        <v>0</v>
      </c>
      <c r="DN53" s="56">
        <v>0</v>
      </c>
      <c r="DO53" s="56">
        <v>0</v>
      </c>
      <c r="DP53" s="56">
        <v>0</v>
      </c>
      <c r="DQ53" s="56">
        <v>0</v>
      </c>
      <c r="DR53" s="56">
        <v>0</v>
      </c>
      <c r="DS53" s="56">
        <v>0</v>
      </c>
      <c r="DT53" s="56">
        <v>0</v>
      </c>
      <c r="DU53" s="56">
        <v>0</v>
      </c>
      <c r="DV53" s="56">
        <v>0</v>
      </c>
      <c r="DW53" s="56">
        <v>0</v>
      </c>
      <c r="DX53" s="56">
        <v>0</v>
      </c>
      <c r="DY53" s="56">
        <v>0</v>
      </c>
      <c r="DZ53" s="56">
        <v>0</v>
      </c>
      <c r="EA53" s="56">
        <v>0</v>
      </c>
      <c r="EB53" s="56">
        <v>0</v>
      </c>
      <c r="EC53" s="56">
        <v>0</v>
      </c>
      <c r="ED53" s="56">
        <v>0</v>
      </c>
      <c r="EE53" s="56">
        <v>0</v>
      </c>
      <c r="EF53" s="56">
        <v>0</v>
      </c>
      <c r="EG53" s="56">
        <v>0</v>
      </c>
      <c r="EH53" s="56">
        <v>121.68</v>
      </c>
      <c r="EI53" s="56">
        <v>0</v>
      </c>
      <c r="EJ53" s="56">
        <v>0</v>
      </c>
      <c r="EK53" s="56">
        <v>0</v>
      </c>
      <c r="EL53" s="56">
        <v>0</v>
      </c>
      <c r="EM53" s="56">
        <v>0</v>
      </c>
      <c r="EN53" s="56">
        <v>0</v>
      </c>
      <c r="EO53" s="56">
        <v>0</v>
      </c>
      <c r="EP53" s="56">
        <v>0</v>
      </c>
      <c r="EQ53" s="56">
        <v>0</v>
      </c>
      <c r="ER53" s="56">
        <v>0</v>
      </c>
      <c r="ES53" s="56">
        <v>0</v>
      </c>
      <c r="ET53" s="56">
        <v>0</v>
      </c>
      <c r="EU53" s="56">
        <v>0</v>
      </c>
      <c r="EV53" s="56">
        <v>0</v>
      </c>
      <c r="EW53" s="56">
        <v>0</v>
      </c>
      <c r="EX53" s="56">
        <v>0</v>
      </c>
      <c r="EY53" s="56">
        <v>0</v>
      </c>
      <c r="EZ53" s="56">
        <v>0</v>
      </c>
      <c r="FA53" s="56">
        <v>0</v>
      </c>
      <c r="FB53" s="56">
        <v>0</v>
      </c>
      <c r="FC53" s="58">
        <v>0</v>
      </c>
      <c r="FD53" s="56">
        <v>0</v>
      </c>
      <c r="FE53" s="56">
        <v>0</v>
      </c>
      <c r="FF53" s="56">
        <v>0</v>
      </c>
      <c r="FG53" s="56">
        <v>0</v>
      </c>
      <c r="FH53" s="56">
        <v>0</v>
      </c>
      <c r="FI53" s="56">
        <v>0</v>
      </c>
      <c r="FJ53" s="56">
        <v>0</v>
      </c>
      <c r="FK53" s="56">
        <v>0</v>
      </c>
      <c r="FL53" s="56">
        <v>0</v>
      </c>
      <c r="FM53" s="56">
        <v>0</v>
      </c>
      <c r="FN53" s="56">
        <v>0</v>
      </c>
      <c r="FO53" s="56">
        <v>0</v>
      </c>
      <c r="FP53" s="56">
        <v>0</v>
      </c>
      <c r="FQ53" s="56">
        <v>0</v>
      </c>
      <c r="FR53" s="56">
        <v>0</v>
      </c>
      <c r="FS53" s="58">
        <v>0</v>
      </c>
      <c r="FT53" s="56">
        <v>0</v>
      </c>
      <c r="FU53" s="56">
        <v>0</v>
      </c>
      <c r="FV53" s="56">
        <v>0</v>
      </c>
      <c r="FW53" s="56">
        <v>0</v>
      </c>
      <c r="FX53" s="56">
        <v>0</v>
      </c>
      <c r="FY53" s="56">
        <v>0</v>
      </c>
      <c r="FZ53" s="54" t="s">
        <v>1070</v>
      </c>
      <c r="GA53" s="54" t="s">
        <v>1071</v>
      </c>
      <c r="GB53" s="54" t="s">
        <v>1072</v>
      </c>
      <c r="GC53" s="54" t="s">
        <v>1073</v>
      </c>
      <c r="GD53" s="54" t="s">
        <v>1174</v>
      </c>
      <c r="GE53" s="54" t="s">
        <v>1075</v>
      </c>
      <c r="GF53" s="54"/>
      <c r="GG53" s="55"/>
      <c r="GH53" s="54"/>
      <c r="GI53" s="54"/>
      <c r="GJ53" s="54" t="s">
        <v>1076</v>
      </c>
      <c r="GK53" s="54" t="s">
        <v>1077</v>
      </c>
      <c r="GL53" s="54"/>
      <c r="GM53" s="54"/>
      <c r="GN53" s="54" t="s">
        <v>1078</v>
      </c>
      <c r="GO53" s="54" t="s">
        <v>1059</v>
      </c>
      <c r="GP53" s="54"/>
      <c r="GQ53" s="56">
        <v>0</v>
      </c>
      <c r="GR53" s="54" t="s">
        <v>1079</v>
      </c>
      <c r="GS53" s="54"/>
    </row>
    <row r="54" spans="1:201" x14ac:dyDescent="0.25">
      <c r="A54" s="54" t="s">
        <v>1032</v>
      </c>
      <c r="B54" s="54" t="s">
        <v>1033</v>
      </c>
      <c r="C54" s="54" t="s">
        <v>1034</v>
      </c>
      <c r="D54" s="54" t="s">
        <v>1035</v>
      </c>
      <c r="E54" s="54" t="s">
        <v>1036</v>
      </c>
      <c r="F54" s="55">
        <v>46175</v>
      </c>
      <c r="G54" s="55">
        <v>46175</v>
      </c>
      <c r="H54" s="54" t="s">
        <v>1037</v>
      </c>
      <c r="I54" s="54" t="s">
        <v>1038</v>
      </c>
      <c r="J54" s="54" t="s">
        <v>1039</v>
      </c>
      <c r="K54" s="55"/>
      <c r="L54" s="54" t="s">
        <v>1040</v>
      </c>
      <c r="M54" s="54"/>
      <c r="N54" s="54" t="s">
        <v>1041</v>
      </c>
      <c r="O54" s="54" t="s">
        <v>1175</v>
      </c>
      <c r="P54" s="54" t="s">
        <v>209</v>
      </c>
      <c r="Q54" s="54" t="s">
        <v>832</v>
      </c>
      <c r="R54" s="54" t="s">
        <v>1043</v>
      </c>
      <c r="S54" s="56">
        <v>422.4</v>
      </c>
      <c r="T54" s="56">
        <v>422.4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240</v>
      </c>
      <c r="AA54" s="56">
        <v>240</v>
      </c>
      <c r="AB54" s="59">
        <v>0</v>
      </c>
      <c r="AC54" s="56">
        <v>0</v>
      </c>
      <c r="AD54" s="56">
        <v>0</v>
      </c>
      <c r="AE54" s="56">
        <v>0</v>
      </c>
      <c r="AF54" s="54" t="s">
        <v>1044</v>
      </c>
      <c r="AG54" s="57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 t="s">
        <v>1045</v>
      </c>
      <c r="AS54" s="54" t="s">
        <v>1046</v>
      </c>
      <c r="AT54" s="54" t="s">
        <v>1047</v>
      </c>
      <c r="AU54" s="54" t="s">
        <v>1048</v>
      </c>
      <c r="AV54" s="54"/>
      <c r="AW54" s="55">
        <v>46189</v>
      </c>
      <c r="AX54" s="55">
        <v>46175</v>
      </c>
      <c r="AY54" s="55">
        <v>46175</v>
      </c>
      <c r="AZ54" s="55">
        <v>46176</v>
      </c>
      <c r="BA54" s="55">
        <v>46189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54" t="s">
        <v>1049</v>
      </c>
      <c r="BQ54" s="54" t="s">
        <v>1050</v>
      </c>
      <c r="BR54" s="54" t="s">
        <v>1049</v>
      </c>
      <c r="BS54" s="54" t="s">
        <v>1050</v>
      </c>
      <c r="BT54" s="54" t="s">
        <v>1051</v>
      </c>
      <c r="BU54" s="54" t="s">
        <v>1043</v>
      </c>
      <c r="BV54" s="58">
        <v>240</v>
      </c>
      <c r="BW54" s="54" t="s">
        <v>1052</v>
      </c>
      <c r="BX54" s="54" t="s">
        <v>1053</v>
      </c>
      <c r="BY54" s="54" t="s">
        <v>1054</v>
      </c>
      <c r="BZ54" s="54" t="s">
        <v>1055</v>
      </c>
      <c r="CA54" s="55"/>
      <c r="CB54" s="54" t="s">
        <v>1056</v>
      </c>
      <c r="CC54" s="54" t="s">
        <v>1057</v>
      </c>
      <c r="CD54" s="54" t="s">
        <v>1058</v>
      </c>
      <c r="CE54" s="54" t="s">
        <v>1059</v>
      </c>
      <c r="CF54" s="54" t="s">
        <v>1060</v>
      </c>
      <c r="CG54" s="54" t="s">
        <v>1061</v>
      </c>
      <c r="CH54" s="54" t="s">
        <v>1062</v>
      </c>
      <c r="CI54" s="54" t="s">
        <v>1063</v>
      </c>
      <c r="CJ54" s="54" t="s">
        <v>1064</v>
      </c>
      <c r="CK54" s="54" t="s">
        <v>1065</v>
      </c>
      <c r="CL54" s="54" t="s">
        <v>1066</v>
      </c>
      <c r="CM54" s="54" t="s">
        <v>1067</v>
      </c>
      <c r="CN54" s="54" t="s">
        <v>1068</v>
      </c>
      <c r="CO54" s="54" t="s">
        <v>1069</v>
      </c>
      <c r="CP54" s="56">
        <v>0</v>
      </c>
      <c r="CQ54" s="56">
        <v>0</v>
      </c>
      <c r="CR54" s="56">
        <v>0</v>
      </c>
      <c r="CS54" s="56">
        <v>0</v>
      </c>
      <c r="CT54" s="56">
        <v>0</v>
      </c>
      <c r="CU54" s="56">
        <v>0</v>
      </c>
      <c r="CV54" s="56">
        <v>0</v>
      </c>
      <c r="CW54" s="56">
        <v>0</v>
      </c>
      <c r="CX54" s="56">
        <v>0</v>
      </c>
      <c r="CY54" s="56">
        <v>0</v>
      </c>
      <c r="CZ54" s="56">
        <v>0</v>
      </c>
      <c r="DA54" s="56">
        <v>0</v>
      </c>
      <c r="DB54" s="56">
        <v>0</v>
      </c>
      <c r="DC54" s="56">
        <v>0</v>
      </c>
      <c r="DD54" s="56">
        <v>0</v>
      </c>
      <c r="DE54" s="56">
        <v>0</v>
      </c>
      <c r="DF54" s="56">
        <v>0</v>
      </c>
      <c r="DG54" s="56">
        <v>0</v>
      </c>
      <c r="DH54" s="56">
        <v>0</v>
      </c>
      <c r="DI54" s="56">
        <v>0</v>
      </c>
      <c r="DJ54" s="56">
        <v>0</v>
      </c>
      <c r="DK54" s="56">
        <v>0</v>
      </c>
      <c r="DL54" s="56">
        <v>0</v>
      </c>
      <c r="DM54" s="56">
        <v>0</v>
      </c>
      <c r="DN54" s="56">
        <v>0</v>
      </c>
      <c r="DO54" s="56">
        <v>0</v>
      </c>
      <c r="DP54" s="56">
        <v>0</v>
      </c>
      <c r="DQ54" s="56">
        <v>0</v>
      </c>
      <c r="DR54" s="56">
        <v>0</v>
      </c>
      <c r="DS54" s="56">
        <v>0</v>
      </c>
      <c r="DT54" s="56">
        <v>0</v>
      </c>
      <c r="DU54" s="56">
        <v>0</v>
      </c>
      <c r="DV54" s="56">
        <v>0</v>
      </c>
      <c r="DW54" s="56">
        <v>0</v>
      </c>
      <c r="DX54" s="56">
        <v>0</v>
      </c>
      <c r="DY54" s="56">
        <v>0</v>
      </c>
      <c r="DZ54" s="56">
        <v>0</v>
      </c>
      <c r="EA54" s="56">
        <v>0</v>
      </c>
      <c r="EB54" s="56">
        <v>0</v>
      </c>
      <c r="EC54" s="56">
        <v>0</v>
      </c>
      <c r="ED54" s="56">
        <v>0</v>
      </c>
      <c r="EE54" s="56">
        <v>0</v>
      </c>
      <c r="EF54" s="56">
        <v>0</v>
      </c>
      <c r="EG54" s="56">
        <v>0</v>
      </c>
      <c r="EH54" s="56">
        <v>50.69</v>
      </c>
      <c r="EI54" s="56">
        <v>0</v>
      </c>
      <c r="EJ54" s="56">
        <v>0</v>
      </c>
      <c r="EK54" s="56">
        <v>0</v>
      </c>
      <c r="EL54" s="56">
        <v>0</v>
      </c>
      <c r="EM54" s="56">
        <v>0</v>
      </c>
      <c r="EN54" s="56">
        <v>0</v>
      </c>
      <c r="EO54" s="56">
        <v>0</v>
      </c>
      <c r="EP54" s="56">
        <v>0</v>
      </c>
      <c r="EQ54" s="56">
        <v>0</v>
      </c>
      <c r="ER54" s="56">
        <v>0</v>
      </c>
      <c r="ES54" s="56">
        <v>0</v>
      </c>
      <c r="ET54" s="56">
        <v>0</v>
      </c>
      <c r="EU54" s="56">
        <v>0</v>
      </c>
      <c r="EV54" s="56">
        <v>0</v>
      </c>
      <c r="EW54" s="56">
        <v>0</v>
      </c>
      <c r="EX54" s="56">
        <v>0</v>
      </c>
      <c r="EY54" s="56">
        <v>0</v>
      </c>
      <c r="EZ54" s="56">
        <v>0</v>
      </c>
      <c r="FA54" s="56">
        <v>0</v>
      </c>
      <c r="FB54" s="56">
        <v>0</v>
      </c>
      <c r="FC54" s="58">
        <v>0</v>
      </c>
      <c r="FD54" s="56">
        <v>0</v>
      </c>
      <c r="FE54" s="56">
        <v>0</v>
      </c>
      <c r="FF54" s="56">
        <v>0</v>
      </c>
      <c r="FG54" s="56">
        <v>0</v>
      </c>
      <c r="FH54" s="56">
        <v>0</v>
      </c>
      <c r="FI54" s="56">
        <v>0</v>
      </c>
      <c r="FJ54" s="56">
        <v>0</v>
      </c>
      <c r="FK54" s="56">
        <v>0</v>
      </c>
      <c r="FL54" s="56">
        <v>0</v>
      </c>
      <c r="FM54" s="56">
        <v>0</v>
      </c>
      <c r="FN54" s="56">
        <v>0</v>
      </c>
      <c r="FO54" s="56">
        <v>0</v>
      </c>
      <c r="FP54" s="56">
        <v>0</v>
      </c>
      <c r="FQ54" s="56">
        <v>0</v>
      </c>
      <c r="FR54" s="56">
        <v>0</v>
      </c>
      <c r="FS54" s="58">
        <v>0</v>
      </c>
      <c r="FT54" s="56">
        <v>0</v>
      </c>
      <c r="FU54" s="56">
        <v>0</v>
      </c>
      <c r="FV54" s="56">
        <v>0</v>
      </c>
      <c r="FW54" s="56">
        <v>0</v>
      </c>
      <c r="FX54" s="56">
        <v>0</v>
      </c>
      <c r="FY54" s="56">
        <v>0</v>
      </c>
      <c r="FZ54" s="54" t="s">
        <v>1070</v>
      </c>
      <c r="GA54" s="54" t="s">
        <v>1071</v>
      </c>
      <c r="GB54" s="54" t="s">
        <v>1072</v>
      </c>
      <c r="GC54" s="54" t="s">
        <v>1073</v>
      </c>
      <c r="GD54" s="54" t="s">
        <v>1176</v>
      </c>
      <c r="GE54" s="54" t="s">
        <v>1075</v>
      </c>
      <c r="GF54" s="54"/>
      <c r="GG54" s="55"/>
      <c r="GH54" s="54"/>
      <c r="GI54" s="54"/>
      <c r="GJ54" s="54" t="s">
        <v>1076</v>
      </c>
      <c r="GK54" s="54" t="s">
        <v>1077</v>
      </c>
      <c r="GL54" s="54"/>
      <c r="GM54" s="54"/>
      <c r="GN54" s="54" t="s">
        <v>1078</v>
      </c>
      <c r="GO54" s="54" t="s">
        <v>1059</v>
      </c>
      <c r="GP54" s="54"/>
      <c r="GQ54" s="56">
        <v>0</v>
      </c>
      <c r="GR54" s="54" t="s">
        <v>1079</v>
      </c>
      <c r="GS54" s="54"/>
    </row>
    <row r="55" spans="1:201" x14ac:dyDescent="0.25">
      <c r="A55" s="54" t="s">
        <v>1032</v>
      </c>
      <c r="B55" s="54" t="s">
        <v>1033</v>
      </c>
      <c r="C55" s="54" t="s">
        <v>1034</v>
      </c>
      <c r="D55" s="54" t="s">
        <v>1035</v>
      </c>
      <c r="E55" s="54" t="s">
        <v>1036</v>
      </c>
      <c r="F55" s="55">
        <v>46175</v>
      </c>
      <c r="G55" s="55">
        <v>46175</v>
      </c>
      <c r="H55" s="54" t="s">
        <v>1037</v>
      </c>
      <c r="I55" s="54" t="s">
        <v>1038</v>
      </c>
      <c r="J55" s="54" t="s">
        <v>1039</v>
      </c>
      <c r="K55" s="55"/>
      <c r="L55" s="54" t="s">
        <v>1040</v>
      </c>
      <c r="M55" s="54"/>
      <c r="N55" s="54" t="s">
        <v>1041</v>
      </c>
      <c r="O55" s="54" t="s">
        <v>1177</v>
      </c>
      <c r="P55" s="54" t="s">
        <v>211</v>
      </c>
      <c r="Q55" s="54" t="s">
        <v>44</v>
      </c>
      <c r="R55" s="54" t="s">
        <v>1043</v>
      </c>
      <c r="S55" s="56">
        <v>1483.2</v>
      </c>
      <c r="T55" s="56">
        <v>1483.2</v>
      </c>
      <c r="U55" s="56">
        <v>0</v>
      </c>
      <c r="V55" s="56">
        <v>0</v>
      </c>
      <c r="W55" s="56">
        <v>0</v>
      </c>
      <c r="X55" s="56">
        <v>0</v>
      </c>
      <c r="Y55" s="56">
        <v>0</v>
      </c>
      <c r="Z55" s="56">
        <v>240</v>
      </c>
      <c r="AA55" s="56">
        <v>240</v>
      </c>
      <c r="AB55" s="59">
        <v>0</v>
      </c>
      <c r="AC55" s="56">
        <v>0</v>
      </c>
      <c r="AD55" s="56">
        <v>0</v>
      </c>
      <c r="AE55" s="56">
        <v>0</v>
      </c>
      <c r="AF55" s="54" t="s">
        <v>1044</v>
      </c>
      <c r="AG55" s="57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 t="s">
        <v>1045</v>
      </c>
      <c r="AS55" s="54" t="s">
        <v>1081</v>
      </c>
      <c r="AT55" s="54" t="s">
        <v>1082</v>
      </c>
      <c r="AU55" s="54" t="s">
        <v>1048</v>
      </c>
      <c r="AV55" s="54"/>
      <c r="AW55" s="55">
        <v>46189</v>
      </c>
      <c r="AX55" s="55">
        <v>46175</v>
      </c>
      <c r="AY55" s="55">
        <v>46175</v>
      </c>
      <c r="AZ55" s="55">
        <v>46176</v>
      </c>
      <c r="BA55" s="55">
        <v>46189</v>
      </c>
      <c r="BB55" s="56">
        <v>0</v>
      </c>
      <c r="BC55" s="56">
        <v>0</v>
      </c>
      <c r="BD55" s="56">
        <v>0</v>
      </c>
      <c r="BE55" s="56">
        <v>0</v>
      </c>
      <c r="BF55" s="56">
        <v>0</v>
      </c>
      <c r="BG55" s="56">
        <v>0</v>
      </c>
      <c r="BH55" s="56">
        <v>0</v>
      </c>
      <c r="BI55" s="56">
        <v>0</v>
      </c>
      <c r="BJ55" s="56">
        <v>0</v>
      </c>
      <c r="BK55" s="56">
        <v>0</v>
      </c>
      <c r="BL55" s="56">
        <v>0</v>
      </c>
      <c r="BM55" s="56">
        <v>0</v>
      </c>
      <c r="BN55" s="56">
        <v>0</v>
      </c>
      <c r="BO55" s="56">
        <v>0</v>
      </c>
      <c r="BP55" s="54" t="s">
        <v>1049</v>
      </c>
      <c r="BQ55" s="54" t="s">
        <v>1050</v>
      </c>
      <c r="BR55" s="54" t="s">
        <v>1049</v>
      </c>
      <c r="BS55" s="54" t="s">
        <v>1050</v>
      </c>
      <c r="BT55" s="54" t="s">
        <v>1051</v>
      </c>
      <c r="BU55" s="54" t="s">
        <v>1043</v>
      </c>
      <c r="BV55" s="58">
        <v>240</v>
      </c>
      <c r="BW55" s="54" t="s">
        <v>1052</v>
      </c>
      <c r="BX55" s="54" t="s">
        <v>1053</v>
      </c>
      <c r="BY55" s="54" t="s">
        <v>1054</v>
      </c>
      <c r="BZ55" s="54" t="s">
        <v>1055</v>
      </c>
      <c r="CA55" s="55"/>
      <c r="CB55" s="54" t="s">
        <v>1056</v>
      </c>
      <c r="CC55" s="54" t="s">
        <v>1057</v>
      </c>
      <c r="CD55" s="54" t="s">
        <v>1058</v>
      </c>
      <c r="CE55" s="54" t="s">
        <v>1059</v>
      </c>
      <c r="CF55" s="54" t="s">
        <v>1060</v>
      </c>
      <c r="CG55" s="54" t="s">
        <v>1061</v>
      </c>
      <c r="CH55" s="54" t="s">
        <v>1062</v>
      </c>
      <c r="CI55" s="54" t="s">
        <v>1063</v>
      </c>
      <c r="CJ55" s="54" t="s">
        <v>1064</v>
      </c>
      <c r="CK55" s="54" t="s">
        <v>1065</v>
      </c>
      <c r="CL55" s="54" t="s">
        <v>1066</v>
      </c>
      <c r="CM55" s="54" t="s">
        <v>1067</v>
      </c>
      <c r="CN55" s="54" t="s">
        <v>1068</v>
      </c>
      <c r="CO55" s="54" t="s">
        <v>1069</v>
      </c>
      <c r="CP55" s="56">
        <v>0</v>
      </c>
      <c r="CQ55" s="56">
        <v>0</v>
      </c>
      <c r="CR55" s="56">
        <v>0</v>
      </c>
      <c r="CS55" s="56">
        <v>0</v>
      </c>
      <c r="CT55" s="56">
        <v>0</v>
      </c>
      <c r="CU55" s="56">
        <v>0</v>
      </c>
      <c r="CV55" s="56">
        <v>0</v>
      </c>
      <c r="CW55" s="56">
        <v>0</v>
      </c>
      <c r="CX55" s="56">
        <v>0</v>
      </c>
      <c r="CY55" s="56">
        <v>0</v>
      </c>
      <c r="CZ55" s="56">
        <v>0</v>
      </c>
      <c r="DA55" s="56">
        <v>0</v>
      </c>
      <c r="DB55" s="56">
        <v>0</v>
      </c>
      <c r="DC55" s="56">
        <v>0</v>
      </c>
      <c r="DD55" s="56">
        <v>0</v>
      </c>
      <c r="DE55" s="56">
        <v>0</v>
      </c>
      <c r="DF55" s="56">
        <v>0</v>
      </c>
      <c r="DG55" s="56">
        <v>0</v>
      </c>
      <c r="DH55" s="56">
        <v>0</v>
      </c>
      <c r="DI55" s="56">
        <v>0</v>
      </c>
      <c r="DJ55" s="56">
        <v>0</v>
      </c>
      <c r="DK55" s="56">
        <v>0</v>
      </c>
      <c r="DL55" s="56">
        <v>0</v>
      </c>
      <c r="DM55" s="56">
        <v>0</v>
      </c>
      <c r="DN55" s="56">
        <v>0</v>
      </c>
      <c r="DO55" s="56">
        <v>0</v>
      </c>
      <c r="DP55" s="56">
        <v>0</v>
      </c>
      <c r="DQ55" s="56">
        <v>0</v>
      </c>
      <c r="DR55" s="56">
        <v>0</v>
      </c>
      <c r="DS55" s="56">
        <v>0</v>
      </c>
      <c r="DT55" s="56">
        <v>0</v>
      </c>
      <c r="DU55" s="56">
        <v>0</v>
      </c>
      <c r="DV55" s="56">
        <v>0</v>
      </c>
      <c r="DW55" s="56">
        <v>0</v>
      </c>
      <c r="DX55" s="56">
        <v>0</v>
      </c>
      <c r="DY55" s="56">
        <v>0</v>
      </c>
      <c r="DZ55" s="56">
        <v>0</v>
      </c>
      <c r="EA55" s="56">
        <v>0</v>
      </c>
      <c r="EB55" s="56">
        <v>0</v>
      </c>
      <c r="EC55" s="56">
        <v>0</v>
      </c>
      <c r="ED55" s="56">
        <v>0</v>
      </c>
      <c r="EE55" s="56">
        <v>0</v>
      </c>
      <c r="EF55" s="56">
        <v>0</v>
      </c>
      <c r="EG55" s="56">
        <v>0</v>
      </c>
      <c r="EH55" s="56">
        <v>177.98</v>
      </c>
      <c r="EI55" s="56">
        <v>0</v>
      </c>
      <c r="EJ55" s="56">
        <v>0</v>
      </c>
      <c r="EK55" s="56">
        <v>0</v>
      </c>
      <c r="EL55" s="56">
        <v>0</v>
      </c>
      <c r="EM55" s="56">
        <v>0</v>
      </c>
      <c r="EN55" s="56">
        <v>0</v>
      </c>
      <c r="EO55" s="56">
        <v>0</v>
      </c>
      <c r="EP55" s="56">
        <v>0</v>
      </c>
      <c r="EQ55" s="56">
        <v>0</v>
      </c>
      <c r="ER55" s="56">
        <v>0</v>
      </c>
      <c r="ES55" s="56">
        <v>0</v>
      </c>
      <c r="ET55" s="56">
        <v>0</v>
      </c>
      <c r="EU55" s="56">
        <v>0</v>
      </c>
      <c r="EV55" s="56">
        <v>0</v>
      </c>
      <c r="EW55" s="56">
        <v>0</v>
      </c>
      <c r="EX55" s="56">
        <v>0</v>
      </c>
      <c r="EY55" s="56">
        <v>0</v>
      </c>
      <c r="EZ55" s="56">
        <v>0</v>
      </c>
      <c r="FA55" s="56">
        <v>0</v>
      </c>
      <c r="FB55" s="56">
        <v>0</v>
      </c>
      <c r="FC55" s="58">
        <v>0</v>
      </c>
      <c r="FD55" s="56">
        <v>0</v>
      </c>
      <c r="FE55" s="56">
        <v>0</v>
      </c>
      <c r="FF55" s="56">
        <v>0</v>
      </c>
      <c r="FG55" s="56">
        <v>0</v>
      </c>
      <c r="FH55" s="56">
        <v>0</v>
      </c>
      <c r="FI55" s="56">
        <v>0</v>
      </c>
      <c r="FJ55" s="56">
        <v>0</v>
      </c>
      <c r="FK55" s="56">
        <v>0</v>
      </c>
      <c r="FL55" s="56">
        <v>0</v>
      </c>
      <c r="FM55" s="56">
        <v>0</v>
      </c>
      <c r="FN55" s="56">
        <v>0</v>
      </c>
      <c r="FO55" s="56">
        <v>0</v>
      </c>
      <c r="FP55" s="56">
        <v>0</v>
      </c>
      <c r="FQ55" s="56">
        <v>0</v>
      </c>
      <c r="FR55" s="56">
        <v>0</v>
      </c>
      <c r="FS55" s="58">
        <v>0</v>
      </c>
      <c r="FT55" s="56">
        <v>0</v>
      </c>
      <c r="FU55" s="56">
        <v>0</v>
      </c>
      <c r="FV55" s="56">
        <v>0</v>
      </c>
      <c r="FW55" s="56">
        <v>0</v>
      </c>
      <c r="FX55" s="56">
        <v>0</v>
      </c>
      <c r="FY55" s="56">
        <v>0</v>
      </c>
      <c r="FZ55" s="54" t="s">
        <v>1083</v>
      </c>
      <c r="GA55" s="54" t="s">
        <v>1084</v>
      </c>
      <c r="GB55" s="54" t="s">
        <v>1072</v>
      </c>
      <c r="GC55" s="54" t="s">
        <v>1073</v>
      </c>
      <c r="GD55" s="54" t="s">
        <v>1178</v>
      </c>
      <c r="GE55" s="54" t="s">
        <v>1075</v>
      </c>
      <c r="GF55" s="54"/>
      <c r="GG55" s="55"/>
      <c r="GH55" s="54"/>
      <c r="GI55" s="54"/>
      <c r="GJ55" s="54" t="s">
        <v>1076</v>
      </c>
      <c r="GK55" s="54" t="s">
        <v>1077</v>
      </c>
      <c r="GL55" s="54"/>
      <c r="GM55" s="54"/>
      <c r="GN55" s="54" t="s">
        <v>1078</v>
      </c>
      <c r="GO55" s="54" t="s">
        <v>1059</v>
      </c>
      <c r="GP55" s="54"/>
      <c r="GQ55" s="56">
        <v>0</v>
      </c>
      <c r="GR55" s="54" t="s">
        <v>1079</v>
      </c>
      <c r="GS55" s="54"/>
    </row>
    <row r="56" spans="1:201" x14ac:dyDescent="0.25">
      <c r="A56" s="54" t="s">
        <v>1032</v>
      </c>
      <c r="B56" s="54" t="s">
        <v>1033</v>
      </c>
      <c r="C56" s="54" t="s">
        <v>1034</v>
      </c>
      <c r="D56" s="54" t="s">
        <v>1035</v>
      </c>
      <c r="E56" s="54" t="s">
        <v>1036</v>
      </c>
      <c r="F56" s="55">
        <v>46175</v>
      </c>
      <c r="G56" s="55">
        <v>46175</v>
      </c>
      <c r="H56" s="54" t="s">
        <v>1037</v>
      </c>
      <c r="I56" s="54" t="s">
        <v>1038</v>
      </c>
      <c r="J56" s="54" t="s">
        <v>1039</v>
      </c>
      <c r="K56" s="55"/>
      <c r="L56" s="54" t="s">
        <v>1040</v>
      </c>
      <c r="M56" s="54"/>
      <c r="N56" s="54" t="s">
        <v>1041</v>
      </c>
      <c r="O56" s="54" t="s">
        <v>1179</v>
      </c>
      <c r="P56" s="54" t="s">
        <v>212</v>
      </c>
      <c r="Q56" s="54" t="s">
        <v>45</v>
      </c>
      <c r="R56" s="54" t="s">
        <v>1043</v>
      </c>
      <c r="S56" s="56">
        <v>360</v>
      </c>
      <c r="T56" s="56">
        <v>360</v>
      </c>
      <c r="U56" s="56">
        <v>0</v>
      </c>
      <c r="V56" s="56">
        <v>0</v>
      </c>
      <c r="W56" s="56">
        <v>0</v>
      </c>
      <c r="X56" s="56">
        <v>0</v>
      </c>
      <c r="Y56" s="56">
        <v>0</v>
      </c>
      <c r="Z56" s="56">
        <v>180</v>
      </c>
      <c r="AA56" s="56">
        <v>180</v>
      </c>
      <c r="AB56" s="59">
        <v>0</v>
      </c>
      <c r="AC56" s="56">
        <v>0</v>
      </c>
      <c r="AD56" s="56">
        <v>0</v>
      </c>
      <c r="AE56" s="56">
        <v>0</v>
      </c>
      <c r="AF56" s="54" t="s">
        <v>1044</v>
      </c>
      <c r="AG56" s="57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 t="s">
        <v>1045</v>
      </c>
      <c r="AS56" s="54" t="s">
        <v>1081</v>
      </c>
      <c r="AT56" s="54" t="s">
        <v>1082</v>
      </c>
      <c r="AU56" s="54" t="s">
        <v>1048</v>
      </c>
      <c r="AV56" s="54"/>
      <c r="AW56" s="55">
        <v>46189</v>
      </c>
      <c r="AX56" s="55">
        <v>46175</v>
      </c>
      <c r="AY56" s="55">
        <v>46175</v>
      </c>
      <c r="AZ56" s="55">
        <v>46176</v>
      </c>
      <c r="BA56" s="55">
        <v>46189</v>
      </c>
      <c r="BB56" s="56">
        <v>0</v>
      </c>
      <c r="BC56" s="56">
        <v>0</v>
      </c>
      <c r="BD56" s="56">
        <v>0</v>
      </c>
      <c r="BE56" s="56">
        <v>0</v>
      </c>
      <c r="BF56" s="56">
        <v>0</v>
      </c>
      <c r="BG56" s="56">
        <v>0</v>
      </c>
      <c r="BH56" s="56">
        <v>0</v>
      </c>
      <c r="BI56" s="56">
        <v>0</v>
      </c>
      <c r="BJ56" s="56">
        <v>0</v>
      </c>
      <c r="BK56" s="56">
        <v>0</v>
      </c>
      <c r="BL56" s="56">
        <v>0</v>
      </c>
      <c r="BM56" s="56">
        <v>0</v>
      </c>
      <c r="BN56" s="56">
        <v>0</v>
      </c>
      <c r="BO56" s="56">
        <v>0</v>
      </c>
      <c r="BP56" s="54" t="s">
        <v>1049</v>
      </c>
      <c r="BQ56" s="54" t="s">
        <v>1050</v>
      </c>
      <c r="BR56" s="54" t="s">
        <v>1049</v>
      </c>
      <c r="BS56" s="54" t="s">
        <v>1050</v>
      </c>
      <c r="BT56" s="54" t="s">
        <v>1051</v>
      </c>
      <c r="BU56" s="54" t="s">
        <v>1043</v>
      </c>
      <c r="BV56" s="58">
        <v>180</v>
      </c>
      <c r="BW56" s="54" t="s">
        <v>1052</v>
      </c>
      <c r="BX56" s="54" t="s">
        <v>1053</v>
      </c>
      <c r="BY56" s="54" t="s">
        <v>1054</v>
      </c>
      <c r="BZ56" s="54" t="s">
        <v>1055</v>
      </c>
      <c r="CA56" s="55"/>
      <c r="CB56" s="54" t="s">
        <v>1056</v>
      </c>
      <c r="CC56" s="54" t="s">
        <v>1057</v>
      </c>
      <c r="CD56" s="54" t="s">
        <v>1058</v>
      </c>
      <c r="CE56" s="54" t="s">
        <v>1059</v>
      </c>
      <c r="CF56" s="54" t="s">
        <v>1060</v>
      </c>
      <c r="CG56" s="54" t="s">
        <v>1061</v>
      </c>
      <c r="CH56" s="54" t="s">
        <v>1062</v>
      </c>
      <c r="CI56" s="54" t="s">
        <v>1063</v>
      </c>
      <c r="CJ56" s="54" t="s">
        <v>1064</v>
      </c>
      <c r="CK56" s="54" t="s">
        <v>1065</v>
      </c>
      <c r="CL56" s="54" t="s">
        <v>1066</v>
      </c>
      <c r="CM56" s="54" t="s">
        <v>1067</v>
      </c>
      <c r="CN56" s="54" t="s">
        <v>1068</v>
      </c>
      <c r="CO56" s="54" t="s">
        <v>1069</v>
      </c>
      <c r="CP56" s="56">
        <v>0</v>
      </c>
      <c r="CQ56" s="56">
        <v>0</v>
      </c>
      <c r="CR56" s="56">
        <v>0</v>
      </c>
      <c r="CS56" s="56">
        <v>0</v>
      </c>
      <c r="CT56" s="56">
        <v>0</v>
      </c>
      <c r="CU56" s="56">
        <v>0</v>
      </c>
      <c r="CV56" s="56">
        <v>0</v>
      </c>
      <c r="CW56" s="56">
        <v>0</v>
      </c>
      <c r="CX56" s="56">
        <v>0</v>
      </c>
      <c r="CY56" s="56">
        <v>0</v>
      </c>
      <c r="CZ56" s="56">
        <v>0</v>
      </c>
      <c r="DA56" s="56">
        <v>0</v>
      </c>
      <c r="DB56" s="56">
        <v>0</v>
      </c>
      <c r="DC56" s="56">
        <v>0</v>
      </c>
      <c r="DD56" s="56">
        <v>0</v>
      </c>
      <c r="DE56" s="56">
        <v>0</v>
      </c>
      <c r="DF56" s="56">
        <v>0</v>
      </c>
      <c r="DG56" s="56">
        <v>0</v>
      </c>
      <c r="DH56" s="56">
        <v>0</v>
      </c>
      <c r="DI56" s="56">
        <v>0</v>
      </c>
      <c r="DJ56" s="56">
        <v>0</v>
      </c>
      <c r="DK56" s="56">
        <v>0</v>
      </c>
      <c r="DL56" s="56">
        <v>0</v>
      </c>
      <c r="DM56" s="56">
        <v>0</v>
      </c>
      <c r="DN56" s="56">
        <v>0</v>
      </c>
      <c r="DO56" s="56">
        <v>0</v>
      </c>
      <c r="DP56" s="56">
        <v>0</v>
      </c>
      <c r="DQ56" s="56">
        <v>0</v>
      </c>
      <c r="DR56" s="56">
        <v>0</v>
      </c>
      <c r="DS56" s="56">
        <v>0</v>
      </c>
      <c r="DT56" s="56">
        <v>0</v>
      </c>
      <c r="DU56" s="56">
        <v>0</v>
      </c>
      <c r="DV56" s="56">
        <v>0</v>
      </c>
      <c r="DW56" s="56">
        <v>0</v>
      </c>
      <c r="DX56" s="56">
        <v>0</v>
      </c>
      <c r="DY56" s="56">
        <v>0</v>
      </c>
      <c r="DZ56" s="56">
        <v>0</v>
      </c>
      <c r="EA56" s="56">
        <v>0</v>
      </c>
      <c r="EB56" s="56">
        <v>0</v>
      </c>
      <c r="EC56" s="56">
        <v>0</v>
      </c>
      <c r="ED56" s="56">
        <v>0</v>
      </c>
      <c r="EE56" s="56">
        <v>0</v>
      </c>
      <c r="EF56" s="56">
        <v>0</v>
      </c>
      <c r="EG56" s="56">
        <v>0</v>
      </c>
      <c r="EH56" s="56">
        <v>43.2</v>
      </c>
      <c r="EI56" s="56">
        <v>0</v>
      </c>
      <c r="EJ56" s="56">
        <v>0</v>
      </c>
      <c r="EK56" s="56">
        <v>0</v>
      </c>
      <c r="EL56" s="56">
        <v>0</v>
      </c>
      <c r="EM56" s="56">
        <v>0</v>
      </c>
      <c r="EN56" s="56">
        <v>0</v>
      </c>
      <c r="EO56" s="56">
        <v>0</v>
      </c>
      <c r="EP56" s="56">
        <v>0</v>
      </c>
      <c r="EQ56" s="56">
        <v>0</v>
      </c>
      <c r="ER56" s="56">
        <v>0</v>
      </c>
      <c r="ES56" s="56">
        <v>0</v>
      </c>
      <c r="ET56" s="56">
        <v>0</v>
      </c>
      <c r="EU56" s="56">
        <v>0</v>
      </c>
      <c r="EV56" s="56">
        <v>0</v>
      </c>
      <c r="EW56" s="56">
        <v>0</v>
      </c>
      <c r="EX56" s="56">
        <v>0</v>
      </c>
      <c r="EY56" s="56">
        <v>0</v>
      </c>
      <c r="EZ56" s="56">
        <v>0</v>
      </c>
      <c r="FA56" s="56">
        <v>0</v>
      </c>
      <c r="FB56" s="56">
        <v>0</v>
      </c>
      <c r="FC56" s="58">
        <v>0</v>
      </c>
      <c r="FD56" s="56">
        <v>0</v>
      </c>
      <c r="FE56" s="56">
        <v>0</v>
      </c>
      <c r="FF56" s="56">
        <v>0</v>
      </c>
      <c r="FG56" s="56">
        <v>0</v>
      </c>
      <c r="FH56" s="56">
        <v>0</v>
      </c>
      <c r="FI56" s="56">
        <v>0</v>
      </c>
      <c r="FJ56" s="56">
        <v>0</v>
      </c>
      <c r="FK56" s="56">
        <v>0</v>
      </c>
      <c r="FL56" s="56">
        <v>0</v>
      </c>
      <c r="FM56" s="56">
        <v>0</v>
      </c>
      <c r="FN56" s="56">
        <v>0</v>
      </c>
      <c r="FO56" s="56">
        <v>0</v>
      </c>
      <c r="FP56" s="56">
        <v>0</v>
      </c>
      <c r="FQ56" s="56">
        <v>0</v>
      </c>
      <c r="FR56" s="56">
        <v>0</v>
      </c>
      <c r="FS56" s="58">
        <v>0</v>
      </c>
      <c r="FT56" s="56">
        <v>0</v>
      </c>
      <c r="FU56" s="56">
        <v>0</v>
      </c>
      <c r="FV56" s="56">
        <v>0</v>
      </c>
      <c r="FW56" s="56">
        <v>0</v>
      </c>
      <c r="FX56" s="56">
        <v>0</v>
      </c>
      <c r="FY56" s="56">
        <v>0</v>
      </c>
      <c r="FZ56" s="54" t="s">
        <v>1083</v>
      </c>
      <c r="GA56" s="54" t="s">
        <v>1084</v>
      </c>
      <c r="GB56" s="54" t="s">
        <v>1072</v>
      </c>
      <c r="GC56" s="54" t="s">
        <v>1073</v>
      </c>
      <c r="GD56" s="54" t="s">
        <v>1180</v>
      </c>
      <c r="GE56" s="54" t="s">
        <v>1075</v>
      </c>
      <c r="GF56" s="54"/>
      <c r="GG56" s="55"/>
      <c r="GH56" s="54"/>
      <c r="GI56" s="54"/>
      <c r="GJ56" s="54" t="s">
        <v>1076</v>
      </c>
      <c r="GK56" s="54" t="s">
        <v>1077</v>
      </c>
      <c r="GL56" s="54"/>
      <c r="GM56" s="54"/>
      <c r="GN56" s="54" t="s">
        <v>1078</v>
      </c>
      <c r="GO56" s="54" t="s">
        <v>1059</v>
      </c>
      <c r="GP56" s="54"/>
      <c r="GQ56" s="56">
        <v>0</v>
      </c>
      <c r="GR56" s="54" t="s">
        <v>1079</v>
      </c>
      <c r="GS56" s="54"/>
    </row>
    <row r="57" spans="1:201" x14ac:dyDescent="0.25">
      <c r="A57" s="54" t="s">
        <v>1032</v>
      </c>
      <c r="B57" s="54" t="s">
        <v>1033</v>
      </c>
      <c r="C57" s="54" t="s">
        <v>1034</v>
      </c>
      <c r="D57" s="54" t="s">
        <v>1035</v>
      </c>
      <c r="E57" s="54" t="s">
        <v>1036</v>
      </c>
      <c r="F57" s="55">
        <v>46175</v>
      </c>
      <c r="G57" s="55">
        <v>46175</v>
      </c>
      <c r="H57" s="54" t="s">
        <v>1037</v>
      </c>
      <c r="I57" s="54" t="s">
        <v>1038</v>
      </c>
      <c r="J57" s="54" t="s">
        <v>1039</v>
      </c>
      <c r="K57" s="55"/>
      <c r="L57" s="54" t="s">
        <v>1040</v>
      </c>
      <c r="M57" s="54"/>
      <c r="N57" s="54" t="s">
        <v>1041</v>
      </c>
      <c r="O57" s="54" t="s">
        <v>1181</v>
      </c>
      <c r="P57" s="54" t="s">
        <v>737</v>
      </c>
      <c r="Q57" s="54" t="s">
        <v>748</v>
      </c>
      <c r="R57" s="54" t="s">
        <v>1043</v>
      </c>
      <c r="S57" s="56">
        <v>743</v>
      </c>
      <c r="T57" s="56">
        <v>743</v>
      </c>
      <c r="U57" s="56">
        <v>0</v>
      </c>
      <c r="V57" s="56">
        <v>0</v>
      </c>
      <c r="W57" s="56">
        <v>0</v>
      </c>
      <c r="X57" s="56">
        <v>0</v>
      </c>
      <c r="Y57" s="56">
        <v>0</v>
      </c>
      <c r="Z57" s="56">
        <v>100</v>
      </c>
      <c r="AA57" s="56">
        <v>100</v>
      </c>
      <c r="AB57" s="59">
        <v>0</v>
      </c>
      <c r="AC57" s="56">
        <v>0</v>
      </c>
      <c r="AD57" s="56">
        <v>0</v>
      </c>
      <c r="AE57" s="56">
        <v>0</v>
      </c>
      <c r="AF57" s="54" t="s">
        <v>1044</v>
      </c>
      <c r="AG57" s="57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 t="s">
        <v>1045</v>
      </c>
      <c r="AS57" s="54" t="s">
        <v>1046</v>
      </c>
      <c r="AT57" s="54" t="s">
        <v>1047</v>
      </c>
      <c r="AU57" s="54" t="s">
        <v>1048</v>
      </c>
      <c r="AV57" s="54"/>
      <c r="AW57" s="55">
        <v>46189</v>
      </c>
      <c r="AX57" s="55">
        <v>46175</v>
      </c>
      <c r="AY57" s="55">
        <v>46175</v>
      </c>
      <c r="AZ57" s="55"/>
      <c r="BA57" s="55">
        <v>46189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>
        <v>0</v>
      </c>
      <c r="BP57" s="54" t="s">
        <v>1049</v>
      </c>
      <c r="BQ57" s="54" t="s">
        <v>1050</v>
      </c>
      <c r="BR57" s="54" t="s">
        <v>1049</v>
      </c>
      <c r="BS57" s="54" t="s">
        <v>1050</v>
      </c>
      <c r="BT57" s="54" t="s">
        <v>1051</v>
      </c>
      <c r="BU57" s="54" t="s">
        <v>1043</v>
      </c>
      <c r="BV57" s="58">
        <v>100</v>
      </c>
      <c r="BW57" s="54" t="s">
        <v>1052</v>
      </c>
      <c r="BX57" s="54" t="s">
        <v>1053</v>
      </c>
      <c r="BY57" s="54" t="s">
        <v>1054</v>
      </c>
      <c r="BZ57" s="54" t="s">
        <v>1055</v>
      </c>
      <c r="CA57" s="55"/>
      <c r="CB57" s="54" t="s">
        <v>1056</v>
      </c>
      <c r="CC57" s="54" t="s">
        <v>1057</v>
      </c>
      <c r="CD57" s="54" t="s">
        <v>1058</v>
      </c>
      <c r="CE57" s="54" t="s">
        <v>1059</v>
      </c>
      <c r="CF57" s="54" t="s">
        <v>1060</v>
      </c>
      <c r="CG57" s="54" t="s">
        <v>1061</v>
      </c>
      <c r="CH57" s="54" t="s">
        <v>1062</v>
      </c>
      <c r="CI57" s="54" t="s">
        <v>1063</v>
      </c>
      <c r="CJ57" s="54" t="s">
        <v>1064</v>
      </c>
      <c r="CK57" s="54" t="s">
        <v>1065</v>
      </c>
      <c r="CL57" s="54" t="s">
        <v>1066</v>
      </c>
      <c r="CM57" s="54" t="s">
        <v>1067</v>
      </c>
      <c r="CN57" s="54" t="s">
        <v>1068</v>
      </c>
      <c r="CO57" s="54" t="s">
        <v>1069</v>
      </c>
      <c r="CP57" s="56">
        <v>0</v>
      </c>
      <c r="CQ57" s="56">
        <v>0</v>
      </c>
      <c r="CR57" s="56">
        <v>0</v>
      </c>
      <c r="CS57" s="56">
        <v>0</v>
      </c>
      <c r="CT57" s="56">
        <v>0</v>
      </c>
      <c r="CU57" s="56">
        <v>0</v>
      </c>
      <c r="CV57" s="56">
        <v>0</v>
      </c>
      <c r="CW57" s="56">
        <v>0</v>
      </c>
      <c r="CX57" s="56">
        <v>0</v>
      </c>
      <c r="CY57" s="56">
        <v>0</v>
      </c>
      <c r="CZ57" s="56">
        <v>0</v>
      </c>
      <c r="DA57" s="56">
        <v>0</v>
      </c>
      <c r="DB57" s="56">
        <v>0</v>
      </c>
      <c r="DC57" s="56">
        <v>0</v>
      </c>
      <c r="DD57" s="56">
        <v>0</v>
      </c>
      <c r="DE57" s="56">
        <v>0</v>
      </c>
      <c r="DF57" s="56">
        <v>0</v>
      </c>
      <c r="DG57" s="56">
        <v>0</v>
      </c>
      <c r="DH57" s="56">
        <v>0</v>
      </c>
      <c r="DI57" s="56">
        <v>0</v>
      </c>
      <c r="DJ57" s="56">
        <v>0</v>
      </c>
      <c r="DK57" s="56">
        <v>0</v>
      </c>
      <c r="DL57" s="56">
        <v>0</v>
      </c>
      <c r="DM57" s="56">
        <v>0</v>
      </c>
      <c r="DN57" s="56">
        <v>0</v>
      </c>
      <c r="DO57" s="56">
        <v>0</v>
      </c>
      <c r="DP57" s="56">
        <v>0</v>
      </c>
      <c r="DQ57" s="56">
        <v>0</v>
      </c>
      <c r="DR57" s="56">
        <v>0</v>
      </c>
      <c r="DS57" s="56">
        <v>0</v>
      </c>
      <c r="DT57" s="56">
        <v>0</v>
      </c>
      <c r="DU57" s="56">
        <v>0</v>
      </c>
      <c r="DV57" s="56">
        <v>0</v>
      </c>
      <c r="DW57" s="56">
        <v>0</v>
      </c>
      <c r="DX57" s="56">
        <v>0</v>
      </c>
      <c r="DY57" s="56">
        <v>0</v>
      </c>
      <c r="DZ57" s="56">
        <v>0</v>
      </c>
      <c r="EA57" s="56">
        <v>0</v>
      </c>
      <c r="EB57" s="56">
        <v>0</v>
      </c>
      <c r="EC57" s="56">
        <v>0</v>
      </c>
      <c r="ED57" s="56">
        <v>0</v>
      </c>
      <c r="EE57" s="56">
        <v>0</v>
      </c>
      <c r="EF57" s="56">
        <v>0</v>
      </c>
      <c r="EG57" s="56">
        <v>0</v>
      </c>
      <c r="EH57" s="56">
        <v>89.16</v>
      </c>
      <c r="EI57" s="56">
        <v>0</v>
      </c>
      <c r="EJ57" s="56">
        <v>0</v>
      </c>
      <c r="EK57" s="56">
        <v>0</v>
      </c>
      <c r="EL57" s="56">
        <v>0</v>
      </c>
      <c r="EM57" s="56">
        <v>0</v>
      </c>
      <c r="EN57" s="56">
        <v>0</v>
      </c>
      <c r="EO57" s="56">
        <v>0</v>
      </c>
      <c r="EP57" s="56">
        <v>0</v>
      </c>
      <c r="EQ57" s="56">
        <v>0</v>
      </c>
      <c r="ER57" s="56">
        <v>0</v>
      </c>
      <c r="ES57" s="56">
        <v>0</v>
      </c>
      <c r="ET57" s="56">
        <v>0</v>
      </c>
      <c r="EU57" s="56">
        <v>0</v>
      </c>
      <c r="EV57" s="56">
        <v>0</v>
      </c>
      <c r="EW57" s="56">
        <v>0</v>
      </c>
      <c r="EX57" s="56">
        <v>0</v>
      </c>
      <c r="EY57" s="56">
        <v>0</v>
      </c>
      <c r="EZ57" s="56">
        <v>0</v>
      </c>
      <c r="FA57" s="56">
        <v>0</v>
      </c>
      <c r="FB57" s="56">
        <v>0</v>
      </c>
      <c r="FC57" s="58">
        <v>0</v>
      </c>
      <c r="FD57" s="56">
        <v>0</v>
      </c>
      <c r="FE57" s="56">
        <v>0</v>
      </c>
      <c r="FF57" s="56">
        <v>0</v>
      </c>
      <c r="FG57" s="56">
        <v>0</v>
      </c>
      <c r="FH57" s="56">
        <v>0</v>
      </c>
      <c r="FI57" s="56">
        <v>0</v>
      </c>
      <c r="FJ57" s="56">
        <v>0</v>
      </c>
      <c r="FK57" s="56">
        <v>0</v>
      </c>
      <c r="FL57" s="56">
        <v>0</v>
      </c>
      <c r="FM57" s="56">
        <v>0</v>
      </c>
      <c r="FN57" s="56">
        <v>0</v>
      </c>
      <c r="FO57" s="56">
        <v>0</v>
      </c>
      <c r="FP57" s="56">
        <v>0</v>
      </c>
      <c r="FQ57" s="56">
        <v>0</v>
      </c>
      <c r="FR57" s="56">
        <v>0</v>
      </c>
      <c r="FS57" s="58">
        <v>0</v>
      </c>
      <c r="FT57" s="56">
        <v>0</v>
      </c>
      <c r="FU57" s="56">
        <v>0</v>
      </c>
      <c r="FV57" s="56">
        <v>0</v>
      </c>
      <c r="FW57" s="56">
        <v>0</v>
      </c>
      <c r="FX57" s="56">
        <v>0</v>
      </c>
      <c r="FY57" s="56">
        <v>0</v>
      </c>
      <c r="FZ57" s="54" t="s">
        <v>1070</v>
      </c>
      <c r="GA57" s="54" t="s">
        <v>1071</v>
      </c>
      <c r="GB57" s="54" t="s">
        <v>1072</v>
      </c>
      <c r="GC57" s="54" t="s">
        <v>1073</v>
      </c>
      <c r="GD57" s="54"/>
      <c r="GE57" s="54"/>
      <c r="GF57" s="54"/>
      <c r="GG57" s="55"/>
      <c r="GH57" s="54"/>
      <c r="GI57" s="54"/>
      <c r="GJ57" s="54" t="s">
        <v>1076</v>
      </c>
      <c r="GK57" s="54" t="s">
        <v>1077</v>
      </c>
      <c r="GL57" s="54"/>
      <c r="GM57" s="54"/>
      <c r="GN57" s="54" t="s">
        <v>1078</v>
      </c>
      <c r="GO57" s="54" t="s">
        <v>1059</v>
      </c>
      <c r="GP57" s="54"/>
      <c r="GQ57" s="56">
        <v>0</v>
      </c>
      <c r="GR57" s="54" t="s">
        <v>1079</v>
      </c>
      <c r="GS57" s="54"/>
    </row>
    <row r="58" spans="1:201" x14ac:dyDescent="0.25">
      <c r="A58" s="54" t="s">
        <v>1032</v>
      </c>
      <c r="B58" s="54" t="s">
        <v>1033</v>
      </c>
      <c r="C58" s="54" t="s">
        <v>1034</v>
      </c>
      <c r="D58" s="54" t="s">
        <v>1035</v>
      </c>
      <c r="E58" s="54" t="s">
        <v>1036</v>
      </c>
      <c r="F58" s="55">
        <v>46175</v>
      </c>
      <c r="G58" s="55">
        <v>46175</v>
      </c>
      <c r="H58" s="54" t="s">
        <v>1037</v>
      </c>
      <c r="I58" s="54" t="s">
        <v>1038</v>
      </c>
      <c r="J58" s="54" t="s">
        <v>1039</v>
      </c>
      <c r="K58" s="55"/>
      <c r="L58" s="54" t="s">
        <v>1040</v>
      </c>
      <c r="M58" s="54"/>
      <c r="N58" s="54" t="s">
        <v>1041</v>
      </c>
      <c r="O58" s="54" t="s">
        <v>1182</v>
      </c>
      <c r="P58" s="54" t="s">
        <v>214</v>
      </c>
      <c r="Q58" s="54" t="s">
        <v>47</v>
      </c>
      <c r="R58" s="54" t="s">
        <v>1043</v>
      </c>
      <c r="S58" s="56">
        <v>1294</v>
      </c>
      <c r="T58" s="56">
        <v>1294</v>
      </c>
      <c r="U58" s="56">
        <v>0</v>
      </c>
      <c r="V58" s="56">
        <v>0</v>
      </c>
      <c r="W58" s="56">
        <v>0</v>
      </c>
      <c r="X58" s="56">
        <v>0</v>
      </c>
      <c r="Y58" s="56">
        <v>0</v>
      </c>
      <c r="Z58" s="56">
        <v>100</v>
      </c>
      <c r="AA58" s="56">
        <v>100</v>
      </c>
      <c r="AB58" s="59">
        <v>0</v>
      </c>
      <c r="AC58" s="56">
        <v>0</v>
      </c>
      <c r="AD58" s="56">
        <v>0</v>
      </c>
      <c r="AE58" s="56">
        <v>0</v>
      </c>
      <c r="AF58" s="54" t="s">
        <v>1044</v>
      </c>
      <c r="AG58" s="57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 t="s">
        <v>1045</v>
      </c>
      <c r="AS58" s="54" t="s">
        <v>1046</v>
      </c>
      <c r="AT58" s="54" t="s">
        <v>1047</v>
      </c>
      <c r="AU58" s="54" t="s">
        <v>1048</v>
      </c>
      <c r="AV58" s="54"/>
      <c r="AW58" s="55">
        <v>46189</v>
      </c>
      <c r="AX58" s="55">
        <v>46175</v>
      </c>
      <c r="AY58" s="55">
        <v>46175</v>
      </c>
      <c r="AZ58" s="55">
        <v>46176</v>
      </c>
      <c r="BA58" s="55">
        <v>46189</v>
      </c>
      <c r="BB58" s="56">
        <v>0</v>
      </c>
      <c r="BC58" s="56">
        <v>0</v>
      </c>
      <c r="BD58" s="56">
        <v>0</v>
      </c>
      <c r="BE58" s="56">
        <v>0</v>
      </c>
      <c r="BF58" s="56">
        <v>0</v>
      </c>
      <c r="BG58" s="56">
        <v>0</v>
      </c>
      <c r="BH58" s="56">
        <v>0</v>
      </c>
      <c r="BI58" s="56">
        <v>0</v>
      </c>
      <c r="BJ58" s="56">
        <v>0</v>
      </c>
      <c r="BK58" s="56">
        <v>0</v>
      </c>
      <c r="BL58" s="56">
        <v>0</v>
      </c>
      <c r="BM58" s="56">
        <v>0</v>
      </c>
      <c r="BN58" s="56">
        <v>0</v>
      </c>
      <c r="BO58" s="56">
        <v>0</v>
      </c>
      <c r="BP58" s="54" t="s">
        <v>1049</v>
      </c>
      <c r="BQ58" s="54" t="s">
        <v>1050</v>
      </c>
      <c r="BR58" s="54" t="s">
        <v>1049</v>
      </c>
      <c r="BS58" s="54" t="s">
        <v>1050</v>
      </c>
      <c r="BT58" s="54" t="s">
        <v>1051</v>
      </c>
      <c r="BU58" s="54" t="s">
        <v>1043</v>
      </c>
      <c r="BV58" s="58">
        <v>100</v>
      </c>
      <c r="BW58" s="54" t="s">
        <v>1052</v>
      </c>
      <c r="BX58" s="54" t="s">
        <v>1053</v>
      </c>
      <c r="BY58" s="54" t="s">
        <v>1054</v>
      </c>
      <c r="BZ58" s="54" t="s">
        <v>1055</v>
      </c>
      <c r="CA58" s="55"/>
      <c r="CB58" s="54" t="s">
        <v>1056</v>
      </c>
      <c r="CC58" s="54" t="s">
        <v>1057</v>
      </c>
      <c r="CD58" s="54" t="s">
        <v>1058</v>
      </c>
      <c r="CE58" s="54" t="s">
        <v>1059</v>
      </c>
      <c r="CF58" s="54" t="s">
        <v>1060</v>
      </c>
      <c r="CG58" s="54" t="s">
        <v>1061</v>
      </c>
      <c r="CH58" s="54" t="s">
        <v>1062</v>
      </c>
      <c r="CI58" s="54" t="s">
        <v>1063</v>
      </c>
      <c r="CJ58" s="54" t="s">
        <v>1064</v>
      </c>
      <c r="CK58" s="54" t="s">
        <v>1065</v>
      </c>
      <c r="CL58" s="54" t="s">
        <v>1066</v>
      </c>
      <c r="CM58" s="54" t="s">
        <v>1067</v>
      </c>
      <c r="CN58" s="54" t="s">
        <v>1068</v>
      </c>
      <c r="CO58" s="54" t="s">
        <v>1069</v>
      </c>
      <c r="CP58" s="56">
        <v>0</v>
      </c>
      <c r="CQ58" s="56">
        <v>0</v>
      </c>
      <c r="CR58" s="56">
        <v>0</v>
      </c>
      <c r="CS58" s="56">
        <v>0</v>
      </c>
      <c r="CT58" s="56">
        <v>0</v>
      </c>
      <c r="CU58" s="56">
        <v>0</v>
      </c>
      <c r="CV58" s="56">
        <v>0</v>
      </c>
      <c r="CW58" s="56">
        <v>0</v>
      </c>
      <c r="CX58" s="56">
        <v>0</v>
      </c>
      <c r="CY58" s="56">
        <v>0</v>
      </c>
      <c r="CZ58" s="56">
        <v>0</v>
      </c>
      <c r="DA58" s="56">
        <v>0</v>
      </c>
      <c r="DB58" s="56">
        <v>0</v>
      </c>
      <c r="DC58" s="56">
        <v>0</v>
      </c>
      <c r="DD58" s="56">
        <v>0</v>
      </c>
      <c r="DE58" s="56">
        <v>0</v>
      </c>
      <c r="DF58" s="56">
        <v>0</v>
      </c>
      <c r="DG58" s="56">
        <v>0</v>
      </c>
      <c r="DH58" s="56">
        <v>0</v>
      </c>
      <c r="DI58" s="56">
        <v>0</v>
      </c>
      <c r="DJ58" s="56">
        <v>0</v>
      </c>
      <c r="DK58" s="56">
        <v>0</v>
      </c>
      <c r="DL58" s="56">
        <v>0</v>
      </c>
      <c r="DM58" s="56">
        <v>0</v>
      </c>
      <c r="DN58" s="56">
        <v>0</v>
      </c>
      <c r="DO58" s="56">
        <v>0</v>
      </c>
      <c r="DP58" s="56">
        <v>0</v>
      </c>
      <c r="DQ58" s="56">
        <v>0</v>
      </c>
      <c r="DR58" s="56">
        <v>0</v>
      </c>
      <c r="DS58" s="56">
        <v>0</v>
      </c>
      <c r="DT58" s="56">
        <v>0</v>
      </c>
      <c r="DU58" s="56">
        <v>0</v>
      </c>
      <c r="DV58" s="56">
        <v>0</v>
      </c>
      <c r="DW58" s="56">
        <v>0</v>
      </c>
      <c r="DX58" s="56">
        <v>0</v>
      </c>
      <c r="DY58" s="56">
        <v>0</v>
      </c>
      <c r="DZ58" s="56">
        <v>0</v>
      </c>
      <c r="EA58" s="56">
        <v>0</v>
      </c>
      <c r="EB58" s="56">
        <v>0</v>
      </c>
      <c r="EC58" s="56">
        <v>0</v>
      </c>
      <c r="ED58" s="56">
        <v>0</v>
      </c>
      <c r="EE58" s="56">
        <v>0</v>
      </c>
      <c r="EF58" s="56">
        <v>0</v>
      </c>
      <c r="EG58" s="56">
        <v>0</v>
      </c>
      <c r="EH58" s="56">
        <v>155.28</v>
      </c>
      <c r="EI58" s="56">
        <v>0</v>
      </c>
      <c r="EJ58" s="56">
        <v>0</v>
      </c>
      <c r="EK58" s="56">
        <v>0</v>
      </c>
      <c r="EL58" s="56">
        <v>0</v>
      </c>
      <c r="EM58" s="56">
        <v>0</v>
      </c>
      <c r="EN58" s="56">
        <v>0</v>
      </c>
      <c r="EO58" s="56">
        <v>0</v>
      </c>
      <c r="EP58" s="56">
        <v>0</v>
      </c>
      <c r="EQ58" s="56">
        <v>0</v>
      </c>
      <c r="ER58" s="56">
        <v>0</v>
      </c>
      <c r="ES58" s="56">
        <v>0</v>
      </c>
      <c r="ET58" s="56">
        <v>0</v>
      </c>
      <c r="EU58" s="56">
        <v>0</v>
      </c>
      <c r="EV58" s="56">
        <v>0</v>
      </c>
      <c r="EW58" s="56">
        <v>0</v>
      </c>
      <c r="EX58" s="56">
        <v>0</v>
      </c>
      <c r="EY58" s="56">
        <v>0</v>
      </c>
      <c r="EZ58" s="56">
        <v>0</v>
      </c>
      <c r="FA58" s="56">
        <v>0</v>
      </c>
      <c r="FB58" s="56">
        <v>0</v>
      </c>
      <c r="FC58" s="58">
        <v>0</v>
      </c>
      <c r="FD58" s="56">
        <v>0</v>
      </c>
      <c r="FE58" s="56">
        <v>0</v>
      </c>
      <c r="FF58" s="56">
        <v>0</v>
      </c>
      <c r="FG58" s="56">
        <v>0</v>
      </c>
      <c r="FH58" s="56">
        <v>0</v>
      </c>
      <c r="FI58" s="56">
        <v>0</v>
      </c>
      <c r="FJ58" s="56">
        <v>0</v>
      </c>
      <c r="FK58" s="56">
        <v>0</v>
      </c>
      <c r="FL58" s="56">
        <v>0</v>
      </c>
      <c r="FM58" s="56">
        <v>0</v>
      </c>
      <c r="FN58" s="56">
        <v>0</v>
      </c>
      <c r="FO58" s="56">
        <v>0</v>
      </c>
      <c r="FP58" s="56">
        <v>0</v>
      </c>
      <c r="FQ58" s="56">
        <v>0</v>
      </c>
      <c r="FR58" s="56">
        <v>0</v>
      </c>
      <c r="FS58" s="58">
        <v>0</v>
      </c>
      <c r="FT58" s="56">
        <v>0</v>
      </c>
      <c r="FU58" s="56">
        <v>0</v>
      </c>
      <c r="FV58" s="56">
        <v>0</v>
      </c>
      <c r="FW58" s="56">
        <v>0</v>
      </c>
      <c r="FX58" s="56">
        <v>0</v>
      </c>
      <c r="FY58" s="56">
        <v>0</v>
      </c>
      <c r="FZ58" s="54" t="s">
        <v>1083</v>
      </c>
      <c r="GA58" s="54" t="s">
        <v>1084</v>
      </c>
      <c r="GB58" s="54" t="s">
        <v>1072</v>
      </c>
      <c r="GC58" s="54" t="s">
        <v>1073</v>
      </c>
      <c r="GD58" s="54" t="s">
        <v>1183</v>
      </c>
      <c r="GE58" s="54" t="s">
        <v>1075</v>
      </c>
      <c r="GF58" s="54"/>
      <c r="GG58" s="55"/>
      <c r="GH58" s="54"/>
      <c r="GI58" s="54"/>
      <c r="GJ58" s="54" t="s">
        <v>1076</v>
      </c>
      <c r="GK58" s="54" t="s">
        <v>1077</v>
      </c>
      <c r="GL58" s="54"/>
      <c r="GM58" s="54"/>
      <c r="GN58" s="54" t="s">
        <v>1078</v>
      </c>
      <c r="GO58" s="54" t="s">
        <v>1059</v>
      </c>
      <c r="GP58" s="54"/>
      <c r="GQ58" s="56">
        <v>0</v>
      </c>
      <c r="GR58" s="54" t="s">
        <v>1079</v>
      </c>
      <c r="GS58" s="54"/>
    </row>
    <row r="59" spans="1:201" x14ac:dyDescent="0.25">
      <c r="A59" s="54" t="s">
        <v>1032</v>
      </c>
      <c r="B59" s="54" t="s">
        <v>1033</v>
      </c>
      <c r="C59" s="54" t="s">
        <v>1034</v>
      </c>
      <c r="D59" s="54" t="s">
        <v>1035</v>
      </c>
      <c r="E59" s="54" t="s">
        <v>1036</v>
      </c>
      <c r="F59" s="55">
        <v>46175</v>
      </c>
      <c r="G59" s="55">
        <v>46175</v>
      </c>
      <c r="H59" s="54" t="s">
        <v>1037</v>
      </c>
      <c r="I59" s="54" t="s">
        <v>1038</v>
      </c>
      <c r="J59" s="54" t="s">
        <v>1039</v>
      </c>
      <c r="K59" s="55"/>
      <c r="L59" s="54" t="s">
        <v>1040</v>
      </c>
      <c r="M59" s="54"/>
      <c r="N59" s="54" t="s">
        <v>1041</v>
      </c>
      <c r="O59" s="54" t="s">
        <v>1184</v>
      </c>
      <c r="P59" s="54" t="s">
        <v>217</v>
      </c>
      <c r="Q59" s="54" t="s">
        <v>50</v>
      </c>
      <c r="R59" s="54" t="s">
        <v>1043</v>
      </c>
      <c r="S59" s="56">
        <v>330</v>
      </c>
      <c r="T59" s="56">
        <v>0</v>
      </c>
      <c r="U59" s="56">
        <v>330</v>
      </c>
      <c r="V59" s="56">
        <v>0</v>
      </c>
      <c r="W59" s="56">
        <v>0</v>
      </c>
      <c r="X59" s="56">
        <v>0</v>
      </c>
      <c r="Y59" s="56">
        <v>0</v>
      </c>
      <c r="Z59" s="56">
        <v>60</v>
      </c>
      <c r="AA59" s="56">
        <v>0</v>
      </c>
      <c r="AB59" s="59">
        <v>60</v>
      </c>
      <c r="AC59" s="56">
        <v>0</v>
      </c>
      <c r="AD59" s="56">
        <v>0</v>
      </c>
      <c r="AE59" s="56">
        <v>0</v>
      </c>
      <c r="AF59" s="54" t="s">
        <v>1044</v>
      </c>
      <c r="AG59" s="57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 t="s">
        <v>1045</v>
      </c>
      <c r="AS59" s="54" t="s">
        <v>1046</v>
      </c>
      <c r="AT59" s="54" t="s">
        <v>1047</v>
      </c>
      <c r="AU59" s="54" t="s">
        <v>1048</v>
      </c>
      <c r="AV59" s="54"/>
      <c r="AW59" s="55">
        <v>46189</v>
      </c>
      <c r="AX59" s="55">
        <v>46175</v>
      </c>
      <c r="AY59" s="55">
        <v>46175</v>
      </c>
      <c r="AZ59" s="55"/>
      <c r="BA59" s="55">
        <v>46189</v>
      </c>
      <c r="BB59" s="56">
        <v>0</v>
      </c>
      <c r="BC59" s="56">
        <v>0</v>
      </c>
      <c r="BD59" s="56">
        <v>0</v>
      </c>
      <c r="BE59" s="56">
        <v>0</v>
      </c>
      <c r="BF59" s="56">
        <v>0</v>
      </c>
      <c r="BG59" s="56">
        <v>0</v>
      </c>
      <c r="BH59" s="56">
        <v>0</v>
      </c>
      <c r="BI59" s="56">
        <v>0</v>
      </c>
      <c r="BJ59" s="56">
        <v>0</v>
      </c>
      <c r="BK59" s="56">
        <v>0</v>
      </c>
      <c r="BL59" s="56">
        <v>0</v>
      </c>
      <c r="BM59" s="56">
        <v>0</v>
      </c>
      <c r="BN59" s="56">
        <v>0</v>
      </c>
      <c r="BO59" s="56">
        <v>0</v>
      </c>
      <c r="BP59" s="54" t="s">
        <v>1049</v>
      </c>
      <c r="BQ59" s="54" t="s">
        <v>1050</v>
      </c>
      <c r="BR59" s="54" t="s">
        <v>1049</v>
      </c>
      <c r="BS59" s="54" t="s">
        <v>1050</v>
      </c>
      <c r="BT59" s="54" t="s">
        <v>1051</v>
      </c>
      <c r="BU59" s="54" t="s">
        <v>1043</v>
      </c>
      <c r="BV59" s="58">
        <v>0</v>
      </c>
      <c r="BW59" s="54" t="s">
        <v>1052</v>
      </c>
      <c r="BX59" s="54" t="s">
        <v>1053</v>
      </c>
      <c r="BY59" s="54" t="s">
        <v>1054</v>
      </c>
      <c r="BZ59" s="54" t="s">
        <v>1055</v>
      </c>
      <c r="CA59" s="55"/>
      <c r="CB59" s="54" t="s">
        <v>1056</v>
      </c>
      <c r="CC59" s="54" t="s">
        <v>1057</v>
      </c>
      <c r="CD59" s="54" t="s">
        <v>1058</v>
      </c>
      <c r="CE59" s="54" t="s">
        <v>1059</v>
      </c>
      <c r="CF59" s="54" t="s">
        <v>1060</v>
      </c>
      <c r="CG59" s="54" t="s">
        <v>1061</v>
      </c>
      <c r="CH59" s="54" t="s">
        <v>1062</v>
      </c>
      <c r="CI59" s="54" t="s">
        <v>1063</v>
      </c>
      <c r="CJ59" s="54" t="s">
        <v>1064</v>
      </c>
      <c r="CK59" s="54" t="s">
        <v>1065</v>
      </c>
      <c r="CL59" s="54" t="s">
        <v>1066</v>
      </c>
      <c r="CM59" s="54" t="s">
        <v>1067</v>
      </c>
      <c r="CN59" s="54" t="s">
        <v>1068</v>
      </c>
      <c r="CO59" s="54" t="s">
        <v>1069</v>
      </c>
      <c r="CP59" s="56">
        <v>0</v>
      </c>
      <c r="CQ59" s="56">
        <v>0</v>
      </c>
      <c r="CR59" s="56">
        <v>0</v>
      </c>
      <c r="CS59" s="56">
        <v>0</v>
      </c>
      <c r="CT59" s="56">
        <v>0</v>
      </c>
      <c r="CU59" s="56">
        <v>0</v>
      </c>
      <c r="CV59" s="56">
        <v>0</v>
      </c>
      <c r="CW59" s="56">
        <v>0</v>
      </c>
      <c r="CX59" s="56">
        <v>0</v>
      </c>
      <c r="CY59" s="56">
        <v>0</v>
      </c>
      <c r="CZ59" s="56">
        <v>0</v>
      </c>
      <c r="DA59" s="56">
        <v>0</v>
      </c>
      <c r="DB59" s="56">
        <v>0</v>
      </c>
      <c r="DC59" s="56">
        <v>0</v>
      </c>
      <c r="DD59" s="56">
        <v>0</v>
      </c>
      <c r="DE59" s="56">
        <v>0</v>
      </c>
      <c r="DF59" s="56">
        <v>0</v>
      </c>
      <c r="DG59" s="56">
        <v>0</v>
      </c>
      <c r="DH59" s="56">
        <v>0</v>
      </c>
      <c r="DI59" s="56">
        <v>0</v>
      </c>
      <c r="DJ59" s="56">
        <v>0</v>
      </c>
      <c r="DK59" s="56">
        <v>0</v>
      </c>
      <c r="DL59" s="56">
        <v>0</v>
      </c>
      <c r="DM59" s="56">
        <v>0</v>
      </c>
      <c r="DN59" s="56">
        <v>0</v>
      </c>
      <c r="DO59" s="56">
        <v>0</v>
      </c>
      <c r="DP59" s="56">
        <v>0</v>
      </c>
      <c r="DQ59" s="56">
        <v>0</v>
      </c>
      <c r="DR59" s="56">
        <v>0</v>
      </c>
      <c r="DS59" s="56">
        <v>0</v>
      </c>
      <c r="DT59" s="56">
        <v>0</v>
      </c>
      <c r="DU59" s="56">
        <v>0</v>
      </c>
      <c r="DV59" s="56">
        <v>0</v>
      </c>
      <c r="DW59" s="56">
        <v>0</v>
      </c>
      <c r="DX59" s="56">
        <v>0</v>
      </c>
      <c r="DY59" s="56">
        <v>0</v>
      </c>
      <c r="DZ59" s="56">
        <v>0</v>
      </c>
      <c r="EA59" s="56">
        <v>0</v>
      </c>
      <c r="EB59" s="56">
        <v>0</v>
      </c>
      <c r="EC59" s="56">
        <v>39.6</v>
      </c>
      <c r="ED59" s="56">
        <v>0</v>
      </c>
      <c r="EE59" s="56">
        <v>0</v>
      </c>
      <c r="EF59" s="56">
        <v>0</v>
      </c>
      <c r="EG59" s="56">
        <v>0</v>
      </c>
      <c r="EH59" s="56">
        <v>39.6</v>
      </c>
      <c r="EI59" s="56">
        <v>0</v>
      </c>
      <c r="EJ59" s="56">
        <v>0</v>
      </c>
      <c r="EK59" s="56">
        <v>0</v>
      </c>
      <c r="EL59" s="56">
        <v>0</v>
      </c>
      <c r="EM59" s="56">
        <v>0</v>
      </c>
      <c r="EN59" s="56">
        <v>0</v>
      </c>
      <c r="EO59" s="56">
        <v>0</v>
      </c>
      <c r="EP59" s="56">
        <v>330</v>
      </c>
      <c r="EQ59" s="56">
        <v>0</v>
      </c>
      <c r="ER59" s="56">
        <v>0</v>
      </c>
      <c r="ES59" s="56">
        <v>60</v>
      </c>
      <c r="ET59" s="56">
        <v>0</v>
      </c>
      <c r="EU59" s="56">
        <v>0</v>
      </c>
      <c r="EV59" s="56">
        <v>0</v>
      </c>
      <c r="EW59" s="56">
        <v>0</v>
      </c>
      <c r="EX59" s="56">
        <v>0</v>
      </c>
      <c r="EY59" s="56">
        <v>0</v>
      </c>
      <c r="EZ59" s="56">
        <v>0</v>
      </c>
      <c r="FA59" s="56">
        <v>0</v>
      </c>
      <c r="FB59" s="56">
        <v>0</v>
      </c>
      <c r="FC59" s="58">
        <v>0</v>
      </c>
      <c r="FD59" s="56">
        <v>0</v>
      </c>
      <c r="FE59" s="56">
        <v>0</v>
      </c>
      <c r="FF59" s="56">
        <v>0</v>
      </c>
      <c r="FG59" s="56">
        <v>0</v>
      </c>
      <c r="FH59" s="56">
        <v>0</v>
      </c>
      <c r="FI59" s="56">
        <v>0</v>
      </c>
      <c r="FJ59" s="56">
        <v>0</v>
      </c>
      <c r="FK59" s="56">
        <v>0</v>
      </c>
      <c r="FL59" s="56">
        <v>0</v>
      </c>
      <c r="FM59" s="56">
        <v>0</v>
      </c>
      <c r="FN59" s="56">
        <v>0</v>
      </c>
      <c r="FO59" s="56">
        <v>0</v>
      </c>
      <c r="FP59" s="56">
        <v>0</v>
      </c>
      <c r="FQ59" s="56">
        <v>0</v>
      </c>
      <c r="FR59" s="56">
        <v>0</v>
      </c>
      <c r="FS59" s="58">
        <v>0</v>
      </c>
      <c r="FT59" s="56">
        <v>0</v>
      </c>
      <c r="FU59" s="56">
        <v>0</v>
      </c>
      <c r="FV59" s="56">
        <v>0</v>
      </c>
      <c r="FW59" s="56">
        <v>0</v>
      </c>
      <c r="FX59" s="56">
        <v>0</v>
      </c>
      <c r="FY59" s="56">
        <v>0</v>
      </c>
      <c r="FZ59" s="54" t="s">
        <v>1070</v>
      </c>
      <c r="GA59" s="54" t="s">
        <v>1071</v>
      </c>
      <c r="GB59" s="54" t="s">
        <v>1072</v>
      </c>
      <c r="GC59" s="54" t="s">
        <v>1073</v>
      </c>
      <c r="GD59" s="54" t="s">
        <v>1185</v>
      </c>
      <c r="GE59" s="54" t="s">
        <v>1075</v>
      </c>
      <c r="GF59" s="54" t="s">
        <v>1186</v>
      </c>
      <c r="GG59" s="55">
        <v>46205</v>
      </c>
      <c r="GH59" s="54"/>
      <c r="GI59" s="54"/>
      <c r="GJ59" s="54" t="s">
        <v>1076</v>
      </c>
      <c r="GK59" s="54" t="s">
        <v>1077</v>
      </c>
      <c r="GL59" s="54"/>
      <c r="GM59" s="54"/>
      <c r="GN59" s="54" t="s">
        <v>1078</v>
      </c>
      <c r="GO59" s="54" t="s">
        <v>1059</v>
      </c>
      <c r="GP59" s="54"/>
      <c r="GQ59" s="56">
        <v>0</v>
      </c>
      <c r="GR59" s="54" t="s">
        <v>1079</v>
      </c>
      <c r="GS59" s="54" t="s">
        <v>1101</v>
      </c>
    </row>
    <row r="60" spans="1:201" x14ac:dyDescent="0.25">
      <c r="A60" s="54" t="s">
        <v>1032</v>
      </c>
      <c r="B60" s="54" t="s">
        <v>1033</v>
      </c>
      <c r="C60" s="54" t="s">
        <v>1034</v>
      </c>
      <c r="D60" s="54" t="s">
        <v>1035</v>
      </c>
      <c r="E60" s="54" t="s">
        <v>1036</v>
      </c>
      <c r="F60" s="55">
        <v>46175</v>
      </c>
      <c r="G60" s="55">
        <v>46175</v>
      </c>
      <c r="H60" s="54" t="s">
        <v>1037</v>
      </c>
      <c r="I60" s="54" t="s">
        <v>1038</v>
      </c>
      <c r="J60" s="54" t="s">
        <v>1039</v>
      </c>
      <c r="K60" s="55"/>
      <c r="L60" s="54" t="s">
        <v>1040</v>
      </c>
      <c r="M60" s="54"/>
      <c r="N60" s="54" t="s">
        <v>1041</v>
      </c>
      <c r="O60" s="54" t="s">
        <v>1187</v>
      </c>
      <c r="P60" s="54" t="s">
        <v>402</v>
      </c>
      <c r="Q60" s="54" t="s">
        <v>56</v>
      </c>
      <c r="R60" s="54" t="s">
        <v>1043</v>
      </c>
      <c r="S60" s="56">
        <v>93.5</v>
      </c>
      <c r="T60" s="56">
        <v>93.5</v>
      </c>
      <c r="U60" s="56">
        <v>0</v>
      </c>
      <c r="V60" s="56">
        <v>0</v>
      </c>
      <c r="W60" s="56">
        <v>0</v>
      </c>
      <c r="X60" s="56">
        <v>0</v>
      </c>
      <c r="Y60" s="56">
        <v>0</v>
      </c>
      <c r="Z60" s="56">
        <v>50</v>
      </c>
      <c r="AA60" s="56">
        <v>50</v>
      </c>
      <c r="AB60" s="59">
        <v>0</v>
      </c>
      <c r="AC60" s="56">
        <v>0</v>
      </c>
      <c r="AD60" s="56">
        <v>0</v>
      </c>
      <c r="AE60" s="56">
        <v>0</v>
      </c>
      <c r="AF60" s="54" t="s">
        <v>1044</v>
      </c>
      <c r="AG60" s="57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 t="s">
        <v>1045</v>
      </c>
      <c r="AS60" s="54" t="s">
        <v>1046</v>
      </c>
      <c r="AT60" s="54" t="s">
        <v>1047</v>
      </c>
      <c r="AU60" s="54" t="s">
        <v>1048</v>
      </c>
      <c r="AV60" s="54"/>
      <c r="AW60" s="55">
        <v>46189</v>
      </c>
      <c r="AX60" s="55">
        <v>46175</v>
      </c>
      <c r="AY60" s="55">
        <v>46175</v>
      </c>
      <c r="AZ60" s="55">
        <v>46176</v>
      </c>
      <c r="BA60" s="55">
        <v>46189</v>
      </c>
      <c r="BB60" s="56">
        <v>0</v>
      </c>
      <c r="BC60" s="56">
        <v>0</v>
      </c>
      <c r="BD60" s="56">
        <v>0</v>
      </c>
      <c r="BE60" s="56">
        <v>0</v>
      </c>
      <c r="BF60" s="56">
        <v>0</v>
      </c>
      <c r="BG60" s="56">
        <v>0</v>
      </c>
      <c r="BH60" s="56">
        <v>0</v>
      </c>
      <c r="BI60" s="56">
        <v>0</v>
      </c>
      <c r="BJ60" s="56">
        <v>0</v>
      </c>
      <c r="BK60" s="56">
        <v>0</v>
      </c>
      <c r="BL60" s="56">
        <v>0</v>
      </c>
      <c r="BM60" s="56">
        <v>0</v>
      </c>
      <c r="BN60" s="56">
        <v>0</v>
      </c>
      <c r="BO60" s="56">
        <v>0</v>
      </c>
      <c r="BP60" s="54" t="s">
        <v>1049</v>
      </c>
      <c r="BQ60" s="54" t="s">
        <v>1050</v>
      </c>
      <c r="BR60" s="54" t="s">
        <v>1049</v>
      </c>
      <c r="BS60" s="54" t="s">
        <v>1050</v>
      </c>
      <c r="BT60" s="54" t="s">
        <v>1051</v>
      </c>
      <c r="BU60" s="54" t="s">
        <v>1043</v>
      </c>
      <c r="BV60" s="58">
        <v>50</v>
      </c>
      <c r="BW60" s="54" t="s">
        <v>1052</v>
      </c>
      <c r="BX60" s="54" t="s">
        <v>1053</v>
      </c>
      <c r="BY60" s="54" t="s">
        <v>1054</v>
      </c>
      <c r="BZ60" s="54" t="s">
        <v>1055</v>
      </c>
      <c r="CA60" s="55"/>
      <c r="CB60" s="54" t="s">
        <v>1056</v>
      </c>
      <c r="CC60" s="54" t="s">
        <v>1057</v>
      </c>
      <c r="CD60" s="54" t="s">
        <v>1058</v>
      </c>
      <c r="CE60" s="54" t="s">
        <v>1059</v>
      </c>
      <c r="CF60" s="54" t="s">
        <v>1060</v>
      </c>
      <c r="CG60" s="54" t="s">
        <v>1061</v>
      </c>
      <c r="CH60" s="54" t="s">
        <v>1062</v>
      </c>
      <c r="CI60" s="54" t="s">
        <v>1063</v>
      </c>
      <c r="CJ60" s="54" t="s">
        <v>1064</v>
      </c>
      <c r="CK60" s="54" t="s">
        <v>1065</v>
      </c>
      <c r="CL60" s="54" t="s">
        <v>1066</v>
      </c>
      <c r="CM60" s="54" t="s">
        <v>1067</v>
      </c>
      <c r="CN60" s="54" t="s">
        <v>1068</v>
      </c>
      <c r="CO60" s="54" t="s">
        <v>1069</v>
      </c>
      <c r="CP60" s="56">
        <v>0</v>
      </c>
      <c r="CQ60" s="56">
        <v>0</v>
      </c>
      <c r="CR60" s="56">
        <v>0</v>
      </c>
      <c r="CS60" s="56">
        <v>0</v>
      </c>
      <c r="CT60" s="56">
        <v>0</v>
      </c>
      <c r="CU60" s="56">
        <v>0</v>
      </c>
      <c r="CV60" s="56">
        <v>0</v>
      </c>
      <c r="CW60" s="56">
        <v>0</v>
      </c>
      <c r="CX60" s="56">
        <v>0</v>
      </c>
      <c r="CY60" s="56">
        <v>0</v>
      </c>
      <c r="CZ60" s="56">
        <v>0</v>
      </c>
      <c r="DA60" s="56">
        <v>0</v>
      </c>
      <c r="DB60" s="56">
        <v>0</v>
      </c>
      <c r="DC60" s="56">
        <v>0</v>
      </c>
      <c r="DD60" s="56">
        <v>0</v>
      </c>
      <c r="DE60" s="56">
        <v>0</v>
      </c>
      <c r="DF60" s="56">
        <v>0</v>
      </c>
      <c r="DG60" s="56">
        <v>0</v>
      </c>
      <c r="DH60" s="56">
        <v>0</v>
      </c>
      <c r="DI60" s="56">
        <v>0</v>
      </c>
      <c r="DJ60" s="56">
        <v>0</v>
      </c>
      <c r="DK60" s="56">
        <v>0</v>
      </c>
      <c r="DL60" s="56">
        <v>0</v>
      </c>
      <c r="DM60" s="56">
        <v>0</v>
      </c>
      <c r="DN60" s="56">
        <v>0</v>
      </c>
      <c r="DO60" s="56">
        <v>0</v>
      </c>
      <c r="DP60" s="56">
        <v>0</v>
      </c>
      <c r="DQ60" s="56">
        <v>0</v>
      </c>
      <c r="DR60" s="56">
        <v>0</v>
      </c>
      <c r="DS60" s="56">
        <v>0</v>
      </c>
      <c r="DT60" s="56">
        <v>0</v>
      </c>
      <c r="DU60" s="56">
        <v>0</v>
      </c>
      <c r="DV60" s="56">
        <v>0</v>
      </c>
      <c r="DW60" s="56">
        <v>0</v>
      </c>
      <c r="DX60" s="56">
        <v>0</v>
      </c>
      <c r="DY60" s="56">
        <v>0</v>
      </c>
      <c r="DZ60" s="56">
        <v>0</v>
      </c>
      <c r="EA60" s="56">
        <v>0</v>
      </c>
      <c r="EB60" s="56">
        <v>0</v>
      </c>
      <c r="EC60" s="56">
        <v>0</v>
      </c>
      <c r="ED60" s="56">
        <v>0</v>
      </c>
      <c r="EE60" s="56">
        <v>0</v>
      </c>
      <c r="EF60" s="56">
        <v>0</v>
      </c>
      <c r="EG60" s="56">
        <v>0</v>
      </c>
      <c r="EH60" s="56">
        <v>11.22</v>
      </c>
      <c r="EI60" s="56">
        <v>0</v>
      </c>
      <c r="EJ60" s="56">
        <v>0</v>
      </c>
      <c r="EK60" s="56">
        <v>0</v>
      </c>
      <c r="EL60" s="56">
        <v>0</v>
      </c>
      <c r="EM60" s="56">
        <v>0</v>
      </c>
      <c r="EN60" s="56">
        <v>0</v>
      </c>
      <c r="EO60" s="56">
        <v>0</v>
      </c>
      <c r="EP60" s="56">
        <v>0</v>
      </c>
      <c r="EQ60" s="56">
        <v>0</v>
      </c>
      <c r="ER60" s="56">
        <v>0</v>
      </c>
      <c r="ES60" s="56">
        <v>0</v>
      </c>
      <c r="ET60" s="56">
        <v>0</v>
      </c>
      <c r="EU60" s="56">
        <v>0</v>
      </c>
      <c r="EV60" s="56">
        <v>0</v>
      </c>
      <c r="EW60" s="56">
        <v>0</v>
      </c>
      <c r="EX60" s="56">
        <v>0</v>
      </c>
      <c r="EY60" s="56">
        <v>0</v>
      </c>
      <c r="EZ60" s="56">
        <v>0</v>
      </c>
      <c r="FA60" s="56">
        <v>0</v>
      </c>
      <c r="FB60" s="56">
        <v>0</v>
      </c>
      <c r="FC60" s="58">
        <v>0</v>
      </c>
      <c r="FD60" s="56">
        <v>0</v>
      </c>
      <c r="FE60" s="56">
        <v>0</v>
      </c>
      <c r="FF60" s="56">
        <v>0</v>
      </c>
      <c r="FG60" s="56">
        <v>0</v>
      </c>
      <c r="FH60" s="56">
        <v>0</v>
      </c>
      <c r="FI60" s="56">
        <v>0</v>
      </c>
      <c r="FJ60" s="56">
        <v>0</v>
      </c>
      <c r="FK60" s="56">
        <v>0</v>
      </c>
      <c r="FL60" s="56">
        <v>0</v>
      </c>
      <c r="FM60" s="56">
        <v>0</v>
      </c>
      <c r="FN60" s="56">
        <v>0</v>
      </c>
      <c r="FO60" s="56">
        <v>0</v>
      </c>
      <c r="FP60" s="56">
        <v>0</v>
      </c>
      <c r="FQ60" s="56">
        <v>0</v>
      </c>
      <c r="FR60" s="56">
        <v>0</v>
      </c>
      <c r="FS60" s="58">
        <v>0</v>
      </c>
      <c r="FT60" s="56">
        <v>0</v>
      </c>
      <c r="FU60" s="56">
        <v>0</v>
      </c>
      <c r="FV60" s="56">
        <v>0</v>
      </c>
      <c r="FW60" s="56">
        <v>0</v>
      </c>
      <c r="FX60" s="56">
        <v>0</v>
      </c>
      <c r="FY60" s="56">
        <v>0</v>
      </c>
      <c r="FZ60" s="54" t="s">
        <v>1070</v>
      </c>
      <c r="GA60" s="54" t="s">
        <v>1071</v>
      </c>
      <c r="GB60" s="54" t="s">
        <v>1072</v>
      </c>
      <c r="GC60" s="54" t="s">
        <v>1073</v>
      </c>
      <c r="GD60" s="54" t="s">
        <v>1188</v>
      </c>
      <c r="GE60" s="54" t="s">
        <v>1075</v>
      </c>
      <c r="GF60" s="54"/>
      <c r="GG60" s="55"/>
      <c r="GH60" s="54"/>
      <c r="GI60" s="54"/>
      <c r="GJ60" s="54" t="s">
        <v>1076</v>
      </c>
      <c r="GK60" s="54" t="s">
        <v>1077</v>
      </c>
      <c r="GL60" s="54"/>
      <c r="GM60" s="54"/>
      <c r="GN60" s="54" t="s">
        <v>1078</v>
      </c>
      <c r="GO60" s="54" t="s">
        <v>1059</v>
      </c>
      <c r="GP60" s="54"/>
      <c r="GQ60" s="56">
        <v>0</v>
      </c>
      <c r="GR60" s="54" t="s">
        <v>1079</v>
      </c>
      <c r="GS60" s="54"/>
    </row>
    <row r="61" spans="1:201" x14ac:dyDescent="0.25">
      <c r="A61" s="54" t="s">
        <v>1032</v>
      </c>
      <c r="B61" s="54" t="s">
        <v>1033</v>
      </c>
      <c r="C61" s="54" t="s">
        <v>1034</v>
      </c>
      <c r="D61" s="54" t="s">
        <v>1035</v>
      </c>
      <c r="E61" s="54" t="s">
        <v>1036</v>
      </c>
      <c r="F61" s="55">
        <v>46175</v>
      </c>
      <c r="G61" s="55">
        <v>46175</v>
      </c>
      <c r="H61" s="54" t="s">
        <v>1037</v>
      </c>
      <c r="I61" s="54" t="s">
        <v>1038</v>
      </c>
      <c r="J61" s="54" t="s">
        <v>1039</v>
      </c>
      <c r="K61" s="55"/>
      <c r="L61" s="54" t="s">
        <v>1040</v>
      </c>
      <c r="M61" s="54"/>
      <c r="N61" s="54" t="s">
        <v>1041</v>
      </c>
      <c r="O61" s="54" t="s">
        <v>1189</v>
      </c>
      <c r="P61" s="54" t="s">
        <v>224</v>
      </c>
      <c r="Q61" s="54" t="s">
        <v>59</v>
      </c>
      <c r="R61" s="54" t="s">
        <v>1043</v>
      </c>
      <c r="S61" s="56">
        <v>4935</v>
      </c>
      <c r="T61" s="56">
        <v>4935</v>
      </c>
      <c r="U61" s="56">
        <v>0</v>
      </c>
      <c r="V61" s="56">
        <v>0</v>
      </c>
      <c r="W61" s="56">
        <v>0</v>
      </c>
      <c r="X61" s="56">
        <v>0</v>
      </c>
      <c r="Y61" s="56">
        <v>0</v>
      </c>
      <c r="Z61" s="56">
        <v>1500</v>
      </c>
      <c r="AA61" s="56">
        <v>1500</v>
      </c>
      <c r="AB61" s="59">
        <v>0</v>
      </c>
      <c r="AC61" s="56">
        <v>0</v>
      </c>
      <c r="AD61" s="56">
        <v>0</v>
      </c>
      <c r="AE61" s="56">
        <v>0</v>
      </c>
      <c r="AF61" s="54" t="s">
        <v>1044</v>
      </c>
      <c r="AG61" s="57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 t="s">
        <v>1045</v>
      </c>
      <c r="AS61" s="54" t="s">
        <v>1046</v>
      </c>
      <c r="AT61" s="54" t="s">
        <v>1047</v>
      </c>
      <c r="AU61" s="54" t="s">
        <v>1048</v>
      </c>
      <c r="AV61" s="54"/>
      <c r="AW61" s="55">
        <v>46189</v>
      </c>
      <c r="AX61" s="55">
        <v>46175</v>
      </c>
      <c r="AY61" s="55">
        <v>46175</v>
      </c>
      <c r="AZ61" s="55">
        <v>46176</v>
      </c>
      <c r="BA61" s="55">
        <v>46189</v>
      </c>
      <c r="BB61" s="56">
        <v>0</v>
      </c>
      <c r="BC61" s="56">
        <v>0</v>
      </c>
      <c r="BD61" s="56">
        <v>0</v>
      </c>
      <c r="BE61" s="56">
        <v>0</v>
      </c>
      <c r="BF61" s="56">
        <v>0</v>
      </c>
      <c r="BG61" s="56">
        <v>0</v>
      </c>
      <c r="BH61" s="56">
        <v>0</v>
      </c>
      <c r="BI61" s="56">
        <v>0</v>
      </c>
      <c r="BJ61" s="56">
        <v>0</v>
      </c>
      <c r="BK61" s="56">
        <v>0</v>
      </c>
      <c r="BL61" s="56">
        <v>0</v>
      </c>
      <c r="BM61" s="56">
        <v>0</v>
      </c>
      <c r="BN61" s="56">
        <v>0</v>
      </c>
      <c r="BO61" s="56">
        <v>0</v>
      </c>
      <c r="BP61" s="54" t="s">
        <v>1049</v>
      </c>
      <c r="BQ61" s="54" t="s">
        <v>1050</v>
      </c>
      <c r="BR61" s="54" t="s">
        <v>1049</v>
      </c>
      <c r="BS61" s="54" t="s">
        <v>1050</v>
      </c>
      <c r="BT61" s="54" t="s">
        <v>1051</v>
      </c>
      <c r="BU61" s="54" t="s">
        <v>1043</v>
      </c>
      <c r="BV61" s="58">
        <v>1500</v>
      </c>
      <c r="BW61" s="54" t="s">
        <v>1052</v>
      </c>
      <c r="BX61" s="54" t="s">
        <v>1053</v>
      </c>
      <c r="BY61" s="54" t="s">
        <v>1054</v>
      </c>
      <c r="BZ61" s="54" t="s">
        <v>1055</v>
      </c>
      <c r="CA61" s="55"/>
      <c r="CB61" s="54" t="s">
        <v>1056</v>
      </c>
      <c r="CC61" s="54" t="s">
        <v>1057</v>
      </c>
      <c r="CD61" s="54" t="s">
        <v>1058</v>
      </c>
      <c r="CE61" s="54" t="s">
        <v>1059</v>
      </c>
      <c r="CF61" s="54" t="s">
        <v>1060</v>
      </c>
      <c r="CG61" s="54" t="s">
        <v>1061</v>
      </c>
      <c r="CH61" s="54" t="s">
        <v>1062</v>
      </c>
      <c r="CI61" s="54" t="s">
        <v>1063</v>
      </c>
      <c r="CJ61" s="54" t="s">
        <v>1064</v>
      </c>
      <c r="CK61" s="54" t="s">
        <v>1065</v>
      </c>
      <c r="CL61" s="54" t="s">
        <v>1066</v>
      </c>
      <c r="CM61" s="54" t="s">
        <v>1067</v>
      </c>
      <c r="CN61" s="54" t="s">
        <v>1068</v>
      </c>
      <c r="CO61" s="54" t="s">
        <v>1069</v>
      </c>
      <c r="CP61" s="56">
        <v>0</v>
      </c>
      <c r="CQ61" s="56">
        <v>0</v>
      </c>
      <c r="CR61" s="56">
        <v>0</v>
      </c>
      <c r="CS61" s="56">
        <v>0</v>
      </c>
      <c r="CT61" s="56">
        <v>0</v>
      </c>
      <c r="CU61" s="56">
        <v>0</v>
      </c>
      <c r="CV61" s="56">
        <v>0</v>
      </c>
      <c r="CW61" s="56">
        <v>0</v>
      </c>
      <c r="CX61" s="56">
        <v>0</v>
      </c>
      <c r="CY61" s="56">
        <v>0</v>
      </c>
      <c r="CZ61" s="56">
        <v>0</v>
      </c>
      <c r="DA61" s="56">
        <v>0</v>
      </c>
      <c r="DB61" s="56">
        <v>0</v>
      </c>
      <c r="DC61" s="56">
        <v>0</v>
      </c>
      <c r="DD61" s="56">
        <v>0</v>
      </c>
      <c r="DE61" s="56">
        <v>0</v>
      </c>
      <c r="DF61" s="56">
        <v>0</v>
      </c>
      <c r="DG61" s="56">
        <v>0</v>
      </c>
      <c r="DH61" s="56">
        <v>0</v>
      </c>
      <c r="DI61" s="56">
        <v>0</v>
      </c>
      <c r="DJ61" s="56">
        <v>0</v>
      </c>
      <c r="DK61" s="56">
        <v>0</v>
      </c>
      <c r="DL61" s="56">
        <v>0</v>
      </c>
      <c r="DM61" s="56">
        <v>0</v>
      </c>
      <c r="DN61" s="56">
        <v>0</v>
      </c>
      <c r="DO61" s="56">
        <v>0</v>
      </c>
      <c r="DP61" s="56">
        <v>0</v>
      </c>
      <c r="DQ61" s="56">
        <v>0</v>
      </c>
      <c r="DR61" s="56">
        <v>0</v>
      </c>
      <c r="DS61" s="56">
        <v>0</v>
      </c>
      <c r="DT61" s="56">
        <v>0</v>
      </c>
      <c r="DU61" s="56">
        <v>0</v>
      </c>
      <c r="DV61" s="56">
        <v>0</v>
      </c>
      <c r="DW61" s="56">
        <v>0</v>
      </c>
      <c r="DX61" s="56">
        <v>0</v>
      </c>
      <c r="DY61" s="56">
        <v>0</v>
      </c>
      <c r="DZ61" s="56">
        <v>0</v>
      </c>
      <c r="EA61" s="56">
        <v>0</v>
      </c>
      <c r="EB61" s="56">
        <v>0</v>
      </c>
      <c r="EC61" s="56">
        <v>0</v>
      </c>
      <c r="ED61" s="56">
        <v>0</v>
      </c>
      <c r="EE61" s="56">
        <v>0</v>
      </c>
      <c r="EF61" s="56">
        <v>0</v>
      </c>
      <c r="EG61" s="56">
        <v>0</v>
      </c>
      <c r="EH61" s="56">
        <v>592.20000000000005</v>
      </c>
      <c r="EI61" s="56">
        <v>0</v>
      </c>
      <c r="EJ61" s="56">
        <v>0</v>
      </c>
      <c r="EK61" s="56">
        <v>0</v>
      </c>
      <c r="EL61" s="56">
        <v>0</v>
      </c>
      <c r="EM61" s="56">
        <v>0</v>
      </c>
      <c r="EN61" s="56">
        <v>0</v>
      </c>
      <c r="EO61" s="56">
        <v>0</v>
      </c>
      <c r="EP61" s="56">
        <v>0</v>
      </c>
      <c r="EQ61" s="56">
        <v>0</v>
      </c>
      <c r="ER61" s="56">
        <v>0</v>
      </c>
      <c r="ES61" s="56">
        <v>0</v>
      </c>
      <c r="ET61" s="56">
        <v>0</v>
      </c>
      <c r="EU61" s="56">
        <v>0</v>
      </c>
      <c r="EV61" s="56">
        <v>0</v>
      </c>
      <c r="EW61" s="56">
        <v>0</v>
      </c>
      <c r="EX61" s="56">
        <v>0</v>
      </c>
      <c r="EY61" s="56">
        <v>0</v>
      </c>
      <c r="EZ61" s="56">
        <v>0</v>
      </c>
      <c r="FA61" s="56">
        <v>0</v>
      </c>
      <c r="FB61" s="56">
        <v>0</v>
      </c>
      <c r="FC61" s="58">
        <v>0</v>
      </c>
      <c r="FD61" s="56">
        <v>0</v>
      </c>
      <c r="FE61" s="56">
        <v>0</v>
      </c>
      <c r="FF61" s="56">
        <v>0</v>
      </c>
      <c r="FG61" s="56">
        <v>0</v>
      </c>
      <c r="FH61" s="56">
        <v>0</v>
      </c>
      <c r="FI61" s="56">
        <v>0</v>
      </c>
      <c r="FJ61" s="56">
        <v>0</v>
      </c>
      <c r="FK61" s="56">
        <v>0</v>
      </c>
      <c r="FL61" s="56">
        <v>0</v>
      </c>
      <c r="FM61" s="56">
        <v>0</v>
      </c>
      <c r="FN61" s="56">
        <v>0</v>
      </c>
      <c r="FO61" s="56">
        <v>0</v>
      </c>
      <c r="FP61" s="56">
        <v>0</v>
      </c>
      <c r="FQ61" s="56">
        <v>0</v>
      </c>
      <c r="FR61" s="56">
        <v>0</v>
      </c>
      <c r="FS61" s="58">
        <v>0</v>
      </c>
      <c r="FT61" s="56">
        <v>0</v>
      </c>
      <c r="FU61" s="56">
        <v>0</v>
      </c>
      <c r="FV61" s="56">
        <v>0</v>
      </c>
      <c r="FW61" s="56">
        <v>0</v>
      </c>
      <c r="FX61" s="56">
        <v>0</v>
      </c>
      <c r="FY61" s="56">
        <v>0</v>
      </c>
      <c r="FZ61" s="54" t="s">
        <v>1083</v>
      </c>
      <c r="GA61" s="54" t="s">
        <v>1084</v>
      </c>
      <c r="GB61" s="54" t="s">
        <v>1072</v>
      </c>
      <c r="GC61" s="54" t="s">
        <v>1073</v>
      </c>
      <c r="GD61" s="54" t="s">
        <v>1190</v>
      </c>
      <c r="GE61" s="54" t="s">
        <v>1075</v>
      </c>
      <c r="GF61" s="54"/>
      <c r="GG61" s="55"/>
      <c r="GH61" s="54"/>
      <c r="GI61" s="54"/>
      <c r="GJ61" s="54" t="s">
        <v>1076</v>
      </c>
      <c r="GK61" s="54" t="s">
        <v>1077</v>
      </c>
      <c r="GL61" s="54"/>
      <c r="GM61" s="54"/>
      <c r="GN61" s="54" t="s">
        <v>1078</v>
      </c>
      <c r="GO61" s="54" t="s">
        <v>1059</v>
      </c>
      <c r="GP61" s="54"/>
      <c r="GQ61" s="56">
        <v>0</v>
      </c>
      <c r="GR61" s="54" t="s">
        <v>1079</v>
      </c>
      <c r="GS61" s="54"/>
    </row>
    <row r="62" spans="1:201" x14ac:dyDescent="0.25">
      <c r="A62" s="54" t="s">
        <v>1032</v>
      </c>
      <c r="B62" s="54" t="s">
        <v>1033</v>
      </c>
      <c r="C62" s="54" t="s">
        <v>1034</v>
      </c>
      <c r="D62" s="54" t="s">
        <v>1035</v>
      </c>
      <c r="E62" s="54" t="s">
        <v>1036</v>
      </c>
      <c r="F62" s="55">
        <v>46175</v>
      </c>
      <c r="G62" s="55">
        <v>46175</v>
      </c>
      <c r="H62" s="54" t="s">
        <v>1037</v>
      </c>
      <c r="I62" s="54" t="s">
        <v>1038</v>
      </c>
      <c r="J62" s="54" t="s">
        <v>1039</v>
      </c>
      <c r="K62" s="55"/>
      <c r="L62" s="54" t="s">
        <v>1040</v>
      </c>
      <c r="M62" s="54"/>
      <c r="N62" s="54" t="s">
        <v>1041</v>
      </c>
      <c r="O62" s="54" t="s">
        <v>1191</v>
      </c>
      <c r="P62" s="54" t="s">
        <v>226</v>
      </c>
      <c r="Q62" s="54" t="s">
        <v>61</v>
      </c>
      <c r="R62" s="54" t="s">
        <v>1043</v>
      </c>
      <c r="S62" s="56">
        <v>8588.4</v>
      </c>
      <c r="T62" s="56">
        <v>8588.4</v>
      </c>
      <c r="U62" s="56">
        <v>0</v>
      </c>
      <c r="V62" s="56">
        <v>0</v>
      </c>
      <c r="W62" s="56">
        <v>0</v>
      </c>
      <c r="X62" s="56">
        <v>0</v>
      </c>
      <c r="Y62" s="56">
        <v>0</v>
      </c>
      <c r="Z62" s="56">
        <v>1020</v>
      </c>
      <c r="AA62" s="56">
        <v>1020</v>
      </c>
      <c r="AB62" s="59">
        <v>0</v>
      </c>
      <c r="AC62" s="56">
        <v>0</v>
      </c>
      <c r="AD62" s="56">
        <v>0</v>
      </c>
      <c r="AE62" s="56">
        <v>0</v>
      </c>
      <c r="AF62" s="54" t="s">
        <v>1044</v>
      </c>
      <c r="AG62" s="57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 t="s">
        <v>1045</v>
      </c>
      <c r="AS62" s="54" t="s">
        <v>1046</v>
      </c>
      <c r="AT62" s="54" t="s">
        <v>1047</v>
      </c>
      <c r="AU62" s="54" t="s">
        <v>1048</v>
      </c>
      <c r="AV62" s="54"/>
      <c r="AW62" s="55">
        <v>46189</v>
      </c>
      <c r="AX62" s="55">
        <v>46175</v>
      </c>
      <c r="AY62" s="55">
        <v>46175</v>
      </c>
      <c r="AZ62" s="55">
        <v>46191</v>
      </c>
      <c r="BA62" s="55">
        <v>46189</v>
      </c>
      <c r="BB62" s="56">
        <v>0</v>
      </c>
      <c r="BC62" s="56">
        <v>0</v>
      </c>
      <c r="BD62" s="56">
        <v>0</v>
      </c>
      <c r="BE62" s="56">
        <v>0</v>
      </c>
      <c r="BF62" s="56">
        <v>0</v>
      </c>
      <c r="BG62" s="56">
        <v>0</v>
      </c>
      <c r="BH62" s="56">
        <v>0</v>
      </c>
      <c r="BI62" s="56">
        <v>0</v>
      </c>
      <c r="BJ62" s="56">
        <v>0</v>
      </c>
      <c r="BK62" s="56">
        <v>0</v>
      </c>
      <c r="BL62" s="56">
        <v>0</v>
      </c>
      <c r="BM62" s="56">
        <v>0</v>
      </c>
      <c r="BN62" s="56">
        <v>0</v>
      </c>
      <c r="BO62" s="56">
        <v>0</v>
      </c>
      <c r="BP62" s="54" t="s">
        <v>1049</v>
      </c>
      <c r="BQ62" s="54" t="s">
        <v>1050</v>
      </c>
      <c r="BR62" s="54" t="s">
        <v>1049</v>
      </c>
      <c r="BS62" s="54" t="s">
        <v>1050</v>
      </c>
      <c r="BT62" s="54" t="s">
        <v>1051</v>
      </c>
      <c r="BU62" s="54" t="s">
        <v>1043</v>
      </c>
      <c r="BV62" s="58">
        <v>1020</v>
      </c>
      <c r="BW62" s="54" t="s">
        <v>1052</v>
      </c>
      <c r="BX62" s="54" t="s">
        <v>1053</v>
      </c>
      <c r="BY62" s="54" t="s">
        <v>1054</v>
      </c>
      <c r="BZ62" s="54" t="s">
        <v>1055</v>
      </c>
      <c r="CA62" s="55"/>
      <c r="CB62" s="54" t="s">
        <v>1056</v>
      </c>
      <c r="CC62" s="54" t="s">
        <v>1057</v>
      </c>
      <c r="CD62" s="54" t="s">
        <v>1058</v>
      </c>
      <c r="CE62" s="54" t="s">
        <v>1059</v>
      </c>
      <c r="CF62" s="54" t="s">
        <v>1060</v>
      </c>
      <c r="CG62" s="54" t="s">
        <v>1061</v>
      </c>
      <c r="CH62" s="54" t="s">
        <v>1062</v>
      </c>
      <c r="CI62" s="54" t="s">
        <v>1063</v>
      </c>
      <c r="CJ62" s="54" t="s">
        <v>1064</v>
      </c>
      <c r="CK62" s="54" t="s">
        <v>1065</v>
      </c>
      <c r="CL62" s="54" t="s">
        <v>1066</v>
      </c>
      <c r="CM62" s="54" t="s">
        <v>1067</v>
      </c>
      <c r="CN62" s="54" t="s">
        <v>1068</v>
      </c>
      <c r="CO62" s="54" t="s">
        <v>1069</v>
      </c>
      <c r="CP62" s="56">
        <v>0</v>
      </c>
      <c r="CQ62" s="56">
        <v>0</v>
      </c>
      <c r="CR62" s="56">
        <v>0</v>
      </c>
      <c r="CS62" s="56">
        <v>0</v>
      </c>
      <c r="CT62" s="56">
        <v>0</v>
      </c>
      <c r="CU62" s="56">
        <v>0</v>
      </c>
      <c r="CV62" s="56">
        <v>0</v>
      </c>
      <c r="CW62" s="56">
        <v>0</v>
      </c>
      <c r="CX62" s="56">
        <v>0</v>
      </c>
      <c r="CY62" s="56">
        <v>0</v>
      </c>
      <c r="CZ62" s="56">
        <v>0</v>
      </c>
      <c r="DA62" s="56">
        <v>0</v>
      </c>
      <c r="DB62" s="56">
        <v>0</v>
      </c>
      <c r="DC62" s="56">
        <v>0</v>
      </c>
      <c r="DD62" s="56">
        <v>0</v>
      </c>
      <c r="DE62" s="56">
        <v>0</v>
      </c>
      <c r="DF62" s="56">
        <v>0</v>
      </c>
      <c r="DG62" s="56">
        <v>0</v>
      </c>
      <c r="DH62" s="56">
        <v>0</v>
      </c>
      <c r="DI62" s="56">
        <v>0</v>
      </c>
      <c r="DJ62" s="56">
        <v>0</v>
      </c>
      <c r="DK62" s="56">
        <v>0</v>
      </c>
      <c r="DL62" s="56">
        <v>0</v>
      </c>
      <c r="DM62" s="56">
        <v>0</v>
      </c>
      <c r="DN62" s="56">
        <v>0</v>
      </c>
      <c r="DO62" s="56">
        <v>0</v>
      </c>
      <c r="DP62" s="56">
        <v>0</v>
      </c>
      <c r="DQ62" s="56">
        <v>0</v>
      </c>
      <c r="DR62" s="56">
        <v>0</v>
      </c>
      <c r="DS62" s="56">
        <v>0</v>
      </c>
      <c r="DT62" s="56">
        <v>0</v>
      </c>
      <c r="DU62" s="56">
        <v>0</v>
      </c>
      <c r="DV62" s="56">
        <v>0</v>
      </c>
      <c r="DW62" s="56">
        <v>0</v>
      </c>
      <c r="DX62" s="56">
        <v>0</v>
      </c>
      <c r="DY62" s="56">
        <v>0</v>
      </c>
      <c r="DZ62" s="56">
        <v>0</v>
      </c>
      <c r="EA62" s="56">
        <v>0</v>
      </c>
      <c r="EB62" s="56">
        <v>0</v>
      </c>
      <c r="EC62" s="56">
        <v>0</v>
      </c>
      <c r="ED62" s="56">
        <v>0</v>
      </c>
      <c r="EE62" s="56">
        <v>0</v>
      </c>
      <c r="EF62" s="56">
        <v>0</v>
      </c>
      <c r="EG62" s="56">
        <v>0</v>
      </c>
      <c r="EH62" s="56">
        <v>1030.6099999999999</v>
      </c>
      <c r="EI62" s="56">
        <v>0</v>
      </c>
      <c r="EJ62" s="56">
        <v>0</v>
      </c>
      <c r="EK62" s="56">
        <v>0</v>
      </c>
      <c r="EL62" s="56">
        <v>0</v>
      </c>
      <c r="EM62" s="56">
        <v>0</v>
      </c>
      <c r="EN62" s="56">
        <v>0</v>
      </c>
      <c r="EO62" s="56">
        <v>0</v>
      </c>
      <c r="EP62" s="56">
        <v>0</v>
      </c>
      <c r="EQ62" s="56">
        <v>0</v>
      </c>
      <c r="ER62" s="56">
        <v>0</v>
      </c>
      <c r="ES62" s="56">
        <v>0</v>
      </c>
      <c r="ET62" s="56">
        <v>0</v>
      </c>
      <c r="EU62" s="56">
        <v>0</v>
      </c>
      <c r="EV62" s="56">
        <v>0</v>
      </c>
      <c r="EW62" s="56">
        <v>0</v>
      </c>
      <c r="EX62" s="56">
        <v>0</v>
      </c>
      <c r="EY62" s="56">
        <v>0</v>
      </c>
      <c r="EZ62" s="56">
        <v>0</v>
      </c>
      <c r="FA62" s="56">
        <v>0</v>
      </c>
      <c r="FB62" s="56">
        <v>0</v>
      </c>
      <c r="FC62" s="58">
        <v>0</v>
      </c>
      <c r="FD62" s="56">
        <v>0</v>
      </c>
      <c r="FE62" s="56">
        <v>0</v>
      </c>
      <c r="FF62" s="56">
        <v>0</v>
      </c>
      <c r="FG62" s="56">
        <v>0</v>
      </c>
      <c r="FH62" s="56">
        <v>0</v>
      </c>
      <c r="FI62" s="56">
        <v>0</v>
      </c>
      <c r="FJ62" s="56">
        <v>0</v>
      </c>
      <c r="FK62" s="56">
        <v>0</v>
      </c>
      <c r="FL62" s="56">
        <v>0</v>
      </c>
      <c r="FM62" s="56">
        <v>0</v>
      </c>
      <c r="FN62" s="56">
        <v>0</v>
      </c>
      <c r="FO62" s="56">
        <v>0</v>
      </c>
      <c r="FP62" s="56">
        <v>0</v>
      </c>
      <c r="FQ62" s="56">
        <v>0</v>
      </c>
      <c r="FR62" s="56">
        <v>0</v>
      </c>
      <c r="FS62" s="58">
        <v>0</v>
      </c>
      <c r="FT62" s="56">
        <v>0</v>
      </c>
      <c r="FU62" s="56">
        <v>0</v>
      </c>
      <c r="FV62" s="56">
        <v>0</v>
      </c>
      <c r="FW62" s="56">
        <v>0</v>
      </c>
      <c r="FX62" s="56">
        <v>0</v>
      </c>
      <c r="FY62" s="56">
        <v>0</v>
      </c>
      <c r="FZ62" s="54" t="s">
        <v>1070</v>
      </c>
      <c r="GA62" s="54" t="s">
        <v>1071</v>
      </c>
      <c r="GB62" s="54" t="s">
        <v>1072</v>
      </c>
      <c r="GC62" s="54" t="s">
        <v>1073</v>
      </c>
      <c r="GD62" s="54" t="s">
        <v>1192</v>
      </c>
      <c r="GE62" s="54" t="s">
        <v>1075</v>
      </c>
      <c r="GF62" s="54"/>
      <c r="GG62" s="55"/>
      <c r="GH62" s="54"/>
      <c r="GI62" s="54"/>
      <c r="GJ62" s="54" t="s">
        <v>1076</v>
      </c>
      <c r="GK62" s="54" t="s">
        <v>1077</v>
      </c>
      <c r="GL62" s="54"/>
      <c r="GM62" s="54"/>
      <c r="GN62" s="54" t="s">
        <v>1078</v>
      </c>
      <c r="GO62" s="54" t="s">
        <v>1059</v>
      </c>
      <c r="GP62" s="54"/>
      <c r="GQ62" s="56">
        <v>0</v>
      </c>
      <c r="GR62" s="54" t="s">
        <v>1079</v>
      </c>
      <c r="GS62" s="54"/>
    </row>
    <row r="63" spans="1:201" x14ac:dyDescent="0.25">
      <c r="A63" s="54" t="s">
        <v>1032</v>
      </c>
      <c r="B63" s="54" t="s">
        <v>1033</v>
      </c>
      <c r="C63" s="54" t="s">
        <v>1034</v>
      </c>
      <c r="D63" s="54" t="s">
        <v>1035</v>
      </c>
      <c r="E63" s="54" t="s">
        <v>1036</v>
      </c>
      <c r="F63" s="55">
        <v>46175</v>
      </c>
      <c r="G63" s="55">
        <v>46175</v>
      </c>
      <c r="H63" s="54" t="s">
        <v>1037</v>
      </c>
      <c r="I63" s="54" t="s">
        <v>1038</v>
      </c>
      <c r="J63" s="54" t="s">
        <v>1039</v>
      </c>
      <c r="K63" s="55"/>
      <c r="L63" s="54" t="s">
        <v>1040</v>
      </c>
      <c r="M63" s="54"/>
      <c r="N63" s="54" t="s">
        <v>1041</v>
      </c>
      <c r="O63" s="54" t="s">
        <v>1193</v>
      </c>
      <c r="P63" s="54" t="s">
        <v>809</v>
      </c>
      <c r="Q63" s="54" t="s">
        <v>813</v>
      </c>
      <c r="R63" s="54" t="s">
        <v>1043</v>
      </c>
      <c r="S63" s="56">
        <v>139.80000000000001</v>
      </c>
      <c r="T63" s="56">
        <v>139.80000000000001</v>
      </c>
      <c r="U63" s="56">
        <v>0</v>
      </c>
      <c r="V63" s="56">
        <v>0</v>
      </c>
      <c r="W63" s="56">
        <v>0</v>
      </c>
      <c r="X63" s="56">
        <v>0</v>
      </c>
      <c r="Y63" s="56">
        <v>0</v>
      </c>
      <c r="Z63" s="56">
        <v>60</v>
      </c>
      <c r="AA63" s="56">
        <v>60</v>
      </c>
      <c r="AB63" s="59">
        <v>0</v>
      </c>
      <c r="AC63" s="56">
        <v>0</v>
      </c>
      <c r="AD63" s="56">
        <v>0</v>
      </c>
      <c r="AE63" s="56">
        <v>0</v>
      </c>
      <c r="AF63" s="54" t="s">
        <v>1044</v>
      </c>
      <c r="AG63" s="57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 t="s">
        <v>1045</v>
      </c>
      <c r="AS63" s="54" t="s">
        <v>1046</v>
      </c>
      <c r="AT63" s="54" t="s">
        <v>1047</v>
      </c>
      <c r="AU63" s="54" t="s">
        <v>1048</v>
      </c>
      <c r="AV63" s="54"/>
      <c r="AW63" s="55">
        <v>46189</v>
      </c>
      <c r="AX63" s="55">
        <v>46175</v>
      </c>
      <c r="AY63" s="55">
        <v>46175</v>
      </c>
      <c r="AZ63" s="55">
        <v>46176</v>
      </c>
      <c r="BA63" s="55">
        <v>46189</v>
      </c>
      <c r="BB63" s="56">
        <v>0</v>
      </c>
      <c r="BC63" s="56">
        <v>0</v>
      </c>
      <c r="BD63" s="56">
        <v>0</v>
      </c>
      <c r="BE63" s="56">
        <v>0</v>
      </c>
      <c r="BF63" s="56">
        <v>0</v>
      </c>
      <c r="BG63" s="56">
        <v>0</v>
      </c>
      <c r="BH63" s="56">
        <v>0</v>
      </c>
      <c r="BI63" s="56">
        <v>0</v>
      </c>
      <c r="BJ63" s="56">
        <v>0</v>
      </c>
      <c r="BK63" s="56">
        <v>0</v>
      </c>
      <c r="BL63" s="56">
        <v>0</v>
      </c>
      <c r="BM63" s="56">
        <v>0</v>
      </c>
      <c r="BN63" s="56">
        <v>0</v>
      </c>
      <c r="BO63" s="56">
        <v>0</v>
      </c>
      <c r="BP63" s="54" t="s">
        <v>1049</v>
      </c>
      <c r="BQ63" s="54" t="s">
        <v>1050</v>
      </c>
      <c r="BR63" s="54" t="s">
        <v>1049</v>
      </c>
      <c r="BS63" s="54" t="s">
        <v>1050</v>
      </c>
      <c r="BT63" s="54" t="s">
        <v>1051</v>
      </c>
      <c r="BU63" s="54" t="s">
        <v>1043</v>
      </c>
      <c r="BV63" s="58">
        <v>60</v>
      </c>
      <c r="BW63" s="54" t="s">
        <v>1052</v>
      </c>
      <c r="BX63" s="54" t="s">
        <v>1053</v>
      </c>
      <c r="BY63" s="54" t="s">
        <v>1054</v>
      </c>
      <c r="BZ63" s="54" t="s">
        <v>1055</v>
      </c>
      <c r="CA63" s="55"/>
      <c r="CB63" s="54" t="s">
        <v>1056</v>
      </c>
      <c r="CC63" s="54" t="s">
        <v>1057</v>
      </c>
      <c r="CD63" s="54" t="s">
        <v>1058</v>
      </c>
      <c r="CE63" s="54" t="s">
        <v>1059</v>
      </c>
      <c r="CF63" s="54" t="s">
        <v>1060</v>
      </c>
      <c r="CG63" s="54" t="s">
        <v>1061</v>
      </c>
      <c r="CH63" s="54" t="s">
        <v>1062</v>
      </c>
      <c r="CI63" s="54" t="s">
        <v>1063</v>
      </c>
      <c r="CJ63" s="54" t="s">
        <v>1064</v>
      </c>
      <c r="CK63" s="54" t="s">
        <v>1065</v>
      </c>
      <c r="CL63" s="54" t="s">
        <v>1066</v>
      </c>
      <c r="CM63" s="54" t="s">
        <v>1067</v>
      </c>
      <c r="CN63" s="54" t="s">
        <v>1068</v>
      </c>
      <c r="CO63" s="54" t="s">
        <v>1069</v>
      </c>
      <c r="CP63" s="56">
        <v>0</v>
      </c>
      <c r="CQ63" s="56">
        <v>0</v>
      </c>
      <c r="CR63" s="56">
        <v>0</v>
      </c>
      <c r="CS63" s="56">
        <v>0</v>
      </c>
      <c r="CT63" s="56">
        <v>0</v>
      </c>
      <c r="CU63" s="56">
        <v>0</v>
      </c>
      <c r="CV63" s="56">
        <v>0</v>
      </c>
      <c r="CW63" s="56">
        <v>0</v>
      </c>
      <c r="CX63" s="56">
        <v>0</v>
      </c>
      <c r="CY63" s="56">
        <v>0</v>
      </c>
      <c r="CZ63" s="56">
        <v>0</v>
      </c>
      <c r="DA63" s="56">
        <v>0</v>
      </c>
      <c r="DB63" s="56">
        <v>0</v>
      </c>
      <c r="DC63" s="56">
        <v>0</v>
      </c>
      <c r="DD63" s="56">
        <v>0</v>
      </c>
      <c r="DE63" s="56">
        <v>0</v>
      </c>
      <c r="DF63" s="56">
        <v>0</v>
      </c>
      <c r="DG63" s="56">
        <v>0</v>
      </c>
      <c r="DH63" s="56">
        <v>0</v>
      </c>
      <c r="DI63" s="56">
        <v>0</v>
      </c>
      <c r="DJ63" s="56">
        <v>0</v>
      </c>
      <c r="DK63" s="56">
        <v>0</v>
      </c>
      <c r="DL63" s="56">
        <v>0</v>
      </c>
      <c r="DM63" s="56">
        <v>0</v>
      </c>
      <c r="DN63" s="56">
        <v>0</v>
      </c>
      <c r="DO63" s="56">
        <v>0</v>
      </c>
      <c r="DP63" s="56">
        <v>0</v>
      </c>
      <c r="DQ63" s="56">
        <v>0</v>
      </c>
      <c r="DR63" s="56">
        <v>0</v>
      </c>
      <c r="DS63" s="56">
        <v>0</v>
      </c>
      <c r="DT63" s="56">
        <v>0</v>
      </c>
      <c r="DU63" s="56">
        <v>0</v>
      </c>
      <c r="DV63" s="56">
        <v>0</v>
      </c>
      <c r="DW63" s="56">
        <v>0</v>
      </c>
      <c r="DX63" s="56">
        <v>0</v>
      </c>
      <c r="DY63" s="56">
        <v>0</v>
      </c>
      <c r="DZ63" s="56">
        <v>0</v>
      </c>
      <c r="EA63" s="56">
        <v>0</v>
      </c>
      <c r="EB63" s="56">
        <v>0</v>
      </c>
      <c r="EC63" s="56">
        <v>0</v>
      </c>
      <c r="ED63" s="56">
        <v>0</v>
      </c>
      <c r="EE63" s="56">
        <v>0</v>
      </c>
      <c r="EF63" s="56">
        <v>0</v>
      </c>
      <c r="EG63" s="56">
        <v>0</v>
      </c>
      <c r="EH63" s="56">
        <v>16.78</v>
      </c>
      <c r="EI63" s="56">
        <v>0</v>
      </c>
      <c r="EJ63" s="56">
        <v>0</v>
      </c>
      <c r="EK63" s="56">
        <v>0</v>
      </c>
      <c r="EL63" s="56">
        <v>0</v>
      </c>
      <c r="EM63" s="56">
        <v>0</v>
      </c>
      <c r="EN63" s="56">
        <v>0</v>
      </c>
      <c r="EO63" s="56">
        <v>0</v>
      </c>
      <c r="EP63" s="56">
        <v>0</v>
      </c>
      <c r="EQ63" s="56">
        <v>0</v>
      </c>
      <c r="ER63" s="56">
        <v>0</v>
      </c>
      <c r="ES63" s="56">
        <v>0</v>
      </c>
      <c r="ET63" s="56">
        <v>0</v>
      </c>
      <c r="EU63" s="56">
        <v>0</v>
      </c>
      <c r="EV63" s="56">
        <v>0</v>
      </c>
      <c r="EW63" s="56">
        <v>0</v>
      </c>
      <c r="EX63" s="56">
        <v>0</v>
      </c>
      <c r="EY63" s="56">
        <v>0</v>
      </c>
      <c r="EZ63" s="56">
        <v>0</v>
      </c>
      <c r="FA63" s="56">
        <v>0</v>
      </c>
      <c r="FB63" s="56">
        <v>0</v>
      </c>
      <c r="FC63" s="58">
        <v>0</v>
      </c>
      <c r="FD63" s="56">
        <v>0</v>
      </c>
      <c r="FE63" s="56">
        <v>0</v>
      </c>
      <c r="FF63" s="56">
        <v>0</v>
      </c>
      <c r="FG63" s="56">
        <v>0</v>
      </c>
      <c r="FH63" s="56">
        <v>0</v>
      </c>
      <c r="FI63" s="56">
        <v>0</v>
      </c>
      <c r="FJ63" s="56">
        <v>0</v>
      </c>
      <c r="FK63" s="56">
        <v>0</v>
      </c>
      <c r="FL63" s="56">
        <v>0</v>
      </c>
      <c r="FM63" s="56">
        <v>0</v>
      </c>
      <c r="FN63" s="56">
        <v>0</v>
      </c>
      <c r="FO63" s="56">
        <v>0</v>
      </c>
      <c r="FP63" s="56">
        <v>0</v>
      </c>
      <c r="FQ63" s="56">
        <v>0</v>
      </c>
      <c r="FR63" s="56">
        <v>0</v>
      </c>
      <c r="FS63" s="58">
        <v>0</v>
      </c>
      <c r="FT63" s="56">
        <v>0</v>
      </c>
      <c r="FU63" s="56">
        <v>0</v>
      </c>
      <c r="FV63" s="56">
        <v>0</v>
      </c>
      <c r="FW63" s="56">
        <v>0</v>
      </c>
      <c r="FX63" s="56">
        <v>0</v>
      </c>
      <c r="FY63" s="56">
        <v>0</v>
      </c>
      <c r="FZ63" s="54" t="s">
        <v>1083</v>
      </c>
      <c r="GA63" s="54" t="s">
        <v>1084</v>
      </c>
      <c r="GB63" s="54" t="s">
        <v>1072</v>
      </c>
      <c r="GC63" s="54" t="s">
        <v>1073</v>
      </c>
      <c r="GD63" s="54"/>
      <c r="GE63" s="54"/>
      <c r="GF63" s="54"/>
      <c r="GG63" s="55"/>
      <c r="GH63" s="54"/>
      <c r="GI63" s="54"/>
      <c r="GJ63" s="54" t="s">
        <v>1076</v>
      </c>
      <c r="GK63" s="54" t="s">
        <v>1077</v>
      </c>
      <c r="GL63" s="54"/>
      <c r="GM63" s="54"/>
      <c r="GN63" s="54" t="s">
        <v>1078</v>
      </c>
      <c r="GO63" s="54" t="s">
        <v>1059</v>
      </c>
      <c r="GP63" s="54"/>
      <c r="GQ63" s="56">
        <v>0</v>
      </c>
      <c r="GR63" s="54" t="s">
        <v>1079</v>
      </c>
      <c r="GS63" s="54"/>
    </row>
    <row r="64" spans="1:201" x14ac:dyDescent="0.25">
      <c r="A64" s="54" t="s">
        <v>1032</v>
      </c>
      <c r="B64" s="54" t="s">
        <v>1033</v>
      </c>
      <c r="C64" s="54" t="s">
        <v>1034</v>
      </c>
      <c r="D64" s="54" t="s">
        <v>1035</v>
      </c>
      <c r="E64" s="54" t="s">
        <v>1036</v>
      </c>
      <c r="F64" s="55">
        <v>46175</v>
      </c>
      <c r="G64" s="55">
        <v>46175</v>
      </c>
      <c r="H64" s="54" t="s">
        <v>1037</v>
      </c>
      <c r="I64" s="54" t="s">
        <v>1038</v>
      </c>
      <c r="J64" s="54" t="s">
        <v>1039</v>
      </c>
      <c r="K64" s="55"/>
      <c r="L64" s="54" t="s">
        <v>1040</v>
      </c>
      <c r="M64" s="54"/>
      <c r="N64" s="54" t="s">
        <v>1041</v>
      </c>
      <c r="O64" s="54" t="s">
        <v>1194</v>
      </c>
      <c r="P64" s="54" t="s">
        <v>808</v>
      </c>
      <c r="Q64" s="54" t="s">
        <v>812</v>
      </c>
      <c r="R64" s="54" t="s">
        <v>1043</v>
      </c>
      <c r="S64" s="56">
        <v>258.60000000000002</v>
      </c>
      <c r="T64" s="56">
        <v>258.60000000000002</v>
      </c>
      <c r="U64" s="56">
        <v>0</v>
      </c>
      <c r="V64" s="56">
        <v>0</v>
      </c>
      <c r="W64" s="56">
        <v>0</v>
      </c>
      <c r="X64" s="56">
        <v>0</v>
      </c>
      <c r="Y64" s="56">
        <v>0</v>
      </c>
      <c r="Z64" s="56">
        <v>60</v>
      </c>
      <c r="AA64" s="56">
        <v>60</v>
      </c>
      <c r="AB64" s="59">
        <v>0</v>
      </c>
      <c r="AC64" s="56">
        <v>0</v>
      </c>
      <c r="AD64" s="56">
        <v>0</v>
      </c>
      <c r="AE64" s="56">
        <v>0</v>
      </c>
      <c r="AF64" s="54" t="s">
        <v>1044</v>
      </c>
      <c r="AG64" s="57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 t="s">
        <v>1045</v>
      </c>
      <c r="AS64" s="54" t="s">
        <v>1046</v>
      </c>
      <c r="AT64" s="54" t="s">
        <v>1047</v>
      </c>
      <c r="AU64" s="54" t="s">
        <v>1048</v>
      </c>
      <c r="AV64" s="54"/>
      <c r="AW64" s="55">
        <v>46189</v>
      </c>
      <c r="AX64" s="55">
        <v>46175</v>
      </c>
      <c r="AY64" s="55">
        <v>46175</v>
      </c>
      <c r="AZ64" s="55">
        <v>46176</v>
      </c>
      <c r="BA64" s="55">
        <v>46189</v>
      </c>
      <c r="BB64" s="56">
        <v>0</v>
      </c>
      <c r="BC64" s="56">
        <v>0</v>
      </c>
      <c r="BD64" s="56">
        <v>0</v>
      </c>
      <c r="BE64" s="56">
        <v>0</v>
      </c>
      <c r="BF64" s="56">
        <v>0</v>
      </c>
      <c r="BG64" s="56">
        <v>0</v>
      </c>
      <c r="BH64" s="56">
        <v>0</v>
      </c>
      <c r="BI64" s="56">
        <v>0</v>
      </c>
      <c r="BJ64" s="56">
        <v>0</v>
      </c>
      <c r="BK64" s="56">
        <v>0</v>
      </c>
      <c r="BL64" s="56">
        <v>0</v>
      </c>
      <c r="BM64" s="56">
        <v>0</v>
      </c>
      <c r="BN64" s="56">
        <v>0</v>
      </c>
      <c r="BO64" s="56">
        <v>0</v>
      </c>
      <c r="BP64" s="54" t="s">
        <v>1049</v>
      </c>
      <c r="BQ64" s="54" t="s">
        <v>1050</v>
      </c>
      <c r="BR64" s="54" t="s">
        <v>1049</v>
      </c>
      <c r="BS64" s="54" t="s">
        <v>1050</v>
      </c>
      <c r="BT64" s="54" t="s">
        <v>1051</v>
      </c>
      <c r="BU64" s="54" t="s">
        <v>1043</v>
      </c>
      <c r="BV64" s="58">
        <v>60</v>
      </c>
      <c r="BW64" s="54" t="s">
        <v>1052</v>
      </c>
      <c r="BX64" s="54" t="s">
        <v>1053</v>
      </c>
      <c r="BY64" s="54" t="s">
        <v>1054</v>
      </c>
      <c r="BZ64" s="54" t="s">
        <v>1055</v>
      </c>
      <c r="CA64" s="55"/>
      <c r="CB64" s="54" t="s">
        <v>1056</v>
      </c>
      <c r="CC64" s="54" t="s">
        <v>1057</v>
      </c>
      <c r="CD64" s="54" t="s">
        <v>1058</v>
      </c>
      <c r="CE64" s="54" t="s">
        <v>1059</v>
      </c>
      <c r="CF64" s="54" t="s">
        <v>1060</v>
      </c>
      <c r="CG64" s="54" t="s">
        <v>1061</v>
      </c>
      <c r="CH64" s="54" t="s">
        <v>1062</v>
      </c>
      <c r="CI64" s="54" t="s">
        <v>1063</v>
      </c>
      <c r="CJ64" s="54" t="s">
        <v>1064</v>
      </c>
      <c r="CK64" s="54" t="s">
        <v>1065</v>
      </c>
      <c r="CL64" s="54" t="s">
        <v>1066</v>
      </c>
      <c r="CM64" s="54" t="s">
        <v>1067</v>
      </c>
      <c r="CN64" s="54" t="s">
        <v>1068</v>
      </c>
      <c r="CO64" s="54" t="s">
        <v>1069</v>
      </c>
      <c r="CP64" s="56">
        <v>0</v>
      </c>
      <c r="CQ64" s="56">
        <v>0</v>
      </c>
      <c r="CR64" s="56">
        <v>0</v>
      </c>
      <c r="CS64" s="56">
        <v>0</v>
      </c>
      <c r="CT64" s="56">
        <v>0</v>
      </c>
      <c r="CU64" s="56">
        <v>0</v>
      </c>
      <c r="CV64" s="56">
        <v>0</v>
      </c>
      <c r="CW64" s="56">
        <v>0</v>
      </c>
      <c r="CX64" s="56">
        <v>0</v>
      </c>
      <c r="CY64" s="56">
        <v>0</v>
      </c>
      <c r="CZ64" s="56">
        <v>0</v>
      </c>
      <c r="DA64" s="56">
        <v>0</v>
      </c>
      <c r="DB64" s="56">
        <v>0</v>
      </c>
      <c r="DC64" s="56">
        <v>0</v>
      </c>
      <c r="DD64" s="56">
        <v>0</v>
      </c>
      <c r="DE64" s="56">
        <v>0</v>
      </c>
      <c r="DF64" s="56">
        <v>0</v>
      </c>
      <c r="DG64" s="56">
        <v>0</v>
      </c>
      <c r="DH64" s="56">
        <v>0</v>
      </c>
      <c r="DI64" s="56">
        <v>0</v>
      </c>
      <c r="DJ64" s="56">
        <v>0</v>
      </c>
      <c r="DK64" s="56">
        <v>0</v>
      </c>
      <c r="DL64" s="56">
        <v>0</v>
      </c>
      <c r="DM64" s="56">
        <v>0</v>
      </c>
      <c r="DN64" s="56">
        <v>0</v>
      </c>
      <c r="DO64" s="56">
        <v>0</v>
      </c>
      <c r="DP64" s="56">
        <v>0</v>
      </c>
      <c r="DQ64" s="56">
        <v>0</v>
      </c>
      <c r="DR64" s="56">
        <v>0</v>
      </c>
      <c r="DS64" s="56">
        <v>0</v>
      </c>
      <c r="DT64" s="56">
        <v>0</v>
      </c>
      <c r="DU64" s="56">
        <v>0</v>
      </c>
      <c r="DV64" s="56">
        <v>0</v>
      </c>
      <c r="DW64" s="56">
        <v>0</v>
      </c>
      <c r="DX64" s="56">
        <v>0</v>
      </c>
      <c r="DY64" s="56">
        <v>0</v>
      </c>
      <c r="DZ64" s="56">
        <v>0</v>
      </c>
      <c r="EA64" s="56">
        <v>0</v>
      </c>
      <c r="EB64" s="56">
        <v>0</v>
      </c>
      <c r="EC64" s="56">
        <v>0</v>
      </c>
      <c r="ED64" s="56">
        <v>0</v>
      </c>
      <c r="EE64" s="56">
        <v>0</v>
      </c>
      <c r="EF64" s="56">
        <v>0</v>
      </c>
      <c r="EG64" s="56">
        <v>0</v>
      </c>
      <c r="EH64" s="56">
        <v>31.03</v>
      </c>
      <c r="EI64" s="56">
        <v>0</v>
      </c>
      <c r="EJ64" s="56">
        <v>0</v>
      </c>
      <c r="EK64" s="56">
        <v>0</v>
      </c>
      <c r="EL64" s="56">
        <v>0</v>
      </c>
      <c r="EM64" s="56">
        <v>0</v>
      </c>
      <c r="EN64" s="56">
        <v>0</v>
      </c>
      <c r="EO64" s="56">
        <v>0</v>
      </c>
      <c r="EP64" s="56">
        <v>0</v>
      </c>
      <c r="EQ64" s="56">
        <v>0</v>
      </c>
      <c r="ER64" s="56">
        <v>0</v>
      </c>
      <c r="ES64" s="56">
        <v>0</v>
      </c>
      <c r="ET64" s="56">
        <v>0</v>
      </c>
      <c r="EU64" s="56">
        <v>0</v>
      </c>
      <c r="EV64" s="56">
        <v>0</v>
      </c>
      <c r="EW64" s="56">
        <v>0</v>
      </c>
      <c r="EX64" s="56">
        <v>0</v>
      </c>
      <c r="EY64" s="56">
        <v>0</v>
      </c>
      <c r="EZ64" s="56">
        <v>0</v>
      </c>
      <c r="FA64" s="56">
        <v>0</v>
      </c>
      <c r="FB64" s="56">
        <v>0</v>
      </c>
      <c r="FC64" s="58">
        <v>0</v>
      </c>
      <c r="FD64" s="56">
        <v>0</v>
      </c>
      <c r="FE64" s="56">
        <v>0</v>
      </c>
      <c r="FF64" s="56">
        <v>0</v>
      </c>
      <c r="FG64" s="56">
        <v>0</v>
      </c>
      <c r="FH64" s="56">
        <v>0</v>
      </c>
      <c r="FI64" s="56">
        <v>0</v>
      </c>
      <c r="FJ64" s="56">
        <v>0</v>
      </c>
      <c r="FK64" s="56">
        <v>0</v>
      </c>
      <c r="FL64" s="56">
        <v>0</v>
      </c>
      <c r="FM64" s="56">
        <v>0</v>
      </c>
      <c r="FN64" s="56">
        <v>0</v>
      </c>
      <c r="FO64" s="56">
        <v>0</v>
      </c>
      <c r="FP64" s="56">
        <v>0</v>
      </c>
      <c r="FQ64" s="56">
        <v>0</v>
      </c>
      <c r="FR64" s="56">
        <v>0</v>
      </c>
      <c r="FS64" s="58">
        <v>0</v>
      </c>
      <c r="FT64" s="56">
        <v>0</v>
      </c>
      <c r="FU64" s="56">
        <v>0</v>
      </c>
      <c r="FV64" s="56">
        <v>0</v>
      </c>
      <c r="FW64" s="56">
        <v>0</v>
      </c>
      <c r="FX64" s="56">
        <v>0</v>
      </c>
      <c r="FY64" s="56">
        <v>0</v>
      </c>
      <c r="FZ64" s="54" t="s">
        <v>1083</v>
      </c>
      <c r="GA64" s="54" t="s">
        <v>1084</v>
      </c>
      <c r="GB64" s="54" t="s">
        <v>1072</v>
      </c>
      <c r="GC64" s="54" t="s">
        <v>1073</v>
      </c>
      <c r="GD64" s="54"/>
      <c r="GE64" s="54"/>
      <c r="GF64" s="54"/>
      <c r="GG64" s="55"/>
      <c r="GH64" s="54"/>
      <c r="GI64" s="54"/>
      <c r="GJ64" s="54" t="s">
        <v>1076</v>
      </c>
      <c r="GK64" s="54" t="s">
        <v>1077</v>
      </c>
      <c r="GL64" s="54"/>
      <c r="GM64" s="54"/>
      <c r="GN64" s="54" t="s">
        <v>1078</v>
      </c>
      <c r="GO64" s="54" t="s">
        <v>1059</v>
      </c>
      <c r="GP64" s="54"/>
      <c r="GQ64" s="56">
        <v>0</v>
      </c>
      <c r="GR64" s="54" t="s">
        <v>1079</v>
      </c>
      <c r="GS64" s="54"/>
    </row>
    <row r="65" spans="1:201" x14ac:dyDescent="0.25">
      <c r="A65" s="54" t="s">
        <v>1032</v>
      </c>
      <c r="B65" s="54" t="s">
        <v>1033</v>
      </c>
      <c r="C65" s="54" t="s">
        <v>1034</v>
      </c>
      <c r="D65" s="54" t="s">
        <v>1035</v>
      </c>
      <c r="E65" s="54" t="s">
        <v>1036</v>
      </c>
      <c r="F65" s="55">
        <v>46175</v>
      </c>
      <c r="G65" s="55">
        <v>46175</v>
      </c>
      <c r="H65" s="54" t="s">
        <v>1037</v>
      </c>
      <c r="I65" s="54" t="s">
        <v>1038</v>
      </c>
      <c r="J65" s="54" t="s">
        <v>1039</v>
      </c>
      <c r="K65" s="55"/>
      <c r="L65" s="54" t="s">
        <v>1040</v>
      </c>
      <c r="M65" s="54"/>
      <c r="N65" s="54" t="s">
        <v>1041</v>
      </c>
      <c r="O65" s="54" t="s">
        <v>1195</v>
      </c>
      <c r="P65" s="54" t="s">
        <v>797</v>
      </c>
      <c r="Q65" s="54" t="s">
        <v>801</v>
      </c>
      <c r="R65" s="54" t="s">
        <v>1043</v>
      </c>
      <c r="S65" s="56">
        <v>1512</v>
      </c>
      <c r="T65" s="56">
        <v>1512</v>
      </c>
      <c r="U65" s="56">
        <v>0</v>
      </c>
      <c r="V65" s="56">
        <v>0</v>
      </c>
      <c r="W65" s="56">
        <v>0</v>
      </c>
      <c r="X65" s="56">
        <v>0</v>
      </c>
      <c r="Y65" s="56">
        <v>0</v>
      </c>
      <c r="Z65" s="56">
        <v>240</v>
      </c>
      <c r="AA65" s="56">
        <v>240</v>
      </c>
      <c r="AB65" s="59">
        <v>0</v>
      </c>
      <c r="AC65" s="56">
        <v>0</v>
      </c>
      <c r="AD65" s="56">
        <v>0</v>
      </c>
      <c r="AE65" s="56">
        <v>0</v>
      </c>
      <c r="AF65" s="54" t="s">
        <v>1044</v>
      </c>
      <c r="AG65" s="57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 t="s">
        <v>1045</v>
      </c>
      <c r="AS65" s="54" t="s">
        <v>1046</v>
      </c>
      <c r="AT65" s="54" t="s">
        <v>1047</v>
      </c>
      <c r="AU65" s="54" t="s">
        <v>1048</v>
      </c>
      <c r="AV65" s="54"/>
      <c r="AW65" s="55">
        <v>46189</v>
      </c>
      <c r="AX65" s="55">
        <v>46175</v>
      </c>
      <c r="AY65" s="55">
        <v>46175</v>
      </c>
      <c r="AZ65" s="55">
        <v>46176</v>
      </c>
      <c r="BA65" s="55">
        <v>46189</v>
      </c>
      <c r="BB65" s="56">
        <v>0</v>
      </c>
      <c r="BC65" s="56">
        <v>0</v>
      </c>
      <c r="BD65" s="56">
        <v>0</v>
      </c>
      <c r="BE65" s="56">
        <v>0</v>
      </c>
      <c r="BF65" s="56">
        <v>0</v>
      </c>
      <c r="BG65" s="56">
        <v>0</v>
      </c>
      <c r="BH65" s="56">
        <v>0</v>
      </c>
      <c r="BI65" s="56">
        <v>0</v>
      </c>
      <c r="BJ65" s="56">
        <v>0</v>
      </c>
      <c r="BK65" s="56">
        <v>0</v>
      </c>
      <c r="BL65" s="56">
        <v>0</v>
      </c>
      <c r="BM65" s="56">
        <v>0</v>
      </c>
      <c r="BN65" s="56">
        <v>0</v>
      </c>
      <c r="BO65" s="56">
        <v>0</v>
      </c>
      <c r="BP65" s="54" t="s">
        <v>1049</v>
      </c>
      <c r="BQ65" s="54" t="s">
        <v>1050</v>
      </c>
      <c r="BR65" s="54" t="s">
        <v>1049</v>
      </c>
      <c r="BS65" s="54" t="s">
        <v>1050</v>
      </c>
      <c r="BT65" s="54" t="s">
        <v>1051</v>
      </c>
      <c r="BU65" s="54" t="s">
        <v>1043</v>
      </c>
      <c r="BV65" s="58">
        <v>240</v>
      </c>
      <c r="BW65" s="54" t="s">
        <v>1052</v>
      </c>
      <c r="BX65" s="54" t="s">
        <v>1053</v>
      </c>
      <c r="BY65" s="54" t="s">
        <v>1054</v>
      </c>
      <c r="BZ65" s="54" t="s">
        <v>1055</v>
      </c>
      <c r="CA65" s="55"/>
      <c r="CB65" s="54" t="s">
        <v>1056</v>
      </c>
      <c r="CC65" s="54" t="s">
        <v>1057</v>
      </c>
      <c r="CD65" s="54" t="s">
        <v>1058</v>
      </c>
      <c r="CE65" s="54" t="s">
        <v>1059</v>
      </c>
      <c r="CF65" s="54" t="s">
        <v>1060</v>
      </c>
      <c r="CG65" s="54" t="s">
        <v>1061</v>
      </c>
      <c r="CH65" s="54" t="s">
        <v>1062</v>
      </c>
      <c r="CI65" s="54" t="s">
        <v>1063</v>
      </c>
      <c r="CJ65" s="54" t="s">
        <v>1064</v>
      </c>
      <c r="CK65" s="54" t="s">
        <v>1065</v>
      </c>
      <c r="CL65" s="54" t="s">
        <v>1066</v>
      </c>
      <c r="CM65" s="54" t="s">
        <v>1067</v>
      </c>
      <c r="CN65" s="54" t="s">
        <v>1068</v>
      </c>
      <c r="CO65" s="54" t="s">
        <v>1069</v>
      </c>
      <c r="CP65" s="56">
        <v>0</v>
      </c>
      <c r="CQ65" s="56">
        <v>0</v>
      </c>
      <c r="CR65" s="56">
        <v>0</v>
      </c>
      <c r="CS65" s="56">
        <v>0</v>
      </c>
      <c r="CT65" s="56">
        <v>0</v>
      </c>
      <c r="CU65" s="56">
        <v>0</v>
      </c>
      <c r="CV65" s="56">
        <v>0</v>
      </c>
      <c r="CW65" s="56">
        <v>0</v>
      </c>
      <c r="CX65" s="56">
        <v>0</v>
      </c>
      <c r="CY65" s="56">
        <v>0</v>
      </c>
      <c r="CZ65" s="56">
        <v>0</v>
      </c>
      <c r="DA65" s="56">
        <v>0</v>
      </c>
      <c r="DB65" s="56">
        <v>0</v>
      </c>
      <c r="DC65" s="56">
        <v>0</v>
      </c>
      <c r="DD65" s="56">
        <v>0</v>
      </c>
      <c r="DE65" s="56">
        <v>0</v>
      </c>
      <c r="DF65" s="56">
        <v>0</v>
      </c>
      <c r="DG65" s="56">
        <v>0</v>
      </c>
      <c r="DH65" s="56">
        <v>0</v>
      </c>
      <c r="DI65" s="56">
        <v>0</v>
      </c>
      <c r="DJ65" s="56">
        <v>0</v>
      </c>
      <c r="DK65" s="56">
        <v>0</v>
      </c>
      <c r="DL65" s="56">
        <v>0</v>
      </c>
      <c r="DM65" s="56">
        <v>0</v>
      </c>
      <c r="DN65" s="56">
        <v>0</v>
      </c>
      <c r="DO65" s="56">
        <v>0</v>
      </c>
      <c r="DP65" s="56">
        <v>0</v>
      </c>
      <c r="DQ65" s="56">
        <v>0</v>
      </c>
      <c r="DR65" s="56">
        <v>0</v>
      </c>
      <c r="DS65" s="56">
        <v>0</v>
      </c>
      <c r="DT65" s="56">
        <v>0</v>
      </c>
      <c r="DU65" s="56">
        <v>0</v>
      </c>
      <c r="DV65" s="56">
        <v>0</v>
      </c>
      <c r="DW65" s="56">
        <v>0</v>
      </c>
      <c r="DX65" s="56">
        <v>0</v>
      </c>
      <c r="DY65" s="56">
        <v>0</v>
      </c>
      <c r="DZ65" s="56">
        <v>0</v>
      </c>
      <c r="EA65" s="56">
        <v>0</v>
      </c>
      <c r="EB65" s="56">
        <v>0</v>
      </c>
      <c r="EC65" s="56">
        <v>0</v>
      </c>
      <c r="ED65" s="56">
        <v>0</v>
      </c>
      <c r="EE65" s="56">
        <v>0</v>
      </c>
      <c r="EF65" s="56">
        <v>0</v>
      </c>
      <c r="EG65" s="56">
        <v>0</v>
      </c>
      <c r="EH65" s="56">
        <v>181.44</v>
      </c>
      <c r="EI65" s="56">
        <v>0</v>
      </c>
      <c r="EJ65" s="56">
        <v>0</v>
      </c>
      <c r="EK65" s="56">
        <v>0</v>
      </c>
      <c r="EL65" s="56">
        <v>0</v>
      </c>
      <c r="EM65" s="56">
        <v>0</v>
      </c>
      <c r="EN65" s="56">
        <v>0</v>
      </c>
      <c r="EO65" s="56">
        <v>0</v>
      </c>
      <c r="EP65" s="56">
        <v>0</v>
      </c>
      <c r="EQ65" s="56">
        <v>0</v>
      </c>
      <c r="ER65" s="56">
        <v>0</v>
      </c>
      <c r="ES65" s="56">
        <v>0</v>
      </c>
      <c r="ET65" s="56">
        <v>0</v>
      </c>
      <c r="EU65" s="56">
        <v>0</v>
      </c>
      <c r="EV65" s="56">
        <v>0</v>
      </c>
      <c r="EW65" s="56">
        <v>0</v>
      </c>
      <c r="EX65" s="56">
        <v>0</v>
      </c>
      <c r="EY65" s="56">
        <v>0</v>
      </c>
      <c r="EZ65" s="56">
        <v>0</v>
      </c>
      <c r="FA65" s="56">
        <v>0</v>
      </c>
      <c r="FB65" s="56">
        <v>0</v>
      </c>
      <c r="FC65" s="58">
        <v>0</v>
      </c>
      <c r="FD65" s="56">
        <v>0</v>
      </c>
      <c r="FE65" s="56">
        <v>0</v>
      </c>
      <c r="FF65" s="56">
        <v>0</v>
      </c>
      <c r="FG65" s="56">
        <v>0</v>
      </c>
      <c r="FH65" s="56">
        <v>0</v>
      </c>
      <c r="FI65" s="56">
        <v>0</v>
      </c>
      <c r="FJ65" s="56">
        <v>0</v>
      </c>
      <c r="FK65" s="56">
        <v>0</v>
      </c>
      <c r="FL65" s="56">
        <v>0</v>
      </c>
      <c r="FM65" s="56">
        <v>0</v>
      </c>
      <c r="FN65" s="56">
        <v>0</v>
      </c>
      <c r="FO65" s="56">
        <v>0</v>
      </c>
      <c r="FP65" s="56">
        <v>0</v>
      </c>
      <c r="FQ65" s="56">
        <v>0</v>
      </c>
      <c r="FR65" s="56">
        <v>0</v>
      </c>
      <c r="FS65" s="58">
        <v>0</v>
      </c>
      <c r="FT65" s="56">
        <v>0</v>
      </c>
      <c r="FU65" s="56">
        <v>0</v>
      </c>
      <c r="FV65" s="56">
        <v>0</v>
      </c>
      <c r="FW65" s="56">
        <v>0</v>
      </c>
      <c r="FX65" s="56">
        <v>0</v>
      </c>
      <c r="FY65" s="56">
        <v>0</v>
      </c>
      <c r="FZ65" s="54" t="s">
        <v>1083</v>
      </c>
      <c r="GA65" s="54" t="s">
        <v>1084</v>
      </c>
      <c r="GB65" s="54" t="s">
        <v>1072</v>
      </c>
      <c r="GC65" s="54" t="s">
        <v>1073</v>
      </c>
      <c r="GD65" s="54"/>
      <c r="GE65" s="54"/>
      <c r="GF65" s="54"/>
      <c r="GG65" s="55"/>
      <c r="GH65" s="54"/>
      <c r="GI65" s="54"/>
      <c r="GJ65" s="54" t="s">
        <v>1076</v>
      </c>
      <c r="GK65" s="54" t="s">
        <v>1077</v>
      </c>
      <c r="GL65" s="54"/>
      <c r="GM65" s="54"/>
      <c r="GN65" s="54" t="s">
        <v>1078</v>
      </c>
      <c r="GO65" s="54" t="s">
        <v>1059</v>
      </c>
      <c r="GP65" s="54"/>
      <c r="GQ65" s="56">
        <v>0</v>
      </c>
      <c r="GR65" s="54" t="s">
        <v>1079</v>
      </c>
      <c r="GS65" s="54"/>
    </row>
    <row r="66" spans="1:201" x14ac:dyDescent="0.25">
      <c r="A66" s="54" t="s">
        <v>1032</v>
      </c>
      <c r="B66" s="54" t="s">
        <v>1033</v>
      </c>
      <c r="C66" s="54" t="s">
        <v>1034</v>
      </c>
      <c r="D66" s="54" t="s">
        <v>1035</v>
      </c>
      <c r="E66" s="54" t="s">
        <v>1036</v>
      </c>
      <c r="F66" s="55">
        <v>46175</v>
      </c>
      <c r="G66" s="55">
        <v>46175</v>
      </c>
      <c r="H66" s="54" t="s">
        <v>1037</v>
      </c>
      <c r="I66" s="54" t="s">
        <v>1038</v>
      </c>
      <c r="J66" s="54" t="s">
        <v>1039</v>
      </c>
      <c r="K66" s="55"/>
      <c r="L66" s="54" t="s">
        <v>1040</v>
      </c>
      <c r="M66" s="54"/>
      <c r="N66" s="54" t="s">
        <v>1041</v>
      </c>
      <c r="O66" s="54" t="s">
        <v>1196</v>
      </c>
      <c r="P66" s="54" t="s">
        <v>771</v>
      </c>
      <c r="Q66" s="54" t="s">
        <v>778</v>
      </c>
      <c r="R66" s="54" t="s">
        <v>1043</v>
      </c>
      <c r="S66" s="56">
        <v>3398.4</v>
      </c>
      <c r="T66" s="56">
        <v>3398.4</v>
      </c>
      <c r="U66" s="56">
        <v>0</v>
      </c>
      <c r="V66" s="56">
        <v>0</v>
      </c>
      <c r="W66" s="56">
        <v>0</v>
      </c>
      <c r="X66" s="56">
        <v>0</v>
      </c>
      <c r="Y66" s="56">
        <v>0</v>
      </c>
      <c r="Z66" s="56">
        <v>360</v>
      </c>
      <c r="AA66" s="56">
        <v>360</v>
      </c>
      <c r="AB66" s="59">
        <v>0</v>
      </c>
      <c r="AC66" s="56">
        <v>0</v>
      </c>
      <c r="AD66" s="56">
        <v>0</v>
      </c>
      <c r="AE66" s="56">
        <v>0</v>
      </c>
      <c r="AF66" s="54" t="s">
        <v>1044</v>
      </c>
      <c r="AG66" s="57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 t="s">
        <v>1045</v>
      </c>
      <c r="AS66" s="54" t="s">
        <v>1046</v>
      </c>
      <c r="AT66" s="54" t="s">
        <v>1047</v>
      </c>
      <c r="AU66" s="54" t="s">
        <v>1048</v>
      </c>
      <c r="AV66" s="54"/>
      <c r="AW66" s="55">
        <v>46189</v>
      </c>
      <c r="AX66" s="55">
        <v>46175</v>
      </c>
      <c r="AY66" s="55">
        <v>46175</v>
      </c>
      <c r="AZ66" s="55">
        <v>46176</v>
      </c>
      <c r="BA66" s="55">
        <v>46189</v>
      </c>
      <c r="BB66" s="56">
        <v>0</v>
      </c>
      <c r="BC66" s="56">
        <v>0</v>
      </c>
      <c r="BD66" s="56">
        <v>0</v>
      </c>
      <c r="BE66" s="56">
        <v>0</v>
      </c>
      <c r="BF66" s="56">
        <v>0</v>
      </c>
      <c r="BG66" s="56">
        <v>0</v>
      </c>
      <c r="BH66" s="56">
        <v>0</v>
      </c>
      <c r="BI66" s="56">
        <v>0</v>
      </c>
      <c r="BJ66" s="56">
        <v>0</v>
      </c>
      <c r="BK66" s="56">
        <v>0</v>
      </c>
      <c r="BL66" s="56">
        <v>0</v>
      </c>
      <c r="BM66" s="56">
        <v>0</v>
      </c>
      <c r="BN66" s="56">
        <v>0</v>
      </c>
      <c r="BO66" s="56">
        <v>0</v>
      </c>
      <c r="BP66" s="54" t="s">
        <v>1049</v>
      </c>
      <c r="BQ66" s="54" t="s">
        <v>1050</v>
      </c>
      <c r="BR66" s="54" t="s">
        <v>1049</v>
      </c>
      <c r="BS66" s="54" t="s">
        <v>1050</v>
      </c>
      <c r="BT66" s="54" t="s">
        <v>1051</v>
      </c>
      <c r="BU66" s="54" t="s">
        <v>1043</v>
      </c>
      <c r="BV66" s="58">
        <v>360</v>
      </c>
      <c r="BW66" s="54" t="s">
        <v>1052</v>
      </c>
      <c r="BX66" s="54" t="s">
        <v>1053</v>
      </c>
      <c r="BY66" s="54" t="s">
        <v>1054</v>
      </c>
      <c r="BZ66" s="54" t="s">
        <v>1055</v>
      </c>
      <c r="CA66" s="55"/>
      <c r="CB66" s="54" t="s">
        <v>1056</v>
      </c>
      <c r="CC66" s="54" t="s">
        <v>1057</v>
      </c>
      <c r="CD66" s="54" t="s">
        <v>1058</v>
      </c>
      <c r="CE66" s="54" t="s">
        <v>1059</v>
      </c>
      <c r="CF66" s="54" t="s">
        <v>1060</v>
      </c>
      <c r="CG66" s="54" t="s">
        <v>1061</v>
      </c>
      <c r="CH66" s="54" t="s">
        <v>1062</v>
      </c>
      <c r="CI66" s="54" t="s">
        <v>1063</v>
      </c>
      <c r="CJ66" s="54" t="s">
        <v>1064</v>
      </c>
      <c r="CK66" s="54" t="s">
        <v>1065</v>
      </c>
      <c r="CL66" s="54" t="s">
        <v>1066</v>
      </c>
      <c r="CM66" s="54" t="s">
        <v>1067</v>
      </c>
      <c r="CN66" s="54" t="s">
        <v>1068</v>
      </c>
      <c r="CO66" s="54" t="s">
        <v>1069</v>
      </c>
      <c r="CP66" s="56">
        <v>0</v>
      </c>
      <c r="CQ66" s="56">
        <v>0</v>
      </c>
      <c r="CR66" s="56">
        <v>0</v>
      </c>
      <c r="CS66" s="56">
        <v>0</v>
      </c>
      <c r="CT66" s="56">
        <v>0</v>
      </c>
      <c r="CU66" s="56">
        <v>0</v>
      </c>
      <c r="CV66" s="56">
        <v>0</v>
      </c>
      <c r="CW66" s="56">
        <v>0</v>
      </c>
      <c r="CX66" s="56">
        <v>0</v>
      </c>
      <c r="CY66" s="56">
        <v>0</v>
      </c>
      <c r="CZ66" s="56">
        <v>0</v>
      </c>
      <c r="DA66" s="56">
        <v>0</v>
      </c>
      <c r="DB66" s="56">
        <v>0</v>
      </c>
      <c r="DC66" s="56">
        <v>0</v>
      </c>
      <c r="DD66" s="56">
        <v>0</v>
      </c>
      <c r="DE66" s="56">
        <v>0</v>
      </c>
      <c r="DF66" s="56">
        <v>0</v>
      </c>
      <c r="DG66" s="56">
        <v>0</v>
      </c>
      <c r="DH66" s="56">
        <v>0</v>
      </c>
      <c r="DI66" s="56">
        <v>0</v>
      </c>
      <c r="DJ66" s="56">
        <v>0</v>
      </c>
      <c r="DK66" s="56">
        <v>0</v>
      </c>
      <c r="DL66" s="56">
        <v>0</v>
      </c>
      <c r="DM66" s="56">
        <v>0</v>
      </c>
      <c r="DN66" s="56">
        <v>0</v>
      </c>
      <c r="DO66" s="56">
        <v>0</v>
      </c>
      <c r="DP66" s="56">
        <v>0</v>
      </c>
      <c r="DQ66" s="56">
        <v>0</v>
      </c>
      <c r="DR66" s="56">
        <v>0</v>
      </c>
      <c r="DS66" s="56">
        <v>0</v>
      </c>
      <c r="DT66" s="56">
        <v>0</v>
      </c>
      <c r="DU66" s="56">
        <v>0</v>
      </c>
      <c r="DV66" s="56">
        <v>0</v>
      </c>
      <c r="DW66" s="56">
        <v>0</v>
      </c>
      <c r="DX66" s="56">
        <v>0</v>
      </c>
      <c r="DY66" s="56">
        <v>0</v>
      </c>
      <c r="DZ66" s="56">
        <v>0</v>
      </c>
      <c r="EA66" s="56">
        <v>0</v>
      </c>
      <c r="EB66" s="56">
        <v>0</v>
      </c>
      <c r="EC66" s="56">
        <v>0</v>
      </c>
      <c r="ED66" s="56">
        <v>0</v>
      </c>
      <c r="EE66" s="56">
        <v>0</v>
      </c>
      <c r="EF66" s="56">
        <v>0</v>
      </c>
      <c r="EG66" s="56">
        <v>0</v>
      </c>
      <c r="EH66" s="56">
        <v>407.81</v>
      </c>
      <c r="EI66" s="56">
        <v>0</v>
      </c>
      <c r="EJ66" s="56">
        <v>0</v>
      </c>
      <c r="EK66" s="56">
        <v>0</v>
      </c>
      <c r="EL66" s="56">
        <v>0</v>
      </c>
      <c r="EM66" s="56">
        <v>0</v>
      </c>
      <c r="EN66" s="56">
        <v>0</v>
      </c>
      <c r="EO66" s="56">
        <v>0</v>
      </c>
      <c r="EP66" s="56">
        <v>0</v>
      </c>
      <c r="EQ66" s="56">
        <v>0</v>
      </c>
      <c r="ER66" s="56">
        <v>0</v>
      </c>
      <c r="ES66" s="56">
        <v>0</v>
      </c>
      <c r="ET66" s="56">
        <v>0</v>
      </c>
      <c r="EU66" s="56">
        <v>0</v>
      </c>
      <c r="EV66" s="56">
        <v>0</v>
      </c>
      <c r="EW66" s="56">
        <v>0</v>
      </c>
      <c r="EX66" s="56">
        <v>0</v>
      </c>
      <c r="EY66" s="56">
        <v>0</v>
      </c>
      <c r="EZ66" s="56">
        <v>0</v>
      </c>
      <c r="FA66" s="56">
        <v>0</v>
      </c>
      <c r="FB66" s="56">
        <v>0</v>
      </c>
      <c r="FC66" s="58">
        <v>0</v>
      </c>
      <c r="FD66" s="56">
        <v>0</v>
      </c>
      <c r="FE66" s="56">
        <v>0</v>
      </c>
      <c r="FF66" s="56">
        <v>0</v>
      </c>
      <c r="FG66" s="56">
        <v>0</v>
      </c>
      <c r="FH66" s="56">
        <v>0</v>
      </c>
      <c r="FI66" s="56">
        <v>0</v>
      </c>
      <c r="FJ66" s="56">
        <v>0</v>
      </c>
      <c r="FK66" s="56">
        <v>0</v>
      </c>
      <c r="FL66" s="56">
        <v>0</v>
      </c>
      <c r="FM66" s="56">
        <v>0</v>
      </c>
      <c r="FN66" s="56">
        <v>0</v>
      </c>
      <c r="FO66" s="56">
        <v>0</v>
      </c>
      <c r="FP66" s="56">
        <v>0</v>
      </c>
      <c r="FQ66" s="56">
        <v>0</v>
      </c>
      <c r="FR66" s="56">
        <v>0</v>
      </c>
      <c r="FS66" s="58">
        <v>0</v>
      </c>
      <c r="FT66" s="56">
        <v>0</v>
      </c>
      <c r="FU66" s="56">
        <v>0</v>
      </c>
      <c r="FV66" s="56">
        <v>0</v>
      </c>
      <c r="FW66" s="56">
        <v>0</v>
      </c>
      <c r="FX66" s="56">
        <v>0</v>
      </c>
      <c r="FY66" s="56">
        <v>0</v>
      </c>
      <c r="FZ66" s="54" t="s">
        <v>1083</v>
      </c>
      <c r="GA66" s="54" t="s">
        <v>1084</v>
      </c>
      <c r="GB66" s="54" t="s">
        <v>1072</v>
      </c>
      <c r="GC66" s="54" t="s">
        <v>1073</v>
      </c>
      <c r="GD66" s="54"/>
      <c r="GE66" s="54"/>
      <c r="GF66" s="54"/>
      <c r="GG66" s="55"/>
      <c r="GH66" s="54"/>
      <c r="GI66" s="54"/>
      <c r="GJ66" s="54" t="s">
        <v>1076</v>
      </c>
      <c r="GK66" s="54" t="s">
        <v>1077</v>
      </c>
      <c r="GL66" s="54"/>
      <c r="GM66" s="54"/>
      <c r="GN66" s="54" t="s">
        <v>1078</v>
      </c>
      <c r="GO66" s="54" t="s">
        <v>1059</v>
      </c>
      <c r="GP66" s="54"/>
      <c r="GQ66" s="56">
        <v>0</v>
      </c>
      <c r="GR66" s="54" t="s">
        <v>1079</v>
      </c>
      <c r="GS66" s="54"/>
    </row>
    <row r="67" spans="1:201" x14ac:dyDescent="0.25">
      <c r="A67" s="54" t="s">
        <v>1032</v>
      </c>
      <c r="B67" s="54" t="s">
        <v>1033</v>
      </c>
      <c r="C67" s="54" t="s">
        <v>1197</v>
      </c>
      <c r="D67" s="54" t="s">
        <v>1035</v>
      </c>
      <c r="E67" s="54" t="s">
        <v>1036</v>
      </c>
      <c r="F67" s="55">
        <v>46175</v>
      </c>
      <c r="G67" s="55">
        <v>46175</v>
      </c>
      <c r="H67" s="54" t="s">
        <v>1037</v>
      </c>
      <c r="I67" s="54" t="s">
        <v>1038</v>
      </c>
      <c r="J67" s="54" t="s">
        <v>1039</v>
      </c>
      <c r="K67" s="55"/>
      <c r="L67" s="54" t="s">
        <v>1040</v>
      </c>
      <c r="M67" s="54"/>
      <c r="N67" s="54" t="s">
        <v>1198</v>
      </c>
      <c r="O67" s="54" t="s">
        <v>1042</v>
      </c>
      <c r="P67" s="54" t="s">
        <v>229</v>
      </c>
      <c r="Q67" s="54" t="s">
        <v>64</v>
      </c>
      <c r="R67" s="54" t="s">
        <v>1043</v>
      </c>
      <c r="S67" s="56">
        <v>426.6</v>
      </c>
      <c r="T67" s="56">
        <v>426.6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60</v>
      </c>
      <c r="AA67" s="56">
        <v>60</v>
      </c>
      <c r="AB67" s="59">
        <v>0</v>
      </c>
      <c r="AC67" s="56">
        <v>0</v>
      </c>
      <c r="AD67" s="56">
        <v>0</v>
      </c>
      <c r="AE67" s="56">
        <v>0</v>
      </c>
      <c r="AF67" s="54" t="s">
        <v>1199</v>
      </c>
      <c r="AG67" s="57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 t="s">
        <v>1045</v>
      </c>
      <c r="AS67" s="54" t="s">
        <v>1046</v>
      </c>
      <c r="AT67" s="54" t="s">
        <v>1047</v>
      </c>
      <c r="AU67" s="54" t="s">
        <v>1048</v>
      </c>
      <c r="AV67" s="54"/>
      <c r="AW67" s="55">
        <v>46189</v>
      </c>
      <c r="AX67" s="55">
        <v>46175</v>
      </c>
      <c r="AY67" s="55">
        <v>46175</v>
      </c>
      <c r="AZ67" s="55">
        <v>46176</v>
      </c>
      <c r="BA67" s="55">
        <v>46189</v>
      </c>
      <c r="BB67" s="56">
        <v>0</v>
      </c>
      <c r="BC67" s="56">
        <v>0</v>
      </c>
      <c r="BD67" s="56">
        <v>0</v>
      </c>
      <c r="BE67" s="56">
        <v>0</v>
      </c>
      <c r="BF67" s="56">
        <v>0</v>
      </c>
      <c r="BG67" s="56">
        <v>0</v>
      </c>
      <c r="BH67" s="56">
        <v>0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54" t="s">
        <v>1049</v>
      </c>
      <c r="BQ67" s="54" t="s">
        <v>1050</v>
      </c>
      <c r="BR67" s="54" t="s">
        <v>1049</v>
      </c>
      <c r="BS67" s="54" t="s">
        <v>1050</v>
      </c>
      <c r="BT67" s="54" t="s">
        <v>1051</v>
      </c>
      <c r="BU67" s="54" t="s">
        <v>1043</v>
      </c>
      <c r="BV67" s="58">
        <v>60</v>
      </c>
      <c r="BW67" s="54" t="s">
        <v>1052</v>
      </c>
      <c r="BX67" s="54" t="s">
        <v>1053</v>
      </c>
      <c r="BY67" s="54" t="s">
        <v>1054</v>
      </c>
      <c r="BZ67" s="54" t="s">
        <v>1055</v>
      </c>
      <c r="CA67" s="55"/>
      <c r="CB67" s="54" t="s">
        <v>1056</v>
      </c>
      <c r="CC67" s="54" t="s">
        <v>1057</v>
      </c>
      <c r="CD67" s="54" t="s">
        <v>1200</v>
      </c>
      <c r="CE67" s="54" t="s">
        <v>1201</v>
      </c>
      <c r="CF67" s="54" t="s">
        <v>1202</v>
      </c>
      <c r="CG67" s="54" t="s">
        <v>1203</v>
      </c>
      <c r="CH67" s="54" t="s">
        <v>1204</v>
      </c>
      <c r="CI67" s="54" t="s">
        <v>1203</v>
      </c>
      <c r="CJ67" s="54" t="s">
        <v>1064</v>
      </c>
      <c r="CK67" s="54" t="s">
        <v>1065</v>
      </c>
      <c r="CL67" s="54" t="s">
        <v>1205</v>
      </c>
      <c r="CM67" s="54" t="s">
        <v>1206</v>
      </c>
      <c r="CN67" s="54" t="s">
        <v>1068</v>
      </c>
      <c r="CO67" s="54" t="s">
        <v>1069</v>
      </c>
      <c r="CP67" s="56">
        <v>0</v>
      </c>
      <c r="CQ67" s="56">
        <v>0</v>
      </c>
      <c r="CR67" s="56">
        <v>0</v>
      </c>
      <c r="CS67" s="56">
        <v>0</v>
      </c>
      <c r="CT67" s="56">
        <v>0</v>
      </c>
      <c r="CU67" s="56">
        <v>0</v>
      </c>
      <c r="CV67" s="56">
        <v>0</v>
      </c>
      <c r="CW67" s="56">
        <v>0</v>
      </c>
      <c r="CX67" s="56">
        <v>0</v>
      </c>
      <c r="CY67" s="56">
        <v>0</v>
      </c>
      <c r="CZ67" s="56">
        <v>0</v>
      </c>
      <c r="DA67" s="56">
        <v>0</v>
      </c>
      <c r="DB67" s="56">
        <v>0</v>
      </c>
      <c r="DC67" s="56">
        <v>0</v>
      </c>
      <c r="DD67" s="56">
        <v>0</v>
      </c>
      <c r="DE67" s="56">
        <v>0</v>
      </c>
      <c r="DF67" s="56">
        <v>0</v>
      </c>
      <c r="DG67" s="56">
        <v>0</v>
      </c>
      <c r="DH67" s="56">
        <v>0</v>
      </c>
      <c r="DI67" s="56">
        <v>0</v>
      </c>
      <c r="DJ67" s="56">
        <v>0</v>
      </c>
      <c r="DK67" s="56">
        <v>0</v>
      </c>
      <c r="DL67" s="56">
        <v>0</v>
      </c>
      <c r="DM67" s="56">
        <v>0</v>
      </c>
      <c r="DN67" s="56">
        <v>0</v>
      </c>
      <c r="DO67" s="56">
        <v>0</v>
      </c>
      <c r="DP67" s="56">
        <v>0</v>
      </c>
      <c r="DQ67" s="56">
        <v>0</v>
      </c>
      <c r="DR67" s="56">
        <v>0</v>
      </c>
      <c r="DS67" s="56">
        <v>0</v>
      </c>
      <c r="DT67" s="56">
        <v>0</v>
      </c>
      <c r="DU67" s="56">
        <v>0</v>
      </c>
      <c r="DV67" s="56">
        <v>0</v>
      </c>
      <c r="DW67" s="56">
        <v>0</v>
      </c>
      <c r="DX67" s="56">
        <v>0</v>
      </c>
      <c r="DY67" s="56">
        <v>0</v>
      </c>
      <c r="DZ67" s="56">
        <v>0</v>
      </c>
      <c r="EA67" s="56">
        <v>0</v>
      </c>
      <c r="EB67" s="56">
        <v>0</v>
      </c>
      <c r="EC67" s="56">
        <v>0</v>
      </c>
      <c r="ED67" s="56">
        <v>0</v>
      </c>
      <c r="EE67" s="56">
        <v>0</v>
      </c>
      <c r="EF67" s="56">
        <v>0</v>
      </c>
      <c r="EG67" s="56">
        <v>0</v>
      </c>
      <c r="EH67" s="56">
        <v>51.19</v>
      </c>
      <c r="EI67" s="56">
        <v>0</v>
      </c>
      <c r="EJ67" s="56">
        <v>0</v>
      </c>
      <c r="EK67" s="56">
        <v>0</v>
      </c>
      <c r="EL67" s="56">
        <v>0</v>
      </c>
      <c r="EM67" s="56">
        <v>0</v>
      </c>
      <c r="EN67" s="56">
        <v>0</v>
      </c>
      <c r="EO67" s="56">
        <v>0</v>
      </c>
      <c r="EP67" s="56">
        <v>0</v>
      </c>
      <c r="EQ67" s="56">
        <v>0</v>
      </c>
      <c r="ER67" s="56">
        <v>0</v>
      </c>
      <c r="ES67" s="56">
        <v>0</v>
      </c>
      <c r="ET67" s="56">
        <v>0</v>
      </c>
      <c r="EU67" s="56">
        <v>0</v>
      </c>
      <c r="EV67" s="56">
        <v>0</v>
      </c>
      <c r="EW67" s="56">
        <v>0</v>
      </c>
      <c r="EX67" s="56">
        <v>0</v>
      </c>
      <c r="EY67" s="56">
        <v>0</v>
      </c>
      <c r="EZ67" s="56">
        <v>0</v>
      </c>
      <c r="FA67" s="56">
        <v>0</v>
      </c>
      <c r="FB67" s="56">
        <v>0</v>
      </c>
      <c r="FC67" s="58">
        <v>0</v>
      </c>
      <c r="FD67" s="56">
        <v>0</v>
      </c>
      <c r="FE67" s="56">
        <v>0</v>
      </c>
      <c r="FF67" s="56">
        <v>0</v>
      </c>
      <c r="FG67" s="56">
        <v>0</v>
      </c>
      <c r="FH67" s="56">
        <v>0</v>
      </c>
      <c r="FI67" s="56">
        <v>0</v>
      </c>
      <c r="FJ67" s="56">
        <v>0</v>
      </c>
      <c r="FK67" s="56">
        <v>0</v>
      </c>
      <c r="FL67" s="56">
        <v>0</v>
      </c>
      <c r="FM67" s="56">
        <v>0</v>
      </c>
      <c r="FN67" s="56">
        <v>0</v>
      </c>
      <c r="FO67" s="56">
        <v>0</v>
      </c>
      <c r="FP67" s="56">
        <v>0</v>
      </c>
      <c r="FQ67" s="56">
        <v>0</v>
      </c>
      <c r="FR67" s="56">
        <v>0</v>
      </c>
      <c r="FS67" s="58">
        <v>0</v>
      </c>
      <c r="FT67" s="56">
        <v>0</v>
      </c>
      <c r="FU67" s="56">
        <v>0</v>
      </c>
      <c r="FV67" s="56">
        <v>0</v>
      </c>
      <c r="FW67" s="56">
        <v>0</v>
      </c>
      <c r="FX67" s="56">
        <v>0</v>
      </c>
      <c r="FY67" s="56">
        <v>0</v>
      </c>
      <c r="FZ67" s="54" t="s">
        <v>1070</v>
      </c>
      <c r="GA67" s="54" t="s">
        <v>1071</v>
      </c>
      <c r="GB67" s="54" t="s">
        <v>1072</v>
      </c>
      <c r="GC67" s="54" t="s">
        <v>1073</v>
      </c>
      <c r="GD67" s="54" t="s">
        <v>1207</v>
      </c>
      <c r="GE67" s="54" t="s">
        <v>1201</v>
      </c>
      <c r="GF67" s="54"/>
      <c r="GG67" s="55"/>
      <c r="GH67" s="54"/>
      <c r="GI67" s="54"/>
      <c r="GJ67" s="54" t="s">
        <v>1076</v>
      </c>
      <c r="GK67" s="54" t="s">
        <v>1077</v>
      </c>
      <c r="GL67" s="54"/>
      <c r="GM67" s="54"/>
      <c r="GN67" s="54" t="s">
        <v>1208</v>
      </c>
      <c r="GO67" s="54" t="s">
        <v>1209</v>
      </c>
      <c r="GP67" s="54"/>
      <c r="GQ67" s="56">
        <v>0</v>
      </c>
      <c r="GR67" s="54" t="s">
        <v>1210</v>
      </c>
      <c r="GS67" s="54"/>
    </row>
    <row r="68" spans="1:201" x14ac:dyDescent="0.25">
      <c r="A68" s="54" t="s">
        <v>1032</v>
      </c>
      <c r="B68" s="54" t="s">
        <v>1033</v>
      </c>
      <c r="C68" s="54" t="s">
        <v>1197</v>
      </c>
      <c r="D68" s="54" t="s">
        <v>1035</v>
      </c>
      <c r="E68" s="54" t="s">
        <v>1036</v>
      </c>
      <c r="F68" s="55">
        <v>46175</v>
      </c>
      <c r="G68" s="55">
        <v>46175</v>
      </c>
      <c r="H68" s="54" t="s">
        <v>1037</v>
      </c>
      <c r="I68" s="54" t="s">
        <v>1038</v>
      </c>
      <c r="J68" s="54" t="s">
        <v>1039</v>
      </c>
      <c r="K68" s="55"/>
      <c r="L68" s="54" t="s">
        <v>1040</v>
      </c>
      <c r="M68" s="54"/>
      <c r="N68" s="54" t="s">
        <v>1198</v>
      </c>
      <c r="O68" s="54" t="s">
        <v>1080</v>
      </c>
      <c r="P68" s="54" t="s">
        <v>230</v>
      </c>
      <c r="Q68" s="54" t="s">
        <v>65</v>
      </c>
      <c r="R68" s="54" t="s">
        <v>1043</v>
      </c>
      <c r="S68" s="56">
        <v>382</v>
      </c>
      <c r="T68" s="56">
        <v>382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100</v>
      </c>
      <c r="AA68" s="56">
        <v>100</v>
      </c>
      <c r="AB68" s="59">
        <v>0</v>
      </c>
      <c r="AC68" s="56">
        <v>0</v>
      </c>
      <c r="AD68" s="56">
        <v>0</v>
      </c>
      <c r="AE68" s="56">
        <v>0</v>
      </c>
      <c r="AF68" s="54" t="s">
        <v>1199</v>
      </c>
      <c r="AG68" s="57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 t="s">
        <v>1045</v>
      </c>
      <c r="AS68" s="54" t="s">
        <v>1046</v>
      </c>
      <c r="AT68" s="54" t="s">
        <v>1047</v>
      </c>
      <c r="AU68" s="54" t="s">
        <v>1048</v>
      </c>
      <c r="AV68" s="54"/>
      <c r="AW68" s="55">
        <v>46189</v>
      </c>
      <c r="AX68" s="55">
        <v>46175</v>
      </c>
      <c r="AY68" s="55">
        <v>46175</v>
      </c>
      <c r="AZ68" s="55">
        <v>46176</v>
      </c>
      <c r="BA68" s="55">
        <v>46189</v>
      </c>
      <c r="BB68" s="56">
        <v>0</v>
      </c>
      <c r="BC68" s="56">
        <v>0</v>
      </c>
      <c r="BD68" s="56">
        <v>0</v>
      </c>
      <c r="BE68" s="56">
        <v>0</v>
      </c>
      <c r="BF68" s="56">
        <v>0</v>
      </c>
      <c r="BG68" s="56">
        <v>0</v>
      </c>
      <c r="BH68" s="56">
        <v>0</v>
      </c>
      <c r="BI68" s="56">
        <v>0</v>
      </c>
      <c r="BJ68" s="56">
        <v>0</v>
      </c>
      <c r="BK68" s="56">
        <v>0</v>
      </c>
      <c r="BL68" s="56">
        <v>0</v>
      </c>
      <c r="BM68" s="56">
        <v>0</v>
      </c>
      <c r="BN68" s="56">
        <v>0</v>
      </c>
      <c r="BO68" s="56">
        <v>0</v>
      </c>
      <c r="BP68" s="54" t="s">
        <v>1049</v>
      </c>
      <c r="BQ68" s="54" t="s">
        <v>1050</v>
      </c>
      <c r="BR68" s="54" t="s">
        <v>1049</v>
      </c>
      <c r="BS68" s="54" t="s">
        <v>1050</v>
      </c>
      <c r="BT68" s="54" t="s">
        <v>1051</v>
      </c>
      <c r="BU68" s="54" t="s">
        <v>1043</v>
      </c>
      <c r="BV68" s="58">
        <v>100</v>
      </c>
      <c r="BW68" s="54" t="s">
        <v>1052</v>
      </c>
      <c r="BX68" s="54" t="s">
        <v>1053</v>
      </c>
      <c r="BY68" s="54" t="s">
        <v>1054</v>
      </c>
      <c r="BZ68" s="54" t="s">
        <v>1055</v>
      </c>
      <c r="CA68" s="55"/>
      <c r="CB68" s="54" t="s">
        <v>1056</v>
      </c>
      <c r="CC68" s="54" t="s">
        <v>1057</v>
      </c>
      <c r="CD68" s="54" t="s">
        <v>1200</v>
      </c>
      <c r="CE68" s="54" t="s">
        <v>1201</v>
      </c>
      <c r="CF68" s="54" t="s">
        <v>1202</v>
      </c>
      <c r="CG68" s="54" t="s">
        <v>1203</v>
      </c>
      <c r="CH68" s="54" t="s">
        <v>1204</v>
      </c>
      <c r="CI68" s="54" t="s">
        <v>1203</v>
      </c>
      <c r="CJ68" s="54" t="s">
        <v>1064</v>
      </c>
      <c r="CK68" s="54" t="s">
        <v>1065</v>
      </c>
      <c r="CL68" s="54" t="s">
        <v>1205</v>
      </c>
      <c r="CM68" s="54" t="s">
        <v>1206</v>
      </c>
      <c r="CN68" s="54" t="s">
        <v>1068</v>
      </c>
      <c r="CO68" s="54" t="s">
        <v>1069</v>
      </c>
      <c r="CP68" s="56">
        <v>0</v>
      </c>
      <c r="CQ68" s="56">
        <v>0</v>
      </c>
      <c r="CR68" s="56">
        <v>0</v>
      </c>
      <c r="CS68" s="56">
        <v>0</v>
      </c>
      <c r="CT68" s="56">
        <v>0</v>
      </c>
      <c r="CU68" s="56">
        <v>0</v>
      </c>
      <c r="CV68" s="56">
        <v>0</v>
      </c>
      <c r="CW68" s="56">
        <v>0</v>
      </c>
      <c r="CX68" s="56">
        <v>0</v>
      </c>
      <c r="CY68" s="56">
        <v>0</v>
      </c>
      <c r="CZ68" s="56">
        <v>0</v>
      </c>
      <c r="DA68" s="56">
        <v>0</v>
      </c>
      <c r="DB68" s="56">
        <v>0</v>
      </c>
      <c r="DC68" s="56">
        <v>0</v>
      </c>
      <c r="DD68" s="56">
        <v>0</v>
      </c>
      <c r="DE68" s="56">
        <v>0</v>
      </c>
      <c r="DF68" s="56">
        <v>0</v>
      </c>
      <c r="DG68" s="56">
        <v>0</v>
      </c>
      <c r="DH68" s="56">
        <v>0</v>
      </c>
      <c r="DI68" s="56">
        <v>0</v>
      </c>
      <c r="DJ68" s="56">
        <v>0</v>
      </c>
      <c r="DK68" s="56">
        <v>0</v>
      </c>
      <c r="DL68" s="56">
        <v>0</v>
      </c>
      <c r="DM68" s="56">
        <v>0</v>
      </c>
      <c r="DN68" s="56">
        <v>0</v>
      </c>
      <c r="DO68" s="56">
        <v>0</v>
      </c>
      <c r="DP68" s="56">
        <v>0</v>
      </c>
      <c r="DQ68" s="56">
        <v>0</v>
      </c>
      <c r="DR68" s="56">
        <v>0</v>
      </c>
      <c r="DS68" s="56">
        <v>0</v>
      </c>
      <c r="DT68" s="56">
        <v>0</v>
      </c>
      <c r="DU68" s="56">
        <v>0</v>
      </c>
      <c r="DV68" s="56">
        <v>0</v>
      </c>
      <c r="DW68" s="56">
        <v>0</v>
      </c>
      <c r="DX68" s="56">
        <v>0</v>
      </c>
      <c r="DY68" s="56">
        <v>0</v>
      </c>
      <c r="DZ68" s="56">
        <v>0</v>
      </c>
      <c r="EA68" s="56">
        <v>0</v>
      </c>
      <c r="EB68" s="56">
        <v>0</v>
      </c>
      <c r="EC68" s="56">
        <v>0</v>
      </c>
      <c r="ED68" s="56">
        <v>0</v>
      </c>
      <c r="EE68" s="56">
        <v>0</v>
      </c>
      <c r="EF68" s="56">
        <v>0</v>
      </c>
      <c r="EG68" s="56">
        <v>0</v>
      </c>
      <c r="EH68" s="56">
        <v>45.84</v>
      </c>
      <c r="EI68" s="56">
        <v>0</v>
      </c>
      <c r="EJ68" s="56">
        <v>0</v>
      </c>
      <c r="EK68" s="56">
        <v>0</v>
      </c>
      <c r="EL68" s="56">
        <v>0</v>
      </c>
      <c r="EM68" s="56">
        <v>0</v>
      </c>
      <c r="EN68" s="56">
        <v>0</v>
      </c>
      <c r="EO68" s="56">
        <v>0</v>
      </c>
      <c r="EP68" s="56">
        <v>0</v>
      </c>
      <c r="EQ68" s="56">
        <v>0</v>
      </c>
      <c r="ER68" s="56">
        <v>0</v>
      </c>
      <c r="ES68" s="56">
        <v>0</v>
      </c>
      <c r="ET68" s="56">
        <v>0</v>
      </c>
      <c r="EU68" s="56">
        <v>0</v>
      </c>
      <c r="EV68" s="56">
        <v>0</v>
      </c>
      <c r="EW68" s="56">
        <v>0</v>
      </c>
      <c r="EX68" s="56">
        <v>0</v>
      </c>
      <c r="EY68" s="56">
        <v>0</v>
      </c>
      <c r="EZ68" s="56">
        <v>0</v>
      </c>
      <c r="FA68" s="56">
        <v>0</v>
      </c>
      <c r="FB68" s="56">
        <v>0</v>
      </c>
      <c r="FC68" s="58">
        <v>0</v>
      </c>
      <c r="FD68" s="56">
        <v>0</v>
      </c>
      <c r="FE68" s="56">
        <v>0</v>
      </c>
      <c r="FF68" s="56">
        <v>0</v>
      </c>
      <c r="FG68" s="56">
        <v>0</v>
      </c>
      <c r="FH68" s="56">
        <v>0</v>
      </c>
      <c r="FI68" s="56">
        <v>0</v>
      </c>
      <c r="FJ68" s="56">
        <v>0</v>
      </c>
      <c r="FK68" s="56">
        <v>0</v>
      </c>
      <c r="FL68" s="56">
        <v>0</v>
      </c>
      <c r="FM68" s="56">
        <v>0</v>
      </c>
      <c r="FN68" s="56">
        <v>0</v>
      </c>
      <c r="FO68" s="56">
        <v>0</v>
      </c>
      <c r="FP68" s="56">
        <v>0</v>
      </c>
      <c r="FQ68" s="56">
        <v>0</v>
      </c>
      <c r="FR68" s="56">
        <v>0</v>
      </c>
      <c r="FS68" s="58">
        <v>0</v>
      </c>
      <c r="FT68" s="56">
        <v>0</v>
      </c>
      <c r="FU68" s="56">
        <v>0</v>
      </c>
      <c r="FV68" s="56">
        <v>0</v>
      </c>
      <c r="FW68" s="56">
        <v>0</v>
      </c>
      <c r="FX68" s="56">
        <v>0</v>
      </c>
      <c r="FY68" s="56">
        <v>0</v>
      </c>
      <c r="FZ68" s="54" t="s">
        <v>1083</v>
      </c>
      <c r="GA68" s="54" t="s">
        <v>1084</v>
      </c>
      <c r="GB68" s="54" t="s">
        <v>1072</v>
      </c>
      <c r="GC68" s="54" t="s">
        <v>1073</v>
      </c>
      <c r="GD68" s="54" t="s">
        <v>1211</v>
      </c>
      <c r="GE68" s="54" t="s">
        <v>1201</v>
      </c>
      <c r="GF68" s="54"/>
      <c r="GG68" s="55"/>
      <c r="GH68" s="54"/>
      <c r="GI68" s="54"/>
      <c r="GJ68" s="54" t="s">
        <v>1076</v>
      </c>
      <c r="GK68" s="54" t="s">
        <v>1077</v>
      </c>
      <c r="GL68" s="54"/>
      <c r="GM68" s="54"/>
      <c r="GN68" s="54" t="s">
        <v>1208</v>
      </c>
      <c r="GO68" s="54" t="s">
        <v>1209</v>
      </c>
      <c r="GP68" s="54"/>
      <c r="GQ68" s="56">
        <v>0</v>
      </c>
      <c r="GR68" s="54" t="s">
        <v>1210</v>
      </c>
      <c r="GS68" s="54"/>
    </row>
    <row r="69" spans="1:201" x14ac:dyDescent="0.25">
      <c r="A69" s="54" t="s">
        <v>1032</v>
      </c>
      <c r="B69" s="54" t="s">
        <v>1033</v>
      </c>
      <c r="C69" s="54" t="s">
        <v>1197</v>
      </c>
      <c r="D69" s="54" t="s">
        <v>1035</v>
      </c>
      <c r="E69" s="54" t="s">
        <v>1036</v>
      </c>
      <c r="F69" s="55">
        <v>46175</v>
      </c>
      <c r="G69" s="55">
        <v>46175</v>
      </c>
      <c r="H69" s="54" t="s">
        <v>1037</v>
      </c>
      <c r="I69" s="54" t="s">
        <v>1038</v>
      </c>
      <c r="J69" s="54" t="s">
        <v>1039</v>
      </c>
      <c r="K69" s="55"/>
      <c r="L69" s="54" t="s">
        <v>1040</v>
      </c>
      <c r="M69" s="54"/>
      <c r="N69" s="54" t="s">
        <v>1198</v>
      </c>
      <c r="O69" s="54" t="s">
        <v>1086</v>
      </c>
      <c r="P69" s="54" t="s">
        <v>341</v>
      </c>
      <c r="Q69" s="54" t="s">
        <v>68</v>
      </c>
      <c r="R69" s="54" t="s">
        <v>1043</v>
      </c>
      <c r="S69" s="56">
        <v>830.4</v>
      </c>
      <c r="T69" s="56">
        <v>830.4</v>
      </c>
      <c r="U69" s="56">
        <v>0</v>
      </c>
      <c r="V69" s="56">
        <v>0</v>
      </c>
      <c r="W69" s="56">
        <v>0</v>
      </c>
      <c r="X69" s="56">
        <v>0</v>
      </c>
      <c r="Y69" s="56">
        <v>0</v>
      </c>
      <c r="Z69" s="56">
        <v>120</v>
      </c>
      <c r="AA69" s="56">
        <v>120</v>
      </c>
      <c r="AB69" s="59">
        <v>0</v>
      </c>
      <c r="AC69" s="56">
        <v>0</v>
      </c>
      <c r="AD69" s="56">
        <v>0</v>
      </c>
      <c r="AE69" s="56">
        <v>0</v>
      </c>
      <c r="AF69" s="54" t="s">
        <v>1199</v>
      </c>
      <c r="AG69" s="57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 t="s">
        <v>1045</v>
      </c>
      <c r="AS69" s="54" t="s">
        <v>1046</v>
      </c>
      <c r="AT69" s="54" t="s">
        <v>1047</v>
      </c>
      <c r="AU69" s="54" t="s">
        <v>1048</v>
      </c>
      <c r="AV69" s="54"/>
      <c r="AW69" s="55">
        <v>46189</v>
      </c>
      <c r="AX69" s="55">
        <v>46175</v>
      </c>
      <c r="AY69" s="55">
        <v>46175</v>
      </c>
      <c r="AZ69" s="55">
        <v>46176</v>
      </c>
      <c r="BA69" s="55">
        <v>46189</v>
      </c>
      <c r="BB69" s="56">
        <v>0</v>
      </c>
      <c r="BC69" s="56">
        <v>0</v>
      </c>
      <c r="BD69" s="56">
        <v>0</v>
      </c>
      <c r="BE69" s="56">
        <v>0</v>
      </c>
      <c r="BF69" s="56">
        <v>0</v>
      </c>
      <c r="BG69" s="56">
        <v>0</v>
      </c>
      <c r="BH69" s="56">
        <v>0</v>
      </c>
      <c r="BI69" s="56">
        <v>0</v>
      </c>
      <c r="BJ69" s="56">
        <v>0</v>
      </c>
      <c r="BK69" s="56">
        <v>0</v>
      </c>
      <c r="BL69" s="56">
        <v>0</v>
      </c>
      <c r="BM69" s="56">
        <v>0</v>
      </c>
      <c r="BN69" s="56">
        <v>0</v>
      </c>
      <c r="BO69" s="56">
        <v>0</v>
      </c>
      <c r="BP69" s="54" t="s">
        <v>1049</v>
      </c>
      <c r="BQ69" s="54" t="s">
        <v>1050</v>
      </c>
      <c r="BR69" s="54" t="s">
        <v>1049</v>
      </c>
      <c r="BS69" s="54" t="s">
        <v>1050</v>
      </c>
      <c r="BT69" s="54" t="s">
        <v>1051</v>
      </c>
      <c r="BU69" s="54" t="s">
        <v>1043</v>
      </c>
      <c r="BV69" s="58">
        <v>120</v>
      </c>
      <c r="BW69" s="54" t="s">
        <v>1052</v>
      </c>
      <c r="BX69" s="54" t="s">
        <v>1053</v>
      </c>
      <c r="BY69" s="54" t="s">
        <v>1054</v>
      </c>
      <c r="BZ69" s="54" t="s">
        <v>1055</v>
      </c>
      <c r="CA69" s="55"/>
      <c r="CB69" s="54" t="s">
        <v>1056</v>
      </c>
      <c r="CC69" s="54" t="s">
        <v>1057</v>
      </c>
      <c r="CD69" s="54" t="s">
        <v>1200</v>
      </c>
      <c r="CE69" s="54" t="s">
        <v>1201</v>
      </c>
      <c r="CF69" s="54" t="s">
        <v>1202</v>
      </c>
      <c r="CG69" s="54" t="s">
        <v>1203</v>
      </c>
      <c r="CH69" s="54" t="s">
        <v>1204</v>
      </c>
      <c r="CI69" s="54" t="s">
        <v>1203</v>
      </c>
      <c r="CJ69" s="54" t="s">
        <v>1064</v>
      </c>
      <c r="CK69" s="54" t="s">
        <v>1065</v>
      </c>
      <c r="CL69" s="54" t="s">
        <v>1205</v>
      </c>
      <c r="CM69" s="54" t="s">
        <v>1206</v>
      </c>
      <c r="CN69" s="54" t="s">
        <v>1068</v>
      </c>
      <c r="CO69" s="54" t="s">
        <v>1069</v>
      </c>
      <c r="CP69" s="56">
        <v>0</v>
      </c>
      <c r="CQ69" s="56">
        <v>0</v>
      </c>
      <c r="CR69" s="56">
        <v>0</v>
      </c>
      <c r="CS69" s="56">
        <v>0</v>
      </c>
      <c r="CT69" s="56">
        <v>0</v>
      </c>
      <c r="CU69" s="56">
        <v>0</v>
      </c>
      <c r="CV69" s="56">
        <v>0</v>
      </c>
      <c r="CW69" s="56">
        <v>0</v>
      </c>
      <c r="CX69" s="56">
        <v>0</v>
      </c>
      <c r="CY69" s="56">
        <v>0</v>
      </c>
      <c r="CZ69" s="56">
        <v>0</v>
      </c>
      <c r="DA69" s="56">
        <v>0</v>
      </c>
      <c r="DB69" s="56">
        <v>0</v>
      </c>
      <c r="DC69" s="56">
        <v>0</v>
      </c>
      <c r="DD69" s="56">
        <v>0</v>
      </c>
      <c r="DE69" s="56">
        <v>0</v>
      </c>
      <c r="DF69" s="56">
        <v>0</v>
      </c>
      <c r="DG69" s="56">
        <v>0</v>
      </c>
      <c r="DH69" s="56">
        <v>0</v>
      </c>
      <c r="DI69" s="56">
        <v>0</v>
      </c>
      <c r="DJ69" s="56">
        <v>0</v>
      </c>
      <c r="DK69" s="56">
        <v>0</v>
      </c>
      <c r="DL69" s="56">
        <v>0</v>
      </c>
      <c r="DM69" s="56">
        <v>0</v>
      </c>
      <c r="DN69" s="56">
        <v>0</v>
      </c>
      <c r="DO69" s="56">
        <v>0</v>
      </c>
      <c r="DP69" s="56">
        <v>0</v>
      </c>
      <c r="DQ69" s="56">
        <v>0</v>
      </c>
      <c r="DR69" s="56">
        <v>0</v>
      </c>
      <c r="DS69" s="56">
        <v>0</v>
      </c>
      <c r="DT69" s="56">
        <v>0</v>
      </c>
      <c r="DU69" s="56">
        <v>0</v>
      </c>
      <c r="DV69" s="56">
        <v>0</v>
      </c>
      <c r="DW69" s="56">
        <v>0</v>
      </c>
      <c r="DX69" s="56">
        <v>0</v>
      </c>
      <c r="DY69" s="56">
        <v>0</v>
      </c>
      <c r="DZ69" s="56">
        <v>0</v>
      </c>
      <c r="EA69" s="56">
        <v>0</v>
      </c>
      <c r="EB69" s="56">
        <v>0</v>
      </c>
      <c r="EC69" s="56">
        <v>0</v>
      </c>
      <c r="ED69" s="56">
        <v>0</v>
      </c>
      <c r="EE69" s="56">
        <v>0</v>
      </c>
      <c r="EF69" s="56">
        <v>0</v>
      </c>
      <c r="EG69" s="56">
        <v>0</v>
      </c>
      <c r="EH69" s="56">
        <v>99.65</v>
      </c>
      <c r="EI69" s="56">
        <v>0</v>
      </c>
      <c r="EJ69" s="56">
        <v>0</v>
      </c>
      <c r="EK69" s="56">
        <v>0</v>
      </c>
      <c r="EL69" s="56">
        <v>0</v>
      </c>
      <c r="EM69" s="56">
        <v>0</v>
      </c>
      <c r="EN69" s="56">
        <v>0</v>
      </c>
      <c r="EO69" s="56">
        <v>0</v>
      </c>
      <c r="EP69" s="56">
        <v>0</v>
      </c>
      <c r="EQ69" s="56">
        <v>0</v>
      </c>
      <c r="ER69" s="56">
        <v>0</v>
      </c>
      <c r="ES69" s="56">
        <v>0</v>
      </c>
      <c r="ET69" s="56">
        <v>0</v>
      </c>
      <c r="EU69" s="56">
        <v>0</v>
      </c>
      <c r="EV69" s="56">
        <v>0</v>
      </c>
      <c r="EW69" s="56">
        <v>0</v>
      </c>
      <c r="EX69" s="56">
        <v>0</v>
      </c>
      <c r="EY69" s="56">
        <v>0</v>
      </c>
      <c r="EZ69" s="56">
        <v>0</v>
      </c>
      <c r="FA69" s="56">
        <v>0</v>
      </c>
      <c r="FB69" s="56">
        <v>0</v>
      </c>
      <c r="FC69" s="58">
        <v>0</v>
      </c>
      <c r="FD69" s="56">
        <v>0</v>
      </c>
      <c r="FE69" s="56">
        <v>0</v>
      </c>
      <c r="FF69" s="56">
        <v>0</v>
      </c>
      <c r="FG69" s="56">
        <v>0</v>
      </c>
      <c r="FH69" s="56">
        <v>0</v>
      </c>
      <c r="FI69" s="56">
        <v>0</v>
      </c>
      <c r="FJ69" s="56">
        <v>0</v>
      </c>
      <c r="FK69" s="56">
        <v>0</v>
      </c>
      <c r="FL69" s="56">
        <v>0</v>
      </c>
      <c r="FM69" s="56">
        <v>0</v>
      </c>
      <c r="FN69" s="56">
        <v>0</v>
      </c>
      <c r="FO69" s="56">
        <v>0</v>
      </c>
      <c r="FP69" s="56">
        <v>0</v>
      </c>
      <c r="FQ69" s="56">
        <v>0</v>
      </c>
      <c r="FR69" s="56">
        <v>0</v>
      </c>
      <c r="FS69" s="58">
        <v>0</v>
      </c>
      <c r="FT69" s="56">
        <v>0</v>
      </c>
      <c r="FU69" s="56">
        <v>0</v>
      </c>
      <c r="FV69" s="56">
        <v>0</v>
      </c>
      <c r="FW69" s="56">
        <v>0</v>
      </c>
      <c r="FX69" s="56">
        <v>0</v>
      </c>
      <c r="FY69" s="56">
        <v>0</v>
      </c>
      <c r="FZ69" s="54" t="s">
        <v>1070</v>
      </c>
      <c r="GA69" s="54" t="s">
        <v>1071</v>
      </c>
      <c r="GB69" s="54" t="s">
        <v>1072</v>
      </c>
      <c r="GC69" s="54" t="s">
        <v>1073</v>
      </c>
      <c r="GD69" s="54" t="s">
        <v>1212</v>
      </c>
      <c r="GE69" s="54" t="s">
        <v>1201</v>
      </c>
      <c r="GF69" s="54"/>
      <c r="GG69" s="55"/>
      <c r="GH69" s="54"/>
      <c r="GI69" s="54"/>
      <c r="GJ69" s="54" t="s">
        <v>1076</v>
      </c>
      <c r="GK69" s="54" t="s">
        <v>1077</v>
      </c>
      <c r="GL69" s="54"/>
      <c r="GM69" s="54"/>
      <c r="GN69" s="54" t="s">
        <v>1208</v>
      </c>
      <c r="GO69" s="54" t="s">
        <v>1209</v>
      </c>
      <c r="GP69" s="54"/>
      <c r="GQ69" s="56">
        <v>0</v>
      </c>
      <c r="GR69" s="54" t="s">
        <v>1210</v>
      </c>
      <c r="GS69" s="54"/>
    </row>
    <row r="70" spans="1:201" x14ac:dyDescent="0.25">
      <c r="A70" s="54" t="s">
        <v>1032</v>
      </c>
      <c r="B70" s="54" t="s">
        <v>1033</v>
      </c>
      <c r="C70" s="54" t="s">
        <v>1197</v>
      </c>
      <c r="D70" s="54" t="s">
        <v>1035</v>
      </c>
      <c r="E70" s="54" t="s">
        <v>1036</v>
      </c>
      <c r="F70" s="55">
        <v>46175</v>
      </c>
      <c r="G70" s="55">
        <v>46175</v>
      </c>
      <c r="H70" s="54" t="s">
        <v>1037</v>
      </c>
      <c r="I70" s="54" t="s">
        <v>1038</v>
      </c>
      <c r="J70" s="54" t="s">
        <v>1039</v>
      </c>
      <c r="K70" s="55"/>
      <c r="L70" s="54" t="s">
        <v>1040</v>
      </c>
      <c r="M70" s="54"/>
      <c r="N70" s="54" t="s">
        <v>1198</v>
      </c>
      <c r="O70" s="54" t="s">
        <v>1088</v>
      </c>
      <c r="P70" s="54" t="s">
        <v>340</v>
      </c>
      <c r="Q70" s="54" t="s">
        <v>66</v>
      </c>
      <c r="R70" s="54" t="s">
        <v>1043</v>
      </c>
      <c r="S70" s="56">
        <v>1128</v>
      </c>
      <c r="T70" s="56">
        <v>0</v>
      </c>
      <c r="U70" s="56">
        <v>0</v>
      </c>
      <c r="V70" s="56">
        <v>1128</v>
      </c>
      <c r="W70" s="56">
        <v>0</v>
      </c>
      <c r="X70" s="56">
        <v>0</v>
      </c>
      <c r="Y70" s="56">
        <v>0</v>
      </c>
      <c r="Z70" s="56">
        <v>120</v>
      </c>
      <c r="AA70" s="56">
        <v>0</v>
      </c>
      <c r="AB70" s="59">
        <v>0</v>
      </c>
      <c r="AC70" s="56">
        <v>120</v>
      </c>
      <c r="AD70" s="56">
        <v>0</v>
      </c>
      <c r="AE70" s="56">
        <v>0</v>
      </c>
      <c r="AF70" s="54" t="s">
        <v>1199</v>
      </c>
      <c r="AG70" s="57"/>
      <c r="AH70" s="54" t="s">
        <v>1123</v>
      </c>
      <c r="AI70" s="54" t="s">
        <v>1124</v>
      </c>
      <c r="AJ70" s="54"/>
      <c r="AK70" s="54"/>
      <c r="AL70" s="54"/>
      <c r="AM70" s="54"/>
      <c r="AN70" s="54"/>
      <c r="AO70" s="54"/>
      <c r="AP70" s="54"/>
      <c r="AQ70" s="54"/>
      <c r="AR70" s="54" t="s">
        <v>1045</v>
      </c>
      <c r="AS70" s="54" t="s">
        <v>1046</v>
      </c>
      <c r="AT70" s="54" t="s">
        <v>1047</v>
      </c>
      <c r="AU70" s="54" t="s">
        <v>1048</v>
      </c>
      <c r="AV70" s="54"/>
      <c r="AW70" s="55">
        <v>46189</v>
      </c>
      <c r="AX70" s="55">
        <v>46175</v>
      </c>
      <c r="AY70" s="55">
        <v>46175</v>
      </c>
      <c r="AZ70" s="55"/>
      <c r="BA70" s="55">
        <v>46189</v>
      </c>
      <c r="BB70" s="56">
        <v>0</v>
      </c>
      <c r="BC70" s="56">
        <v>0</v>
      </c>
      <c r="BD70" s="56">
        <v>0</v>
      </c>
      <c r="BE70" s="56">
        <v>0</v>
      </c>
      <c r="BF70" s="56">
        <v>0</v>
      </c>
      <c r="BG70" s="56">
        <v>0</v>
      </c>
      <c r="BH70" s="56">
        <v>0</v>
      </c>
      <c r="BI70" s="56">
        <v>0</v>
      </c>
      <c r="BJ70" s="56">
        <v>0</v>
      </c>
      <c r="BK70" s="56">
        <v>0</v>
      </c>
      <c r="BL70" s="56">
        <v>0</v>
      </c>
      <c r="BM70" s="56">
        <v>0</v>
      </c>
      <c r="BN70" s="56">
        <v>0</v>
      </c>
      <c r="BO70" s="56">
        <v>0</v>
      </c>
      <c r="BP70" s="54" t="s">
        <v>1049</v>
      </c>
      <c r="BQ70" s="54" t="s">
        <v>1050</v>
      </c>
      <c r="BR70" s="54" t="s">
        <v>1049</v>
      </c>
      <c r="BS70" s="54" t="s">
        <v>1050</v>
      </c>
      <c r="BT70" s="54" t="s">
        <v>1051</v>
      </c>
      <c r="BU70" s="54" t="s">
        <v>1043</v>
      </c>
      <c r="BV70" s="58">
        <v>0</v>
      </c>
      <c r="BW70" s="54" t="s">
        <v>1052</v>
      </c>
      <c r="BX70" s="54" t="s">
        <v>1053</v>
      </c>
      <c r="BY70" s="54" t="s">
        <v>1054</v>
      </c>
      <c r="BZ70" s="54" t="s">
        <v>1055</v>
      </c>
      <c r="CA70" s="55"/>
      <c r="CB70" s="54" t="s">
        <v>1056</v>
      </c>
      <c r="CC70" s="54" t="s">
        <v>1057</v>
      </c>
      <c r="CD70" s="54" t="s">
        <v>1200</v>
      </c>
      <c r="CE70" s="54" t="s">
        <v>1201</v>
      </c>
      <c r="CF70" s="54" t="s">
        <v>1202</v>
      </c>
      <c r="CG70" s="54" t="s">
        <v>1203</v>
      </c>
      <c r="CH70" s="54" t="s">
        <v>1204</v>
      </c>
      <c r="CI70" s="54" t="s">
        <v>1203</v>
      </c>
      <c r="CJ70" s="54" t="s">
        <v>1064</v>
      </c>
      <c r="CK70" s="54" t="s">
        <v>1065</v>
      </c>
      <c r="CL70" s="54" t="s">
        <v>1205</v>
      </c>
      <c r="CM70" s="54" t="s">
        <v>1206</v>
      </c>
      <c r="CN70" s="54" t="s">
        <v>1068</v>
      </c>
      <c r="CO70" s="54" t="s">
        <v>1069</v>
      </c>
      <c r="CP70" s="56">
        <v>0</v>
      </c>
      <c r="CQ70" s="56">
        <v>0</v>
      </c>
      <c r="CR70" s="56">
        <v>0</v>
      </c>
      <c r="CS70" s="56">
        <v>0</v>
      </c>
      <c r="CT70" s="56">
        <v>0</v>
      </c>
      <c r="CU70" s="56">
        <v>0</v>
      </c>
      <c r="CV70" s="56">
        <v>0</v>
      </c>
      <c r="CW70" s="56">
        <v>0</v>
      </c>
      <c r="CX70" s="56">
        <v>0</v>
      </c>
      <c r="CY70" s="56">
        <v>0</v>
      </c>
      <c r="CZ70" s="56">
        <v>0</v>
      </c>
      <c r="DA70" s="56">
        <v>0</v>
      </c>
      <c r="DB70" s="56">
        <v>0</v>
      </c>
      <c r="DC70" s="56">
        <v>0</v>
      </c>
      <c r="DD70" s="56">
        <v>0</v>
      </c>
      <c r="DE70" s="56">
        <v>0</v>
      </c>
      <c r="DF70" s="56">
        <v>0</v>
      </c>
      <c r="DG70" s="56">
        <v>0</v>
      </c>
      <c r="DH70" s="56">
        <v>0</v>
      </c>
      <c r="DI70" s="56">
        <v>0</v>
      </c>
      <c r="DJ70" s="56">
        <v>0</v>
      </c>
      <c r="DK70" s="56">
        <v>0</v>
      </c>
      <c r="DL70" s="56">
        <v>0</v>
      </c>
      <c r="DM70" s="56">
        <v>0</v>
      </c>
      <c r="DN70" s="56">
        <v>0</v>
      </c>
      <c r="DO70" s="56">
        <v>0</v>
      </c>
      <c r="DP70" s="56">
        <v>0</v>
      </c>
      <c r="DQ70" s="56">
        <v>0</v>
      </c>
      <c r="DR70" s="56">
        <v>0</v>
      </c>
      <c r="DS70" s="56">
        <v>0</v>
      </c>
      <c r="DT70" s="56">
        <v>0</v>
      </c>
      <c r="DU70" s="56">
        <v>0</v>
      </c>
      <c r="DV70" s="56">
        <v>0</v>
      </c>
      <c r="DW70" s="56">
        <v>0</v>
      </c>
      <c r="DX70" s="56">
        <v>0</v>
      </c>
      <c r="DY70" s="56">
        <v>0</v>
      </c>
      <c r="DZ70" s="56">
        <v>0</v>
      </c>
      <c r="EA70" s="56">
        <v>0</v>
      </c>
      <c r="EB70" s="56">
        <v>0</v>
      </c>
      <c r="EC70" s="56">
        <v>0</v>
      </c>
      <c r="ED70" s="56">
        <v>0</v>
      </c>
      <c r="EE70" s="56">
        <v>0</v>
      </c>
      <c r="EF70" s="56">
        <v>0</v>
      </c>
      <c r="EG70" s="56">
        <v>0</v>
      </c>
      <c r="EH70" s="56">
        <v>135.36000000000001</v>
      </c>
      <c r="EI70" s="56">
        <v>0</v>
      </c>
      <c r="EJ70" s="56">
        <v>0</v>
      </c>
      <c r="EK70" s="56">
        <v>0</v>
      </c>
      <c r="EL70" s="56">
        <v>0</v>
      </c>
      <c r="EM70" s="56">
        <v>0</v>
      </c>
      <c r="EN70" s="56">
        <v>0</v>
      </c>
      <c r="EO70" s="56">
        <v>0</v>
      </c>
      <c r="EP70" s="56">
        <v>0</v>
      </c>
      <c r="EQ70" s="56">
        <v>0</v>
      </c>
      <c r="ER70" s="56">
        <v>0</v>
      </c>
      <c r="ES70" s="56">
        <v>0</v>
      </c>
      <c r="ET70" s="56">
        <v>0</v>
      </c>
      <c r="EU70" s="56">
        <v>0</v>
      </c>
      <c r="EV70" s="56">
        <v>0</v>
      </c>
      <c r="EW70" s="56">
        <v>0</v>
      </c>
      <c r="EX70" s="56">
        <v>0</v>
      </c>
      <c r="EY70" s="56">
        <v>0</v>
      </c>
      <c r="EZ70" s="56">
        <v>0</v>
      </c>
      <c r="FA70" s="56">
        <v>0</v>
      </c>
      <c r="FB70" s="56">
        <v>0</v>
      </c>
      <c r="FC70" s="58">
        <v>0</v>
      </c>
      <c r="FD70" s="56">
        <v>0</v>
      </c>
      <c r="FE70" s="56">
        <v>0</v>
      </c>
      <c r="FF70" s="56">
        <v>0</v>
      </c>
      <c r="FG70" s="56">
        <v>0</v>
      </c>
      <c r="FH70" s="56">
        <v>0</v>
      </c>
      <c r="FI70" s="56">
        <v>0</v>
      </c>
      <c r="FJ70" s="56">
        <v>0</v>
      </c>
      <c r="FK70" s="56">
        <v>0</v>
      </c>
      <c r="FL70" s="56">
        <v>0</v>
      </c>
      <c r="FM70" s="56">
        <v>0</v>
      </c>
      <c r="FN70" s="56">
        <v>0</v>
      </c>
      <c r="FO70" s="56">
        <v>0</v>
      </c>
      <c r="FP70" s="56">
        <v>0</v>
      </c>
      <c r="FQ70" s="56">
        <v>0</v>
      </c>
      <c r="FR70" s="56">
        <v>0</v>
      </c>
      <c r="FS70" s="58">
        <v>0</v>
      </c>
      <c r="FT70" s="56">
        <v>0</v>
      </c>
      <c r="FU70" s="56">
        <v>0</v>
      </c>
      <c r="FV70" s="56">
        <v>0</v>
      </c>
      <c r="FW70" s="56">
        <v>0</v>
      </c>
      <c r="FX70" s="56">
        <v>0</v>
      </c>
      <c r="FY70" s="56">
        <v>0</v>
      </c>
      <c r="FZ70" s="54" t="s">
        <v>1070</v>
      </c>
      <c r="GA70" s="54" t="s">
        <v>1071</v>
      </c>
      <c r="GB70" s="54" t="s">
        <v>1072</v>
      </c>
      <c r="GC70" s="54" t="s">
        <v>1073</v>
      </c>
      <c r="GD70" s="54" t="s">
        <v>1212</v>
      </c>
      <c r="GE70" s="54" t="s">
        <v>1201</v>
      </c>
      <c r="GF70" s="54"/>
      <c r="GG70" s="55"/>
      <c r="GH70" s="54"/>
      <c r="GI70" s="54"/>
      <c r="GJ70" s="54" t="s">
        <v>1076</v>
      </c>
      <c r="GK70" s="54" t="s">
        <v>1077</v>
      </c>
      <c r="GL70" s="54"/>
      <c r="GM70" s="54"/>
      <c r="GN70" s="54" t="s">
        <v>1208</v>
      </c>
      <c r="GO70" s="54" t="s">
        <v>1209</v>
      </c>
      <c r="GP70" s="54"/>
      <c r="GQ70" s="56">
        <v>0</v>
      </c>
      <c r="GR70" s="54" t="s">
        <v>1210</v>
      </c>
      <c r="GS70" s="54"/>
    </row>
    <row r="71" spans="1:201" x14ac:dyDescent="0.25">
      <c r="A71" s="54" t="s">
        <v>1032</v>
      </c>
      <c r="B71" s="54" t="s">
        <v>1033</v>
      </c>
      <c r="C71" s="54" t="s">
        <v>1197</v>
      </c>
      <c r="D71" s="54" t="s">
        <v>1035</v>
      </c>
      <c r="E71" s="54" t="s">
        <v>1036</v>
      </c>
      <c r="F71" s="55">
        <v>46175</v>
      </c>
      <c r="G71" s="55">
        <v>46175</v>
      </c>
      <c r="H71" s="54" t="s">
        <v>1037</v>
      </c>
      <c r="I71" s="54" t="s">
        <v>1038</v>
      </c>
      <c r="J71" s="54" t="s">
        <v>1039</v>
      </c>
      <c r="K71" s="55"/>
      <c r="L71" s="54" t="s">
        <v>1040</v>
      </c>
      <c r="M71" s="54"/>
      <c r="N71" s="54" t="s">
        <v>1198</v>
      </c>
      <c r="O71" s="54" t="s">
        <v>1089</v>
      </c>
      <c r="P71" s="54" t="s">
        <v>692</v>
      </c>
      <c r="Q71" s="54" t="s">
        <v>696</v>
      </c>
      <c r="R71" s="54" t="s">
        <v>1043</v>
      </c>
      <c r="S71" s="56">
        <v>1272.5999999999999</v>
      </c>
      <c r="T71" s="56">
        <v>0</v>
      </c>
      <c r="U71" s="56">
        <v>1272.5999999999999</v>
      </c>
      <c r="V71" s="56">
        <v>0</v>
      </c>
      <c r="W71" s="56">
        <v>0</v>
      </c>
      <c r="X71" s="56">
        <v>0</v>
      </c>
      <c r="Y71" s="56">
        <v>0</v>
      </c>
      <c r="Z71" s="56">
        <v>60</v>
      </c>
      <c r="AA71" s="56">
        <v>0</v>
      </c>
      <c r="AB71" s="59">
        <v>60</v>
      </c>
      <c r="AC71" s="56">
        <v>0</v>
      </c>
      <c r="AD71" s="56">
        <v>0</v>
      </c>
      <c r="AE71" s="56">
        <v>0</v>
      </c>
      <c r="AF71" s="54" t="s">
        <v>1199</v>
      </c>
      <c r="AG71" s="57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 t="s">
        <v>1045</v>
      </c>
      <c r="AS71" s="54" t="s">
        <v>1046</v>
      </c>
      <c r="AT71" s="54" t="s">
        <v>1047</v>
      </c>
      <c r="AU71" s="54" t="s">
        <v>1048</v>
      </c>
      <c r="AV71" s="54"/>
      <c r="AW71" s="55">
        <v>46189</v>
      </c>
      <c r="AX71" s="55">
        <v>46175</v>
      </c>
      <c r="AY71" s="55">
        <v>46175</v>
      </c>
      <c r="AZ71" s="55"/>
      <c r="BA71" s="55">
        <v>46189</v>
      </c>
      <c r="BB71" s="56">
        <v>0</v>
      </c>
      <c r="BC71" s="56">
        <v>0</v>
      </c>
      <c r="BD71" s="56">
        <v>0</v>
      </c>
      <c r="BE71" s="56">
        <v>0</v>
      </c>
      <c r="BF71" s="56">
        <v>0</v>
      </c>
      <c r="BG71" s="56">
        <v>0</v>
      </c>
      <c r="BH71" s="56">
        <v>0</v>
      </c>
      <c r="BI71" s="56">
        <v>0</v>
      </c>
      <c r="BJ71" s="56">
        <v>0</v>
      </c>
      <c r="BK71" s="56">
        <v>0</v>
      </c>
      <c r="BL71" s="56">
        <v>0</v>
      </c>
      <c r="BM71" s="56">
        <v>0</v>
      </c>
      <c r="BN71" s="56">
        <v>0</v>
      </c>
      <c r="BO71" s="56">
        <v>0</v>
      </c>
      <c r="BP71" s="54" t="s">
        <v>1049</v>
      </c>
      <c r="BQ71" s="54" t="s">
        <v>1050</v>
      </c>
      <c r="BR71" s="54" t="s">
        <v>1049</v>
      </c>
      <c r="BS71" s="54" t="s">
        <v>1050</v>
      </c>
      <c r="BT71" s="54" t="s">
        <v>1051</v>
      </c>
      <c r="BU71" s="54" t="s">
        <v>1043</v>
      </c>
      <c r="BV71" s="58">
        <v>0</v>
      </c>
      <c r="BW71" s="54" t="s">
        <v>1052</v>
      </c>
      <c r="BX71" s="54" t="s">
        <v>1053</v>
      </c>
      <c r="BY71" s="54" t="s">
        <v>1054</v>
      </c>
      <c r="BZ71" s="54" t="s">
        <v>1055</v>
      </c>
      <c r="CA71" s="55"/>
      <c r="CB71" s="54" t="s">
        <v>1056</v>
      </c>
      <c r="CC71" s="54" t="s">
        <v>1057</v>
      </c>
      <c r="CD71" s="54" t="s">
        <v>1200</v>
      </c>
      <c r="CE71" s="54" t="s">
        <v>1201</v>
      </c>
      <c r="CF71" s="54" t="s">
        <v>1202</v>
      </c>
      <c r="CG71" s="54" t="s">
        <v>1203</v>
      </c>
      <c r="CH71" s="54" t="s">
        <v>1204</v>
      </c>
      <c r="CI71" s="54" t="s">
        <v>1203</v>
      </c>
      <c r="CJ71" s="54" t="s">
        <v>1064</v>
      </c>
      <c r="CK71" s="54" t="s">
        <v>1065</v>
      </c>
      <c r="CL71" s="54" t="s">
        <v>1205</v>
      </c>
      <c r="CM71" s="54" t="s">
        <v>1206</v>
      </c>
      <c r="CN71" s="54" t="s">
        <v>1068</v>
      </c>
      <c r="CO71" s="54" t="s">
        <v>1069</v>
      </c>
      <c r="CP71" s="56">
        <v>0</v>
      </c>
      <c r="CQ71" s="56">
        <v>0</v>
      </c>
      <c r="CR71" s="56">
        <v>0</v>
      </c>
      <c r="CS71" s="56">
        <v>0</v>
      </c>
      <c r="CT71" s="56">
        <v>0</v>
      </c>
      <c r="CU71" s="56">
        <v>0</v>
      </c>
      <c r="CV71" s="56">
        <v>0</v>
      </c>
      <c r="CW71" s="56">
        <v>0</v>
      </c>
      <c r="CX71" s="56">
        <v>0</v>
      </c>
      <c r="CY71" s="56">
        <v>0</v>
      </c>
      <c r="CZ71" s="56">
        <v>0</v>
      </c>
      <c r="DA71" s="56">
        <v>0</v>
      </c>
      <c r="DB71" s="56">
        <v>0</v>
      </c>
      <c r="DC71" s="56">
        <v>0</v>
      </c>
      <c r="DD71" s="56">
        <v>0</v>
      </c>
      <c r="DE71" s="56">
        <v>0</v>
      </c>
      <c r="DF71" s="56">
        <v>0</v>
      </c>
      <c r="DG71" s="56">
        <v>0</v>
      </c>
      <c r="DH71" s="56">
        <v>0</v>
      </c>
      <c r="DI71" s="56">
        <v>0</v>
      </c>
      <c r="DJ71" s="56">
        <v>0</v>
      </c>
      <c r="DK71" s="56">
        <v>0</v>
      </c>
      <c r="DL71" s="56">
        <v>0</v>
      </c>
      <c r="DM71" s="56">
        <v>0</v>
      </c>
      <c r="DN71" s="56">
        <v>0</v>
      </c>
      <c r="DO71" s="56">
        <v>0</v>
      </c>
      <c r="DP71" s="56">
        <v>0</v>
      </c>
      <c r="DQ71" s="56">
        <v>0</v>
      </c>
      <c r="DR71" s="56">
        <v>0</v>
      </c>
      <c r="DS71" s="56">
        <v>0</v>
      </c>
      <c r="DT71" s="56">
        <v>0</v>
      </c>
      <c r="DU71" s="56">
        <v>0</v>
      </c>
      <c r="DV71" s="56">
        <v>0</v>
      </c>
      <c r="DW71" s="56">
        <v>0</v>
      </c>
      <c r="DX71" s="56">
        <v>0</v>
      </c>
      <c r="DY71" s="56">
        <v>0</v>
      </c>
      <c r="DZ71" s="56">
        <v>0</v>
      </c>
      <c r="EA71" s="56">
        <v>0</v>
      </c>
      <c r="EB71" s="56">
        <v>0</v>
      </c>
      <c r="EC71" s="56">
        <v>152.71</v>
      </c>
      <c r="ED71" s="56">
        <v>0</v>
      </c>
      <c r="EE71" s="56">
        <v>0</v>
      </c>
      <c r="EF71" s="56">
        <v>0</v>
      </c>
      <c r="EG71" s="56">
        <v>0</v>
      </c>
      <c r="EH71" s="56">
        <v>152.71</v>
      </c>
      <c r="EI71" s="56">
        <v>0</v>
      </c>
      <c r="EJ71" s="56">
        <v>0</v>
      </c>
      <c r="EK71" s="56">
        <v>0</v>
      </c>
      <c r="EL71" s="56">
        <v>0</v>
      </c>
      <c r="EM71" s="56">
        <v>0</v>
      </c>
      <c r="EN71" s="56">
        <v>0</v>
      </c>
      <c r="EO71" s="56">
        <v>0</v>
      </c>
      <c r="EP71" s="56">
        <v>1272.5999999999999</v>
      </c>
      <c r="EQ71" s="56">
        <v>0</v>
      </c>
      <c r="ER71" s="56">
        <v>0</v>
      </c>
      <c r="ES71" s="56">
        <v>60</v>
      </c>
      <c r="ET71" s="56">
        <v>0</v>
      </c>
      <c r="EU71" s="56">
        <v>0</v>
      </c>
      <c r="EV71" s="56">
        <v>0</v>
      </c>
      <c r="EW71" s="56">
        <v>0</v>
      </c>
      <c r="EX71" s="56">
        <v>0</v>
      </c>
      <c r="EY71" s="56">
        <v>0</v>
      </c>
      <c r="EZ71" s="56">
        <v>0</v>
      </c>
      <c r="FA71" s="56">
        <v>0</v>
      </c>
      <c r="FB71" s="56">
        <v>0</v>
      </c>
      <c r="FC71" s="58">
        <v>0</v>
      </c>
      <c r="FD71" s="56">
        <v>0</v>
      </c>
      <c r="FE71" s="56">
        <v>0</v>
      </c>
      <c r="FF71" s="56">
        <v>0</v>
      </c>
      <c r="FG71" s="56">
        <v>0</v>
      </c>
      <c r="FH71" s="56">
        <v>0</v>
      </c>
      <c r="FI71" s="56">
        <v>0</v>
      </c>
      <c r="FJ71" s="56">
        <v>0</v>
      </c>
      <c r="FK71" s="56">
        <v>0</v>
      </c>
      <c r="FL71" s="56">
        <v>0</v>
      </c>
      <c r="FM71" s="56">
        <v>0</v>
      </c>
      <c r="FN71" s="56">
        <v>0</v>
      </c>
      <c r="FO71" s="56">
        <v>0</v>
      </c>
      <c r="FP71" s="56">
        <v>0</v>
      </c>
      <c r="FQ71" s="56">
        <v>0</v>
      </c>
      <c r="FR71" s="56">
        <v>0</v>
      </c>
      <c r="FS71" s="58">
        <v>0</v>
      </c>
      <c r="FT71" s="56">
        <v>0</v>
      </c>
      <c r="FU71" s="56">
        <v>0</v>
      </c>
      <c r="FV71" s="56">
        <v>0</v>
      </c>
      <c r="FW71" s="56">
        <v>0</v>
      </c>
      <c r="FX71" s="56">
        <v>0</v>
      </c>
      <c r="FY71" s="56">
        <v>0</v>
      </c>
      <c r="FZ71" s="54" t="s">
        <v>1070</v>
      </c>
      <c r="GA71" s="54" t="s">
        <v>1071</v>
      </c>
      <c r="GB71" s="54" t="s">
        <v>1072</v>
      </c>
      <c r="GC71" s="54" t="s">
        <v>1073</v>
      </c>
      <c r="GD71" s="54"/>
      <c r="GE71" s="54"/>
      <c r="GF71" s="54" t="s">
        <v>1213</v>
      </c>
      <c r="GG71" s="55">
        <v>46205</v>
      </c>
      <c r="GH71" s="54"/>
      <c r="GI71" s="54"/>
      <c r="GJ71" s="54" t="s">
        <v>1076</v>
      </c>
      <c r="GK71" s="54" t="s">
        <v>1077</v>
      </c>
      <c r="GL71" s="54"/>
      <c r="GM71" s="54"/>
      <c r="GN71" s="54" t="s">
        <v>1208</v>
      </c>
      <c r="GO71" s="54" t="s">
        <v>1209</v>
      </c>
      <c r="GP71" s="54"/>
      <c r="GQ71" s="56">
        <v>0</v>
      </c>
      <c r="GR71" s="54" t="s">
        <v>1210</v>
      </c>
      <c r="GS71" s="54" t="s">
        <v>1101</v>
      </c>
    </row>
    <row r="72" spans="1:201" x14ac:dyDescent="0.25">
      <c r="A72" s="54" t="s">
        <v>1032</v>
      </c>
      <c r="B72" s="54" t="s">
        <v>1033</v>
      </c>
      <c r="C72" s="54" t="s">
        <v>1197</v>
      </c>
      <c r="D72" s="54" t="s">
        <v>1035</v>
      </c>
      <c r="E72" s="54" t="s">
        <v>1036</v>
      </c>
      <c r="F72" s="55">
        <v>46175</v>
      </c>
      <c r="G72" s="55">
        <v>46175</v>
      </c>
      <c r="H72" s="54" t="s">
        <v>1037</v>
      </c>
      <c r="I72" s="54" t="s">
        <v>1038</v>
      </c>
      <c r="J72" s="54" t="s">
        <v>1039</v>
      </c>
      <c r="K72" s="55"/>
      <c r="L72" s="54" t="s">
        <v>1040</v>
      </c>
      <c r="M72" s="54"/>
      <c r="N72" s="54" t="s">
        <v>1198</v>
      </c>
      <c r="O72" s="54" t="s">
        <v>1090</v>
      </c>
      <c r="P72" s="54" t="s">
        <v>690</v>
      </c>
      <c r="Q72" s="54" t="s">
        <v>694</v>
      </c>
      <c r="R72" s="54" t="s">
        <v>1043</v>
      </c>
      <c r="S72" s="56">
        <v>1153.8</v>
      </c>
      <c r="T72" s="56">
        <v>1153.8</v>
      </c>
      <c r="U72" s="56">
        <v>0</v>
      </c>
      <c r="V72" s="56">
        <v>0</v>
      </c>
      <c r="W72" s="56">
        <v>0</v>
      </c>
      <c r="X72" s="56">
        <v>0</v>
      </c>
      <c r="Y72" s="56">
        <v>0</v>
      </c>
      <c r="Z72" s="56">
        <v>60</v>
      </c>
      <c r="AA72" s="56">
        <v>60</v>
      </c>
      <c r="AB72" s="59">
        <v>0</v>
      </c>
      <c r="AC72" s="56">
        <v>0</v>
      </c>
      <c r="AD72" s="56">
        <v>0</v>
      </c>
      <c r="AE72" s="56">
        <v>0</v>
      </c>
      <c r="AF72" s="54" t="s">
        <v>1199</v>
      </c>
      <c r="AG72" s="57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 t="s">
        <v>1045</v>
      </c>
      <c r="AS72" s="54" t="s">
        <v>1046</v>
      </c>
      <c r="AT72" s="54" t="s">
        <v>1047</v>
      </c>
      <c r="AU72" s="54" t="s">
        <v>1048</v>
      </c>
      <c r="AV72" s="54"/>
      <c r="AW72" s="55">
        <v>46189</v>
      </c>
      <c r="AX72" s="55">
        <v>46175</v>
      </c>
      <c r="AY72" s="55">
        <v>46175</v>
      </c>
      <c r="AZ72" s="55"/>
      <c r="BA72" s="55">
        <v>46189</v>
      </c>
      <c r="BB72" s="56">
        <v>0</v>
      </c>
      <c r="BC72" s="56">
        <v>0</v>
      </c>
      <c r="BD72" s="56">
        <v>0</v>
      </c>
      <c r="BE72" s="56">
        <v>0</v>
      </c>
      <c r="BF72" s="56">
        <v>0</v>
      </c>
      <c r="BG72" s="56">
        <v>0</v>
      </c>
      <c r="BH72" s="56">
        <v>0</v>
      </c>
      <c r="BI72" s="56">
        <v>0</v>
      </c>
      <c r="BJ72" s="56">
        <v>0</v>
      </c>
      <c r="BK72" s="56">
        <v>0</v>
      </c>
      <c r="BL72" s="56">
        <v>0</v>
      </c>
      <c r="BM72" s="56">
        <v>0</v>
      </c>
      <c r="BN72" s="56">
        <v>0</v>
      </c>
      <c r="BO72" s="56">
        <v>0</v>
      </c>
      <c r="BP72" s="54" t="s">
        <v>1049</v>
      </c>
      <c r="BQ72" s="54" t="s">
        <v>1050</v>
      </c>
      <c r="BR72" s="54" t="s">
        <v>1049</v>
      </c>
      <c r="BS72" s="54" t="s">
        <v>1050</v>
      </c>
      <c r="BT72" s="54" t="s">
        <v>1051</v>
      </c>
      <c r="BU72" s="54" t="s">
        <v>1043</v>
      </c>
      <c r="BV72" s="58">
        <v>60</v>
      </c>
      <c r="BW72" s="54" t="s">
        <v>1052</v>
      </c>
      <c r="BX72" s="54" t="s">
        <v>1053</v>
      </c>
      <c r="BY72" s="54" t="s">
        <v>1054</v>
      </c>
      <c r="BZ72" s="54" t="s">
        <v>1055</v>
      </c>
      <c r="CA72" s="55"/>
      <c r="CB72" s="54" t="s">
        <v>1056</v>
      </c>
      <c r="CC72" s="54" t="s">
        <v>1057</v>
      </c>
      <c r="CD72" s="54" t="s">
        <v>1200</v>
      </c>
      <c r="CE72" s="54" t="s">
        <v>1201</v>
      </c>
      <c r="CF72" s="54" t="s">
        <v>1202</v>
      </c>
      <c r="CG72" s="54" t="s">
        <v>1203</v>
      </c>
      <c r="CH72" s="54" t="s">
        <v>1204</v>
      </c>
      <c r="CI72" s="54" t="s">
        <v>1203</v>
      </c>
      <c r="CJ72" s="54" t="s">
        <v>1064</v>
      </c>
      <c r="CK72" s="54" t="s">
        <v>1065</v>
      </c>
      <c r="CL72" s="54" t="s">
        <v>1205</v>
      </c>
      <c r="CM72" s="54" t="s">
        <v>1206</v>
      </c>
      <c r="CN72" s="54" t="s">
        <v>1068</v>
      </c>
      <c r="CO72" s="54" t="s">
        <v>1069</v>
      </c>
      <c r="CP72" s="56">
        <v>0</v>
      </c>
      <c r="CQ72" s="56">
        <v>0</v>
      </c>
      <c r="CR72" s="56">
        <v>0</v>
      </c>
      <c r="CS72" s="56">
        <v>0</v>
      </c>
      <c r="CT72" s="56">
        <v>0</v>
      </c>
      <c r="CU72" s="56">
        <v>0</v>
      </c>
      <c r="CV72" s="56">
        <v>0</v>
      </c>
      <c r="CW72" s="56">
        <v>0</v>
      </c>
      <c r="CX72" s="56">
        <v>0</v>
      </c>
      <c r="CY72" s="56">
        <v>0</v>
      </c>
      <c r="CZ72" s="56">
        <v>0</v>
      </c>
      <c r="DA72" s="56">
        <v>0</v>
      </c>
      <c r="DB72" s="56">
        <v>0</v>
      </c>
      <c r="DC72" s="56">
        <v>0</v>
      </c>
      <c r="DD72" s="56">
        <v>0</v>
      </c>
      <c r="DE72" s="56">
        <v>0</v>
      </c>
      <c r="DF72" s="56">
        <v>0</v>
      </c>
      <c r="DG72" s="56">
        <v>0</v>
      </c>
      <c r="DH72" s="56">
        <v>0</v>
      </c>
      <c r="DI72" s="56">
        <v>0</v>
      </c>
      <c r="DJ72" s="56">
        <v>0</v>
      </c>
      <c r="DK72" s="56">
        <v>0</v>
      </c>
      <c r="DL72" s="56">
        <v>0</v>
      </c>
      <c r="DM72" s="56">
        <v>0</v>
      </c>
      <c r="DN72" s="56">
        <v>0</v>
      </c>
      <c r="DO72" s="56">
        <v>0</v>
      </c>
      <c r="DP72" s="56">
        <v>0</v>
      </c>
      <c r="DQ72" s="56">
        <v>0</v>
      </c>
      <c r="DR72" s="56">
        <v>0</v>
      </c>
      <c r="DS72" s="56">
        <v>0</v>
      </c>
      <c r="DT72" s="56">
        <v>0</v>
      </c>
      <c r="DU72" s="56">
        <v>0</v>
      </c>
      <c r="DV72" s="56">
        <v>0</v>
      </c>
      <c r="DW72" s="56">
        <v>0</v>
      </c>
      <c r="DX72" s="56">
        <v>0</v>
      </c>
      <c r="DY72" s="56">
        <v>0</v>
      </c>
      <c r="DZ72" s="56">
        <v>0</v>
      </c>
      <c r="EA72" s="56">
        <v>0</v>
      </c>
      <c r="EB72" s="56">
        <v>0</v>
      </c>
      <c r="EC72" s="56">
        <v>0</v>
      </c>
      <c r="ED72" s="56">
        <v>0</v>
      </c>
      <c r="EE72" s="56">
        <v>0</v>
      </c>
      <c r="EF72" s="56">
        <v>0</v>
      </c>
      <c r="EG72" s="56">
        <v>0</v>
      </c>
      <c r="EH72" s="56">
        <v>138.46</v>
      </c>
      <c r="EI72" s="56">
        <v>0</v>
      </c>
      <c r="EJ72" s="56">
        <v>0</v>
      </c>
      <c r="EK72" s="56">
        <v>0</v>
      </c>
      <c r="EL72" s="56">
        <v>0</v>
      </c>
      <c r="EM72" s="56">
        <v>0</v>
      </c>
      <c r="EN72" s="56">
        <v>0</v>
      </c>
      <c r="EO72" s="56">
        <v>0</v>
      </c>
      <c r="EP72" s="56">
        <v>0</v>
      </c>
      <c r="EQ72" s="56">
        <v>0</v>
      </c>
      <c r="ER72" s="56">
        <v>0</v>
      </c>
      <c r="ES72" s="56">
        <v>0</v>
      </c>
      <c r="ET72" s="56">
        <v>0</v>
      </c>
      <c r="EU72" s="56">
        <v>0</v>
      </c>
      <c r="EV72" s="56">
        <v>0</v>
      </c>
      <c r="EW72" s="56">
        <v>0</v>
      </c>
      <c r="EX72" s="56">
        <v>0</v>
      </c>
      <c r="EY72" s="56">
        <v>0</v>
      </c>
      <c r="EZ72" s="56">
        <v>0</v>
      </c>
      <c r="FA72" s="56">
        <v>0</v>
      </c>
      <c r="FB72" s="56">
        <v>0</v>
      </c>
      <c r="FC72" s="58">
        <v>0</v>
      </c>
      <c r="FD72" s="56">
        <v>0</v>
      </c>
      <c r="FE72" s="56">
        <v>0</v>
      </c>
      <c r="FF72" s="56">
        <v>0</v>
      </c>
      <c r="FG72" s="56">
        <v>0</v>
      </c>
      <c r="FH72" s="56">
        <v>0</v>
      </c>
      <c r="FI72" s="56">
        <v>0</v>
      </c>
      <c r="FJ72" s="56">
        <v>0</v>
      </c>
      <c r="FK72" s="56">
        <v>0</v>
      </c>
      <c r="FL72" s="56">
        <v>0</v>
      </c>
      <c r="FM72" s="56">
        <v>0</v>
      </c>
      <c r="FN72" s="56">
        <v>0</v>
      </c>
      <c r="FO72" s="56">
        <v>0</v>
      </c>
      <c r="FP72" s="56">
        <v>0</v>
      </c>
      <c r="FQ72" s="56">
        <v>0</v>
      </c>
      <c r="FR72" s="56">
        <v>0</v>
      </c>
      <c r="FS72" s="58">
        <v>0</v>
      </c>
      <c r="FT72" s="56">
        <v>0</v>
      </c>
      <c r="FU72" s="56">
        <v>0</v>
      </c>
      <c r="FV72" s="56">
        <v>0</v>
      </c>
      <c r="FW72" s="56">
        <v>0</v>
      </c>
      <c r="FX72" s="56">
        <v>0</v>
      </c>
      <c r="FY72" s="56">
        <v>0</v>
      </c>
      <c r="FZ72" s="54" t="s">
        <v>1070</v>
      </c>
      <c r="GA72" s="54" t="s">
        <v>1071</v>
      </c>
      <c r="GB72" s="54" t="s">
        <v>1072</v>
      </c>
      <c r="GC72" s="54" t="s">
        <v>1073</v>
      </c>
      <c r="GD72" s="54"/>
      <c r="GE72" s="54"/>
      <c r="GF72" s="54"/>
      <c r="GG72" s="55"/>
      <c r="GH72" s="54"/>
      <c r="GI72" s="54"/>
      <c r="GJ72" s="54" t="s">
        <v>1076</v>
      </c>
      <c r="GK72" s="54" t="s">
        <v>1077</v>
      </c>
      <c r="GL72" s="54"/>
      <c r="GM72" s="54"/>
      <c r="GN72" s="54" t="s">
        <v>1208</v>
      </c>
      <c r="GO72" s="54" t="s">
        <v>1209</v>
      </c>
      <c r="GP72" s="54"/>
      <c r="GQ72" s="56">
        <v>0</v>
      </c>
      <c r="GR72" s="54" t="s">
        <v>1210</v>
      </c>
      <c r="GS72" s="54"/>
    </row>
    <row r="73" spans="1:201" x14ac:dyDescent="0.25">
      <c r="A73" s="54" t="s">
        <v>1032</v>
      </c>
      <c r="B73" s="54" t="s">
        <v>1033</v>
      </c>
      <c r="C73" s="54" t="s">
        <v>1197</v>
      </c>
      <c r="D73" s="54" t="s">
        <v>1035</v>
      </c>
      <c r="E73" s="54" t="s">
        <v>1036</v>
      </c>
      <c r="F73" s="55">
        <v>46175</v>
      </c>
      <c r="G73" s="55">
        <v>46175</v>
      </c>
      <c r="H73" s="54" t="s">
        <v>1037</v>
      </c>
      <c r="I73" s="54" t="s">
        <v>1038</v>
      </c>
      <c r="J73" s="54" t="s">
        <v>1039</v>
      </c>
      <c r="K73" s="55"/>
      <c r="L73" s="54" t="s">
        <v>1040</v>
      </c>
      <c r="M73" s="54"/>
      <c r="N73" s="54" t="s">
        <v>1198</v>
      </c>
      <c r="O73" s="54" t="s">
        <v>1081</v>
      </c>
      <c r="P73" s="54" t="s">
        <v>342</v>
      </c>
      <c r="Q73" s="54" t="s">
        <v>71</v>
      </c>
      <c r="R73" s="54" t="s">
        <v>1043</v>
      </c>
      <c r="S73" s="56">
        <v>798</v>
      </c>
      <c r="T73" s="56">
        <v>798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420</v>
      </c>
      <c r="AA73" s="56">
        <v>420</v>
      </c>
      <c r="AB73" s="59">
        <v>0</v>
      </c>
      <c r="AC73" s="56">
        <v>0</v>
      </c>
      <c r="AD73" s="56">
        <v>0</v>
      </c>
      <c r="AE73" s="56">
        <v>0</v>
      </c>
      <c r="AF73" s="54" t="s">
        <v>1199</v>
      </c>
      <c r="AG73" s="57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 t="s">
        <v>1045</v>
      </c>
      <c r="AS73" s="54" t="s">
        <v>1046</v>
      </c>
      <c r="AT73" s="54" t="s">
        <v>1047</v>
      </c>
      <c r="AU73" s="54" t="s">
        <v>1048</v>
      </c>
      <c r="AV73" s="54"/>
      <c r="AW73" s="55">
        <v>46189</v>
      </c>
      <c r="AX73" s="55">
        <v>46175</v>
      </c>
      <c r="AY73" s="55">
        <v>46175</v>
      </c>
      <c r="AZ73" s="55">
        <v>46176</v>
      </c>
      <c r="BA73" s="55">
        <v>46189</v>
      </c>
      <c r="BB73" s="56">
        <v>0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0</v>
      </c>
      <c r="BM73" s="56">
        <v>0</v>
      </c>
      <c r="BN73" s="56">
        <v>0</v>
      </c>
      <c r="BO73" s="56">
        <v>0</v>
      </c>
      <c r="BP73" s="54" t="s">
        <v>1049</v>
      </c>
      <c r="BQ73" s="54" t="s">
        <v>1050</v>
      </c>
      <c r="BR73" s="54" t="s">
        <v>1049</v>
      </c>
      <c r="BS73" s="54" t="s">
        <v>1050</v>
      </c>
      <c r="BT73" s="54" t="s">
        <v>1051</v>
      </c>
      <c r="BU73" s="54" t="s">
        <v>1043</v>
      </c>
      <c r="BV73" s="58">
        <v>420</v>
      </c>
      <c r="BW73" s="54" t="s">
        <v>1052</v>
      </c>
      <c r="BX73" s="54" t="s">
        <v>1053</v>
      </c>
      <c r="BY73" s="54" t="s">
        <v>1054</v>
      </c>
      <c r="BZ73" s="54" t="s">
        <v>1055</v>
      </c>
      <c r="CA73" s="55"/>
      <c r="CB73" s="54" t="s">
        <v>1056</v>
      </c>
      <c r="CC73" s="54" t="s">
        <v>1057</v>
      </c>
      <c r="CD73" s="54" t="s">
        <v>1200</v>
      </c>
      <c r="CE73" s="54" t="s">
        <v>1201</v>
      </c>
      <c r="CF73" s="54" t="s">
        <v>1202</v>
      </c>
      <c r="CG73" s="54" t="s">
        <v>1203</v>
      </c>
      <c r="CH73" s="54" t="s">
        <v>1204</v>
      </c>
      <c r="CI73" s="54" t="s">
        <v>1203</v>
      </c>
      <c r="CJ73" s="54" t="s">
        <v>1064</v>
      </c>
      <c r="CK73" s="54" t="s">
        <v>1065</v>
      </c>
      <c r="CL73" s="54" t="s">
        <v>1205</v>
      </c>
      <c r="CM73" s="54" t="s">
        <v>1206</v>
      </c>
      <c r="CN73" s="54" t="s">
        <v>1068</v>
      </c>
      <c r="CO73" s="54" t="s">
        <v>1069</v>
      </c>
      <c r="CP73" s="56">
        <v>0</v>
      </c>
      <c r="CQ73" s="56">
        <v>0</v>
      </c>
      <c r="CR73" s="56">
        <v>0</v>
      </c>
      <c r="CS73" s="56">
        <v>0</v>
      </c>
      <c r="CT73" s="56">
        <v>0</v>
      </c>
      <c r="CU73" s="56">
        <v>0</v>
      </c>
      <c r="CV73" s="56">
        <v>0</v>
      </c>
      <c r="CW73" s="56">
        <v>0</v>
      </c>
      <c r="CX73" s="56">
        <v>0</v>
      </c>
      <c r="CY73" s="56">
        <v>0</v>
      </c>
      <c r="CZ73" s="56">
        <v>0</v>
      </c>
      <c r="DA73" s="56">
        <v>0</v>
      </c>
      <c r="DB73" s="56">
        <v>0</v>
      </c>
      <c r="DC73" s="56">
        <v>0</v>
      </c>
      <c r="DD73" s="56">
        <v>0</v>
      </c>
      <c r="DE73" s="56">
        <v>0</v>
      </c>
      <c r="DF73" s="56">
        <v>0</v>
      </c>
      <c r="DG73" s="56">
        <v>0</v>
      </c>
      <c r="DH73" s="56">
        <v>0</v>
      </c>
      <c r="DI73" s="56">
        <v>0</v>
      </c>
      <c r="DJ73" s="56">
        <v>0</v>
      </c>
      <c r="DK73" s="56">
        <v>0</v>
      </c>
      <c r="DL73" s="56">
        <v>0</v>
      </c>
      <c r="DM73" s="56">
        <v>0</v>
      </c>
      <c r="DN73" s="56">
        <v>0</v>
      </c>
      <c r="DO73" s="56">
        <v>0</v>
      </c>
      <c r="DP73" s="56">
        <v>0</v>
      </c>
      <c r="DQ73" s="56">
        <v>0</v>
      </c>
      <c r="DR73" s="56">
        <v>0</v>
      </c>
      <c r="DS73" s="56">
        <v>0</v>
      </c>
      <c r="DT73" s="56">
        <v>0</v>
      </c>
      <c r="DU73" s="56">
        <v>0</v>
      </c>
      <c r="DV73" s="56">
        <v>0</v>
      </c>
      <c r="DW73" s="56">
        <v>0</v>
      </c>
      <c r="DX73" s="56">
        <v>0</v>
      </c>
      <c r="DY73" s="56">
        <v>0</v>
      </c>
      <c r="DZ73" s="56">
        <v>0</v>
      </c>
      <c r="EA73" s="56">
        <v>0</v>
      </c>
      <c r="EB73" s="56">
        <v>0</v>
      </c>
      <c r="EC73" s="56">
        <v>0</v>
      </c>
      <c r="ED73" s="56">
        <v>0</v>
      </c>
      <c r="EE73" s="56">
        <v>0</v>
      </c>
      <c r="EF73" s="56">
        <v>0</v>
      </c>
      <c r="EG73" s="56">
        <v>0</v>
      </c>
      <c r="EH73" s="56">
        <v>95.76</v>
      </c>
      <c r="EI73" s="56">
        <v>0</v>
      </c>
      <c r="EJ73" s="56">
        <v>0</v>
      </c>
      <c r="EK73" s="56">
        <v>0</v>
      </c>
      <c r="EL73" s="56">
        <v>0</v>
      </c>
      <c r="EM73" s="56">
        <v>0</v>
      </c>
      <c r="EN73" s="56">
        <v>0</v>
      </c>
      <c r="EO73" s="56">
        <v>0</v>
      </c>
      <c r="EP73" s="56">
        <v>0</v>
      </c>
      <c r="EQ73" s="56">
        <v>0</v>
      </c>
      <c r="ER73" s="56">
        <v>0</v>
      </c>
      <c r="ES73" s="56">
        <v>0</v>
      </c>
      <c r="ET73" s="56">
        <v>0</v>
      </c>
      <c r="EU73" s="56">
        <v>0</v>
      </c>
      <c r="EV73" s="56">
        <v>0</v>
      </c>
      <c r="EW73" s="56">
        <v>0</v>
      </c>
      <c r="EX73" s="56">
        <v>0</v>
      </c>
      <c r="EY73" s="56">
        <v>0</v>
      </c>
      <c r="EZ73" s="56">
        <v>0</v>
      </c>
      <c r="FA73" s="56">
        <v>0</v>
      </c>
      <c r="FB73" s="56">
        <v>0</v>
      </c>
      <c r="FC73" s="58">
        <v>0</v>
      </c>
      <c r="FD73" s="56">
        <v>0</v>
      </c>
      <c r="FE73" s="56">
        <v>0</v>
      </c>
      <c r="FF73" s="56">
        <v>0</v>
      </c>
      <c r="FG73" s="56">
        <v>0</v>
      </c>
      <c r="FH73" s="56">
        <v>0</v>
      </c>
      <c r="FI73" s="56">
        <v>0</v>
      </c>
      <c r="FJ73" s="56">
        <v>0</v>
      </c>
      <c r="FK73" s="56">
        <v>0</v>
      </c>
      <c r="FL73" s="56">
        <v>0</v>
      </c>
      <c r="FM73" s="56">
        <v>0</v>
      </c>
      <c r="FN73" s="56">
        <v>0</v>
      </c>
      <c r="FO73" s="56">
        <v>0</v>
      </c>
      <c r="FP73" s="56">
        <v>0</v>
      </c>
      <c r="FQ73" s="56">
        <v>0</v>
      </c>
      <c r="FR73" s="56">
        <v>0</v>
      </c>
      <c r="FS73" s="58">
        <v>0</v>
      </c>
      <c r="FT73" s="56">
        <v>0</v>
      </c>
      <c r="FU73" s="56">
        <v>0</v>
      </c>
      <c r="FV73" s="56">
        <v>0</v>
      </c>
      <c r="FW73" s="56">
        <v>0</v>
      </c>
      <c r="FX73" s="56">
        <v>0</v>
      </c>
      <c r="FY73" s="56">
        <v>0</v>
      </c>
      <c r="FZ73" s="54" t="s">
        <v>1070</v>
      </c>
      <c r="GA73" s="54" t="s">
        <v>1071</v>
      </c>
      <c r="GB73" s="54" t="s">
        <v>1072</v>
      </c>
      <c r="GC73" s="54" t="s">
        <v>1073</v>
      </c>
      <c r="GD73" s="54" t="s">
        <v>1214</v>
      </c>
      <c r="GE73" s="54" t="s">
        <v>1201</v>
      </c>
      <c r="GF73" s="54"/>
      <c r="GG73" s="55"/>
      <c r="GH73" s="54"/>
      <c r="GI73" s="54"/>
      <c r="GJ73" s="54" t="s">
        <v>1076</v>
      </c>
      <c r="GK73" s="54" t="s">
        <v>1077</v>
      </c>
      <c r="GL73" s="54"/>
      <c r="GM73" s="54"/>
      <c r="GN73" s="54" t="s">
        <v>1208</v>
      </c>
      <c r="GO73" s="54" t="s">
        <v>1209</v>
      </c>
      <c r="GP73" s="54"/>
      <c r="GQ73" s="56">
        <v>0</v>
      </c>
      <c r="GR73" s="54" t="s">
        <v>1210</v>
      </c>
      <c r="GS73" s="54"/>
    </row>
    <row r="74" spans="1:201" x14ac:dyDescent="0.25">
      <c r="A74" s="54" t="s">
        <v>1032</v>
      </c>
      <c r="B74" s="54" t="s">
        <v>1033</v>
      </c>
      <c r="C74" s="54" t="s">
        <v>1197</v>
      </c>
      <c r="D74" s="54" t="s">
        <v>1035</v>
      </c>
      <c r="E74" s="54" t="s">
        <v>1036</v>
      </c>
      <c r="F74" s="55">
        <v>46175</v>
      </c>
      <c r="G74" s="55">
        <v>46175</v>
      </c>
      <c r="H74" s="54" t="s">
        <v>1037</v>
      </c>
      <c r="I74" s="54" t="s">
        <v>1038</v>
      </c>
      <c r="J74" s="54" t="s">
        <v>1039</v>
      </c>
      <c r="K74" s="55"/>
      <c r="L74" s="54" t="s">
        <v>1040</v>
      </c>
      <c r="M74" s="54"/>
      <c r="N74" s="54" t="s">
        <v>1198</v>
      </c>
      <c r="O74" s="54" t="s">
        <v>1046</v>
      </c>
      <c r="P74" s="54" t="s">
        <v>679</v>
      </c>
      <c r="Q74" s="54" t="s">
        <v>678</v>
      </c>
      <c r="R74" s="54" t="s">
        <v>1043</v>
      </c>
      <c r="S74" s="56">
        <v>2184.6</v>
      </c>
      <c r="T74" s="56">
        <v>2184.6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60</v>
      </c>
      <c r="AA74" s="56">
        <v>60</v>
      </c>
      <c r="AB74" s="59">
        <v>0</v>
      </c>
      <c r="AC74" s="56">
        <v>0</v>
      </c>
      <c r="AD74" s="56">
        <v>0</v>
      </c>
      <c r="AE74" s="56">
        <v>0</v>
      </c>
      <c r="AF74" s="54" t="s">
        <v>1199</v>
      </c>
      <c r="AG74" s="57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 t="s">
        <v>1045</v>
      </c>
      <c r="AS74" s="54" t="s">
        <v>1046</v>
      </c>
      <c r="AT74" s="54" t="s">
        <v>1047</v>
      </c>
      <c r="AU74" s="54" t="s">
        <v>1048</v>
      </c>
      <c r="AV74" s="54"/>
      <c r="AW74" s="55">
        <v>46189</v>
      </c>
      <c r="AX74" s="55">
        <v>46175</v>
      </c>
      <c r="AY74" s="55">
        <v>46175</v>
      </c>
      <c r="AZ74" s="55">
        <v>46176</v>
      </c>
      <c r="BA74" s="55">
        <v>46189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P74" s="54" t="s">
        <v>1049</v>
      </c>
      <c r="BQ74" s="54" t="s">
        <v>1050</v>
      </c>
      <c r="BR74" s="54" t="s">
        <v>1049</v>
      </c>
      <c r="BS74" s="54" t="s">
        <v>1050</v>
      </c>
      <c r="BT74" s="54" t="s">
        <v>1051</v>
      </c>
      <c r="BU74" s="54" t="s">
        <v>1043</v>
      </c>
      <c r="BV74" s="58">
        <v>60</v>
      </c>
      <c r="BW74" s="54" t="s">
        <v>1052</v>
      </c>
      <c r="BX74" s="54" t="s">
        <v>1053</v>
      </c>
      <c r="BY74" s="54" t="s">
        <v>1054</v>
      </c>
      <c r="BZ74" s="54" t="s">
        <v>1055</v>
      </c>
      <c r="CA74" s="55"/>
      <c r="CB74" s="54" t="s">
        <v>1056</v>
      </c>
      <c r="CC74" s="54" t="s">
        <v>1057</v>
      </c>
      <c r="CD74" s="54" t="s">
        <v>1200</v>
      </c>
      <c r="CE74" s="54" t="s">
        <v>1201</v>
      </c>
      <c r="CF74" s="54" t="s">
        <v>1202</v>
      </c>
      <c r="CG74" s="54" t="s">
        <v>1203</v>
      </c>
      <c r="CH74" s="54" t="s">
        <v>1204</v>
      </c>
      <c r="CI74" s="54" t="s">
        <v>1203</v>
      </c>
      <c r="CJ74" s="54" t="s">
        <v>1064</v>
      </c>
      <c r="CK74" s="54" t="s">
        <v>1065</v>
      </c>
      <c r="CL74" s="54" t="s">
        <v>1205</v>
      </c>
      <c r="CM74" s="54" t="s">
        <v>1206</v>
      </c>
      <c r="CN74" s="54" t="s">
        <v>1068</v>
      </c>
      <c r="CO74" s="54" t="s">
        <v>1069</v>
      </c>
      <c r="CP74" s="56">
        <v>0</v>
      </c>
      <c r="CQ74" s="56">
        <v>0</v>
      </c>
      <c r="CR74" s="56">
        <v>0</v>
      </c>
      <c r="CS74" s="56">
        <v>0</v>
      </c>
      <c r="CT74" s="56">
        <v>0</v>
      </c>
      <c r="CU74" s="56">
        <v>0</v>
      </c>
      <c r="CV74" s="56">
        <v>0</v>
      </c>
      <c r="CW74" s="56">
        <v>0</v>
      </c>
      <c r="CX74" s="56">
        <v>0</v>
      </c>
      <c r="CY74" s="56">
        <v>0</v>
      </c>
      <c r="CZ74" s="56">
        <v>0</v>
      </c>
      <c r="DA74" s="56">
        <v>0</v>
      </c>
      <c r="DB74" s="56">
        <v>0</v>
      </c>
      <c r="DC74" s="56">
        <v>0</v>
      </c>
      <c r="DD74" s="56">
        <v>0</v>
      </c>
      <c r="DE74" s="56">
        <v>0</v>
      </c>
      <c r="DF74" s="56">
        <v>0</v>
      </c>
      <c r="DG74" s="56">
        <v>0</v>
      </c>
      <c r="DH74" s="56">
        <v>0</v>
      </c>
      <c r="DI74" s="56">
        <v>0</v>
      </c>
      <c r="DJ74" s="56">
        <v>0</v>
      </c>
      <c r="DK74" s="56">
        <v>0</v>
      </c>
      <c r="DL74" s="56">
        <v>0</v>
      </c>
      <c r="DM74" s="56">
        <v>0</v>
      </c>
      <c r="DN74" s="56">
        <v>0</v>
      </c>
      <c r="DO74" s="56">
        <v>0</v>
      </c>
      <c r="DP74" s="56">
        <v>0</v>
      </c>
      <c r="DQ74" s="56">
        <v>0</v>
      </c>
      <c r="DR74" s="56">
        <v>0</v>
      </c>
      <c r="DS74" s="56">
        <v>0</v>
      </c>
      <c r="DT74" s="56">
        <v>0</v>
      </c>
      <c r="DU74" s="56">
        <v>0</v>
      </c>
      <c r="DV74" s="56">
        <v>0</v>
      </c>
      <c r="DW74" s="56">
        <v>0</v>
      </c>
      <c r="DX74" s="56">
        <v>0</v>
      </c>
      <c r="DY74" s="56">
        <v>0</v>
      </c>
      <c r="DZ74" s="56">
        <v>0</v>
      </c>
      <c r="EA74" s="56">
        <v>0</v>
      </c>
      <c r="EB74" s="56">
        <v>0</v>
      </c>
      <c r="EC74" s="56">
        <v>0</v>
      </c>
      <c r="ED74" s="56">
        <v>0</v>
      </c>
      <c r="EE74" s="56">
        <v>0</v>
      </c>
      <c r="EF74" s="56">
        <v>0</v>
      </c>
      <c r="EG74" s="56">
        <v>0</v>
      </c>
      <c r="EH74" s="56">
        <v>87.38</v>
      </c>
      <c r="EI74" s="56">
        <v>0</v>
      </c>
      <c r="EJ74" s="56">
        <v>0</v>
      </c>
      <c r="EK74" s="56">
        <v>0</v>
      </c>
      <c r="EL74" s="56">
        <v>0</v>
      </c>
      <c r="EM74" s="56">
        <v>0</v>
      </c>
      <c r="EN74" s="56">
        <v>0</v>
      </c>
      <c r="EO74" s="56">
        <v>0</v>
      </c>
      <c r="EP74" s="56">
        <v>0</v>
      </c>
      <c r="EQ74" s="56">
        <v>0</v>
      </c>
      <c r="ER74" s="56">
        <v>0</v>
      </c>
      <c r="ES74" s="56">
        <v>0</v>
      </c>
      <c r="ET74" s="56">
        <v>0</v>
      </c>
      <c r="EU74" s="56">
        <v>0</v>
      </c>
      <c r="EV74" s="56">
        <v>0</v>
      </c>
      <c r="EW74" s="56">
        <v>0</v>
      </c>
      <c r="EX74" s="56">
        <v>0</v>
      </c>
      <c r="EY74" s="56">
        <v>0</v>
      </c>
      <c r="EZ74" s="56">
        <v>0</v>
      </c>
      <c r="FA74" s="56">
        <v>0</v>
      </c>
      <c r="FB74" s="56">
        <v>0</v>
      </c>
      <c r="FC74" s="58">
        <v>0</v>
      </c>
      <c r="FD74" s="56">
        <v>0</v>
      </c>
      <c r="FE74" s="56">
        <v>0</v>
      </c>
      <c r="FF74" s="56">
        <v>0</v>
      </c>
      <c r="FG74" s="56">
        <v>0</v>
      </c>
      <c r="FH74" s="56">
        <v>0</v>
      </c>
      <c r="FI74" s="56">
        <v>0</v>
      </c>
      <c r="FJ74" s="56">
        <v>0</v>
      </c>
      <c r="FK74" s="56">
        <v>0</v>
      </c>
      <c r="FL74" s="56">
        <v>0</v>
      </c>
      <c r="FM74" s="56">
        <v>0</v>
      </c>
      <c r="FN74" s="56">
        <v>0</v>
      </c>
      <c r="FO74" s="56">
        <v>0</v>
      </c>
      <c r="FP74" s="56">
        <v>0</v>
      </c>
      <c r="FQ74" s="56">
        <v>0</v>
      </c>
      <c r="FR74" s="56">
        <v>0</v>
      </c>
      <c r="FS74" s="58">
        <v>0</v>
      </c>
      <c r="FT74" s="56">
        <v>0</v>
      </c>
      <c r="FU74" s="56">
        <v>0</v>
      </c>
      <c r="FV74" s="56">
        <v>0</v>
      </c>
      <c r="FW74" s="56">
        <v>0</v>
      </c>
      <c r="FX74" s="56">
        <v>0</v>
      </c>
      <c r="FY74" s="56">
        <v>0</v>
      </c>
      <c r="FZ74" s="54" t="s">
        <v>1070</v>
      </c>
      <c r="GA74" s="54" t="s">
        <v>1071</v>
      </c>
      <c r="GB74" s="54" t="s">
        <v>1072</v>
      </c>
      <c r="GC74" s="54" t="s">
        <v>1073</v>
      </c>
      <c r="GD74" s="54"/>
      <c r="GE74" s="54"/>
      <c r="GF74" s="54"/>
      <c r="GG74" s="55"/>
      <c r="GH74" s="54"/>
      <c r="GI74" s="54"/>
      <c r="GJ74" s="54" t="s">
        <v>1076</v>
      </c>
      <c r="GK74" s="54" t="s">
        <v>1077</v>
      </c>
      <c r="GL74" s="54"/>
      <c r="GM74" s="54"/>
      <c r="GN74" s="54" t="s">
        <v>1208</v>
      </c>
      <c r="GO74" s="54" t="s">
        <v>1209</v>
      </c>
      <c r="GP74" s="54"/>
      <c r="GQ74" s="56">
        <v>0</v>
      </c>
      <c r="GR74" s="54" t="s">
        <v>1210</v>
      </c>
      <c r="GS74" s="54"/>
    </row>
    <row r="75" spans="1:201" x14ac:dyDescent="0.25">
      <c r="A75" s="54" t="s">
        <v>1032</v>
      </c>
      <c r="B75" s="54" t="s">
        <v>1033</v>
      </c>
      <c r="C75" s="54" t="s">
        <v>1197</v>
      </c>
      <c r="D75" s="54" t="s">
        <v>1035</v>
      </c>
      <c r="E75" s="54" t="s">
        <v>1036</v>
      </c>
      <c r="F75" s="55">
        <v>46175</v>
      </c>
      <c r="G75" s="55">
        <v>46175</v>
      </c>
      <c r="H75" s="54" t="s">
        <v>1037</v>
      </c>
      <c r="I75" s="54" t="s">
        <v>1038</v>
      </c>
      <c r="J75" s="54" t="s">
        <v>1039</v>
      </c>
      <c r="K75" s="55"/>
      <c r="L75" s="54" t="s">
        <v>1040</v>
      </c>
      <c r="M75" s="54"/>
      <c r="N75" s="54" t="s">
        <v>1198</v>
      </c>
      <c r="O75" s="54" t="s">
        <v>1091</v>
      </c>
      <c r="P75" s="54" t="s">
        <v>312</v>
      </c>
      <c r="Q75" s="54" t="s">
        <v>313</v>
      </c>
      <c r="R75" s="54" t="s">
        <v>1043</v>
      </c>
      <c r="S75" s="56">
        <v>196.8</v>
      </c>
      <c r="T75" s="56">
        <v>196.8</v>
      </c>
      <c r="U75" s="56">
        <v>0</v>
      </c>
      <c r="V75" s="56">
        <v>0</v>
      </c>
      <c r="W75" s="56">
        <v>0</v>
      </c>
      <c r="X75" s="56">
        <v>0</v>
      </c>
      <c r="Y75" s="56">
        <v>0</v>
      </c>
      <c r="Z75" s="56">
        <v>120</v>
      </c>
      <c r="AA75" s="56">
        <v>120</v>
      </c>
      <c r="AB75" s="59">
        <v>0</v>
      </c>
      <c r="AC75" s="56">
        <v>0</v>
      </c>
      <c r="AD75" s="56">
        <v>0</v>
      </c>
      <c r="AE75" s="56">
        <v>0</v>
      </c>
      <c r="AF75" s="54" t="s">
        <v>1199</v>
      </c>
      <c r="AG75" s="57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 t="s">
        <v>1045</v>
      </c>
      <c r="AS75" s="54" t="s">
        <v>1046</v>
      </c>
      <c r="AT75" s="54" t="s">
        <v>1047</v>
      </c>
      <c r="AU75" s="54" t="s">
        <v>1048</v>
      </c>
      <c r="AV75" s="54"/>
      <c r="AW75" s="55">
        <v>46189</v>
      </c>
      <c r="AX75" s="55">
        <v>46175</v>
      </c>
      <c r="AY75" s="55">
        <v>46175</v>
      </c>
      <c r="AZ75" s="55">
        <v>46176</v>
      </c>
      <c r="BA75" s="55">
        <v>46189</v>
      </c>
      <c r="BB75" s="56">
        <v>0</v>
      </c>
      <c r="BC75" s="56">
        <v>0</v>
      </c>
      <c r="BD75" s="56">
        <v>0</v>
      </c>
      <c r="BE75" s="56">
        <v>0</v>
      </c>
      <c r="BF75" s="56">
        <v>0</v>
      </c>
      <c r="BG75" s="56">
        <v>0</v>
      </c>
      <c r="BH75" s="56">
        <v>0</v>
      </c>
      <c r="BI75" s="56">
        <v>0</v>
      </c>
      <c r="BJ75" s="56">
        <v>0</v>
      </c>
      <c r="BK75" s="56">
        <v>0</v>
      </c>
      <c r="BL75" s="56">
        <v>0</v>
      </c>
      <c r="BM75" s="56">
        <v>0</v>
      </c>
      <c r="BN75" s="56">
        <v>0</v>
      </c>
      <c r="BO75" s="56">
        <v>0</v>
      </c>
      <c r="BP75" s="54" t="s">
        <v>1049</v>
      </c>
      <c r="BQ75" s="54" t="s">
        <v>1050</v>
      </c>
      <c r="BR75" s="54" t="s">
        <v>1049</v>
      </c>
      <c r="BS75" s="54" t="s">
        <v>1050</v>
      </c>
      <c r="BT75" s="54" t="s">
        <v>1051</v>
      </c>
      <c r="BU75" s="54" t="s">
        <v>1043</v>
      </c>
      <c r="BV75" s="58">
        <v>120</v>
      </c>
      <c r="BW75" s="54" t="s">
        <v>1052</v>
      </c>
      <c r="BX75" s="54" t="s">
        <v>1053</v>
      </c>
      <c r="BY75" s="54" t="s">
        <v>1054</v>
      </c>
      <c r="BZ75" s="54" t="s">
        <v>1055</v>
      </c>
      <c r="CA75" s="55"/>
      <c r="CB75" s="54" t="s">
        <v>1056</v>
      </c>
      <c r="CC75" s="54" t="s">
        <v>1057</v>
      </c>
      <c r="CD75" s="54" t="s">
        <v>1200</v>
      </c>
      <c r="CE75" s="54" t="s">
        <v>1201</v>
      </c>
      <c r="CF75" s="54" t="s">
        <v>1202</v>
      </c>
      <c r="CG75" s="54" t="s">
        <v>1203</v>
      </c>
      <c r="CH75" s="54" t="s">
        <v>1204</v>
      </c>
      <c r="CI75" s="54" t="s">
        <v>1203</v>
      </c>
      <c r="CJ75" s="54" t="s">
        <v>1064</v>
      </c>
      <c r="CK75" s="54" t="s">
        <v>1065</v>
      </c>
      <c r="CL75" s="54" t="s">
        <v>1205</v>
      </c>
      <c r="CM75" s="54" t="s">
        <v>1206</v>
      </c>
      <c r="CN75" s="54" t="s">
        <v>1068</v>
      </c>
      <c r="CO75" s="54" t="s">
        <v>1069</v>
      </c>
      <c r="CP75" s="56">
        <v>0</v>
      </c>
      <c r="CQ75" s="56">
        <v>0</v>
      </c>
      <c r="CR75" s="56">
        <v>0</v>
      </c>
      <c r="CS75" s="56">
        <v>0</v>
      </c>
      <c r="CT75" s="56">
        <v>0</v>
      </c>
      <c r="CU75" s="56">
        <v>0</v>
      </c>
      <c r="CV75" s="56">
        <v>0</v>
      </c>
      <c r="CW75" s="56">
        <v>0</v>
      </c>
      <c r="CX75" s="56">
        <v>0</v>
      </c>
      <c r="CY75" s="56">
        <v>0</v>
      </c>
      <c r="CZ75" s="56">
        <v>0</v>
      </c>
      <c r="DA75" s="56">
        <v>0</v>
      </c>
      <c r="DB75" s="56">
        <v>0</v>
      </c>
      <c r="DC75" s="56">
        <v>0</v>
      </c>
      <c r="DD75" s="56">
        <v>0</v>
      </c>
      <c r="DE75" s="56">
        <v>0</v>
      </c>
      <c r="DF75" s="56">
        <v>0</v>
      </c>
      <c r="DG75" s="56">
        <v>0</v>
      </c>
      <c r="DH75" s="56">
        <v>0</v>
      </c>
      <c r="DI75" s="56">
        <v>0</v>
      </c>
      <c r="DJ75" s="56">
        <v>0</v>
      </c>
      <c r="DK75" s="56">
        <v>0</v>
      </c>
      <c r="DL75" s="56">
        <v>0</v>
      </c>
      <c r="DM75" s="56">
        <v>0</v>
      </c>
      <c r="DN75" s="56">
        <v>0</v>
      </c>
      <c r="DO75" s="56">
        <v>0</v>
      </c>
      <c r="DP75" s="56">
        <v>0</v>
      </c>
      <c r="DQ75" s="56">
        <v>0</v>
      </c>
      <c r="DR75" s="56">
        <v>0</v>
      </c>
      <c r="DS75" s="56">
        <v>0</v>
      </c>
      <c r="DT75" s="56">
        <v>0</v>
      </c>
      <c r="DU75" s="56">
        <v>0</v>
      </c>
      <c r="DV75" s="56">
        <v>0</v>
      </c>
      <c r="DW75" s="56">
        <v>0</v>
      </c>
      <c r="DX75" s="56">
        <v>0</v>
      </c>
      <c r="DY75" s="56">
        <v>0</v>
      </c>
      <c r="DZ75" s="56">
        <v>0</v>
      </c>
      <c r="EA75" s="56">
        <v>0</v>
      </c>
      <c r="EB75" s="56">
        <v>0</v>
      </c>
      <c r="EC75" s="56">
        <v>0</v>
      </c>
      <c r="ED75" s="56">
        <v>0</v>
      </c>
      <c r="EE75" s="56">
        <v>0</v>
      </c>
      <c r="EF75" s="56">
        <v>0</v>
      </c>
      <c r="EG75" s="56">
        <v>0</v>
      </c>
      <c r="EH75" s="56">
        <v>23.62</v>
      </c>
      <c r="EI75" s="56">
        <v>0</v>
      </c>
      <c r="EJ75" s="56">
        <v>0</v>
      </c>
      <c r="EK75" s="56">
        <v>0</v>
      </c>
      <c r="EL75" s="56">
        <v>0</v>
      </c>
      <c r="EM75" s="56">
        <v>0</v>
      </c>
      <c r="EN75" s="56">
        <v>0</v>
      </c>
      <c r="EO75" s="56">
        <v>0</v>
      </c>
      <c r="EP75" s="56">
        <v>0</v>
      </c>
      <c r="EQ75" s="56">
        <v>0</v>
      </c>
      <c r="ER75" s="56">
        <v>0</v>
      </c>
      <c r="ES75" s="56">
        <v>0</v>
      </c>
      <c r="ET75" s="56">
        <v>0</v>
      </c>
      <c r="EU75" s="56">
        <v>0</v>
      </c>
      <c r="EV75" s="56">
        <v>0</v>
      </c>
      <c r="EW75" s="56">
        <v>0</v>
      </c>
      <c r="EX75" s="56">
        <v>0</v>
      </c>
      <c r="EY75" s="56">
        <v>0</v>
      </c>
      <c r="EZ75" s="56">
        <v>0</v>
      </c>
      <c r="FA75" s="56">
        <v>0</v>
      </c>
      <c r="FB75" s="56">
        <v>0</v>
      </c>
      <c r="FC75" s="58">
        <v>0</v>
      </c>
      <c r="FD75" s="56">
        <v>0</v>
      </c>
      <c r="FE75" s="56">
        <v>0</v>
      </c>
      <c r="FF75" s="56">
        <v>0</v>
      </c>
      <c r="FG75" s="56">
        <v>0</v>
      </c>
      <c r="FH75" s="56">
        <v>0</v>
      </c>
      <c r="FI75" s="56">
        <v>0</v>
      </c>
      <c r="FJ75" s="56">
        <v>0</v>
      </c>
      <c r="FK75" s="56">
        <v>0</v>
      </c>
      <c r="FL75" s="56">
        <v>0</v>
      </c>
      <c r="FM75" s="56">
        <v>0</v>
      </c>
      <c r="FN75" s="56">
        <v>0</v>
      </c>
      <c r="FO75" s="56">
        <v>0</v>
      </c>
      <c r="FP75" s="56">
        <v>0</v>
      </c>
      <c r="FQ75" s="56">
        <v>0</v>
      </c>
      <c r="FR75" s="56">
        <v>0</v>
      </c>
      <c r="FS75" s="58">
        <v>0</v>
      </c>
      <c r="FT75" s="56">
        <v>0</v>
      </c>
      <c r="FU75" s="56">
        <v>0</v>
      </c>
      <c r="FV75" s="56">
        <v>0</v>
      </c>
      <c r="FW75" s="56">
        <v>0</v>
      </c>
      <c r="FX75" s="56">
        <v>0</v>
      </c>
      <c r="FY75" s="56">
        <v>0</v>
      </c>
      <c r="FZ75" s="54" t="s">
        <v>1070</v>
      </c>
      <c r="GA75" s="54" t="s">
        <v>1071</v>
      </c>
      <c r="GB75" s="54" t="s">
        <v>1072</v>
      </c>
      <c r="GC75" s="54" t="s">
        <v>1073</v>
      </c>
      <c r="GD75" s="54" t="s">
        <v>1215</v>
      </c>
      <c r="GE75" s="54" t="s">
        <v>1201</v>
      </c>
      <c r="GF75" s="54"/>
      <c r="GG75" s="55"/>
      <c r="GH75" s="54"/>
      <c r="GI75" s="54"/>
      <c r="GJ75" s="54" t="s">
        <v>1076</v>
      </c>
      <c r="GK75" s="54" t="s">
        <v>1077</v>
      </c>
      <c r="GL75" s="54"/>
      <c r="GM75" s="54"/>
      <c r="GN75" s="54" t="s">
        <v>1208</v>
      </c>
      <c r="GO75" s="54" t="s">
        <v>1209</v>
      </c>
      <c r="GP75" s="54"/>
      <c r="GQ75" s="56">
        <v>0</v>
      </c>
      <c r="GR75" s="54" t="s">
        <v>1210</v>
      </c>
      <c r="GS75" s="54"/>
    </row>
    <row r="76" spans="1:201" x14ac:dyDescent="0.25">
      <c r="A76" s="54" t="s">
        <v>1032</v>
      </c>
      <c r="B76" s="54" t="s">
        <v>1033</v>
      </c>
      <c r="C76" s="54" t="s">
        <v>1197</v>
      </c>
      <c r="D76" s="54" t="s">
        <v>1035</v>
      </c>
      <c r="E76" s="54" t="s">
        <v>1036</v>
      </c>
      <c r="F76" s="55">
        <v>46175</v>
      </c>
      <c r="G76" s="55">
        <v>46175</v>
      </c>
      <c r="H76" s="54" t="s">
        <v>1037</v>
      </c>
      <c r="I76" s="54" t="s">
        <v>1038</v>
      </c>
      <c r="J76" s="54" t="s">
        <v>1039</v>
      </c>
      <c r="K76" s="55"/>
      <c r="L76" s="54" t="s">
        <v>1040</v>
      </c>
      <c r="M76" s="54"/>
      <c r="N76" s="54" t="s">
        <v>1198</v>
      </c>
      <c r="O76" s="54" t="s">
        <v>1093</v>
      </c>
      <c r="P76" s="54" t="s">
        <v>607</v>
      </c>
      <c r="Q76" s="54" t="s">
        <v>658</v>
      </c>
      <c r="R76" s="54" t="s">
        <v>1043</v>
      </c>
      <c r="S76" s="56">
        <v>3294</v>
      </c>
      <c r="T76" s="56">
        <v>3294</v>
      </c>
      <c r="U76" s="56">
        <v>0</v>
      </c>
      <c r="V76" s="56">
        <v>0</v>
      </c>
      <c r="W76" s="56">
        <v>0</v>
      </c>
      <c r="X76" s="56">
        <v>0</v>
      </c>
      <c r="Y76" s="56">
        <v>0</v>
      </c>
      <c r="Z76" s="56">
        <v>600</v>
      </c>
      <c r="AA76" s="56">
        <v>600</v>
      </c>
      <c r="AB76" s="59">
        <v>0</v>
      </c>
      <c r="AC76" s="56">
        <v>0</v>
      </c>
      <c r="AD76" s="56">
        <v>0</v>
      </c>
      <c r="AE76" s="56">
        <v>0</v>
      </c>
      <c r="AF76" s="54" t="s">
        <v>1199</v>
      </c>
      <c r="AG76" s="57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 t="s">
        <v>1045</v>
      </c>
      <c r="AS76" s="54" t="s">
        <v>1046</v>
      </c>
      <c r="AT76" s="54" t="s">
        <v>1047</v>
      </c>
      <c r="AU76" s="54" t="s">
        <v>1048</v>
      </c>
      <c r="AV76" s="54"/>
      <c r="AW76" s="55">
        <v>46189</v>
      </c>
      <c r="AX76" s="55">
        <v>46175</v>
      </c>
      <c r="AY76" s="55">
        <v>46175</v>
      </c>
      <c r="AZ76" s="55">
        <v>46176</v>
      </c>
      <c r="BA76" s="55">
        <v>46189</v>
      </c>
      <c r="BB76" s="56">
        <v>0</v>
      </c>
      <c r="BC76" s="56">
        <v>0</v>
      </c>
      <c r="BD76" s="56">
        <v>0</v>
      </c>
      <c r="BE76" s="56">
        <v>0</v>
      </c>
      <c r="BF76" s="56">
        <v>0</v>
      </c>
      <c r="BG76" s="56">
        <v>0</v>
      </c>
      <c r="BH76" s="56">
        <v>0</v>
      </c>
      <c r="BI76" s="56">
        <v>0</v>
      </c>
      <c r="BJ76" s="56">
        <v>0</v>
      </c>
      <c r="BK76" s="56">
        <v>0</v>
      </c>
      <c r="BL76" s="56">
        <v>0</v>
      </c>
      <c r="BM76" s="56">
        <v>0</v>
      </c>
      <c r="BN76" s="56">
        <v>0</v>
      </c>
      <c r="BO76" s="56">
        <v>0</v>
      </c>
      <c r="BP76" s="54" t="s">
        <v>1049</v>
      </c>
      <c r="BQ76" s="54" t="s">
        <v>1050</v>
      </c>
      <c r="BR76" s="54" t="s">
        <v>1049</v>
      </c>
      <c r="BS76" s="54" t="s">
        <v>1050</v>
      </c>
      <c r="BT76" s="54" t="s">
        <v>1051</v>
      </c>
      <c r="BU76" s="54" t="s">
        <v>1043</v>
      </c>
      <c r="BV76" s="58">
        <v>600</v>
      </c>
      <c r="BW76" s="54" t="s">
        <v>1052</v>
      </c>
      <c r="BX76" s="54" t="s">
        <v>1053</v>
      </c>
      <c r="BY76" s="54" t="s">
        <v>1054</v>
      </c>
      <c r="BZ76" s="54" t="s">
        <v>1055</v>
      </c>
      <c r="CA76" s="55"/>
      <c r="CB76" s="54" t="s">
        <v>1056</v>
      </c>
      <c r="CC76" s="54" t="s">
        <v>1057</v>
      </c>
      <c r="CD76" s="54" t="s">
        <v>1200</v>
      </c>
      <c r="CE76" s="54" t="s">
        <v>1201</v>
      </c>
      <c r="CF76" s="54" t="s">
        <v>1202</v>
      </c>
      <c r="CG76" s="54" t="s">
        <v>1203</v>
      </c>
      <c r="CH76" s="54" t="s">
        <v>1204</v>
      </c>
      <c r="CI76" s="54" t="s">
        <v>1203</v>
      </c>
      <c r="CJ76" s="54" t="s">
        <v>1064</v>
      </c>
      <c r="CK76" s="54" t="s">
        <v>1065</v>
      </c>
      <c r="CL76" s="54" t="s">
        <v>1205</v>
      </c>
      <c r="CM76" s="54" t="s">
        <v>1206</v>
      </c>
      <c r="CN76" s="54" t="s">
        <v>1068</v>
      </c>
      <c r="CO76" s="54" t="s">
        <v>1069</v>
      </c>
      <c r="CP76" s="56">
        <v>0</v>
      </c>
      <c r="CQ76" s="56">
        <v>0</v>
      </c>
      <c r="CR76" s="56">
        <v>0</v>
      </c>
      <c r="CS76" s="56">
        <v>0</v>
      </c>
      <c r="CT76" s="56">
        <v>0</v>
      </c>
      <c r="CU76" s="56">
        <v>0</v>
      </c>
      <c r="CV76" s="56">
        <v>0</v>
      </c>
      <c r="CW76" s="56">
        <v>0</v>
      </c>
      <c r="CX76" s="56">
        <v>0</v>
      </c>
      <c r="CY76" s="56">
        <v>0</v>
      </c>
      <c r="CZ76" s="56">
        <v>0</v>
      </c>
      <c r="DA76" s="56">
        <v>0</v>
      </c>
      <c r="DB76" s="56">
        <v>0</v>
      </c>
      <c r="DC76" s="56">
        <v>0</v>
      </c>
      <c r="DD76" s="56">
        <v>0</v>
      </c>
      <c r="DE76" s="56">
        <v>0</v>
      </c>
      <c r="DF76" s="56">
        <v>0</v>
      </c>
      <c r="DG76" s="56">
        <v>0</v>
      </c>
      <c r="DH76" s="56">
        <v>0</v>
      </c>
      <c r="DI76" s="56">
        <v>0</v>
      </c>
      <c r="DJ76" s="56">
        <v>0</v>
      </c>
      <c r="DK76" s="56">
        <v>0</v>
      </c>
      <c r="DL76" s="56">
        <v>0</v>
      </c>
      <c r="DM76" s="56">
        <v>0</v>
      </c>
      <c r="DN76" s="56">
        <v>0</v>
      </c>
      <c r="DO76" s="56">
        <v>0</v>
      </c>
      <c r="DP76" s="56">
        <v>0</v>
      </c>
      <c r="DQ76" s="56">
        <v>0</v>
      </c>
      <c r="DR76" s="56">
        <v>0</v>
      </c>
      <c r="DS76" s="56">
        <v>0</v>
      </c>
      <c r="DT76" s="56">
        <v>0</v>
      </c>
      <c r="DU76" s="56">
        <v>0</v>
      </c>
      <c r="DV76" s="56">
        <v>0</v>
      </c>
      <c r="DW76" s="56">
        <v>0</v>
      </c>
      <c r="DX76" s="56">
        <v>0</v>
      </c>
      <c r="DY76" s="56">
        <v>0</v>
      </c>
      <c r="DZ76" s="56">
        <v>0</v>
      </c>
      <c r="EA76" s="56">
        <v>0</v>
      </c>
      <c r="EB76" s="56">
        <v>0</v>
      </c>
      <c r="EC76" s="56">
        <v>0</v>
      </c>
      <c r="ED76" s="56">
        <v>0</v>
      </c>
      <c r="EE76" s="56">
        <v>0</v>
      </c>
      <c r="EF76" s="56">
        <v>0</v>
      </c>
      <c r="EG76" s="56">
        <v>0</v>
      </c>
      <c r="EH76" s="56">
        <v>395.28</v>
      </c>
      <c r="EI76" s="56">
        <v>0</v>
      </c>
      <c r="EJ76" s="56">
        <v>0</v>
      </c>
      <c r="EK76" s="56">
        <v>0</v>
      </c>
      <c r="EL76" s="56">
        <v>0</v>
      </c>
      <c r="EM76" s="56">
        <v>0</v>
      </c>
      <c r="EN76" s="56">
        <v>0</v>
      </c>
      <c r="EO76" s="56">
        <v>0</v>
      </c>
      <c r="EP76" s="56">
        <v>0</v>
      </c>
      <c r="EQ76" s="56">
        <v>0</v>
      </c>
      <c r="ER76" s="56">
        <v>0</v>
      </c>
      <c r="ES76" s="56">
        <v>0</v>
      </c>
      <c r="ET76" s="56">
        <v>0</v>
      </c>
      <c r="EU76" s="56">
        <v>0</v>
      </c>
      <c r="EV76" s="56">
        <v>0</v>
      </c>
      <c r="EW76" s="56">
        <v>0</v>
      </c>
      <c r="EX76" s="56">
        <v>0</v>
      </c>
      <c r="EY76" s="56">
        <v>0</v>
      </c>
      <c r="EZ76" s="56">
        <v>0</v>
      </c>
      <c r="FA76" s="56">
        <v>0</v>
      </c>
      <c r="FB76" s="56">
        <v>0</v>
      </c>
      <c r="FC76" s="58">
        <v>0</v>
      </c>
      <c r="FD76" s="56">
        <v>0</v>
      </c>
      <c r="FE76" s="56">
        <v>0</v>
      </c>
      <c r="FF76" s="56">
        <v>0</v>
      </c>
      <c r="FG76" s="56">
        <v>0</v>
      </c>
      <c r="FH76" s="56">
        <v>0</v>
      </c>
      <c r="FI76" s="56">
        <v>0</v>
      </c>
      <c r="FJ76" s="56">
        <v>0</v>
      </c>
      <c r="FK76" s="56">
        <v>0</v>
      </c>
      <c r="FL76" s="56">
        <v>0</v>
      </c>
      <c r="FM76" s="56">
        <v>0</v>
      </c>
      <c r="FN76" s="56">
        <v>0</v>
      </c>
      <c r="FO76" s="56">
        <v>0</v>
      </c>
      <c r="FP76" s="56">
        <v>0</v>
      </c>
      <c r="FQ76" s="56">
        <v>0</v>
      </c>
      <c r="FR76" s="56">
        <v>0</v>
      </c>
      <c r="FS76" s="58">
        <v>0</v>
      </c>
      <c r="FT76" s="56">
        <v>0</v>
      </c>
      <c r="FU76" s="56">
        <v>0</v>
      </c>
      <c r="FV76" s="56">
        <v>0</v>
      </c>
      <c r="FW76" s="56">
        <v>0</v>
      </c>
      <c r="FX76" s="56">
        <v>0</v>
      </c>
      <c r="FY76" s="56">
        <v>0</v>
      </c>
      <c r="FZ76" s="54" t="s">
        <v>1070</v>
      </c>
      <c r="GA76" s="54" t="s">
        <v>1071</v>
      </c>
      <c r="GB76" s="54" t="s">
        <v>1072</v>
      </c>
      <c r="GC76" s="54" t="s">
        <v>1073</v>
      </c>
      <c r="GD76" s="54"/>
      <c r="GE76" s="54"/>
      <c r="GF76" s="54"/>
      <c r="GG76" s="55"/>
      <c r="GH76" s="54"/>
      <c r="GI76" s="54"/>
      <c r="GJ76" s="54" t="s">
        <v>1076</v>
      </c>
      <c r="GK76" s="54" t="s">
        <v>1077</v>
      </c>
      <c r="GL76" s="54"/>
      <c r="GM76" s="54"/>
      <c r="GN76" s="54" t="s">
        <v>1208</v>
      </c>
      <c r="GO76" s="54" t="s">
        <v>1209</v>
      </c>
      <c r="GP76" s="54"/>
      <c r="GQ76" s="56">
        <v>0</v>
      </c>
      <c r="GR76" s="54" t="s">
        <v>1210</v>
      </c>
      <c r="GS76" s="54"/>
    </row>
    <row r="77" spans="1:201" x14ac:dyDescent="0.25">
      <c r="A77" s="54" t="s">
        <v>1032</v>
      </c>
      <c r="B77" s="54" t="s">
        <v>1033</v>
      </c>
      <c r="C77" s="54" t="s">
        <v>1197</v>
      </c>
      <c r="D77" s="54" t="s">
        <v>1035</v>
      </c>
      <c r="E77" s="54" t="s">
        <v>1036</v>
      </c>
      <c r="F77" s="55">
        <v>46175</v>
      </c>
      <c r="G77" s="55">
        <v>46175</v>
      </c>
      <c r="H77" s="54" t="s">
        <v>1037</v>
      </c>
      <c r="I77" s="54" t="s">
        <v>1038</v>
      </c>
      <c r="J77" s="54" t="s">
        <v>1039</v>
      </c>
      <c r="K77" s="55"/>
      <c r="L77" s="54" t="s">
        <v>1040</v>
      </c>
      <c r="M77" s="54"/>
      <c r="N77" s="54" t="s">
        <v>1198</v>
      </c>
      <c r="O77" s="54" t="s">
        <v>1099</v>
      </c>
      <c r="P77" s="54" t="s">
        <v>241</v>
      </c>
      <c r="Q77" s="54" t="s">
        <v>85</v>
      </c>
      <c r="R77" s="54" t="s">
        <v>1043</v>
      </c>
      <c r="S77" s="56">
        <v>340.8</v>
      </c>
      <c r="T77" s="56">
        <v>340.8</v>
      </c>
      <c r="U77" s="56">
        <v>0</v>
      </c>
      <c r="V77" s="56">
        <v>0</v>
      </c>
      <c r="W77" s="56">
        <v>0</v>
      </c>
      <c r="X77" s="56">
        <v>0</v>
      </c>
      <c r="Y77" s="56">
        <v>0</v>
      </c>
      <c r="Z77" s="56">
        <v>240</v>
      </c>
      <c r="AA77" s="56">
        <v>240</v>
      </c>
      <c r="AB77" s="59">
        <v>0</v>
      </c>
      <c r="AC77" s="56">
        <v>0</v>
      </c>
      <c r="AD77" s="56">
        <v>0</v>
      </c>
      <c r="AE77" s="56">
        <v>0</v>
      </c>
      <c r="AF77" s="54" t="s">
        <v>1199</v>
      </c>
      <c r="AG77" s="57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 t="s">
        <v>1045</v>
      </c>
      <c r="AS77" s="54" t="s">
        <v>1046</v>
      </c>
      <c r="AT77" s="54" t="s">
        <v>1047</v>
      </c>
      <c r="AU77" s="54" t="s">
        <v>1048</v>
      </c>
      <c r="AV77" s="54"/>
      <c r="AW77" s="55">
        <v>46189</v>
      </c>
      <c r="AX77" s="55">
        <v>46175</v>
      </c>
      <c r="AY77" s="55">
        <v>46175</v>
      </c>
      <c r="AZ77" s="55">
        <v>46176</v>
      </c>
      <c r="BA77" s="55">
        <v>46189</v>
      </c>
      <c r="BB77" s="56">
        <v>0</v>
      </c>
      <c r="BC77" s="56">
        <v>0</v>
      </c>
      <c r="BD77" s="56">
        <v>0</v>
      </c>
      <c r="BE77" s="56">
        <v>0</v>
      </c>
      <c r="BF77" s="56">
        <v>0</v>
      </c>
      <c r="BG77" s="56">
        <v>0</v>
      </c>
      <c r="BH77" s="56">
        <v>0</v>
      </c>
      <c r="BI77" s="56">
        <v>0</v>
      </c>
      <c r="BJ77" s="56">
        <v>0</v>
      </c>
      <c r="BK77" s="56">
        <v>0</v>
      </c>
      <c r="BL77" s="56">
        <v>0</v>
      </c>
      <c r="BM77" s="56">
        <v>0</v>
      </c>
      <c r="BN77" s="56">
        <v>0</v>
      </c>
      <c r="BO77" s="56">
        <v>0</v>
      </c>
      <c r="BP77" s="54" t="s">
        <v>1049</v>
      </c>
      <c r="BQ77" s="54" t="s">
        <v>1050</v>
      </c>
      <c r="BR77" s="54" t="s">
        <v>1049</v>
      </c>
      <c r="BS77" s="54" t="s">
        <v>1050</v>
      </c>
      <c r="BT77" s="54" t="s">
        <v>1051</v>
      </c>
      <c r="BU77" s="54" t="s">
        <v>1043</v>
      </c>
      <c r="BV77" s="58">
        <v>240</v>
      </c>
      <c r="BW77" s="54" t="s">
        <v>1052</v>
      </c>
      <c r="BX77" s="54" t="s">
        <v>1053</v>
      </c>
      <c r="BY77" s="54" t="s">
        <v>1054</v>
      </c>
      <c r="BZ77" s="54" t="s">
        <v>1055</v>
      </c>
      <c r="CA77" s="55"/>
      <c r="CB77" s="54" t="s">
        <v>1056</v>
      </c>
      <c r="CC77" s="54" t="s">
        <v>1057</v>
      </c>
      <c r="CD77" s="54" t="s">
        <v>1200</v>
      </c>
      <c r="CE77" s="54" t="s">
        <v>1201</v>
      </c>
      <c r="CF77" s="54" t="s">
        <v>1202</v>
      </c>
      <c r="CG77" s="54" t="s">
        <v>1203</v>
      </c>
      <c r="CH77" s="54" t="s">
        <v>1204</v>
      </c>
      <c r="CI77" s="54" t="s">
        <v>1203</v>
      </c>
      <c r="CJ77" s="54" t="s">
        <v>1064</v>
      </c>
      <c r="CK77" s="54" t="s">
        <v>1065</v>
      </c>
      <c r="CL77" s="54" t="s">
        <v>1205</v>
      </c>
      <c r="CM77" s="54" t="s">
        <v>1206</v>
      </c>
      <c r="CN77" s="54" t="s">
        <v>1068</v>
      </c>
      <c r="CO77" s="54" t="s">
        <v>1069</v>
      </c>
      <c r="CP77" s="56">
        <v>0</v>
      </c>
      <c r="CQ77" s="56">
        <v>0</v>
      </c>
      <c r="CR77" s="56">
        <v>0</v>
      </c>
      <c r="CS77" s="56">
        <v>0</v>
      </c>
      <c r="CT77" s="56">
        <v>0</v>
      </c>
      <c r="CU77" s="56">
        <v>0</v>
      </c>
      <c r="CV77" s="56">
        <v>0</v>
      </c>
      <c r="CW77" s="56">
        <v>0</v>
      </c>
      <c r="CX77" s="56">
        <v>0</v>
      </c>
      <c r="CY77" s="56">
        <v>0</v>
      </c>
      <c r="CZ77" s="56">
        <v>0</v>
      </c>
      <c r="DA77" s="56">
        <v>0</v>
      </c>
      <c r="DB77" s="56">
        <v>0</v>
      </c>
      <c r="DC77" s="56">
        <v>0</v>
      </c>
      <c r="DD77" s="56">
        <v>0</v>
      </c>
      <c r="DE77" s="56">
        <v>0</v>
      </c>
      <c r="DF77" s="56">
        <v>0</v>
      </c>
      <c r="DG77" s="56">
        <v>0</v>
      </c>
      <c r="DH77" s="56">
        <v>0</v>
      </c>
      <c r="DI77" s="56">
        <v>0</v>
      </c>
      <c r="DJ77" s="56">
        <v>0</v>
      </c>
      <c r="DK77" s="56">
        <v>0</v>
      </c>
      <c r="DL77" s="56">
        <v>0</v>
      </c>
      <c r="DM77" s="56">
        <v>0</v>
      </c>
      <c r="DN77" s="56">
        <v>0</v>
      </c>
      <c r="DO77" s="56">
        <v>0</v>
      </c>
      <c r="DP77" s="56">
        <v>0</v>
      </c>
      <c r="DQ77" s="56">
        <v>0</v>
      </c>
      <c r="DR77" s="56">
        <v>0</v>
      </c>
      <c r="DS77" s="56">
        <v>0</v>
      </c>
      <c r="DT77" s="56">
        <v>0</v>
      </c>
      <c r="DU77" s="56">
        <v>0</v>
      </c>
      <c r="DV77" s="56">
        <v>0</v>
      </c>
      <c r="DW77" s="56">
        <v>0</v>
      </c>
      <c r="DX77" s="56">
        <v>0</v>
      </c>
      <c r="DY77" s="56">
        <v>0</v>
      </c>
      <c r="DZ77" s="56">
        <v>0</v>
      </c>
      <c r="EA77" s="56">
        <v>0</v>
      </c>
      <c r="EB77" s="56">
        <v>0</v>
      </c>
      <c r="EC77" s="56">
        <v>0</v>
      </c>
      <c r="ED77" s="56">
        <v>0</v>
      </c>
      <c r="EE77" s="56">
        <v>0</v>
      </c>
      <c r="EF77" s="56">
        <v>0</v>
      </c>
      <c r="EG77" s="56">
        <v>0</v>
      </c>
      <c r="EH77" s="56">
        <v>40.9</v>
      </c>
      <c r="EI77" s="56">
        <v>0</v>
      </c>
      <c r="EJ77" s="56">
        <v>0</v>
      </c>
      <c r="EK77" s="56">
        <v>0</v>
      </c>
      <c r="EL77" s="56">
        <v>0</v>
      </c>
      <c r="EM77" s="56">
        <v>0</v>
      </c>
      <c r="EN77" s="56">
        <v>0</v>
      </c>
      <c r="EO77" s="56">
        <v>0</v>
      </c>
      <c r="EP77" s="56">
        <v>0</v>
      </c>
      <c r="EQ77" s="56">
        <v>0</v>
      </c>
      <c r="ER77" s="56">
        <v>0</v>
      </c>
      <c r="ES77" s="56">
        <v>0</v>
      </c>
      <c r="ET77" s="56">
        <v>0</v>
      </c>
      <c r="EU77" s="56">
        <v>0</v>
      </c>
      <c r="EV77" s="56">
        <v>0</v>
      </c>
      <c r="EW77" s="56">
        <v>0</v>
      </c>
      <c r="EX77" s="56">
        <v>0</v>
      </c>
      <c r="EY77" s="56">
        <v>0</v>
      </c>
      <c r="EZ77" s="56">
        <v>0</v>
      </c>
      <c r="FA77" s="56">
        <v>0</v>
      </c>
      <c r="FB77" s="56">
        <v>0</v>
      </c>
      <c r="FC77" s="58">
        <v>0</v>
      </c>
      <c r="FD77" s="56">
        <v>0</v>
      </c>
      <c r="FE77" s="56">
        <v>0</v>
      </c>
      <c r="FF77" s="56">
        <v>0</v>
      </c>
      <c r="FG77" s="56">
        <v>0</v>
      </c>
      <c r="FH77" s="56">
        <v>0</v>
      </c>
      <c r="FI77" s="56">
        <v>0</v>
      </c>
      <c r="FJ77" s="56">
        <v>0</v>
      </c>
      <c r="FK77" s="56">
        <v>0</v>
      </c>
      <c r="FL77" s="56">
        <v>0</v>
      </c>
      <c r="FM77" s="56">
        <v>0</v>
      </c>
      <c r="FN77" s="56">
        <v>0</v>
      </c>
      <c r="FO77" s="56">
        <v>0</v>
      </c>
      <c r="FP77" s="56">
        <v>0</v>
      </c>
      <c r="FQ77" s="56">
        <v>0</v>
      </c>
      <c r="FR77" s="56">
        <v>0</v>
      </c>
      <c r="FS77" s="58">
        <v>0</v>
      </c>
      <c r="FT77" s="56">
        <v>0</v>
      </c>
      <c r="FU77" s="56">
        <v>0</v>
      </c>
      <c r="FV77" s="56">
        <v>0</v>
      </c>
      <c r="FW77" s="56">
        <v>0</v>
      </c>
      <c r="FX77" s="56">
        <v>0</v>
      </c>
      <c r="FY77" s="56">
        <v>0</v>
      </c>
      <c r="FZ77" s="54" t="s">
        <v>1083</v>
      </c>
      <c r="GA77" s="54" t="s">
        <v>1084</v>
      </c>
      <c r="GB77" s="54" t="s">
        <v>1072</v>
      </c>
      <c r="GC77" s="54" t="s">
        <v>1073</v>
      </c>
      <c r="GD77" s="54" t="s">
        <v>1216</v>
      </c>
      <c r="GE77" s="54" t="s">
        <v>1201</v>
      </c>
      <c r="GF77" s="54"/>
      <c r="GG77" s="55"/>
      <c r="GH77" s="54"/>
      <c r="GI77" s="54"/>
      <c r="GJ77" s="54" t="s">
        <v>1076</v>
      </c>
      <c r="GK77" s="54" t="s">
        <v>1077</v>
      </c>
      <c r="GL77" s="54"/>
      <c r="GM77" s="54"/>
      <c r="GN77" s="54" t="s">
        <v>1208</v>
      </c>
      <c r="GO77" s="54" t="s">
        <v>1209</v>
      </c>
      <c r="GP77" s="54"/>
      <c r="GQ77" s="56">
        <v>0</v>
      </c>
      <c r="GR77" s="54" t="s">
        <v>1210</v>
      </c>
      <c r="GS77" s="54"/>
    </row>
    <row r="78" spans="1:201" x14ac:dyDescent="0.25">
      <c r="A78" s="54" t="s">
        <v>1032</v>
      </c>
      <c r="B78" s="54" t="s">
        <v>1033</v>
      </c>
      <c r="C78" s="54" t="s">
        <v>1197</v>
      </c>
      <c r="D78" s="54" t="s">
        <v>1035</v>
      </c>
      <c r="E78" s="54" t="s">
        <v>1036</v>
      </c>
      <c r="F78" s="55">
        <v>46175</v>
      </c>
      <c r="G78" s="55">
        <v>46175</v>
      </c>
      <c r="H78" s="54" t="s">
        <v>1037</v>
      </c>
      <c r="I78" s="54" t="s">
        <v>1038</v>
      </c>
      <c r="J78" s="54" t="s">
        <v>1039</v>
      </c>
      <c r="K78" s="55"/>
      <c r="L78" s="54" t="s">
        <v>1040</v>
      </c>
      <c r="M78" s="54"/>
      <c r="N78" s="54" t="s">
        <v>1198</v>
      </c>
      <c r="O78" s="54" t="s">
        <v>1102</v>
      </c>
      <c r="P78" s="54" t="s">
        <v>242</v>
      </c>
      <c r="Q78" s="54" t="s">
        <v>86</v>
      </c>
      <c r="R78" s="54" t="s">
        <v>1043</v>
      </c>
      <c r="S78" s="56">
        <v>344.4</v>
      </c>
      <c r="T78" s="56">
        <v>344.4</v>
      </c>
      <c r="U78" s="56">
        <v>0</v>
      </c>
      <c r="V78" s="56">
        <v>0</v>
      </c>
      <c r="W78" s="56">
        <v>0</v>
      </c>
      <c r="X78" s="56">
        <v>0</v>
      </c>
      <c r="Y78" s="56">
        <v>0</v>
      </c>
      <c r="Z78" s="56">
        <v>120</v>
      </c>
      <c r="AA78" s="56">
        <v>120</v>
      </c>
      <c r="AB78" s="59">
        <v>0</v>
      </c>
      <c r="AC78" s="56">
        <v>0</v>
      </c>
      <c r="AD78" s="56">
        <v>0</v>
      </c>
      <c r="AE78" s="56">
        <v>0</v>
      </c>
      <c r="AF78" s="54" t="s">
        <v>1199</v>
      </c>
      <c r="AG78" s="57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 t="s">
        <v>1045</v>
      </c>
      <c r="AS78" s="54" t="s">
        <v>1046</v>
      </c>
      <c r="AT78" s="54" t="s">
        <v>1047</v>
      </c>
      <c r="AU78" s="54" t="s">
        <v>1048</v>
      </c>
      <c r="AV78" s="54"/>
      <c r="AW78" s="55">
        <v>46189</v>
      </c>
      <c r="AX78" s="55">
        <v>46175</v>
      </c>
      <c r="AY78" s="55">
        <v>46175</v>
      </c>
      <c r="AZ78" s="55">
        <v>46178</v>
      </c>
      <c r="BA78" s="55">
        <v>46189</v>
      </c>
      <c r="BB78" s="56">
        <v>0</v>
      </c>
      <c r="BC78" s="56">
        <v>0</v>
      </c>
      <c r="BD78" s="56">
        <v>0</v>
      </c>
      <c r="BE78" s="56">
        <v>0</v>
      </c>
      <c r="BF78" s="56">
        <v>0</v>
      </c>
      <c r="BG78" s="56">
        <v>0</v>
      </c>
      <c r="BH78" s="56">
        <v>0</v>
      </c>
      <c r="BI78" s="56">
        <v>0</v>
      </c>
      <c r="BJ78" s="56">
        <v>0</v>
      </c>
      <c r="BK78" s="56">
        <v>0</v>
      </c>
      <c r="BL78" s="56">
        <v>0</v>
      </c>
      <c r="BM78" s="56">
        <v>0</v>
      </c>
      <c r="BN78" s="56">
        <v>0</v>
      </c>
      <c r="BO78" s="56">
        <v>0</v>
      </c>
      <c r="BP78" s="54" t="s">
        <v>1049</v>
      </c>
      <c r="BQ78" s="54" t="s">
        <v>1050</v>
      </c>
      <c r="BR78" s="54" t="s">
        <v>1049</v>
      </c>
      <c r="BS78" s="54" t="s">
        <v>1050</v>
      </c>
      <c r="BT78" s="54" t="s">
        <v>1051</v>
      </c>
      <c r="BU78" s="54" t="s">
        <v>1043</v>
      </c>
      <c r="BV78" s="58">
        <v>120</v>
      </c>
      <c r="BW78" s="54" t="s">
        <v>1052</v>
      </c>
      <c r="BX78" s="54" t="s">
        <v>1053</v>
      </c>
      <c r="BY78" s="54" t="s">
        <v>1054</v>
      </c>
      <c r="BZ78" s="54" t="s">
        <v>1055</v>
      </c>
      <c r="CA78" s="55"/>
      <c r="CB78" s="54" t="s">
        <v>1056</v>
      </c>
      <c r="CC78" s="54" t="s">
        <v>1057</v>
      </c>
      <c r="CD78" s="54" t="s">
        <v>1200</v>
      </c>
      <c r="CE78" s="54" t="s">
        <v>1201</v>
      </c>
      <c r="CF78" s="54" t="s">
        <v>1202</v>
      </c>
      <c r="CG78" s="54" t="s">
        <v>1203</v>
      </c>
      <c r="CH78" s="54" t="s">
        <v>1204</v>
      </c>
      <c r="CI78" s="54" t="s">
        <v>1203</v>
      </c>
      <c r="CJ78" s="54" t="s">
        <v>1064</v>
      </c>
      <c r="CK78" s="54" t="s">
        <v>1065</v>
      </c>
      <c r="CL78" s="54" t="s">
        <v>1205</v>
      </c>
      <c r="CM78" s="54" t="s">
        <v>1206</v>
      </c>
      <c r="CN78" s="54" t="s">
        <v>1068</v>
      </c>
      <c r="CO78" s="54" t="s">
        <v>1069</v>
      </c>
      <c r="CP78" s="56">
        <v>0</v>
      </c>
      <c r="CQ78" s="56">
        <v>0</v>
      </c>
      <c r="CR78" s="56">
        <v>0</v>
      </c>
      <c r="CS78" s="56">
        <v>0</v>
      </c>
      <c r="CT78" s="56">
        <v>0</v>
      </c>
      <c r="CU78" s="56">
        <v>0</v>
      </c>
      <c r="CV78" s="56">
        <v>0</v>
      </c>
      <c r="CW78" s="56">
        <v>0</v>
      </c>
      <c r="CX78" s="56">
        <v>0</v>
      </c>
      <c r="CY78" s="56">
        <v>0</v>
      </c>
      <c r="CZ78" s="56">
        <v>0</v>
      </c>
      <c r="DA78" s="56">
        <v>0</v>
      </c>
      <c r="DB78" s="56">
        <v>0</v>
      </c>
      <c r="DC78" s="56">
        <v>0</v>
      </c>
      <c r="DD78" s="56">
        <v>0</v>
      </c>
      <c r="DE78" s="56">
        <v>0</v>
      </c>
      <c r="DF78" s="56">
        <v>0</v>
      </c>
      <c r="DG78" s="56">
        <v>0</v>
      </c>
      <c r="DH78" s="56">
        <v>0</v>
      </c>
      <c r="DI78" s="56">
        <v>0</v>
      </c>
      <c r="DJ78" s="56">
        <v>0</v>
      </c>
      <c r="DK78" s="56">
        <v>0</v>
      </c>
      <c r="DL78" s="56">
        <v>0</v>
      </c>
      <c r="DM78" s="56">
        <v>0</v>
      </c>
      <c r="DN78" s="56">
        <v>0</v>
      </c>
      <c r="DO78" s="56">
        <v>0</v>
      </c>
      <c r="DP78" s="56">
        <v>0</v>
      </c>
      <c r="DQ78" s="56">
        <v>0</v>
      </c>
      <c r="DR78" s="56">
        <v>0</v>
      </c>
      <c r="DS78" s="56">
        <v>0</v>
      </c>
      <c r="DT78" s="56">
        <v>0</v>
      </c>
      <c r="DU78" s="56">
        <v>0</v>
      </c>
      <c r="DV78" s="56">
        <v>0</v>
      </c>
      <c r="DW78" s="56">
        <v>0</v>
      </c>
      <c r="DX78" s="56">
        <v>0</v>
      </c>
      <c r="DY78" s="56">
        <v>0</v>
      </c>
      <c r="DZ78" s="56">
        <v>0</v>
      </c>
      <c r="EA78" s="56">
        <v>0</v>
      </c>
      <c r="EB78" s="56">
        <v>0</v>
      </c>
      <c r="EC78" s="56">
        <v>0</v>
      </c>
      <c r="ED78" s="56">
        <v>0</v>
      </c>
      <c r="EE78" s="56">
        <v>0</v>
      </c>
      <c r="EF78" s="56">
        <v>0</v>
      </c>
      <c r="EG78" s="56">
        <v>0</v>
      </c>
      <c r="EH78" s="56">
        <v>41.33</v>
      </c>
      <c r="EI78" s="56">
        <v>0</v>
      </c>
      <c r="EJ78" s="56">
        <v>0</v>
      </c>
      <c r="EK78" s="56">
        <v>0</v>
      </c>
      <c r="EL78" s="56">
        <v>0</v>
      </c>
      <c r="EM78" s="56">
        <v>0</v>
      </c>
      <c r="EN78" s="56">
        <v>0</v>
      </c>
      <c r="EO78" s="56">
        <v>0</v>
      </c>
      <c r="EP78" s="56">
        <v>0</v>
      </c>
      <c r="EQ78" s="56">
        <v>0</v>
      </c>
      <c r="ER78" s="56">
        <v>0</v>
      </c>
      <c r="ES78" s="56">
        <v>0</v>
      </c>
      <c r="ET78" s="56">
        <v>0</v>
      </c>
      <c r="EU78" s="56">
        <v>0</v>
      </c>
      <c r="EV78" s="56">
        <v>0</v>
      </c>
      <c r="EW78" s="56">
        <v>0</v>
      </c>
      <c r="EX78" s="56">
        <v>0</v>
      </c>
      <c r="EY78" s="56">
        <v>0</v>
      </c>
      <c r="EZ78" s="56">
        <v>0</v>
      </c>
      <c r="FA78" s="56">
        <v>0</v>
      </c>
      <c r="FB78" s="56">
        <v>0</v>
      </c>
      <c r="FC78" s="58">
        <v>0</v>
      </c>
      <c r="FD78" s="56">
        <v>0</v>
      </c>
      <c r="FE78" s="56">
        <v>0</v>
      </c>
      <c r="FF78" s="56">
        <v>0</v>
      </c>
      <c r="FG78" s="56">
        <v>0</v>
      </c>
      <c r="FH78" s="56">
        <v>0</v>
      </c>
      <c r="FI78" s="56">
        <v>0</v>
      </c>
      <c r="FJ78" s="56">
        <v>0</v>
      </c>
      <c r="FK78" s="56">
        <v>0</v>
      </c>
      <c r="FL78" s="56">
        <v>0</v>
      </c>
      <c r="FM78" s="56">
        <v>0</v>
      </c>
      <c r="FN78" s="56">
        <v>0</v>
      </c>
      <c r="FO78" s="56">
        <v>0</v>
      </c>
      <c r="FP78" s="56">
        <v>0</v>
      </c>
      <c r="FQ78" s="56">
        <v>0</v>
      </c>
      <c r="FR78" s="56">
        <v>0</v>
      </c>
      <c r="FS78" s="58">
        <v>0</v>
      </c>
      <c r="FT78" s="56">
        <v>0</v>
      </c>
      <c r="FU78" s="56">
        <v>0</v>
      </c>
      <c r="FV78" s="56">
        <v>0</v>
      </c>
      <c r="FW78" s="56">
        <v>0</v>
      </c>
      <c r="FX78" s="56">
        <v>0</v>
      </c>
      <c r="FY78" s="56">
        <v>0</v>
      </c>
      <c r="FZ78" s="54" t="s">
        <v>1070</v>
      </c>
      <c r="GA78" s="54" t="s">
        <v>1071</v>
      </c>
      <c r="GB78" s="54" t="s">
        <v>1072</v>
      </c>
      <c r="GC78" s="54" t="s">
        <v>1073</v>
      </c>
      <c r="GD78" s="54" t="s">
        <v>1217</v>
      </c>
      <c r="GE78" s="54" t="s">
        <v>1201</v>
      </c>
      <c r="GF78" s="54"/>
      <c r="GG78" s="55"/>
      <c r="GH78" s="54"/>
      <c r="GI78" s="54"/>
      <c r="GJ78" s="54" t="s">
        <v>1076</v>
      </c>
      <c r="GK78" s="54" t="s">
        <v>1077</v>
      </c>
      <c r="GL78" s="54"/>
      <c r="GM78" s="54"/>
      <c r="GN78" s="54" t="s">
        <v>1208</v>
      </c>
      <c r="GO78" s="54" t="s">
        <v>1209</v>
      </c>
      <c r="GP78" s="54"/>
      <c r="GQ78" s="56">
        <v>0</v>
      </c>
      <c r="GR78" s="54" t="s">
        <v>1210</v>
      </c>
      <c r="GS78" s="54"/>
    </row>
    <row r="79" spans="1:201" x14ac:dyDescent="0.25">
      <c r="A79" s="54" t="s">
        <v>1032</v>
      </c>
      <c r="B79" s="54" t="s">
        <v>1033</v>
      </c>
      <c r="C79" s="54" t="s">
        <v>1197</v>
      </c>
      <c r="D79" s="54" t="s">
        <v>1035</v>
      </c>
      <c r="E79" s="54" t="s">
        <v>1036</v>
      </c>
      <c r="F79" s="55">
        <v>46175</v>
      </c>
      <c r="G79" s="55">
        <v>46175</v>
      </c>
      <c r="H79" s="54" t="s">
        <v>1037</v>
      </c>
      <c r="I79" s="54" t="s">
        <v>1038</v>
      </c>
      <c r="J79" s="54" t="s">
        <v>1039</v>
      </c>
      <c r="K79" s="55"/>
      <c r="L79" s="54" t="s">
        <v>1040</v>
      </c>
      <c r="M79" s="54"/>
      <c r="N79" s="54" t="s">
        <v>1198</v>
      </c>
      <c r="O79" s="54" t="s">
        <v>1107</v>
      </c>
      <c r="P79" s="54" t="s">
        <v>244</v>
      </c>
      <c r="Q79" s="54" t="s">
        <v>88</v>
      </c>
      <c r="R79" s="54" t="s">
        <v>1043</v>
      </c>
      <c r="S79" s="56">
        <v>1264.8</v>
      </c>
      <c r="T79" s="56">
        <v>1264.8</v>
      </c>
      <c r="U79" s="56">
        <v>0</v>
      </c>
      <c r="V79" s="56">
        <v>0</v>
      </c>
      <c r="W79" s="56">
        <v>0</v>
      </c>
      <c r="X79" s="56">
        <v>0</v>
      </c>
      <c r="Y79" s="56">
        <v>0</v>
      </c>
      <c r="Z79" s="56">
        <v>240</v>
      </c>
      <c r="AA79" s="56">
        <v>240</v>
      </c>
      <c r="AB79" s="59">
        <v>0</v>
      </c>
      <c r="AC79" s="56">
        <v>0</v>
      </c>
      <c r="AD79" s="56">
        <v>0</v>
      </c>
      <c r="AE79" s="56">
        <v>0</v>
      </c>
      <c r="AF79" s="54" t="s">
        <v>1199</v>
      </c>
      <c r="AG79" s="57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 t="s">
        <v>1045</v>
      </c>
      <c r="AS79" s="54" t="s">
        <v>1046</v>
      </c>
      <c r="AT79" s="54" t="s">
        <v>1047</v>
      </c>
      <c r="AU79" s="54" t="s">
        <v>1048</v>
      </c>
      <c r="AV79" s="54"/>
      <c r="AW79" s="55">
        <v>46189</v>
      </c>
      <c r="AX79" s="55">
        <v>46175</v>
      </c>
      <c r="AY79" s="55">
        <v>46175</v>
      </c>
      <c r="AZ79" s="55">
        <v>46176</v>
      </c>
      <c r="BA79" s="55">
        <v>46189</v>
      </c>
      <c r="BB79" s="56">
        <v>0</v>
      </c>
      <c r="BC79" s="56">
        <v>0</v>
      </c>
      <c r="BD79" s="56">
        <v>0</v>
      </c>
      <c r="BE79" s="56">
        <v>0</v>
      </c>
      <c r="BF79" s="56">
        <v>0</v>
      </c>
      <c r="BG79" s="56">
        <v>0</v>
      </c>
      <c r="BH79" s="56">
        <v>0</v>
      </c>
      <c r="BI79" s="56">
        <v>0</v>
      </c>
      <c r="BJ79" s="56">
        <v>0</v>
      </c>
      <c r="BK79" s="56">
        <v>0</v>
      </c>
      <c r="BL79" s="56">
        <v>0</v>
      </c>
      <c r="BM79" s="56">
        <v>0</v>
      </c>
      <c r="BN79" s="56">
        <v>0</v>
      </c>
      <c r="BO79" s="56">
        <v>0</v>
      </c>
      <c r="BP79" s="54" t="s">
        <v>1049</v>
      </c>
      <c r="BQ79" s="54" t="s">
        <v>1050</v>
      </c>
      <c r="BR79" s="54" t="s">
        <v>1049</v>
      </c>
      <c r="BS79" s="54" t="s">
        <v>1050</v>
      </c>
      <c r="BT79" s="54" t="s">
        <v>1051</v>
      </c>
      <c r="BU79" s="54" t="s">
        <v>1043</v>
      </c>
      <c r="BV79" s="58">
        <v>240</v>
      </c>
      <c r="BW79" s="54" t="s">
        <v>1052</v>
      </c>
      <c r="BX79" s="54" t="s">
        <v>1053</v>
      </c>
      <c r="BY79" s="54" t="s">
        <v>1054</v>
      </c>
      <c r="BZ79" s="54" t="s">
        <v>1055</v>
      </c>
      <c r="CA79" s="55"/>
      <c r="CB79" s="54" t="s">
        <v>1056</v>
      </c>
      <c r="CC79" s="54" t="s">
        <v>1057</v>
      </c>
      <c r="CD79" s="54" t="s">
        <v>1200</v>
      </c>
      <c r="CE79" s="54" t="s">
        <v>1201</v>
      </c>
      <c r="CF79" s="54" t="s">
        <v>1202</v>
      </c>
      <c r="CG79" s="54" t="s">
        <v>1203</v>
      </c>
      <c r="CH79" s="54" t="s">
        <v>1204</v>
      </c>
      <c r="CI79" s="54" t="s">
        <v>1203</v>
      </c>
      <c r="CJ79" s="54" t="s">
        <v>1064</v>
      </c>
      <c r="CK79" s="54" t="s">
        <v>1065</v>
      </c>
      <c r="CL79" s="54" t="s">
        <v>1205</v>
      </c>
      <c r="CM79" s="54" t="s">
        <v>1206</v>
      </c>
      <c r="CN79" s="54" t="s">
        <v>1068</v>
      </c>
      <c r="CO79" s="54" t="s">
        <v>1069</v>
      </c>
      <c r="CP79" s="56">
        <v>0</v>
      </c>
      <c r="CQ79" s="56">
        <v>0</v>
      </c>
      <c r="CR79" s="56">
        <v>0</v>
      </c>
      <c r="CS79" s="56">
        <v>0</v>
      </c>
      <c r="CT79" s="56">
        <v>0</v>
      </c>
      <c r="CU79" s="56">
        <v>0</v>
      </c>
      <c r="CV79" s="56">
        <v>0</v>
      </c>
      <c r="CW79" s="56">
        <v>0</v>
      </c>
      <c r="CX79" s="56">
        <v>0</v>
      </c>
      <c r="CY79" s="56">
        <v>0</v>
      </c>
      <c r="CZ79" s="56">
        <v>0</v>
      </c>
      <c r="DA79" s="56">
        <v>0</v>
      </c>
      <c r="DB79" s="56">
        <v>0</v>
      </c>
      <c r="DC79" s="56">
        <v>0</v>
      </c>
      <c r="DD79" s="56">
        <v>0</v>
      </c>
      <c r="DE79" s="56">
        <v>0</v>
      </c>
      <c r="DF79" s="56">
        <v>0</v>
      </c>
      <c r="DG79" s="56">
        <v>0</v>
      </c>
      <c r="DH79" s="56">
        <v>0</v>
      </c>
      <c r="DI79" s="56">
        <v>0</v>
      </c>
      <c r="DJ79" s="56">
        <v>0</v>
      </c>
      <c r="DK79" s="56">
        <v>0</v>
      </c>
      <c r="DL79" s="56">
        <v>0</v>
      </c>
      <c r="DM79" s="56">
        <v>0</v>
      </c>
      <c r="DN79" s="56">
        <v>0</v>
      </c>
      <c r="DO79" s="56">
        <v>0</v>
      </c>
      <c r="DP79" s="56">
        <v>0</v>
      </c>
      <c r="DQ79" s="56">
        <v>0</v>
      </c>
      <c r="DR79" s="56">
        <v>0</v>
      </c>
      <c r="DS79" s="56">
        <v>0</v>
      </c>
      <c r="DT79" s="56">
        <v>0</v>
      </c>
      <c r="DU79" s="56">
        <v>0</v>
      </c>
      <c r="DV79" s="56">
        <v>0</v>
      </c>
      <c r="DW79" s="56">
        <v>0</v>
      </c>
      <c r="DX79" s="56">
        <v>0</v>
      </c>
      <c r="DY79" s="56">
        <v>0</v>
      </c>
      <c r="DZ79" s="56">
        <v>0</v>
      </c>
      <c r="EA79" s="56">
        <v>0</v>
      </c>
      <c r="EB79" s="56">
        <v>0</v>
      </c>
      <c r="EC79" s="56">
        <v>0</v>
      </c>
      <c r="ED79" s="56">
        <v>0</v>
      </c>
      <c r="EE79" s="56">
        <v>0</v>
      </c>
      <c r="EF79" s="56">
        <v>0</v>
      </c>
      <c r="EG79" s="56">
        <v>0</v>
      </c>
      <c r="EH79" s="56">
        <v>151.78</v>
      </c>
      <c r="EI79" s="56">
        <v>0</v>
      </c>
      <c r="EJ79" s="56">
        <v>0</v>
      </c>
      <c r="EK79" s="56">
        <v>0</v>
      </c>
      <c r="EL79" s="56">
        <v>0</v>
      </c>
      <c r="EM79" s="56">
        <v>0</v>
      </c>
      <c r="EN79" s="56">
        <v>0</v>
      </c>
      <c r="EO79" s="56">
        <v>0</v>
      </c>
      <c r="EP79" s="56">
        <v>0</v>
      </c>
      <c r="EQ79" s="56">
        <v>0</v>
      </c>
      <c r="ER79" s="56">
        <v>0</v>
      </c>
      <c r="ES79" s="56">
        <v>0</v>
      </c>
      <c r="ET79" s="56">
        <v>0</v>
      </c>
      <c r="EU79" s="56">
        <v>0</v>
      </c>
      <c r="EV79" s="56">
        <v>0</v>
      </c>
      <c r="EW79" s="56">
        <v>0</v>
      </c>
      <c r="EX79" s="56">
        <v>0</v>
      </c>
      <c r="EY79" s="56">
        <v>0</v>
      </c>
      <c r="EZ79" s="56">
        <v>0</v>
      </c>
      <c r="FA79" s="56">
        <v>0</v>
      </c>
      <c r="FB79" s="56">
        <v>0</v>
      </c>
      <c r="FC79" s="58">
        <v>0</v>
      </c>
      <c r="FD79" s="56">
        <v>0</v>
      </c>
      <c r="FE79" s="56">
        <v>0</v>
      </c>
      <c r="FF79" s="56">
        <v>0</v>
      </c>
      <c r="FG79" s="56">
        <v>0</v>
      </c>
      <c r="FH79" s="56">
        <v>0</v>
      </c>
      <c r="FI79" s="56">
        <v>0</v>
      </c>
      <c r="FJ79" s="56">
        <v>0</v>
      </c>
      <c r="FK79" s="56">
        <v>0</v>
      </c>
      <c r="FL79" s="56">
        <v>0</v>
      </c>
      <c r="FM79" s="56">
        <v>0</v>
      </c>
      <c r="FN79" s="56">
        <v>0</v>
      </c>
      <c r="FO79" s="56">
        <v>0</v>
      </c>
      <c r="FP79" s="56">
        <v>0</v>
      </c>
      <c r="FQ79" s="56">
        <v>0</v>
      </c>
      <c r="FR79" s="56">
        <v>0</v>
      </c>
      <c r="FS79" s="58">
        <v>0</v>
      </c>
      <c r="FT79" s="56">
        <v>0</v>
      </c>
      <c r="FU79" s="56">
        <v>0</v>
      </c>
      <c r="FV79" s="56">
        <v>0</v>
      </c>
      <c r="FW79" s="56">
        <v>0</v>
      </c>
      <c r="FX79" s="56">
        <v>0</v>
      </c>
      <c r="FY79" s="56">
        <v>0</v>
      </c>
      <c r="FZ79" s="54" t="s">
        <v>1070</v>
      </c>
      <c r="GA79" s="54" t="s">
        <v>1071</v>
      </c>
      <c r="GB79" s="54" t="s">
        <v>1072</v>
      </c>
      <c r="GC79" s="54" t="s">
        <v>1073</v>
      </c>
      <c r="GD79" s="54" t="s">
        <v>1218</v>
      </c>
      <c r="GE79" s="54" t="s">
        <v>1201</v>
      </c>
      <c r="GF79" s="54"/>
      <c r="GG79" s="55"/>
      <c r="GH79" s="54"/>
      <c r="GI79" s="54"/>
      <c r="GJ79" s="54" t="s">
        <v>1076</v>
      </c>
      <c r="GK79" s="54" t="s">
        <v>1077</v>
      </c>
      <c r="GL79" s="54"/>
      <c r="GM79" s="54"/>
      <c r="GN79" s="54" t="s">
        <v>1208</v>
      </c>
      <c r="GO79" s="54" t="s">
        <v>1209</v>
      </c>
      <c r="GP79" s="54"/>
      <c r="GQ79" s="56">
        <v>0</v>
      </c>
      <c r="GR79" s="54" t="s">
        <v>1210</v>
      </c>
      <c r="GS79" s="54"/>
    </row>
    <row r="80" spans="1:201" x14ac:dyDescent="0.25">
      <c r="A80" s="54" t="s">
        <v>1032</v>
      </c>
      <c r="B80" s="54" t="s">
        <v>1033</v>
      </c>
      <c r="C80" s="54" t="s">
        <v>1197</v>
      </c>
      <c r="D80" s="54" t="s">
        <v>1035</v>
      </c>
      <c r="E80" s="54" t="s">
        <v>1036</v>
      </c>
      <c r="F80" s="55">
        <v>46175</v>
      </c>
      <c r="G80" s="55">
        <v>46175</v>
      </c>
      <c r="H80" s="54" t="s">
        <v>1037</v>
      </c>
      <c r="I80" s="54" t="s">
        <v>1038</v>
      </c>
      <c r="J80" s="54" t="s">
        <v>1039</v>
      </c>
      <c r="K80" s="55"/>
      <c r="L80" s="54" t="s">
        <v>1040</v>
      </c>
      <c r="M80" s="54"/>
      <c r="N80" s="54" t="s">
        <v>1198</v>
      </c>
      <c r="O80" s="54" t="s">
        <v>1109</v>
      </c>
      <c r="P80" s="54" t="s">
        <v>248</v>
      </c>
      <c r="Q80" s="54" t="s">
        <v>92</v>
      </c>
      <c r="R80" s="54" t="s">
        <v>1043</v>
      </c>
      <c r="S80" s="56">
        <v>337.2</v>
      </c>
      <c r="T80" s="56">
        <v>0</v>
      </c>
      <c r="U80" s="56">
        <v>337.2</v>
      </c>
      <c r="V80" s="56">
        <v>0</v>
      </c>
      <c r="W80" s="56">
        <v>0</v>
      </c>
      <c r="X80" s="56">
        <v>0</v>
      </c>
      <c r="Y80" s="56">
        <v>0</v>
      </c>
      <c r="Z80" s="56">
        <v>120</v>
      </c>
      <c r="AA80" s="56">
        <v>0</v>
      </c>
      <c r="AB80" s="59">
        <v>120</v>
      </c>
      <c r="AC80" s="56">
        <v>0</v>
      </c>
      <c r="AD80" s="56">
        <v>0</v>
      </c>
      <c r="AE80" s="56">
        <v>0</v>
      </c>
      <c r="AF80" s="54" t="s">
        <v>1199</v>
      </c>
      <c r="AG80" s="57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 t="s">
        <v>1045</v>
      </c>
      <c r="AS80" s="54" t="s">
        <v>1046</v>
      </c>
      <c r="AT80" s="54" t="s">
        <v>1047</v>
      </c>
      <c r="AU80" s="54" t="s">
        <v>1048</v>
      </c>
      <c r="AV80" s="54"/>
      <c r="AW80" s="55">
        <v>46189</v>
      </c>
      <c r="AX80" s="55">
        <v>46175</v>
      </c>
      <c r="AY80" s="55">
        <v>46175</v>
      </c>
      <c r="AZ80" s="55"/>
      <c r="BA80" s="55">
        <v>46189</v>
      </c>
      <c r="BB80" s="56">
        <v>0</v>
      </c>
      <c r="BC80" s="56">
        <v>0</v>
      </c>
      <c r="BD80" s="56">
        <v>0</v>
      </c>
      <c r="BE80" s="56">
        <v>0</v>
      </c>
      <c r="BF80" s="56">
        <v>0</v>
      </c>
      <c r="BG80" s="56">
        <v>0</v>
      </c>
      <c r="BH80" s="56">
        <v>0</v>
      </c>
      <c r="BI80" s="56">
        <v>0</v>
      </c>
      <c r="BJ80" s="56">
        <v>0</v>
      </c>
      <c r="BK80" s="56">
        <v>0</v>
      </c>
      <c r="BL80" s="56">
        <v>0</v>
      </c>
      <c r="BM80" s="56">
        <v>0</v>
      </c>
      <c r="BN80" s="56">
        <v>0</v>
      </c>
      <c r="BO80" s="56">
        <v>0</v>
      </c>
      <c r="BP80" s="54" t="s">
        <v>1049</v>
      </c>
      <c r="BQ80" s="54" t="s">
        <v>1050</v>
      </c>
      <c r="BR80" s="54" t="s">
        <v>1049</v>
      </c>
      <c r="BS80" s="54" t="s">
        <v>1050</v>
      </c>
      <c r="BT80" s="54" t="s">
        <v>1051</v>
      </c>
      <c r="BU80" s="54" t="s">
        <v>1043</v>
      </c>
      <c r="BV80" s="58">
        <v>0</v>
      </c>
      <c r="BW80" s="54" t="s">
        <v>1052</v>
      </c>
      <c r="BX80" s="54" t="s">
        <v>1053</v>
      </c>
      <c r="BY80" s="54" t="s">
        <v>1054</v>
      </c>
      <c r="BZ80" s="54" t="s">
        <v>1055</v>
      </c>
      <c r="CA80" s="55"/>
      <c r="CB80" s="54" t="s">
        <v>1056</v>
      </c>
      <c r="CC80" s="54" t="s">
        <v>1057</v>
      </c>
      <c r="CD80" s="54" t="s">
        <v>1200</v>
      </c>
      <c r="CE80" s="54" t="s">
        <v>1201</v>
      </c>
      <c r="CF80" s="54" t="s">
        <v>1202</v>
      </c>
      <c r="CG80" s="54" t="s">
        <v>1203</v>
      </c>
      <c r="CH80" s="54" t="s">
        <v>1204</v>
      </c>
      <c r="CI80" s="54" t="s">
        <v>1203</v>
      </c>
      <c r="CJ80" s="54" t="s">
        <v>1064</v>
      </c>
      <c r="CK80" s="54" t="s">
        <v>1065</v>
      </c>
      <c r="CL80" s="54" t="s">
        <v>1205</v>
      </c>
      <c r="CM80" s="54" t="s">
        <v>1206</v>
      </c>
      <c r="CN80" s="54" t="s">
        <v>1068</v>
      </c>
      <c r="CO80" s="54" t="s">
        <v>1069</v>
      </c>
      <c r="CP80" s="56">
        <v>0</v>
      </c>
      <c r="CQ80" s="56">
        <v>0</v>
      </c>
      <c r="CR80" s="56">
        <v>0</v>
      </c>
      <c r="CS80" s="56">
        <v>0</v>
      </c>
      <c r="CT80" s="56">
        <v>0</v>
      </c>
      <c r="CU80" s="56">
        <v>0</v>
      </c>
      <c r="CV80" s="56">
        <v>0</v>
      </c>
      <c r="CW80" s="56">
        <v>0</v>
      </c>
      <c r="CX80" s="56">
        <v>0</v>
      </c>
      <c r="CY80" s="56">
        <v>0</v>
      </c>
      <c r="CZ80" s="56">
        <v>0</v>
      </c>
      <c r="DA80" s="56">
        <v>0</v>
      </c>
      <c r="DB80" s="56">
        <v>0</v>
      </c>
      <c r="DC80" s="56">
        <v>0</v>
      </c>
      <c r="DD80" s="56">
        <v>0</v>
      </c>
      <c r="DE80" s="56">
        <v>0</v>
      </c>
      <c r="DF80" s="56">
        <v>0</v>
      </c>
      <c r="DG80" s="56">
        <v>0</v>
      </c>
      <c r="DH80" s="56">
        <v>0</v>
      </c>
      <c r="DI80" s="56">
        <v>0</v>
      </c>
      <c r="DJ80" s="56">
        <v>0</v>
      </c>
      <c r="DK80" s="56">
        <v>0</v>
      </c>
      <c r="DL80" s="56">
        <v>0</v>
      </c>
      <c r="DM80" s="56">
        <v>0</v>
      </c>
      <c r="DN80" s="56">
        <v>0</v>
      </c>
      <c r="DO80" s="56">
        <v>0</v>
      </c>
      <c r="DP80" s="56">
        <v>0</v>
      </c>
      <c r="DQ80" s="56">
        <v>0</v>
      </c>
      <c r="DR80" s="56">
        <v>0</v>
      </c>
      <c r="DS80" s="56">
        <v>0</v>
      </c>
      <c r="DT80" s="56">
        <v>0</v>
      </c>
      <c r="DU80" s="56">
        <v>0</v>
      </c>
      <c r="DV80" s="56">
        <v>0</v>
      </c>
      <c r="DW80" s="56">
        <v>0</v>
      </c>
      <c r="DX80" s="56">
        <v>0</v>
      </c>
      <c r="DY80" s="56">
        <v>0</v>
      </c>
      <c r="DZ80" s="56">
        <v>0</v>
      </c>
      <c r="EA80" s="56">
        <v>0</v>
      </c>
      <c r="EB80" s="56">
        <v>0</v>
      </c>
      <c r="EC80" s="56">
        <v>40.46</v>
      </c>
      <c r="ED80" s="56">
        <v>0</v>
      </c>
      <c r="EE80" s="56">
        <v>0</v>
      </c>
      <c r="EF80" s="56">
        <v>0</v>
      </c>
      <c r="EG80" s="56">
        <v>0</v>
      </c>
      <c r="EH80" s="56">
        <v>40.46</v>
      </c>
      <c r="EI80" s="56">
        <v>0</v>
      </c>
      <c r="EJ80" s="56">
        <v>0</v>
      </c>
      <c r="EK80" s="56">
        <v>0</v>
      </c>
      <c r="EL80" s="56">
        <v>0</v>
      </c>
      <c r="EM80" s="56">
        <v>0</v>
      </c>
      <c r="EN80" s="56">
        <v>0</v>
      </c>
      <c r="EO80" s="56">
        <v>0</v>
      </c>
      <c r="EP80" s="56">
        <v>337.2</v>
      </c>
      <c r="EQ80" s="56">
        <v>0</v>
      </c>
      <c r="ER80" s="56">
        <v>0</v>
      </c>
      <c r="ES80" s="56">
        <v>120</v>
      </c>
      <c r="ET80" s="56">
        <v>0</v>
      </c>
      <c r="EU80" s="56">
        <v>0</v>
      </c>
      <c r="EV80" s="56">
        <v>0</v>
      </c>
      <c r="EW80" s="56">
        <v>0</v>
      </c>
      <c r="EX80" s="56">
        <v>0</v>
      </c>
      <c r="EY80" s="56">
        <v>0</v>
      </c>
      <c r="EZ80" s="56">
        <v>0</v>
      </c>
      <c r="FA80" s="56">
        <v>0</v>
      </c>
      <c r="FB80" s="56">
        <v>0</v>
      </c>
      <c r="FC80" s="58">
        <v>0</v>
      </c>
      <c r="FD80" s="56">
        <v>0</v>
      </c>
      <c r="FE80" s="56">
        <v>0</v>
      </c>
      <c r="FF80" s="56">
        <v>0</v>
      </c>
      <c r="FG80" s="56">
        <v>0</v>
      </c>
      <c r="FH80" s="56">
        <v>0</v>
      </c>
      <c r="FI80" s="56">
        <v>0</v>
      </c>
      <c r="FJ80" s="56">
        <v>0</v>
      </c>
      <c r="FK80" s="56">
        <v>0</v>
      </c>
      <c r="FL80" s="56">
        <v>0</v>
      </c>
      <c r="FM80" s="56">
        <v>0</v>
      </c>
      <c r="FN80" s="56">
        <v>0</v>
      </c>
      <c r="FO80" s="56">
        <v>0</v>
      </c>
      <c r="FP80" s="56">
        <v>0</v>
      </c>
      <c r="FQ80" s="56">
        <v>0</v>
      </c>
      <c r="FR80" s="56">
        <v>0</v>
      </c>
      <c r="FS80" s="58">
        <v>0</v>
      </c>
      <c r="FT80" s="56">
        <v>0</v>
      </c>
      <c r="FU80" s="56">
        <v>0</v>
      </c>
      <c r="FV80" s="56">
        <v>0</v>
      </c>
      <c r="FW80" s="56">
        <v>0</v>
      </c>
      <c r="FX80" s="56">
        <v>0</v>
      </c>
      <c r="FY80" s="56">
        <v>0</v>
      </c>
      <c r="FZ80" s="54" t="s">
        <v>1070</v>
      </c>
      <c r="GA80" s="54" t="s">
        <v>1071</v>
      </c>
      <c r="GB80" s="54" t="s">
        <v>1072</v>
      </c>
      <c r="GC80" s="54" t="s">
        <v>1073</v>
      </c>
      <c r="GD80" s="54" t="s">
        <v>1219</v>
      </c>
      <c r="GE80" s="54" t="s">
        <v>1201</v>
      </c>
      <c r="GF80" s="54" t="s">
        <v>1220</v>
      </c>
      <c r="GG80" s="55">
        <v>46205</v>
      </c>
      <c r="GH80" s="54"/>
      <c r="GI80" s="54"/>
      <c r="GJ80" s="54" t="s">
        <v>1076</v>
      </c>
      <c r="GK80" s="54" t="s">
        <v>1077</v>
      </c>
      <c r="GL80" s="54"/>
      <c r="GM80" s="54"/>
      <c r="GN80" s="54" t="s">
        <v>1208</v>
      </c>
      <c r="GO80" s="54" t="s">
        <v>1209</v>
      </c>
      <c r="GP80" s="54"/>
      <c r="GQ80" s="56">
        <v>0</v>
      </c>
      <c r="GR80" s="54" t="s">
        <v>1210</v>
      </c>
      <c r="GS80" s="54" t="s">
        <v>1101</v>
      </c>
    </row>
    <row r="81" spans="1:201" x14ac:dyDescent="0.25">
      <c r="A81" s="54" t="s">
        <v>1032</v>
      </c>
      <c r="B81" s="54" t="s">
        <v>1033</v>
      </c>
      <c r="C81" s="54" t="s">
        <v>1197</v>
      </c>
      <c r="D81" s="54" t="s">
        <v>1035</v>
      </c>
      <c r="E81" s="54" t="s">
        <v>1036</v>
      </c>
      <c r="F81" s="55">
        <v>46175</v>
      </c>
      <c r="G81" s="55">
        <v>46175</v>
      </c>
      <c r="H81" s="54" t="s">
        <v>1037</v>
      </c>
      <c r="I81" s="54" t="s">
        <v>1038</v>
      </c>
      <c r="J81" s="54" t="s">
        <v>1039</v>
      </c>
      <c r="K81" s="55"/>
      <c r="L81" s="54" t="s">
        <v>1040</v>
      </c>
      <c r="M81" s="54"/>
      <c r="N81" s="54" t="s">
        <v>1198</v>
      </c>
      <c r="O81" s="54" t="s">
        <v>1111</v>
      </c>
      <c r="P81" s="54" t="s">
        <v>255</v>
      </c>
      <c r="Q81" s="54" t="s">
        <v>99</v>
      </c>
      <c r="R81" s="54" t="s">
        <v>1043</v>
      </c>
      <c r="S81" s="56">
        <v>284.39999999999998</v>
      </c>
      <c r="T81" s="56">
        <v>284.39999999999998</v>
      </c>
      <c r="U81" s="56">
        <v>0</v>
      </c>
      <c r="V81" s="56">
        <v>0</v>
      </c>
      <c r="W81" s="56">
        <v>0</v>
      </c>
      <c r="X81" s="56">
        <v>0</v>
      </c>
      <c r="Y81" s="56">
        <v>0</v>
      </c>
      <c r="Z81" s="56">
        <v>120</v>
      </c>
      <c r="AA81" s="56">
        <v>120</v>
      </c>
      <c r="AB81" s="59">
        <v>0</v>
      </c>
      <c r="AC81" s="56">
        <v>0</v>
      </c>
      <c r="AD81" s="56">
        <v>0</v>
      </c>
      <c r="AE81" s="56">
        <v>0</v>
      </c>
      <c r="AF81" s="54" t="s">
        <v>1199</v>
      </c>
      <c r="AG81" s="57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 t="s">
        <v>1045</v>
      </c>
      <c r="AS81" s="54" t="s">
        <v>1046</v>
      </c>
      <c r="AT81" s="54" t="s">
        <v>1047</v>
      </c>
      <c r="AU81" s="54" t="s">
        <v>1048</v>
      </c>
      <c r="AV81" s="54"/>
      <c r="AW81" s="55">
        <v>46189</v>
      </c>
      <c r="AX81" s="55">
        <v>46175</v>
      </c>
      <c r="AY81" s="55">
        <v>46175</v>
      </c>
      <c r="AZ81" s="55">
        <v>46178</v>
      </c>
      <c r="BA81" s="55">
        <v>46189</v>
      </c>
      <c r="BB81" s="56">
        <v>0</v>
      </c>
      <c r="BC81" s="56">
        <v>0</v>
      </c>
      <c r="BD81" s="56">
        <v>0</v>
      </c>
      <c r="BE81" s="56">
        <v>0</v>
      </c>
      <c r="BF81" s="56">
        <v>0</v>
      </c>
      <c r="BG81" s="56">
        <v>0</v>
      </c>
      <c r="BH81" s="56">
        <v>0</v>
      </c>
      <c r="BI81" s="56">
        <v>0</v>
      </c>
      <c r="BJ81" s="56">
        <v>0</v>
      </c>
      <c r="BK81" s="56">
        <v>0</v>
      </c>
      <c r="BL81" s="56">
        <v>0</v>
      </c>
      <c r="BM81" s="56">
        <v>0</v>
      </c>
      <c r="BN81" s="56">
        <v>0</v>
      </c>
      <c r="BO81" s="56">
        <v>0</v>
      </c>
      <c r="BP81" s="54" t="s">
        <v>1049</v>
      </c>
      <c r="BQ81" s="54" t="s">
        <v>1050</v>
      </c>
      <c r="BR81" s="54" t="s">
        <v>1049</v>
      </c>
      <c r="BS81" s="54" t="s">
        <v>1050</v>
      </c>
      <c r="BT81" s="54" t="s">
        <v>1051</v>
      </c>
      <c r="BU81" s="54" t="s">
        <v>1043</v>
      </c>
      <c r="BV81" s="58">
        <v>120</v>
      </c>
      <c r="BW81" s="54" t="s">
        <v>1052</v>
      </c>
      <c r="BX81" s="54" t="s">
        <v>1053</v>
      </c>
      <c r="BY81" s="54" t="s">
        <v>1054</v>
      </c>
      <c r="BZ81" s="54" t="s">
        <v>1055</v>
      </c>
      <c r="CA81" s="55"/>
      <c r="CB81" s="54" t="s">
        <v>1056</v>
      </c>
      <c r="CC81" s="54" t="s">
        <v>1057</v>
      </c>
      <c r="CD81" s="54" t="s">
        <v>1200</v>
      </c>
      <c r="CE81" s="54" t="s">
        <v>1201</v>
      </c>
      <c r="CF81" s="54" t="s">
        <v>1202</v>
      </c>
      <c r="CG81" s="54" t="s">
        <v>1203</v>
      </c>
      <c r="CH81" s="54" t="s">
        <v>1204</v>
      </c>
      <c r="CI81" s="54" t="s">
        <v>1203</v>
      </c>
      <c r="CJ81" s="54" t="s">
        <v>1064</v>
      </c>
      <c r="CK81" s="54" t="s">
        <v>1065</v>
      </c>
      <c r="CL81" s="54" t="s">
        <v>1205</v>
      </c>
      <c r="CM81" s="54" t="s">
        <v>1206</v>
      </c>
      <c r="CN81" s="54" t="s">
        <v>1068</v>
      </c>
      <c r="CO81" s="54" t="s">
        <v>1069</v>
      </c>
      <c r="CP81" s="56">
        <v>0</v>
      </c>
      <c r="CQ81" s="56">
        <v>0</v>
      </c>
      <c r="CR81" s="56">
        <v>0</v>
      </c>
      <c r="CS81" s="56">
        <v>0</v>
      </c>
      <c r="CT81" s="56">
        <v>0</v>
      </c>
      <c r="CU81" s="56">
        <v>0</v>
      </c>
      <c r="CV81" s="56">
        <v>0</v>
      </c>
      <c r="CW81" s="56">
        <v>0</v>
      </c>
      <c r="CX81" s="56">
        <v>0</v>
      </c>
      <c r="CY81" s="56">
        <v>0</v>
      </c>
      <c r="CZ81" s="56">
        <v>0</v>
      </c>
      <c r="DA81" s="56">
        <v>0</v>
      </c>
      <c r="DB81" s="56">
        <v>0</v>
      </c>
      <c r="DC81" s="56">
        <v>0</v>
      </c>
      <c r="DD81" s="56">
        <v>0</v>
      </c>
      <c r="DE81" s="56">
        <v>0</v>
      </c>
      <c r="DF81" s="56">
        <v>0</v>
      </c>
      <c r="DG81" s="56">
        <v>0</v>
      </c>
      <c r="DH81" s="56">
        <v>0</v>
      </c>
      <c r="DI81" s="56">
        <v>0</v>
      </c>
      <c r="DJ81" s="56">
        <v>0</v>
      </c>
      <c r="DK81" s="56">
        <v>0</v>
      </c>
      <c r="DL81" s="56">
        <v>0</v>
      </c>
      <c r="DM81" s="56">
        <v>0</v>
      </c>
      <c r="DN81" s="56">
        <v>0</v>
      </c>
      <c r="DO81" s="56">
        <v>0</v>
      </c>
      <c r="DP81" s="56">
        <v>0</v>
      </c>
      <c r="DQ81" s="56">
        <v>0</v>
      </c>
      <c r="DR81" s="56">
        <v>0</v>
      </c>
      <c r="DS81" s="56">
        <v>0</v>
      </c>
      <c r="DT81" s="56">
        <v>0</v>
      </c>
      <c r="DU81" s="56">
        <v>0</v>
      </c>
      <c r="DV81" s="56">
        <v>0</v>
      </c>
      <c r="DW81" s="56">
        <v>0</v>
      </c>
      <c r="DX81" s="56">
        <v>0</v>
      </c>
      <c r="DY81" s="56">
        <v>0</v>
      </c>
      <c r="DZ81" s="56">
        <v>0</v>
      </c>
      <c r="EA81" s="56">
        <v>0</v>
      </c>
      <c r="EB81" s="56">
        <v>0</v>
      </c>
      <c r="EC81" s="56">
        <v>0</v>
      </c>
      <c r="ED81" s="56">
        <v>0</v>
      </c>
      <c r="EE81" s="56">
        <v>0</v>
      </c>
      <c r="EF81" s="56">
        <v>0</v>
      </c>
      <c r="EG81" s="56">
        <v>0</v>
      </c>
      <c r="EH81" s="56">
        <v>34.130000000000003</v>
      </c>
      <c r="EI81" s="56">
        <v>0</v>
      </c>
      <c r="EJ81" s="56">
        <v>0</v>
      </c>
      <c r="EK81" s="56">
        <v>0</v>
      </c>
      <c r="EL81" s="56">
        <v>0</v>
      </c>
      <c r="EM81" s="56">
        <v>0</v>
      </c>
      <c r="EN81" s="56">
        <v>0</v>
      </c>
      <c r="EO81" s="56">
        <v>0</v>
      </c>
      <c r="EP81" s="56">
        <v>0</v>
      </c>
      <c r="EQ81" s="56">
        <v>0</v>
      </c>
      <c r="ER81" s="56">
        <v>0</v>
      </c>
      <c r="ES81" s="56">
        <v>0</v>
      </c>
      <c r="ET81" s="56">
        <v>0</v>
      </c>
      <c r="EU81" s="56">
        <v>0</v>
      </c>
      <c r="EV81" s="56">
        <v>0</v>
      </c>
      <c r="EW81" s="56">
        <v>0</v>
      </c>
      <c r="EX81" s="56">
        <v>0</v>
      </c>
      <c r="EY81" s="56">
        <v>0</v>
      </c>
      <c r="EZ81" s="56">
        <v>0</v>
      </c>
      <c r="FA81" s="56">
        <v>0</v>
      </c>
      <c r="FB81" s="56">
        <v>0</v>
      </c>
      <c r="FC81" s="58">
        <v>0</v>
      </c>
      <c r="FD81" s="56">
        <v>0</v>
      </c>
      <c r="FE81" s="56">
        <v>0</v>
      </c>
      <c r="FF81" s="56">
        <v>0</v>
      </c>
      <c r="FG81" s="56">
        <v>0</v>
      </c>
      <c r="FH81" s="56">
        <v>0</v>
      </c>
      <c r="FI81" s="56">
        <v>0</v>
      </c>
      <c r="FJ81" s="56">
        <v>0</v>
      </c>
      <c r="FK81" s="56">
        <v>0</v>
      </c>
      <c r="FL81" s="56">
        <v>0</v>
      </c>
      <c r="FM81" s="56">
        <v>0</v>
      </c>
      <c r="FN81" s="56">
        <v>0</v>
      </c>
      <c r="FO81" s="56">
        <v>0</v>
      </c>
      <c r="FP81" s="56">
        <v>0</v>
      </c>
      <c r="FQ81" s="56">
        <v>0</v>
      </c>
      <c r="FR81" s="56">
        <v>0</v>
      </c>
      <c r="FS81" s="58">
        <v>0</v>
      </c>
      <c r="FT81" s="56">
        <v>0</v>
      </c>
      <c r="FU81" s="56">
        <v>0</v>
      </c>
      <c r="FV81" s="56">
        <v>0</v>
      </c>
      <c r="FW81" s="56">
        <v>0</v>
      </c>
      <c r="FX81" s="56">
        <v>0</v>
      </c>
      <c r="FY81" s="56">
        <v>0</v>
      </c>
      <c r="FZ81" s="54" t="s">
        <v>1070</v>
      </c>
      <c r="GA81" s="54" t="s">
        <v>1071</v>
      </c>
      <c r="GB81" s="54" t="s">
        <v>1072</v>
      </c>
      <c r="GC81" s="54" t="s">
        <v>1073</v>
      </c>
      <c r="GD81" s="54" t="s">
        <v>1221</v>
      </c>
      <c r="GE81" s="54" t="s">
        <v>1201</v>
      </c>
      <c r="GF81" s="54"/>
      <c r="GG81" s="55"/>
      <c r="GH81" s="54"/>
      <c r="GI81" s="54"/>
      <c r="GJ81" s="54" t="s">
        <v>1076</v>
      </c>
      <c r="GK81" s="54" t="s">
        <v>1077</v>
      </c>
      <c r="GL81" s="54"/>
      <c r="GM81" s="54"/>
      <c r="GN81" s="54" t="s">
        <v>1208</v>
      </c>
      <c r="GO81" s="54" t="s">
        <v>1209</v>
      </c>
      <c r="GP81" s="54"/>
      <c r="GQ81" s="56">
        <v>0</v>
      </c>
      <c r="GR81" s="54" t="s">
        <v>1210</v>
      </c>
      <c r="GS81" s="54"/>
    </row>
    <row r="82" spans="1:201" x14ac:dyDescent="0.25">
      <c r="A82" s="54" t="s">
        <v>1032</v>
      </c>
      <c r="B82" s="54" t="s">
        <v>1033</v>
      </c>
      <c r="C82" s="54" t="s">
        <v>1197</v>
      </c>
      <c r="D82" s="54" t="s">
        <v>1035</v>
      </c>
      <c r="E82" s="54" t="s">
        <v>1036</v>
      </c>
      <c r="F82" s="55">
        <v>46175</v>
      </c>
      <c r="G82" s="55">
        <v>46175</v>
      </c>
      <c r="H82" s="54" t="s">
        <v>1037</v>
      </c>
      <c r="I82" s="54" t="s">
        <v>1038</v>
      </c>
      <c r="J82" s="54" t="s">
        <v>1039</v>
      </c>
      <c r="K82" s="55"/>
      <c r="L82" s="54" t="s">
        <v>1040</v>
      </c>
      <c r="M82" s="54"/>
      <c r="N82" s="54" t="s">
        <v>1198</v>
      </c>
      <c r="O82" s="54" t="s">
        <v>1113</v>
      </c>
      <c r="P82" s="54" t="s">
        <v>254</v>
      </c>
      <c r="Q82" s="54" t="s">
        <v>98</v>
      </c>
      <c r="R82" s="54" t="s">
        <v>1043</v>
      </c>
      <c r="S82" s="56">
        <v>254.4</v>
      </c>
      <c r="T82" s="56">
        <v>254.4</v>
      </c>
      <c r="U82" s="56">
        <v>0</v>
      </c>
      <c r="V82" s="56">
        <v>0</v>
      </c>
      <c r="W82" s="56">
        <v>0</v>
      </c>
      <c r="X82" s="56">
        <v>0</v>
      </c>
      <c r="Y82" s="56">
        <v>0</v>
      </c>
      <c r="Z82" s="56">
        <v>60</v>
      </c>
      <c r="AA82" s="56">
        <v>60</v>
      </c>
      <c r="AB82" s="59">
        <v>0</v>
      </c>
      <c r="AC82" s="56">
        <v>0</v>
      </c>
      <c r="AD82" s="56">
        <v>0</v>
      </c>
      <c r="AE82" s="56">
        <v>0</v>
      </c>
      <c r="AF82" s="54" t="s">
        <v>1199</v>
      </c>
      <c r="AG82" s="57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 t="s">
        <v>1045</v>
      </c>
      <c r="AS82" s="54" t="s">
        <v>1046</v>
      </c>
      <c r="AT82" s="54" t="s">
        <v>1047</v>
      </c>
      <c r="AU82" s="54" t="s">
        <v>1048</v>
      </c>
      <c r="AV82" s="54"/>
      <c r="AW82" s="55">
        <v>46189</v>
      </c>
      <c r="AX82" s="55">
        <v>46175</v>
      </c>
      <c r="AY82" s="55">
        <v>46175</v>
      </c>
      <c r="AZ82" s="55">
        <v>46178</v>
      </c>
      <c r="BA82" s="55">
        <v>46189</v>
      </c>
      <c r="BB82" s="56">
        <v>0</v>
      </c>
      <c r="BC82" s="56">
        <v>0</v>
      </c>
      <c r="BD82" s="56">
        <v>0</v>
      </c>
      <c r="BE82" s="56">
        <v>0</v>
      </c>
      <c r="BF82" s="56">
        <v>0</v>
      </c>
      <c r="BG82" s="56">
        <v>0</v>
      </c>
      <c r="BH82" s="56">
        <v>0</v>
      </c>
      <c r="BI82" s="56">
        <v>0</v>
      </c>
      <c r="BJ82" s="56">
        <v>0</v>
      </c>
      <c r="BK82" s="56">
        <v>0</v>
      </c>
      <c r="BL82" s="56">
        <v>0</v>
      </c>
      <c r="BM82" s="56">
        <v>0</v>
      </c>
      <c r="BN82" s="56">
        <v>0</v>
      </c>
      <c r="BO82" s="56">
        <v>0</v>
      </c>
      <c r="BP82" s="54" t="s">
        <v>1049</v>
      </c>
      <c r="BQ82" s="54" t="s">
        <v>1050</v>
      </c>
      <c r="BR82" s="54" t="s">
        <v>1049</v>
      </c>
      <c r="BS82" s="54" t="s">
        <v>1050</v>
      </c>
      <c r="BT82" s="54" t="s">
        <v>1051</v>
      </c>
      <c r="BU82" s="54" t="s">
        <v>1043</v>
      </c>
      <c r="BV82" s="58">
        <v>60</v>
      </c>
      <c r="BW82" s="54" t="s">
        <v>1052</v>
      </c>
      <c r="BX82" s="54" t="s">
        <v>1053</v>
      </c>
      <c r="BY82" s="54" t="s">
        <v>1054</v>
      </c>
      <c r="BZ82" s="54" t="s">
        <v>1055</v>
      </c>
      <c r="CA82" s="55"/>
      <c r="CB82" s="54" t="s">
        <v>1056</v>
      </c>
      <c r="CC82" s="54" t="s">
        <v>1057</v>
      </c>
      <c r="CD82" s="54" t="s">
        <v>1200</v>
      </c>
      <c r="CE82" s="54" t="s">
        <v>1201</v>
      </c>
      <c r="CF82" s="54" t="s">
        <v>1202</v>
      </c>
      <c r="CG82" s="54" t="s">
        <v>1203</v>
      </c>
      <c r="CH82" s="54" t="s">
        <v>1204</v>
      </c>
      <c r="CI82" s="54" t="s">
        <v>1203</v>
      </c>
      <c r="CJ82" s="54" t="s">
        <v>1064</v>
      </c>
      <c r="CK82" s="54" t="s">
        <v>1065</v>
      </c>
      <c r="CL82" s="54" t="s">
        <v>1205</v>
      </c>
      <c r="CM82" s="54" t="s">
        <v>1206</v>
      </c>
      <c r="CN82" s="54" t="s">
        <v>1068</v>
      </c>
      <c r="CO82" s="54" t="s">
        <v>1069</v>
      </c>
      <c r="CP82" s="56">
        <v>0</v>
      </c>
      <c r="CQ82" s="56">
        <v>0</v>
      </c>
      <c r="CR82" s="56">
        <v>0</v>
      </c>
      <c r="CS82" s="56">
        <v>0</v>
      </c>
      <c r="CT82" s="56">
        <v>0</v>
      </c>
      <c r="CU82" s="56">
        <v>0</v>
      </c>
      <c r="CV82" s="56">
        <v>0</v>
      </c>
      <c r="CW82" s="56">
        <v>0</v>
      </c>
      <c r="CX82" s="56">
        <v>0</v>
      </c>
      <c r="CY82" s="56">
        <v>0</v>
      </c>
      <c r="CZ82" s="56">
        <v>0</v>
      </c>
      <c r="DA82" s="56">
        <v>0</v>
      </c>
      <c r="DB82" s="56">
        <v>0</v>
      </c>
      <c r="DC82" s="56">
        <v>0</v>
      </c>
      <c r="DD82" s="56">
        <v>0</v>
      </c>
      <c r="DE82" s="56">
        <v>0</v>
      </c>
      <c r="DF82" s="56">
        <v>0</v>
      </c>
      <c r="DG82" s="56">
        <v>0</v>
      </c>
      <c r="DH82" s="56">
        <v>0</v>
      </c>
      <c r="DI82" s="56">
        <v>0</v>
      </c>
      <c r="DJ82" s="56">
        <v>0</v>
      </c>
      <c r="DK82" s="56">
        <v>0</v>
      </c>
      <c r="DL82" s="56">
        <v>0</v>
      </c>
      <c r="DM82" s="56">
        <v>0</v>
      </c>
      <c r="DN82" s="56">
        <v>0</v>
      </c>
      <c r="DO82" s="56">
        <v>0</v>
      </c>
      <c r="DP82" s="56">
        <v>0</v>
      </c>
      <c r="DQ82" s="56">
        <v>0</v>
      </c>
      <c r="DR82" s="56">
        <v>0</v>
      </c>
      <c r="DS82" s="56">
        <v>0</v>
      </c>
      <c r="DT82" s="56">
        <v>0</v>
      </c>
      <c r="DU82" s="56">
        <v>0</v>
      </c>
      <c r="DV82" s="56">
        <v>0</v>
      </c>
      <c r="DW82" s="56">
        <v>0</v>
      </c>
      <c r="DX82" s="56">
        <v>0</v>
      </c>
      <c r="DY82" s="56">
        <v>0</v>
      </c>
      <c r="DZ82" s="56">
        <v>0</v>
      </c>
      <c r="EA82" s="56">
        <v>0</v>
      </c>
      <c r="EB82" s="56">
        <v>0</v>
      </c>
      <c r="EC82" s="56">
        <v>0</v>
      </c>
      <c r="ED82" s="56">
        <v>0</v>
      </c>
      <c r="EE82" s="56">
        <v>0</v>
      </c>
      <c r="EF82" s="56">
        <v>0</v>
      </c>
      <c r="EG82" s="56">
        <v>0</v>
      </c>
      <c r="EH82" s="56">
        <v>30.53</v>
      </c>
      <c r="EI82" s="56">
        <v>0</v>
      </c>
      <c r="EJ82" s="56">
        <v>0</v>
      </c>
      <c r="EK82" s="56">
        <v>0</v>
      </c>
      <c r="EL82" s="56">
        <v>0</v>
      </c>
      <c r="EM82" s="56">
        <v>0</v>
      </c>
      <c r="EN82" s="56">
        <v>0</v>
      </c>
      <c r="EO82" s="56">
        <v>0</v>
      </c>
      <c r="EP82" s="56">
        <v>0</v>
      </c>
      <c r="EQ82" s="56">
        <v>0</v>
      </c>
      <c r="ER82" s="56">
        <v>0</v>
      </c>
      <c r="ES82" s="56">
        <v>0</v>
      </c>
      <c r="ET82" s="56">
        <v>0</v>
      </c>
      <c r="EU82" s="56">
        <v>0</v>
      </c>
      <c r="EV82" s="56">
        <v>0</v>
      </c>
      <c r="EW82" s="56">
        <v>0</v>
      </c>
      <c r="EX82" s="56">
        <v>0</v>
      </c>
      <c r="EY82" s="56">
        <v>0</v>
      </c>
      <c r="EZ82" s="56">
        <v>0</v>
      </c>
      <c r="FA82" s="56">
        <v>0</v>
      </c>
      <c r="FB82" s="56">
        <v>0</v>
      </c>
      <c r="FC82" s="58">
        <v>0</v>
      </c>
      <c r="FD82" s="56">
        <v>0</v>
      </c>
      <c r="FE82" s="56">
        <v>0</v>
      </c>
      <c r="FF82" s="56">
        <v>0</v>
      </c>
      <c r="FG82" s="56">
        <v>0</v>
      </c>
      <c r="FH82" s="56">
        <v>0</v>
      </c>
      <c r="FI82" s="56">
        <v>0</v>
      </c>
      <c r="FJ82" s="56">
        <v>0</v>
      </c>
      <c r="FK82" s="56">
        <v>0</v>
      </c>
      <c r="FL82" s="56">
        <v>0</v>
      </c>
      <c r="FM82" s="56">
        <v>0</v>
      </c>
      <c r="FN82" s="56">
        <v>0</v>
      </c>
      <c r="FO82" s="56">
        <v>0</v>
      </c>
      <c r="FP82" s="56">
        <v>0</v>
      </c>
      <c r="FQ82" s="56">
        <v>0</v>
      </c>
      <c r="FR82" s="56">
        <v>0</v>
      </c>
      <c r="FS82" s="58">
        <v>0</v>
      </c>
      <c r="FT82" s="56">
        <v>0</v>
      </c>
      <c r="FU82" s="56">
        <v>0</v>
      </c>
      <c r="FV82" s="56">
        <v>0</v>
      </c>
      <c r="FW82" s="56">
        <v>0</v>
      </c>
      <c r="FX82" s="56">
        <v>0</v>
      </c>
      <c r="FY82" s="56">
        <v>0</v>
      </c>
      <c r="FZ82" s="54" t="s">
        <v>1070</v>
      </c>
      <c r="GA82" s="54" t="s">
        <v>1071</v>
      </c>
      <c r="GB82" s="54" t="s">
        <v>1072</v>
      </c>
      <c r="GC82" s="54" t="s">
        <v>1073</v>
      </c>
      <c r="GD82" s="54" t="s">
        <v>1221</v>
      </c>
      <c r="GE82" s="54" t="s">
        <v>1201</v>
      </c>
      <c r="GF82" s="54"/>
      <c r="GG82" s="55"/>
      <c r="GH82" s="54"/>
      <c r="GI82" s="54"/>
      <c r="GJ82" s="54" t="s">
        <v>1076</v>
      </c>
      <c r="GK82" s="54" t="s">
        <v>1077</v>
      </c>
      <c r="GL82" s="54"/>
      <c r="GM82" s="54"/>
      <c r="GN82" s="54" t="s">
        <v>1208</v>
      </c>
      <c r="GO82" s="54" t="s">
        <v>1209</v>
      </c>
      <c r="GP82" s="54"/>
      <c r="GQ82" s="56">
        <v>0</v>
      </c>
      <c r="GR82" s="54" t="s">
        <v>1210</v>
      </c>
      <c r="GS82" s="54"/>
    </row>
    <row r="83" spans="1:201" x14ac:dyDescent="0.25">
      <c r="A83" s="54" t="s">
        <v>1032</v>
      </c>
      <c r="B83" s="54" t="s">
        <v>1033</v>
      </c>
      <c r="C83" s="54" t="s">
        <v>1197</v>
      </c>
      <c r="D83" s="54" t="s">
        <v>1035</v>
      </c>
      <c r="E83" s="54" t="s">
        <v>1036</v>
      </c>
      <c r="F83" s="55">
        <v>46175</v>
      </c>
      <c r="G83" s="55">
        <v>46175</v>
      </c>
      <c r="H83" s="54" t="s">
        <v>1037</v>
      </c>
      <c r="I83" s="54" t="s">
        <v>1038</v>
      </c>
      <c r="J83" s="54" t="s">
        <v>1039</v>
      </c>
      <c r="K83" s="55"/>
      <c r="L83" s="54" t="s">
        <v>1040</v>
      </c>
      <c r="M83" s="54"/>
      <c r="N83" s="54" t="s">
        <v>1198</v>
      </c>
      <c r="O83" s="54" t="s">
        <v>1114</v>
      </c>
      <c r="P83" s="54" t="s">
        <v>256</v>
      </c>
      <c r="Q83" s="54" t="s">
        <v>830</v>
      </c>
      <c r="R83" s="54" t="s">
        <v>1043</v>
      </c>
      <c r="S83" s="56">
        <v>256.8</v>
      </c>
      <c r="T83" s="56">
        <v>256.8</v>
      </c>
      <c r="U83" s="56">
        <v>0</v>
      </c>
      <c r="V83" s="56">
        <v>0</v>
      </c>
      <c r="W83" s="56">
        <v>0</v>
      </c>
      <c r="X83" s="56">
        <v>0</v>
      </c>
      <c r="Y83" s="56">
        <v>0</v>
      </c>
      <c r="Z83" s="56">
        <v>120</v>
      </c>
      <c r="AA83" s="56">
        <v>120</v>
      </c>
      <c r="AB83" s="59">
        <v>0</v>
      </c>
      <c r="AC83" s="56">
        <v>0</v>
      </c>
      <c r="AD83" s="56">
        <v>0</v>
      </c>
      <c r="AE83" s="56">
        <v>0</v>
      </c>
      <c r="AF83" s="54" t="s">
        <v>1199</v>
      </c>
      <c r="AG83" s="57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 t="s">
        <v>1045</v>
      </c>
      <c r="AS83" s="54" t="s">
        <v>1046</v>
      </c>
      <c r="AT83" s="54" t="s">
        <v>1047</v>
      </c>
      <c r="AU83" s="54" t="s">
        <v>1048</v>
      </c>
      <c r="AV83" s="54"/>
      <c r="AW83" s="55">
        <v>46189</v>
      </c>
      <c r="AX83" s="55">
        <v>46175</v>
      </c>
      <c r="AY83" s="55">
        <v>46175</v>
      </c>
      <c r="AZ83" s="55">
        <v>46176</v>
      </c>
      <c r="BA83" s="55">
        <v>46189</v>
      </c>
      <c r="BB83" s="56">
        <v>0</v>
      </c>
      <c r="BC83" s="56">
        <v>0</v>
      </c>
      <c r="BD83" s="56">
        <v>0</v>
      </c>
      <c r="BE83" s="56">
        <v>0</v>
      </c>
      <c r="BF83" s="56">
        <v>0</v>
      </c>
      <c r="BG83" s="56">
        <v>0</v>
      </c>
      <c r="BH83" s="56">
        <v>0</v>
      </c>
      <c r="BI83" s="56">
        <v>0</v>
      </c>
      <c r="BJ83" s="56">
        <v>0</v>
      </c>
      <c r="BK83" s="56">
        <v>0</v>
      </c>
      <c r="BL83" s="56">
        <v>0</v>
      </c>
      <c r="BM83" s="56">
        <v>0</v>
      </c>
      <c r="BN83" s="56">
        <v>0</v>
      </c>
      <c r="BO83" s="56">
        <v>0</v>
      </c>
      <c r="BP83" s="54" t="s">
        <v>1049</v>
      </c>
      <c r="BQ83" s="54" t="s">
        <v>1050</v>
      </c>
      <c r="BR83" s="54" t="s">
        <v>1049</v>
      </c>
      <c r="BS83" s="54" t="s">
        <v>1050</v>
      </c>
      <c r="BT83" s="54" t="s">
        <v>1051</v>
      </c>
      <c r="BU83" s="54" t="s">
        <v>1043</v>
      </c>
      <c r="BV83" s="58">
        <v>120</v>
      </c>
      <c r="BW83" s="54" t="s">
        <v>1052</v>
      </c>
      <c r="BX83" s="54" t="s">
        <v>1053</v>
      </c>
      <c r="BY83" s="54" t="s">
        <v>1054</v>
      </c>
      <c r="BZ83" s="54" t="s">
        <v>1055</v>
      </c>
      <c r="CA83" s="55"/>
      <c r="CB83" s="54" t="s">
        <v>1056</v>
      </c>
      <c r="CC83" s="54" t="s">
        <v>1057</v>
      </c>
      <c r="CD83" s="54" t="s">
        <v>1200</v>
      </c>
      <c r="CE83" s="54" t="s">
        <v>1201</v>
      </c>
      <c r="CF83" s="54" t="s">
        <v>1202</v>
      </c>
      <c r="CG83" s="54" t="s">
        <v>1203</v>
      </c>
      <c r="CH83" s="54" t="s">
        <v>1204</v>
      </c>
      <c r="CI83" s="54" t="s">
        <v>1203</v>
      </c>
      <c r="CJ83" s="54" t="s">
        <v>1064</v>
      </c>
      <c r="CK83" s="54" t="s">
        <v>1065</v>
      </c>
      <c r="CL83" s="54" t="s">
        <v>1205</v>
      </c>
      <c r="CM83" s="54" t="s">
        <v>1206</v>
      </c>
      <c r="CN83" s="54" t="s">
        <v>1068</v>
      </c>
      <c r="CO83" s="54" t="s">
        <v>1069</v>
      </c>
      <c r="CP83" s="56">
        <v>0</v>
      </c>
      <c r="CQ83" s="56">
        <v>0</v>
      </c>
      <c r="CR83" s="56">
        <v>0</v>
      </c>
      <c r="CS83" s="56">
        <v>0</v>
      </c>
      <c r="CT83" s="56">
        <v>0</v>
      </c>
      <c r="CU83" s="56">
        <v>0</v>
      </c>
      <c r="CV83" s="56">
        <v>0</v>
      </c>
      <c r="CW83" s="56">
        <v>0</v>
      </c>
      <c r="CX83" s="56">
        <v>0</v>
      </c>
      <c r="CY83" s="56">
        <v>0</v>
      </c>
      <c r="CZ83" s="56">
        <v>0</v>
      </c>
      <c r="DA83" s="56">
        <v>0</v>
      </c>
      <c r="DB83" s="56">
        <v>0</v>
      </c>
      <c r="DC83" s="56">
        <v>0</v>
      </c>
      <c r="DD83" s="56">
        <v>0</v>
      </c>
      <c r="DE83" s="56">
        <v>0</v>
      </c>
      <c r="DF83" s="56">
        <v>0</v>
      </c>
      <c r="DG83" s="56">
        <v>0</v>
      </c>
      <c r="DH83" s="56">
        <v>0</v>
      </c>
      <c r="DI83" s="56">
        <v>0</v>
      </c>
      <c r="DJ83" s="56">
        <v>0</v>
      </c>
      <c r="DK83" s="56">
        <v>0</v>
      </c>
      <c r="DL83" s="56">
        <v>0</v>
      </c>
      <c r="DM83" s="56">
        <v>0</v>
      </c>
      <c r="DN83" s="56">
        <v>0</v>
      </c>
      <c r="DO83" s="56">
        <v>0</v>
      </c>
      <c r="DP83" s="56">
        <v>0</v>
      </c>
      <c r="DQ83" s="56">
        <v>0</v>
      </c>
      <c r="DR83" s="56">
        <v>0</v>
      </c>
      <c r="DS83" s="56">
        <v>0</v>
      </c>
      <c r="DT83" s="56">
        <v>0</v>
      </c>
      <c r="DU83" s="56">
        <v>0</v>
      </c>
      <c r="DV83" s="56">
        <v>0</v>
      </c>
      <c r="DW83" s="56">
        <v>0</v>
      </c>
      <c r="DX83" s="56">
        <v>0</v>
      </c>
      <c r="DY83" s="56">
        <v>0</v>
      </c>
      <c r="DZ83" s="56">
        <v>0</v>
      </c>
      <c r="EA83" s="56">
        <v>0</v>
      </c>
      <c r="EB83" s="56">
        <v>0</v>
      </c>
      <c r="EC83" s="56">
        <v>0</v>
      </c>
      <c r="ED83" s="56">
        <v>0</v>
      </c>
      <c r="EE83" s="56">
        <v>0</v>
      </c>
      <c r="EF83" s="56">
        <v>0</v>
      </c>
      <c r="EG83" s="56">
        <v>0</v>
      </c>
      <c r="EH83" s="56">
        <v>30.82</v>
      </c>
      <c r="EI83" s="56">
        <v>0</v>
      </c>
      <c r="EJ83" s="56">
        <v>0</v>
      </c>
      <c r="EK83" s="56">
        <v>0</v>
      </c>
      <c r="EL83" s="56">
        <v>0</v>
      </c>
      <c r="EM83" s="56">
        <v>0</v>
      </c>
      <c r="EN83" s="56">
        <v>0</v>
      </c>
      <c r="EO83" s="56">
        <v>0</v>
      </c>
      <c r="EP83" s="56">
        <v>0</v>
      </c>
      <c r="EQ83" s="56">
        <v>0</v>
      </c>
      <c r="ER83" s="56">
        <v>0</v>
      </c>
      <c r="ES83" s="56">
        <v>0</v>
      </c>
      <c r="ET83" s="56">
        <v>0</v>
      </c>
      <c r="EU83" s="56">
        <v>0</v>
      </c>
      <c r="EV83" s="56">
        <v>0</v>
      </c>
      <c r="EW83" s="56">
        <v>0</v>
      </c>
      <c r="EX83" s="56">
        <v>0</v>
      </c>
      <c r="EY83" s="56">
        <v>0</v>
      </c>
      <c r="EZ83" s="56">
        <v>0</v>
      </c>
      <c r="FA83" s="56">
        <v>0</v>
      </c>
      <c r="FB83" s="56">
        <v>0</v>
      </c>
      <c r="FC83" s="58">
        <v>0</v>
      </c>
      <c r="FD83" s="56">
        <v>0</v>
      </c>
      <c r="FE83" s="56">
        <v>0</v>
      </c>
      <c r="FF83" s="56">
        <v>0</v>
      </c>
      <c r="FG83" s="56">
        <v>0</v>
      </c>
      <c r="FH83" s="56">
        <v>0</v>
      </c>
      <c r="FI83" s="56">
        <v>0</v>
      </c>
      <c r="FJ83" s="56">
        <v>0</v>
      </c>
      <c r="FK83" s="56">
        <v>0</v>
      </c>
      <c r="FL83" s="56">
        <v>0</v>
      </c>
      <c r="FM83" s="56">
        <v>0</v>
      </c>
      <c r="FN83" s="56">
        <v>0</v>
      </c>
      <c r="FO83" s="56">
        <v>0</v>
      </c>
      <c r="FP83" s="56">
        <v>0</v>
      </c>
      <c r="FQ83" s="56">
        <v>0</v>
      </c>
      <c r="FR83" s="56">
        <v>0</v>
      </c>
      <c r="FS83" s="58">
        <v>0</v>
      </c>
      <c r="FT83" s="56">
        <v>0</v>
      </c>
      <c r="FU83" s="56">
        <v>0</v>
      </c>
      <c r="FV83" s="56">
        <v>0</v>
      </c>
      <c r="FW83" s="56">
        <v>0</v>
      </c>
      <c r="FX83" s="56">
        <v>0</v>
      </c>
      <c r="FY83" s="56">
        <v>0</v>
      </c>
      <c r="FZ83" s="54" t="s">
        <v>1070</v>
      </c>
      <c r="GA83" s="54" t="s">
        <v>1071</v>
      </c>
      <c r="GB83" s="54" t="s">
        <v>1072</v>
      </c>
      <c r="GC83" s="54" t="s">
        <v>1073</v>
      </c>
      <c r="GD83" s="54" t="s">
        <v>1222</v>
      </c>
      <c r="GE83" s="54" t="s">
        <v>1201</v>
      </c>
      <c r="GF83" s="54"/>
      <c r="GG83" s="55"/>
      <c r="GH83" s="54"/>
      <c r="GI83" s="54"/>
      <c r="GJ83" s="54" t="s">
        <v>1076</v>
      </c>
      <c r="GK83" s="54" t="s">
        <v>1077</v>
      </c>
      <c r="GL83" s="54"/>
      <c r="GM83" s="54"/>
      <c r="GN83" s="54" t="s">
        <v>1208</v>
      </c>
      <c r="GO83" s="54" t="s">
        <v>1209</v>
      </c>
      <c r="GP83" s="54"/>
      <c r="GQ83" s="56">
        <v>0</v>
      </c>
      <c r="GR83" s="54" t="s">
        <v>1210</v>
      </c>
      <c r="GS83" s="54"/>
    </row>
    <row r="84" spans="1:201" x14ac:dyDescent="0.25">
      <c r="A84" s="54" t="s">
        <v>1032</v>
      </c>
      <c r="B84" s="54" t="s">
        <v>1033</v>
      </c>
      <c r="C84" s="54" t="s">
        <v>1197</v>
      </c>
      <c r="D84" s="54" t="s">
        <v>1035</v>
      </c>
      <c r="E84" s="54" t="s">
        <v>1036</v>
      </c>
      <c r="F84" s="55">
        <v>46175</v>
      </c>
      <c r="G84" s="55">
        <v>46175</v>
      </c>
      <c r="H84" s="54" t="s">
        <v>1037</v>
      </c>
      <c r="I84" s="54" t="s">
        <v>1038</v>
      </c>
      <c r="J84" s="54" t="s">
        <v>1039</v>
      </c>
      <c r="K84" s="55"/>
      <c r="L84" s="54" t="s">
        <v>1040</v>
      </c>
      <c r="M84" s="54"/>
      <c r="N84" s="54" t="s">
        <v>1198</v>
      </c>
      <c r="O84" s="54" t="s">
        <v>1115</v>
      </c>
      <c r="P84" s="54" t="s">
        <v>814</v>
      </c>
      <c r="Q84" s="54" t="s">
        <v>817</v>
      </c>
      <c r="R84" s="54" t="s">
        <v>1043</v>
      </c>
      <c r="S84" s="56">
        <v>312.60000000000002</v>
      </c>
      <c r="T84" s="56">
        <v>312.60000000000002</v>
      </c>
      <c r="U84" s="56">
        <v>0</v>
      </c>
      <c r="V84" s="56">
        <v>0</v>
      </c>
      <c r="W84" s="56">
        <v>0</v>
      </c>
      <c r="X84" s="56">
        <v>0</v>
      </c>
      <c r="Y84" s="56">
        <v>0</v>
      </c>
      <c r="Z84" s="56">
        <v>60</v>
      </c>
      <c r="AA84" s="56">
        <v>60</v>
      </c>
      <c r="AB84" s="59">
        <v>0</v>
      </c>
      <c r="AC84" s="56">
        <v>0</v>
      </c>
      <c r="AD84" s="56">
        <v>0</v>
      </c>
      <c r="AE84" s="56">
        <v>0</v>
      </c>
      <c r="AF84" s="54" t="s">
        <v>1199</v>
      </c>
      <c r="AG84" s="57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 t="s">
        <v>1045</v>
      </c>
      <c r="AS84" s="54" t="s">
        <v>1081</v>
      </c>
      <c r="AT84" s="54" t="s">
        <v>1082</v>
      </c>
      <c r="AU84" s="54" t="s">
        <v>1048</v>
      </c>
      <c r="AV84" s="54"/>
      <c r="AW84" s="55">
        <v>46189</v>
      </c>
      <c r="AX84" s="55">
        <v>46175</v>
      </c>
      <c r="AY84" s="55">
        <v>46175</v>
      </c>
      <c r="AZ84" s="55">
        <v>46176</v>
      </c>
      <c r="BA84" s="55">
        <v>46189</v>
      </c>
      <c r="BB84" s="56">
        <v>0</v>
      </c>
      <c r="BC84" s="56">
        <v>0</v>
      </c>
      <c r="BD84" s="56">
        <v>0</v>
      </c>
      <c r="BE84" s="56">
        <v>0</v>
      </c>
      <c r="BF84" s="56">
        <v>0</v>
      </c>
      <c r="BG84" s="56">
        <v>0</v>
      </c>
      <c r="BH84" s="56">
        <v>0</v>
      </c>
      <c r="BI84" s="56">
        <v>0</v>
      </c>
      <c r="BJ84" s="56">
        <v>0</v>
      </c>
      <c r="BK84" s="56">
        <v>0</v>
      </c>
      <c r="BL84" s="56">
        <v>0</v>
      </c>
      <c r="BM84" s="56">
        <v>0</v>
      </c>
      <c r="BN84" s="56">
        <v>0</v>
      </c>
      <c r="BO84" s="56">
        <v>0</v>
      </c>
      <c r="BP84" s="54" t="s">
        <v>1049</v>
      </c>
      <c r="BQ84" s="54" t="s">
        <v>1050</v>
      </c>
      <c r="BR84" s="54" t="s">
        <v>1049</v>
      </c>
      <c r="BS84" s="54" t="s">
        <v>1050</v>
      </c>
      <c r="BT84" s="54" t="s">
        <v>1051</v>
      </c>
      <c r="BU84" s="54" t="s">
        <v>1043</v>
      </c>
      <c r="BV84" s="58">
        <v>60</v>
      </c>
      <c r="BW84" s="54" t="s">
        <v>1052</v>
      </c>
      <c r="BX84" s="54" t="s">
        <v>1053</v>
      </c>
      <c r="BY84" s="54" t="s">
        <v>1054</v>
      </c>
      <c r="BZ84" s="54" t="s">
        <v>1055</v>
      </c>
      <c r="CA84" s="55"/>
      <c r="CB84" s="54" t="s">
        <v>1056</v>
      </c>
      <c r="CC84" s="54" t="s">
        <v>1057</v>
      </c>
      <c r="CD84" s="54" t="s">
        <v>1200</v>
      </c>
      <c r="CE84" s="54" t="s">
        <v>1201</v>
      </c>
      <c r="CF84" s="54" t="s">
        <v>1202</v>
      </c>
      <c r="CG84" s="54" t="s">
        <v>1203</v>
      </c>
      <c r="CH84" s="54" t="s">
        <v>1204</v>
      </c>
      <c r="CI84" s="54" t="s">
        <v>1203</v>
      </c>
      <c r="CJ84" s="54" t="s">
        <v>1064</v>
      </c>
      <c r="CK84" s="54" t="s">
        <v>1065</v>
      </c>
      <c r="CL84" s="54" t="s">
        <v>1205</v>
      </c>
      <c r="CM84" s="54" t="s">
        <v>1206</v>
      </c>
      <c r="CN84" s="54" t="s">
        <v>1068</v>
      </c>
      <c r="CO84" s="54" t="s">
        <v>1069</v>
      </c>
      <c r="CP84" s="56">
        <v>0</v>
      </c>
      <c r="CQ84" s="56">
        <v>0</v>
      </c>
      <c r="CR84" s="56">
        <v>0</v>
      </c>
      <c r="CS84" s="56">
        <v>0</v>
      </c>
      <c r="CT84" s="56">
        <v>0</v>
      </c>
      <c r="CU84" s="56">
        <v>0</v>
      </c>
      <c r="CV84" s="56">
        <v>0</v>
      </c>
      <c r="CW84" s="56">
        <v>0</v>
      </c>
      <c r="CX84" s="56">
        <v>0</v>
      </c>
      <c r="CY84" s="56">
        <v>0</v>
      </c>
      <c r="CZ84" s="56">
        <v>0</v>
      </c>
      <c r="DA84" s="56">
        <v>0</v>
      </c>
      <c r="DB84" s="56">
        <v>0</v>
      </c>
      <c r="DC84" s="56">
        <v>0</v>
      </c>
      <c r="DD84" s="56">
        <v>0</v>
      </c>
      <c r="DE84" s="56">
        <v>0</v>
      </c>
      <c r="DF84" s="56">
        <v>0</v>
      </c>
      <c r="DG84" s="56">
        <v>0</v>
      </c>
      <c r="DH84" s="56">
        <v>0</v>
      </c>
      <c r="DI84" s="56">
        <v>0</v>
      </c>
      <c r="DJ84" s="56">
        <v>0</v>
      </c>
      <c r="DK84" s="56">
        <v>0</v>
      </c>
      <c r="DL84" s="56">
        <v>0</v>
      </c>
      <c r="DM84" s="56">
        <v>0</v>
      </c>
      <c r="DN84" s="56">
        <v>0</v>
      </c>
      <c r="DO84" s="56">
        <v>0</v>
      </c>
      <c r="DP84" s="56">
        <v>0</v>
      </c>
      <c r="DQ84" s="56">
        <v>0</v>
      </c>
      <c r="DR84" s="56">
        <v>0</v>
      </c>
      <c r="DS84" s="56">
        <v>0</v>
      </c>
      <c r="DT84" s="56">
        <v>0</v>
      </c>
      <c r="DU84" s="56">
        <v>0</v>
      </c>
      <c r="DV84" s="56">
        <v>0</v>
      </c>
      <c r="DW84" s="56">
        <v>0</v>
      </c>
      <c r="DX84" s="56">
        <v>0</v>
      </c>
      <c r="DY84" s="56">
        <v>0</v>
      </c>
      <c r="DZ84" s="56">
        <v>0</v>
      </c>
      <c r="EA84" s="56">
        <v>0</v>
      </c>
      <c r="EB84" s="56">
        <v>0</v>
      </c>
      <c r="EC84" s="56">
        <v>0</v>
      </c>
      <c r="ED84" s="56">
        <v>0</v>
      </c>
      <c r="EE84" s="56">
        <v>0</v>
      </c>
      <c r="EF84" s="56">
        <v>0</v>
      </c>
      <c r="EG84" s="56">
        <v>0</v>
      </c>
      <c r="EH84" s="56">
        <v>37.51</v>
      </c>
      <c r="EI84" s="56">
        <v>0</v>
      </c>
      <c r="EJ84" s="56">
        <v>0</v>
      </c>
      <c r="EK84" s="56">
        <v>0</v>
      </c>
      <c r="EL84" s="56">
        <v>0</v>
      </c>
      <c r="EM84" s="56">
        <v>0</v>
      </c>
      <c r="EN84" s="56">
        <v>0</v>
      </c>
      <c r="EO84" s="56">
        <v>0</v>
      </c>
      <c r="EP84" s="56">
        <v>0</v>
      </c>
      <c r="EQ84" s="56">
        <v>0</v>
      </c>
      <c r="ER84" s="56">
        <v>0</v>
      </c>
      <c r="ES84" s="56">
        <v>0</v>
      </c>
      <c r="ET84" s="56">
        <v>0</v>
      </c>
      <c r="EU84" s="56">
        <v>0</v>
      </c>
      <c r="EV84" s="56">
        <v>0</v>
      </c>
      <c r="EW84" s="56">
        <v>0</v>
      </c>
      <c r="EX84" s="56">
        <v>0</v>
      </c>
      <c r="EY84" s="56">
        <v>0</v>
      </c>
      <c r="EZ84" s="56">
        <v>0</v>
      </c>
      <c r="FA84" s="56">
        <v>0</v>
      </c>
      <c r="FB84" s="56">
        <v>0</v>
      </c>
      <c r="FC84" s="58">
        <v>0</v>
      </c>
      <c r="FD84" s="56">
        <v>0</v>
      </c>
      <c r="FE84" s="56">
        <v>0</v>
      </c>
      <c r="FF84" s="56">
        <v>0</v>
      </c>
      <c r="FG84" s="56">
        <v>0</v>
      </c>
      <c r="FH84" s="56">
        <v>0</v>
      </c>
      <c r="FI84" s="56">
        <v>0</v>
      </c>
      <c r="FJ84" s="56">
        <v>0</v>
      </c>
      <c r="FK84" s="56">
        <v>0</v>
      </c>
      <c r="FL84" s="56">
        <v>0</v>
      </c>
      <c r="FM84" s="56">
        <v>0</v>
      </c>
      <c r="FN84" s="56">
        <v>0</v>
      </c>
      <c r="FO84" s="56">
        <v>0</v>
      </c>
      <c r="FP84" s="56">
        <v>0</v>
      </c>
      <c r="FQ84" s="56">
        <v>0</v>
      </c>
      <c r="FR84" s="56">
        <v>0</v>
      </c>
      <c r="FS84" s="58">
        <v>0</v>
      </c>
      <c r="FT84" s="56">
        <v>0</v>
      </c>
      <c r="FU84" s="56">
        <v>0</v>
      </c>
      <c r="FV84" s="56">
        <v>0</v>
      </c>
      <c r="FW84" s="56">
        <v>0</v>
      </c>
      <c r="FX84" s="56">
        <v>0</v>
      </c>
      <c r="FY84" s="56">
        <v>0</v>
      </c>
      <c r="FZ84" s="54" t="s">
        <v>1083</v>
      </c>
      <c r="GA84" s="54" t="s">
        <v>1084</v>
      </c>
      <c r="GB84" s="54" t="s">
        <v>1072</v>
      </c>
      <c r="GC84" s="54" t="s">
        <v>1073</v>
      </c>
      <c r="GD84" s="54"/>
      <c r="GE84" s="54"/>
      <c r="GF84" s="54"/>
      <c r="GG84" s="55"/>
      <c r="GH84" s="54"/>
      <c r="GI84" s="54"/>
      <c r="GJ84" s="54" t="s">
        <v>1076</v>
      </c>
      <c r="GK84" s="54" t="s">
        <v>1077</v>
      </c>
      <c r="GL84" s="54"/>
      <c r="GM84" s="54"/>
      <c r="GN84" s="54" t="s">
        <v>1208</v>
      </c>
      <c r="GO84" s="54" t="s">
        <v>1209</v>
      </c>
      <c r="GP84" s="54"/>
      <c r="GQ84" s="56">
        <v>0</v>
      </c>
      <c r="GR84" s="54" t="s">
        <v>1210</v>
      </c>
      <c r="GS84" s="54"/>
    </row>
    <row r="85" spans="1:201" x14ac:dyDescent="0.25">
      <c r="A85" s="54" t="s">
        <v>1032</v>
      </c>
      <c r="B85" s="54" t="s">
        <v>1033</v>
      </c>
      <c r="C85" s="54" t="s">
        <v>1197</v>
      </c>
      <c r="D85" s="54" t="s">
        <v>1035</v>
      </c>
      <c r="E85" s="54" t="s">
        <v>1036</v>
      </c>
      <c r="F85" s="55">
        <v>46175</v>
      </c>
      <c r="G85" s="55">
        <v>46175</v>
      </c>
      <c r="H85" s="54" t="s">
        <v>1037</v>
      </c>
      <c r="I85" s="54" t="s">
        <v>1038</v>
      </c>
      <c r="J85" s="54" t="s">
        <v>1039</v>
      </c>
      <c r="K85" s="55"/>
      <c r="L85" s="54" t="s">
        <v>1040</v>
      </c>
      <c r="M85" s="54"/>
      <c r="N85" s="54" t="s">
        <v>1198</v>
      </c>
      <c r="O85" s="54" t="s">
        <v>1116</v>
      </c>
      <c r="P85" s="54" t="s">
        <v>258</v>
      </c>
      <c r="Q85" s="54" t="s">
        <v>101</v>
      </c>
      <c r="R85" s="54" t="s">
        <v>1043</v>
      </c>
      <c r="S85" s="56">
        <v>373.2</v>
      </c>
      <c r="T85" s="56">
        <v>0</v>
      </c>
      <c r="U85" s="56">
        <v>373.2</v>
      </c>
      <c r="V85" s="56">
        <v>0</v>
      </c>
      <c r="W85" s="56">
        <v>0</v>
      </c>
      <c r="X85" s="56">
        <v>0</v>
      </c>
      <c r="Y85" s="56">
        <v>0</v>
      </c>
      <c r="Z85" s="56">
        <v>60</v>
      </c>
      <c r="AA85" s="56">
        <v>0</v>
      </c>
      <c r="AB85" s="59">
        <v>60</v>
      </c>
      <c r="AC85" s="56">
        <v>0</v>
      </c>
      <c r="AD85" s="56">
        <v>0</v>
      </c>
      <c r="AE85" s="56">
        <v>0</v>
      </c>
      <c r="AF85" s="54" t="s">
        <v>1199</v>
      </c>
      <c r="AG85" s="57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 t="s">
        <v>1045</v>
      </c>
      <c r="AS85" s="54" t="s">
        <v>1081</v>
      </c>
      <c r="AT85" s="54" t="s">
        <v>1082</v>
      </c>
      <c r="AU85" s="54" t="s">
        <v>1048</v>
      </c>
      <c r="AV85" s="54"/>
      <c r="AW85" s="55">
        <v>46189</v>
      </c>
      <c r="AX85" s="55">
        <v>46175</v>
      </c>
      <c r="AY85" s="55">
        <v>46175</v>
      </c>
      <c r="AZ85" s="55"/>
      <c r="BA85" s="55">
        <v>46189</v>
      </c>
      <c r="BB85" s="56">
        <v>0</v>
      </c>
      <c r="BC85" s="56">
        <v>0</v>
      </c>
      <c r="BD85" s="56">
        <v>0</v>
      </c>
      <c r="BE85" s="56">
        <v>0</v>
      </c>
      <c r="BF85" s="56">
        <v>0</v>
      </c>
      <c r="BG85" s="56">
        <v>0</v>
      </c>
      <c r="BH85" s="56">
        <v>0</v>
      </c>
      <c r="BI85" s="56">
        <v>0</v>
      </c>
      <c r="BJ85" s="56">
        <v>0</v>
      </c>
      <c r="BK85" s="56">
        <v>0</v>
      </c>
      <c r="BL85" s="56">
        <v>0</v>
      </c>
      <c r="BM85" s="56">
        <v>0</v>
      </c>
      <c r="BN85" s="56">
        <v>0</v>
      </c>
      <c r="BO85" s="56">
        <v>0</v>
      </c>
      <c r="BP85" s="54" t="s">
        <v>1049</v>
      </c>
      <c r="BQ85" s="54" t="s">
        <v>1050</v>
      </c>
      <c r="BR85" s="54" t="s">
        <v>1049</v>
      </c>
      <c r="BS85" s="54" t="s">
        <v>1050</v>
      </c>
      <c r="BT85" s="54" t="s">
        <v>1051</v>
      </c>
      <c r="BU85" s="54" t="s">
        <v>1043</v>
      </c>
      <c r="BV85" s="58">
        <v>0</v>
      </c>
      <c r="BW85" s="54" t="s">
        <v>1052</v>
      </c>
      <c r="BX85" s="54" t="s">
        <v>1053</v>
      </c>
      <c r="BY85" s="54" t="s">
        <v>1054</v>
      </c>
      <c r="BZ85" s="54" t="s">
        <v>1055</v>
      </c>
      <c r="CA85" s="55"/>
      <c r="CB85" s="54" t="s">
        <v>1056</v>
      </c>
      <c r="CC85" s="54" t="s">
        <v>1057</v>
      </c>
      <c r="CD85" s="54" t="s">
        <v>1200</v>
      </c>
      <c r="CE85" s="54" t="s">
        <v>1201</v>
      </c>
      <c r="CF85" s="54" t="s">
        <v>1202</v>
      </c>
      <c r="CG85" s="54" t="s">
        <v>1203</v>
      </c>
      <c r="CH85" s="54" t="s">
        <v>1204</v>
      </c>
      <c r="CI85" s="54" t="s">
        <v>1203</v>
      </c>
      <c r="CJ85" s="54" t="s">
        <v>1064</v>
      </c>
      <c r="CK85" s="54" t="s">
        <v>1065</v>
      </c>
      <c r="CL85" s="54" t="s">
        <v>1205</v>
      </c>
      <c r="CM85" s="54" t="s">
        <v>1206</v>
      </c>
      <c r="CN85" s="54" t="s">
        <v>1068</v>
      </c>
      <c r="CO85" s="54" t="s">
        <v>1069</v>
      </c>
      <c r="CP85" s="56">
        <v>0</v>
      </c>
      <c r="CQ85" s="56">
        <v>0</v>
      </c>
      <c r="CR85" s="56">
        <v>0</v>
      </c>
      <c r="CS85" s="56">
        <v>0</v>
      </c>
      <c r="CT85" s="56">
        <v>0</v>
      </c>
      <c r="CU85" s="56">
        <v>0</v>
      </c>
      <c r="CV85" s="56">
        <v>0</v>
      </c>
      <c r="CW85" s="56">
        <v>0</v>
      </c>
      <c r="CX85" s="56">
        <v>0</v>
      </c>
      <c r="CY85" s="56">
        <v>0</v>
      </c>
      <c r="CZ85" s="56">
        <v>0</v>
      </c>
      <c r="DA85" s="56">
        <v>0</v>
      </c>
      <c r="DB85" s="56">
        <v>0</v>
      </c>
      <c r="DC85" s="56">
        <v>0</v>
      </c>
      <c r="DD85" s="56">
        <v>0</v>
      </c>
      <c r="DE85" s="56">
        <v>0</v>
      </c>
      <c r="DF85" s="56">
        <v>0</v>
      </c>
      <c r="DG85" s="56">
        <v>0</v>
      </c>
      <c r="DH85" s="56">
        <v>0</v>
      </c>
      <c r="DI85" s="56">
        <v>0</v>
      </c>
      <c r="DJ85" s="56">
        <v>0</v>
      </c>
      <c r="DK85" s="56">
        <v>0</v>
      </c>
      <c r="DL85" s="56">
        <v>0</v>
      </c>
      <c r="DM85" s="56">
        <v>0</v>
      </c>
      <c r="DN85" s="56">
        <v>0</v>
      </c>
      <c r="DO85" s="56">
        <v>0</v>
      </c>
      <c r="DP85" s="56">
        <v>0</v>
      </c>
      <c r="DQ85" s="56">
        <v>0</v>
      </c>
      <c r="DR85" s="56">
        <v>0</v>
      </c>
      <c r="DS85" s="56">
        <v>0</v>
      </c>
      <c r="DT85" s="56">
        <v>0</v>
      </c>
      <c r="DU85" s="56">
        <v>0</v>
      </c>
      <c r="DV85" s="56">
        <v>0</v>
      </c>
      <c r="DW85" s="56">
        <v>0</v>
      </c>
      <c r="DX85" s="56">
        <v>0</v>
      </c>
      <c r="DY85" s="56">
        <v>0</v>
      </c>
      <c r="DZ85" s="56">
        <v>0</v>
      </c>
      <c r="EA85" s="56">
        <v>0</v>
      </c>
      <c r="EB85" s="56">
        <v>0</v>
      </c>
      <c r="EC85" s="56">
        <v>44.78</v>
      </c>
      <c r="ED85" s="56">
        <v>0</v>
      </c>
      <c r="EE85" s="56">
        <v>0</v>
      </c>
      <c r="EF85" s="56">
        <v>0</v>
      </c>
      <c r="EG85" s="56">
        <v>0</v>
      </c>
      <c r="EH85" s="56">
        <v>44.78</v>
      </c>
      <c r="EI85" s="56">
        <v>0</v>
      </c>
      <c r="EJ85" s="56">
        <v>0</v>
      </c>
      <c r="EK85" s="56">
        <v>0</v>
      </c>
      <c r="EL85" s="56">
        <v>0</v>
      </c>
      <c r="EM85" s="56">
        <v>0</v>
      </c>
      <c r="EN85" s="56">
        <v>0</v>
      </c>
      <c r="EO85" s="56">
        <v>0</v>
      </c>
      <c r="EP85" s="56">
        <v>373.2</v>
      </c>
      <c r="EQ85" s="56">
        <v>0</v>
      </c>
      <c r="ER85" s="56">
        <v>0</v>
      </c>
      <c r="ES85" s="56">
        <v>60</v>
      </c>
      <c r="ET85" s="56">
        <v>0</v>
      </c>
      <c r="EU85" s="56">
        <v>0</v>
      </c>
      <c r="EV85" s="56">
        <v>0</v>
      </c>
      <c r="EW85" s="56">
        <v>0</v>
      </c>
      <c r="EX85" s="56">
        <v>0</v>
      </c>
      <c r="EY85" s="56">
        <v>0</v>
      </c>
      <c r="EZ85" s="56">
        <v>0</v>
      </c>
      <c r="FA85" s="56">
        <v>0</v>
      </c>
      <c r="FB85" s="56">
        <v>0</v>
      </c>
      <c r="FC85" s="58">
        <v>0</v>
      </c>
      <c r="FD85" s="56">
        <v>0</v>
      </c>
      <c r="FE85" s="56">
        <v>0</v>
      </c>
      <c r="FF85" s="56">
        <v>0</v>
      </c>
      <c r="FG85" s="56">
        <v>0</v>
      </c>
      <c r="FH85" s="56">
        <v>0</v>
      </c>
      <c r="FI85" s="56">
        <v>0</v>
      </c>
      <c r="FJ85" s="56">
        <v>0</v>
      </c>
      <c r="FK85" s="56">
        <v>0</v>
      </c>
      <c r="FL85" s="56">
        <v>0</v>
      </c>
      <c r="FM85" s="56">
        <v>0</v>
      </c>
      <c r="FN85" s="56">
        <v>0</v>
      </c>
      <c r="FO85" s="56">
        <v>0</v>
      </c>
      <c r="FP85" s="56">
        <v>0</v>
      </c>
      <c r="FQ85" s="56">
        <v>0</v>
      </c>
      <c r="FR85" s="56">
        <v>0</v>
      </c>
      <c r="FS85" s="58">
        <v>0</v>
      </c>
      <c r="FT85" s="56">
        <v>0</v>
      </c>
      <c r="FU85" s="56">
        <v>0</v>
      </c>
      <c r="FV85" s="56">
        <v>0</v>
      </c>
      <c r="FW85" s="56">
        <v>0</v>
      </c>
      <c r="FX85" s="56">
        <v>0</v>
      </c>
      <c r="FY85" s="56">
        <v>0</v>
      </c>
      <c r="FZ85" s="54" t="s">
        <v>1083</v>
      </c>
      <c r="GA85" s="54" t="s">
        <v>1084</v>
      </c>
      <c r="GB85" s="54" t="s">
        <v>1072</v>
      </c>
      <c r="GC85" s="54" t="s">
        <v>1073</v>
      </c>
      <c r="GD85" s="54" t="s">
        <v>1223</v>
      </c>
      <c r="GE85" s="54" t="s">
        <v>1201</v>
      </c>
      <c r="GF85" s="54" t="s">
        <v>1224</v>
      </c>
      <c r="GG85" s="55">
        <v>46205</v>
      </c>
      <c r="GH85" s="54"/>
      <c r="GI85" s="54"/>
      <c r="GJ85" s="54" t="s">
        <v>1076</v>
      </c>
      <c r="GK85" s="54" t="s">
        <v>1077</v>
      </c>
      <c r="GL85" s="54"/>
      <c r="GM85" s="54"/>
      <c r="GN85" s="54" t="s">
        <v>1208</v>
      </c>
      <c r="GO85" s="54" t="s">
        <v>1209</v>
      </c>
      <c r="GP85" s="54"/>
      <c r="GQ85" s="56">
        <v>0</v>
      </c>
      <c r="GR85" s="54" t="s">
        <v>1210</v>
      </c>
      <c r="GS85" s="54" t="s">
        <v>1101</v>
      </c>
    </row>
    <row r="86" spans="1:201" x14ac:dyDescent="0.25">
      <c r="A86" s="54" t="s">
        <v>1032</v>
      </c>
      <c r="B86" s="54" t="s">
        <v>1033</v>
      </c>
      <c r="C86" s="54" t="s">
        <v>1197</v>
      </c>
      <c r="D86" s="54" t="s">
        <v>1035</v>
      </c>
      <c r="E86" s="54" t="s">
        <v>1036</v>
      </c>
      <c r="F86" s="55">
        <v>46175</v>
      </c>
      <c r="G86" s="55">
        <v>46175</v>
      </c>
      <c r="H86" s="54" t="s">
        <v>1037</v>
      </c>
      <c r="I86" s="54" t="s">
        <v>1038</v>
      </c>
      <c r="J86" s="54" t="s">
        <v>1039</v>
      </c>
      <c r="K86" s="55"/>
      <c r="L86" s="54" t="s">
        <v>1040</v>
      </c>
      <c r="M86" s="54"/>
      <c r="N86" s="54" t="s">
        <v>1198</v>
      </c>
      <c r="O86" s="54" t="s">
        <v>1117</v>
      </c>
      <c r="P86" s="54" t="s">
        <v>558</v>
      </c>
      <c r="Q86" s="54" t="s">
        <v>560</v>
      </c>
      <c r="R86" s="54" t="s">
        <v>1043</v>
      </c>
      <c r="S86" s="56">
        <v>1178.4000000000001</v>
      </c>
      <c r="T86" s="56">
        <v>1178.4000000000001</v>
      </c>
      <c r="U86" s="56">
        <v>0</v>
      </c>
      <c r="V86" s="56">
        <v>0</v>
      </c>
      <c r="W86" s="56">
        <v>0</v>
      </c>
      <c r="X86" s="56">
        <v>0</v>
      </c>
      <c r="Y86" s="56">
        <v>0</v>
      </c>
      <c r="Z86" s="56">
        <v>120</v>
      </c>
      <c r="AA86" s="56">
        <v>120</v>
      </c>
      <c r="AB86" s="59">
        <v>0</v>
      </c>
      <c r="AC86" s="56">
        <v>0</v>
      </c>
      <c r="AD86" s="56">
        <v>0</v>
      </c>
      <c r="AE86" s="56">
        <v>0</v>
      </c>
      <c r="AF86" s="54" t="s">
        <v>1199</v>
      </c>
      <c r="AG86" s="57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 t="s">
        <v>1045</v>
      </c>
      <c r="AS86" s="54" t="s">
        <v>1081</v>
      </c>
      <c r="AT86" s="54" t="s">
        <v>1082</v>
      </c>
      <c r="AU86" s="54" t="s">
        <v>1048</v>
      </c>
      <c r="AV86" s="54"/>
      <c r="AW86" s="55">
        <v>46189</v>
      </c>
      <c r="AX86" s="55">
        <v>46175</v>
      </c>
      <c r="AY86" s="55">
        <v>46175</v>
      </c>
      <c r="AZ86" s="55"/>
      <c r="BA86" s="55">
        <v>46189</v>
      </c>
      <c r="BB86" s="56">
        <v>0</v>
      </c>
      <c r="BC86" s="56">
        <v>0</v>
      </c>
      <c r="BD86" s="56">
        <v>0</v>
      </c>
      <c r="BE86" s="56">
        <v>0</v>
      </c>
      <c r="BF86" s="56">
        <v>0</v>
      </c>
      <c r="BG86" s="56">
        <v>0</v>
      </c>
      <c r="BH86" s="56">
        <v>0</v>
      </c>
      <c r="BI86" s="56">
        <v>0</v>
      </c>
      <c r="BJ86" s="56">
        <v>0</v>
      </c>
      <c r="BK86" s="56">
        <v>0</v>
      </c>
      <c r="BL86" s="56">
        <v>0</v>
      </c>
      <c r="BM86" s="56">
        <v>0</v>
      </c>
      <c r="BN86" s="56">
        <v>0</v>
      </c>
      <c r="BO86" s="56">
        <v>0</v>
      </c>
      <c r="BP86" s="54" t="s">
        <v>1049</v>
      </c>
      <c r="BQ86" s="54" t="s">
        <v>1050</v>
      </c>
      <c r="BR86" s="54" t="s">
        <v>1049</v>
      </c>
      <c r="BS86" s="54" t="s">
        <v>1050</v>
      </c>
      <c r="BT86" s="54" t="s">
        <v>1051</v>
      </c>
      <c r="BU86" s="54" t="s">
        <v>1043</v>
      </c>
      <c r="BV86" s="58">
        <v>120</v>
      </c>
      <c r="BW86" s="54" t="s">
        <v>1052</v>
      </c>
      <c r="BX86" s="54" t="s">
        <v>1053</v>
      </c>
      <c r="BY86" s="54" t="s">
        <v>1054</v>
      </c>
      <c r="BZ86" s="54" t="s">
        <v>1055</v>
      </c>
      <c r="CA86" s="55"/>
      <c r="CB86" s="54" t="s">
        <v>1056</v>
      </c>
      <c r="CC86" s="54" t="s">
        <v>1057</v>
      </c>
      <c r="CD86" s="54" t="s">
        <v>1200</v>
      </c>
      <c r="CE86" s="54" t="s">
        <v>1201</v>
      </c>
      <c r="CF86" s="54" t="s">
        <v>1202</v>
      </c>
      <c r="CG86" s="54" t="s">
        <v>1203</v>
      </c>
      <c r="CH86" s="54" t="s">
        <v>1204</v>
      </c>
      <c r="CI86" s="54" t="s">
        <v>1203</v>
      </c>
      <c r="CJ86" s="54" t="s">
        <v>1064</v>
      </c>
      <c r="CK86" s="54" t="s">
        <v>1065</v>
      </c>
      <c r="CL86" s="54" t="s">
        <v>1205</v>
      </c>
      <c r="CM86" s="54" t="s">
        <v>1206</v>
      </c>
      <c r="CN86" s="54" t="s">
        <v>1068</v>
      </c>
      <c r="CO86" s="54" t="s">
        <v>1069</v>
      </c>
      <c r="CP86" s="56">
        <v>0</v>
      </c>
      <c r="CQ86" s="56">
        <v>0</v>
      </c>
      <c r="CR86" s="56">
        <v>0</v>
      </c>
      <c r="CS86" s="56">
        <v>0</v>
      </c>
      <c r="CT86" s="56">
        <v>0</v>
      </c>
      <c r="CU86" s="56">
        <v>0</v>
      </c>
      <c r="CV86" s="56">
        <v>0</v>
      </c>
      <c r="CW86" s="56">
        <v>0</v>
      </c>
      <c r="CX86" s="56">
        <v>0</v>
      </c>
      <c r="CY86" s="56">
        <v>0</v>
      </c>
      <c r="CZ86" s="56">
        <v>0</v>
      </c>
      <c r="DA86" s="56">
        <v>0</v>
      </c>
      <c r="DB86" s="56">
        <v>0</v>
      </c>
      <c r="DC86" s="56">
        <v>0</v>
      </c>
      <c r="DD86" s="56">
        <v>0</v>
      </c>
      <c r="DE86" s="56">
        <v>0</v>
      </c>
      <c r="DF86" s="56">
        <v>0</v>
      </c>
      <c r="DG86" s="56">
        <v>0</v>
      </c>
      <c r="DH86" s="56">
        <v>0</v>
      </c>
      <c r="DI86" s="56">
        <v>0</v>
      </c>
      <c r="DJ86" s="56">
        <v>0</v>
      </c>
      <c r="DK86" s="56">
        <v>0</v>
      </c>
      <c r="DL86" s="56">
        <v>0</v>
      </c>
      <c r="DM86" s="56">
        <v>0</v>
      </c>
      <c r="DN86" s="56">
        <v>0</v>
      </c>
      <c r="DO86" s="56">
        <v>0</v>
      </c>
      <c r="DP86" s="56">
        <v>0</v>
      </c>
      <c r="DQ86" s="56">
        <v>0</v>
      </c>
      <c r="DR86" s="56">
        <v>0</v>
      </c>
      <c r="DS86" s="56">
        <v>0</v>
      </c>
      <c r="DT86" s="56">
        <v>0</v>
      </c>
      <c r="DU86" s="56">
        <v>0</v>
      </c>
      <c r="DV86" s="56">
        <v>0</v>
      </c>
      <c r="DW86" s="56">
        <v>0</v>
      </c>
      <c r="DX86" s="56">
        <v>0</v>
      </c>
      <c r="DY86" s="56">
        <v>0</v>
      </c>
      <c r="DZ86" s="56">
        <v>0</v>
      </c>
      <c r="EA86" s="56">
        <v>0</v>
      </c>
      <c r="EB86" s="56">
        <v>0</v>
      </c>
      <c r="EC86" s="56">
        <v>0</v>
      </c>
      <c r="ED86" s="56">
        <v>0</v>
      </c>
      <c r="EE86" s="56">
        <v>0</v>
      </c>
      <c r="EF86" s="56">
        <v>0</v>
      </c>
      <c r="EG86" s="56">
        <v>0</v>
      </c>
      <c r="EH86" s="56">
        <v>141.41</v>
      </c>
      <c r="EI86" s="56">
        <v>0</v>
      </c>
      <c r="EJ86" s="56">
        <v>0</v>
      </c>
      <c r="EK86" s="56">
        <v>0</v>
      </c>
      <c r="EL86" s="56">
        <v>0</v>
      </c>
      <c r="EM86" s="56">
        <v>0</v>
      </c>
      <c r="EN86" s="56">
        <v>0</v>
      </c>
      <c r="EO86" s="56">
        <v>0</v>
      </c>
      <c r="EP86" s="56">
        <v>0</v>
      </c>
      <c r="EQ86" s="56">
        <v>0</v>
      </c>
      <c r="ER86" s="56">
        <v>0</v>
      </c>
      <c r="ES86" s="56">
        <v>0</v>
      </c>
      <c r="ET86" s="56">
        <v>0</v>
      </c>
      <c r="EU86" s="56">
        <v>0</v>
      </c>
      <c r="EV86" s="56">
        <v>0</v>
      </c>
      <c r="EW86" s="56">
        <v>0</v>
      </c>
      <c r="EX86" s="56">
        <v>0</v>
      </c>
      <c r="EY86" s="56">
        <v>0</v>
      </c>
      <c r="EZ86" s="56">
        <v>0</v>
      </c>
      <c r="FA86" s="56">
        <v>0</v>
      </c>
      <c r="FB86" s="56">
        <v>0</v>
      </c>
      <c r="FC86" s="58">
        <v>0</v>
      </c>
      <c r="FD86" s="56">
        <v>0</v>
      </c>
      <c r="FE86" s="56">
        <v>0</v>
      </c>
      <c r="FF86" s="56">
        <v>0</v>
      </c>
      <c r="FG86" s="56">
        <v>0</v>
      </c>
      <c r="FH86" s="56">
        <v>0</v>
      </c>
      <c r="FI86" s="56">
        <v>0</v>
      </c>
      <c r="FJ86" s="56">
        <v>0</v>
      </c>
      <c r="FK86" s="56">
        <v>0</v>
      </c>
      <c r="FL86" s="56">
        <v>0</v>
      </c>
      <c r="FM86" s="56">
        <v>0</v>
      </c>
      <c r="FN86" s="56">
        <v>0</v>
      </c>
      <c r="FO86" s="56">
        <v>0</v>
      </c>
      <c r="FP86" s="56">
        <v>0</v>
      </c>
      <c r="FQ86" s="56">
        <v>0</v>
      </c>
      <c r="FR86" s="56">
        <v>0</v>
      </c>
      <c r="FS86" s="58">
        <v>0</v>
      </c>
      <c r="FT86" s="56">
        <v>0</v>
      </c>
      <c r="FU86" s="56">
        <v>0</v>
      </c>
      <c r="FV86" s="56">
        <v>0</v>
      </c>
      <c r="FW86" s="56">
        <v>0</v>
      </c>
      <c r="FX86" s="56">
        <v>0</v>
      </c>
      <c r="FY86" s="56">
        <v>0</v>
      </c>
      <c r="FZ86" s="54" t="s">
        <v>1083</v>
      </c>
      <c r="GA86" s="54" t="s">
        <v>1084</v>
      </c>
      <c r="GB86" s="54" t="s">
        <v>1072</v>
      </c>
      <c r="GC86" s="54" t="s">
        <v>1073</v>
      </c>
      <c r="GD86" s="54" t="s">
        <v>1223</v>
      </c>
      <c r="GE86" s="54" t="s">
        <v>1201</v>
      </c>
      <c r="GF86" s="54"/>
      <c r="GG86" s="55"/>
      <c r="GH86" s="54"/>
      <c r="GI86" s="54"/>
      <c r="GJ86" s="54" t="s">
        <v>1076</v>
      </c>
      <c r="GK86" s="54" t="s">
        <v>1077</v>
      </c>
      <c r="GL86" s="54"/>
      <c r="GM86" s="54"/>
      <c r="GN86" s="54" t="s">
        <v>1208</v>
      </c>
      <c r="GO86" s="54" t="s">
        <v>1209</v>
      </c>
      <c r="GP86" s="54"/>
      <c r="GQ86" s="56">
        <v>0</v>
      </c>
      <c r="GR86" s="54" t="s">
        <v>1210</v>
      </c>
      <c r="GS86" s="54"/>
    </row>
    <row r="87" spans="1:201" x14ac:dyDescent="0.25">
      <c r="A87" s="54" t="s">
        <v>1032</v>
      </c>
      <c r="B87" s="54" t="s">
        <v>1033</v>
      </c>
      <c r="C87" s="54" t="s">
        <v>1197</v>
      </c>
      <c r="D87" s="54" t="s">
        <v>1035</v>
      </c>
      <c r="E87" s="54" t="s">
        <v>1036</v>
      </c>
      <c r="F87" s="55">
        <v>46175</v>
      </c>
      <c r="G87" s="55">
        <v>46175</v>
      </c>
      <c r="H87" s="54" t="s">
        <v>1037</v>
      </c>
      <c r="I87" s="54" t="s">
        <v>1038</v>
      </c>
      <c r="J87" s="54" t="s">
        <v>1039</v>
      </c>
      <c r="K87" s="55"/>
      <c r="L87" s="54" t="s">
        <v>1040</v>
      </c>
      <c r="M87" s="54"/>
      <c r="N87" s="54" t="s">
        <v>1198</v>
      </c>
      <c r="O87" s="54" t="s">
        <v>1118</v>
      </c>
      <c r="P87" s="54" t="s">
        <v>352</v>
      </c>
      <c r="Q87" s="54" t="s">
        <v>386</v>
      </c>
      <c r="R87" s="54" t="s">
        <v>1043</v>
      </c>
      <c r="S87" s="56">
        <v>491.4</v>
      </c>
      <c r="T87" s="56">
        <v>491.4</v>
      </c>
      <c r="U87" s="56">
        <v>0</v>
      </c>
      <c r="V87" s="56">
        <v>0</v>
      </c>
      <c r="W87" s="56">
        <v>0</v>
      </c>
      <c r="X87" s="56">
        <v>0</v>
      </c>
      <c r="Y87" s="56">
        <v>0</v>
      </c>
      <c r="Z87" s="56">
        <v>60</v>
      </c>
      <c r="AA87" s="56">
        <v>60</v>
      </c>
      <c r="AB87" s="59">
        <v>0</v>
      </c>
      <c r="AC87" s="56">
        <v>0</v>
      </c>
      <c r="AD87" s="56">
        <v>0</v>
      </c>
      <c r="AE87" s="56">
        <v>0</v>
      </c>
      <c r="AF87" s="54" t="s">
        <v>1199</v>
      </c>
      <c r="AG87" s="57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 t="s">
        <v>1045</v>
      </c>
      <c r="AS87" s="54" t="s">
        <v>1046</v>
      </c>
      <c r="AT87" s="54" t="s">
        <v>1047</v>
      </c>
      <c r="AU87" s="54" t="s">
        <v>1048</v>
      </c>
      <c r="AV87" s="54"/>
      <c r="AW87" s="55">
        <v>46189</v>
      </c>
      <c r="AX87" s="55">
        <v>46175</v>
      </c>
      <c r="AY87" s="55">
        <v>46175</v>
      </c>
      <c r="AZ87" s="55">
        <v>46178</v>
      </c>
      <c r="BA87" s="55">
        <v>46189</v>
      </c>
      <c r="BB87" s="56">
        <v>0</v>
      </c>
      <c r="BC87" s="56">
        <v>0</v>
      </c>
      <c r="BD87" s="56">
        <v>0</v>
      </c>
      <c r="BE87" s="56">
        <v>0</v>
      </c>
      <c r="BF87" s="56">
        <v>0</v>
      </c>
      <c r="BG87" s="56">
        <v>0</v>
      </c>
      <c r="BH87" s="56">
        <v>0</v>
      </c>
      <c r="BI87" s="56">
        <v>0</v>
      </c>
      <c r="BJ87" s="56">
        <v>0</v>
      </c>
      <c r="BK87" s="56">
        <v>0</v>
      </c>
      <c r="BL87" s="56">
        <v>0</v>
      </c>
      <c r="BM87" s="56">
        <v>0</v>
      </c>
      <c r="BN87" s="56">
        <v>0</v>
      </c>
      <c r="BO87" s="56">
        <v>0</v>
      </c>
      <c r="BP87" s="54" t="s">
        <v>1049</v>
      </c>
      <c r="BQ87" s="54" t="s">
        <v>1050</v>
      </c>
      <c r="BR87" s="54" t="s">
        <v>1049</v>
      </c>
      <c r="BS87" s="54" t="s">
        <v>1050</v>
      </c>
      <c r="BT87" s="54" t="s">
        <v>1051</v>
      </c>
      <c r="BU87" s="54" t="s">
        <v>1043</v>
      </c>
      <c r="BV87" s="58">
        <v>60</v>
      </c>
      <c r="BW87" s="54" t="s">
        <v>1052</v>
      </c>
      <c r="BX87" s="54" t="s">
        <v>1053</v>
      </c>
      <c r="BY87" s="54" t="s">
        <v>1054</v>
      </c>
      <c r="BZ87" s="54" t="s">
        <v>1055</v>
      </c>
      <c r="CA87" s="55"/>
      <c r="CB87" s="54" t="s">
        <v>1056</v>
      </c>
      <c r="CC87" s="54" t="s">
        <v>1057</v>
      </c>
      <c r="CD87" s="54" t="s">
        <v>1200</v>
      </c>
      <c r="CE87" s="54" t="s">
        <v>1201</v>
      </c>
      <c r="CF87" s="54" t="s">
        <v>1202</v>
      </c>
      <c r="CG87" s="54" t="s">
        <v>1203</v>
      </c>
      <c r="CH87" s="54" t="s">
        <v>1204</v>
      </c>
      <c r="CI87" s="54" t="s">
        <v>1203</v>
      </c>
      <c r="CJ87" s="54" t="s">
        <v>1064</v>
      </c>
      <c r="CK87" s="54" t="s">
        <v>1065</v>
      </c>
      <c r="CL87" s="54" t="s">
        <v>1205</v>
      </c>
      <c r="CM87" s="54" t="s">
        <v>1206</v>
      </c>
      <c r="CN87" s="54" t="s">
        <v>1068</v>
      </c>
      <c r="CO87" s="54" t="s">
        <v>1069</v>
      </c>
      <c r="CP87" s="56">
        <v>0</v>
      </c>
      <c r="CQ87" s="56">
        <v>0</v>
      </c>
      <c r="CR87" s="56">
        <v>0</v>
      </c>
      <c r="CS87" s="56">
        <v>0</v>
      </c>
      <c r="CT87" s="56">
        <v>0</v>
      </c>
      <c r="CU87" s="56">
        <v>0</v>
      </c>
      <c r="CV87" s="56">
        <v>0</v>
      </c>
      <c r="CW87" s="56">
        <v>0</v>
      </c>
      <c r="CX87" s="56">
        <v>0</v>
      </c>
      <c r="CY87" s="56">
        <v>0</v>
      </c>
      <c r="CZ87" s="56">
        <v>0</v>
      </c>
      <c r="DA87" s="56">
        <v>0</v>
      </c>
      <c r="DB87" s="56">
        <v>0</v>
      </c>
      <c r="DC87" s="56">
        <v>0</v>
      </c>
      <c r="DD87" s="56">
        <v>0</v>
      </c>
      <c r="DE87" s="56">
        <v>0</v>
      </c>
      <c r="DF87" s="56">
        <v>0</v>
      </c>
      <c r="DG87" s="56">
        <v>0</v>
      </c>
      <c r="DH87" s="56">
        <v>0</v>
      </c>
      <c r="DI87" s="56">
        <v>0</v>
      </c>
      <c r="DJ87" s="56">
        <v>0</v>
      </c>
      <c r="DK87" s="56">
        <v>0</v>
      </c>
      <c r="DL87" s="56">
        <v>0</v>
      </c>
      <c r="DM87" s="56">
        <v>0</v>
      </c>
      <c r="DN87" s="56">
        <v>0</v>
      </c>
      <c r="DO87" s="56">
        <v>0</v>
      </c>
      <c r="DP87" s="56">
        <v>0</v>
      </c>
      <c r="DQ87" s="56">
        <v>0</v>
      </c>
      <c r="DR87" s="56">
        <v>0</v>
      </c>
      <c r="DS87" s="56">
        <v>0</v>
      </c>
      <c r="DT87" s="56">
        <v>0</v>
      </c>
      <c r="DU87" s="56">
        <v>0</v>
      </c>
      <c r="DV87" s="56">
        <v>0</v>
      </c>
      <c r="DW87" s="56">
        <v>0</v>
      </c>
      <c r="DX87" s="56">
        <v>0</v>
      </c>
      <c r="DY87" s="56">
        <v>0</v>
      </c>
      <c r="DZ87" s="56">
        <v>0</v>
      </c>
      <c r="EA87" s="56">
        <v>0</v>
      </c>
      <c r="EB87" s="56">
        <v>0</v>
      </c>
      <c r="EC87" s="56">
        <v>0</v>
      </c>
      <c r="ED87" s="56">
        <v>0</v>
      </c>
      <c r="EE87" s="56">
        <v>0</v>
      </c>
      <c r="EF87" s="56">
        <v>0</v>
      </c>
      <c r="EG87" s="56">
        <v>0</v>
      </c>
      <c r="EH87" s="56">
        <v>58.97</v>
      </c>
      <c r="EI87" s="56">
        <v>0</v>
      </c>
      <c r="EJ87" s="56">
        <v>0</v>
      </c>
      <c r="EK87" s="56">
        <v>0</v>
      </c>
      <c r="EL87" s="56">
        <v>0</v>
      </c>
      <c r="EM87" s="56">
        <v>0</v>
      </c>
      <c r="EN87" s="56">
        <v>0</v>
      </c>
      <c r="EO87" s="56">
        <v>0</v>
      </c>
      <c r="EP87" s="56">
        <v>0</v>
      </c>
      <c r="EQ87" s="56">
        <v>0</v>
      </c>
      <c r="ER87" s="56">
        <v>0</v>
      </c>
      <c r="ES87" s="56">
        <v>0</v>
      </c>
      <c r="ET87" s="56">
        <v>0</v>
      </c>
      <c r="EU87" s="56">
        <v>0</v>
      </c>
      <c r="EV87" s="56">
        <v>0</v>
      </c>
      <c r="EW87" s="56">
        <v>0</v>
      </c>
      <c r="EX87" s="56">
        <v>0</v>
      </c>
      <c r="EY87" s="56">
        <v>0</v>
      </c>
      <c r="EZ87" s="56">
        <v>0</v>
      </c>
      <c r="FA87" s="56">
        <v>0</v>
      </c>
      <c r="FB87" s="56">
        <v>0</v>
      </c>
      <c r="FC87" s="58">
        <v>0</v>
      </c>
      <c r="FD87" s="56">
        <v>0</v>
      </c>
      <c r="FE87" s="56">
        <v>0</v>
      </c>
      <c r="FF87" s="56">
        <v>0</v>
      </c>
      <c r="FG87" s="56">
        <v>0</v>
      </c>
      <c r="FH87" s="56">
        <v>0</v>
      </c>
      <c r="FI87" s="56">
        <v>0</v>
      </c>
      <c r="FJ87" s="56">
        <v>0</v>
      </c>
      <c r="FK87" s="56">
        <v>0</v>
      </c>
      <c r="FL87" s="56">
        <v>0</v>
      </c>
      <c r="FM87" s="56">
        <v>0</v>
      </c>
      <c r="FN87" s="56">
        <v>0</v>
      </c>
      <c r="FO87" s="56">
        <v>0</v>
      </c>
      <c r="FP87" s="56">
        <v>0</v>
      </c>
      <c r="FQ87" s="56">
        <v>0</v>
      </c>
      <c r="FR87" s="56">
        <v>0</v>
      </c>
      <c r="FS87" s="58">
        <v>0</v>
      </c>
      <c r="FT87" s="56">
        <v>0</v>
      </c>
      <c r="FU87" s="56">
        <v>0</v>
      </c>
      <c r="FV87" s="56">
        <v>0</v>
      </c>
      <c r="FW87" s="56">
        <v>0</v>
      </c>
      <c r="FX87" s="56">
        <v>0</v>
      </c>
      <c r="FY87" s="56">
        <v>0</v>
      </c>
      <c r="FZ87" s="54" t="s">
        <v>1070</v>
      </c>
      <c r="GA87" s="54" t="s">
        <v>1071</v>
      </c>
      <c r="GB87" s="54" t="s">
        <v>1072</v>
      </c>
      <c r="GC87" s="54" t="s">
        <v>1073</v>
      </c>
      <c r="GD87" s="54" t="s">
        <v>1225</v>
      </c>
      <c r="GE87" s="54" t="s">
        <v>1201</v>
      </c>
      <c r="GF87" s="54"/>
      <c r="GG87" s="55"/>
      <c r="GH87" s="54"/>
      <c r="GI87" s="54"/>
      <c r="GJ87" s="54" t="s">
        <v>1076</v>
      </c>
      <c r="GK87" s="54" t="s">
        <v>1077</v>
      </c>
      <c r="GL87" s="54"/>
      <c r="GM87" s="54"/>
      <c r="GN87" s="54" t="s">
        <v>1208</v>
      </c>
      <c r="GO87" s="54" t="s">
        <v>1209</v>
      </c>
      <c r="GP87" s="54"/>
      <c r="GQ87" s="56">
        <v>0</v>
      </c>
      <c r="GR87" s="54" t="s">
        <v>1210</v>
      </c>
      <c r="GS87" s="54"/>
    </row>
    <row r="88" spans="1:201" x14ac:dyDescent="0.25">
      <c r="A88" s="54" t="s">
        <v>1032</v>
      </c>
      <c r="B88" s="54" t="s">
        <v>1033</v>
      </c>
      <c r="C88" s="54" t="s">
        <v>1197</v>
      </c>
      <c r="D88" s="54" t="s">
        <v>1035</v>
      </c>
      <c r="E88" s="54" t="s">
        <v>1036</v>
      </c>
      <c r="F88" s="55">
        <v>46175</v>
      </c>
      <c r="G88" s="55">
        <v>46175</v>
      </c>
      <c r="H88" s="54" t="s">
        <v>1037</v>
      </c>
      <c r="I88" s="54" t="s">
        <v>1038</v>
      </c>
      <c r="J88" s="54" t="s">
        <v>1039</v>
      </c>
      <c r="K88" s="55"/>
      <c r="L88" s="54" t="s">
        <v>1040</v>
      </c>
      <c r="M88" s="54"/>
      <c r="N88" s="54" t="s">
        <v>1198</v>
      </c>
      <c r="O88" s="54" t="s">
        <v>1120</v>
      </c>
      <c r="P88" s="54" t="s">
        <v>682</v>
      </c>
      <c r="Q88" s="54" t="s">
        <v>546</v>
      </c>
      <c r="R88" s="54" t="s">
        <v>1043</v>
      </c>
      <c r="S88" s="56">
        <v>864.48</v>
      </c>
      <c r="T88" s="56">
        <v>0</v>
      </c>
      <c r="U88" s="56">
        <v>0</v>
      </c>
      <c r="V88" s="56">
        <v>864.48</v>
      </c>
      <c r="W88" s="56">
        <v>0</v>
      </c>
      <c r="X88" s="56">
        <v>0</v>
      </c>
      <c r="Y88" s="56">
        <v>0</v>
      </c>
      <c r="Z88" s="56">
        <v>48</v>
      </c>
      <c r="AA88" s="56">
        <v>0</v>
      </c>
      <c r="AB88" s="59">
        <v>0</v>
      </c>
      <c r="AC88" s="56">
        <v>48</v>
      </c>
      <c r="AD88" s="56">
        <v>0</v>
      </c>
      <c r="AE88" s="56">
        <v>0</v>
      </c>
      <c r="AF88" s="54" t="s">
        <v>1199</v>
      </c>
      <c r="AG88" s="57"/>
      <c r="AH88" s="54" t="s">
        <v>1123</v>
      </c>
      <c r="AI88" s="54" t="s">
        <v>1124</v>
      </c>
      <c r="AJ88" s="54"/>
      <c r="AK88" s="54"/>
      <c r="AL88" s="54"/>
      <c r="AM88" s="54"/>
      <c r="AN88" s="54"/>
      <c r="AO88" s="54"/>
      <c r="AP88" s="54"/>
      <c r="AQ88" s="54"/>
      <c r="AR88" s="54" t="s">
        <v>1045</v>
      </c>
      <c r="AS88" s="54" t="s">
        <v>1046</v>
      </c>
      <c r="AT88" s="54" t="s">
        <v>1047</v>
      </c>
      <c r="AU88" s="54" t="s">
        <v>1048</v>
      </c>
      <c r="AV88" s="54"/>
      <c r="AW88" s="55">
        <v>46189</v>
      </c>
      <c r="AX88" s="55">
        <v>46175</v>
      </c>
      <c r="AY88" s="55">
        <v>46175</v>
      </c>
      <c r="AZ88" s="55"/>
      <c r="BA88" s="55">
        <v>46189</v>
      </c>
      <c r="BB88" s="56">
        <v>0</v>
      </c>
      <c r="BC88" s="56">
        <v>0</v>
      </c>
      <c r="BD88" s="56">
        <v>0</v>
      </c>
      <c r="BE88" s="56">
        <v>0</v>
      </c>
      <c r="BF88" s="56">
        <v>0</v>
      </c>
      <c r="BG88" s="56">
        <v>0</v>
      </c>
      <c r="BH88" s="56">
        <v>0</v>
      </c>
      <c r="BI88" s="56">
        <v>0</v>
      </c>
      <c r="BJ88" s="56">
        <v>0</v>
      </c>
      <c r="BK88" s="56">
        <v>0</v>
      </c>
      <c r="BL88" s="56">
        <v>0</v>
      </c>
      <c r="BM88" s="56">
        <v>0</v>
      </c>
      <c r="BN88" s="56">
        <v>0</v>
      </c>
      <c r="BO88" s="56">
        <v>0</v>
      </c>
      <c r="BP88" s="54" t="s">
        <v>1049</v>
      </c>
      <c r="BQ88" s="54" t="s">
        <v>1050</v>
      </c>
      <c r="BR88" s="54" t="s">
        <v>1049</v>
      </c>
      <c r="BS88" s="54" t="s">
        <v>1050</v>
      </c>
      <c r="BT88" s="54" t="s">
        <v>1051</v>
      </c>
      <c r="BU88" s="54" t="s">
        <v>1043</v>
      </c>
      <c r="BV88" s="58">
        <v>0</v>
      </c>
      <c r="BW88" s="54" t="s">
        <v>1052</v>
      </c>
      <c r="BX88" s="54" t="s">
        <v>1053</v>
      </c>
      <c r="BY88" s="54" t="s">
        <v>1054</v>
      </c>
      <c r="BZ88" s="54" t="s">
        <v>1055</v>
      </c>
      <c r="CA88" s="55"/>
      <c r="CB88" s="54" t="s">
        <v>1056</v>
      </c>
      <c r="CC88" s="54" t="s">
        <v>1057</v>
      </c>
      <c r="CD88" s="54" t="s">
        <v>1200</v>
      </c>
      <c r="CE88" s="54" t="s">
        <v>1201</v>
      </c>
      <c r="CF88" s="54" t="s">
        <v>1202</v>
      </c>
      <c r="CG88" s="54" t="s">
        <v>1203</v>
      </c>
      <c r="CH88" s="54" t="s">
        <v>1204</v>
      </c>
      <c r="CI88" s="54" t="s">
        <v>1203</v>
      </c>
      <c r="CJ88" s="54" t="s">
        <v>1064</v>
      </c>
      <c r="CK88" s="54" t="s">
        <v>1065</v>
      </c>
      <c r="CL88" s="54" t="s">
        <v>1205</v>
      </c>
      <c r="CM88" s="54" t="s">
        <v>1206</v>
      </c>
      <c r="CN88" s="54" t="s">
        <v>1068</v>
      </c>
      <c r="CO88" s="54" t="s">
        <v>1069</v>
      </c>
      <c r="CP88" s="56">
        <v>0</v>
      </c>
      <c r="CQ88" s="56">
        <v>0</v>
      </c>
      <c r="CR88" s="56">
        <v>0</v>
      </c>
      <c r="CS88" s="56">
        <v>0</v>
      </c>
      <c r="CT88" s="56">
        <v>0</v>
      </c>
      <c r="CU88" s="56">
        <v>0</v>
      </c>
      <c r="CV88" s="56">
        <v>0</v>
      </c>
      <c r="CW88" s="56">
        <v>0</v>
      </c>
      <c r="CX88" s="56">
        <v>0</v>
      </c>
      <c r="CY88" s="56">
        <v>0</v>
      </c>
      <c r="CZ88" s="56">
        <v>0</v>
      </c>
      <c r="DA88" s="56">
        <v>0</v>
      </c>
      <c r="DB88" s="56">
        <v>0</v>
      </c>
      <c r="DC88" s="56">
        <v>0</v>
      </c>
      <c r="DD88" s="56">
        <v>0</v>
      </c>
      <c r="DE88" s="56">
        <v>0</v>
      </c>
      <c r="DF88" s="56">
        <v>0</v>
      </c>
      <c r="DG88" s="56">
        <v>0</v>
      </c>
      <c r="DH88" s="56">
        <v>0</v>
      </c>
      <c r="DI88" s="56">
        <v>0</v>
      </c>
      <c r="DJ88" s="56">
        <v>0</v>
      </c>
      <c r="DK88" s="56">
        <v>0</v>
      </c>
      <c r="DL88" s="56">
        <v>0</v>
      </c>
      <c r="DM88" s="56">
        <v>0</v>
      </c>
      <c r="DN88" s="56">
        <v>0</v>
      </c>
      <c r="DO88" s="56">
        <v>0</v>
      </c>
      <c r="DP88" s="56">
        <v>0</v>
      </c>
      <c r="DQ88" s="56">
        <v>0</v>
      </c>
      <c r="DR88" s="56">
        <v>0</v>
      </c>
      <c r="DS88" s="56">
        <v>0</v>
      </c>
      <c r="DT88" s="56">
        <v>0</v>
      </c>
      <c r="DU88" s="56">
        <v>0</v>
      </c>
      <c r="DV88" s="56">
        <v>0</v>
      </c>
      <c r="DW88" s="56">
        <v>0</v>
      </c>
      <c r="DX88" s="56">
        <v>0</v>
      </c>
      <c r="DY88" s="56">
        <v>0</v>
      </c>
      <c r="DZ88" s="56">
        <v>0</v>
      </c>
      <c r="EA88" s="56">
        <v>0</v>
      </c>
      <c r="EB88" s="56">
        <v>0</v>
      </c>
      <c r="EC88" s="56">
        <v>0</v>
      </c>
      <c r="ED88" s="56">
        <v>0</v>
      </c>
      <c r="EE88" s="56">
        <v>0</v>
      </c>
      <c r="EF88" s="56">
        <v>0</v>
      </c>
      <c r="EG88" s="56">
        <v>0</v>
      </c>
      <c r="EH88" s="56">
        <v>34.58</v>
      </c>
      <c r="EI88" s="56">
        <v>0</v>
      </c>
      <c r="EJ88" s="56">
        <v>0</v>
      </c>
      <c r="EK88" s="56">
        <v>0</v>
      </c>
      <c r="EL88" s="56">
        <v>0</v>
      </c>
      <c r="EM88" s="56">
        <v>0</v>
      </c>
      <c r="EN88" s="56">
        <v>0</v>
      </c>
      <c r="EO88" s="56">
        <v>0</v>
      </c>
      <c r="EP88" s="56">
        <v>0</v>
      </c>
      <c r="EQ88" s="56">
        <v>0</v>
      </c>
      <c r="ER88" s="56">
        <v>0</v>
      </c>
      <c r="ES88" s="56">
        <v>0</v>
      </c>
      <c r="ET88" s="56">
        <v>0</v>
      </c>
      <c r="EU88" s="56">
        <v>0</v>
      </c>
      <c r="EV88" s="56">
        <v>0</v>
      </c>
      <c r="EW88" s="56">
        <v>0</v>
      </c>
      <c r="EX88" s="56">
        <v>0</v>
      </c>
      <c r="EY88" s="56">
        <v>0</v>
      </c>
      <c r="EZ88" s="56">
        <v>0</v>
      </c>
      <c r="FA88" s="56">
        <v>0</v>
      </c>
      <c r="FB88" s="56">
        <v>0</v>
      </c>
      <c r="FC88" s="58">
        <v>0</v>
      </c>
      <c r="FD88" s="56">
        <v>0</v>
      </c>
      <c r="FE88" s="56">
        <v>0</v>
      </c>
      <c r="FF88" s="56">
        <v>0</v>
      </c>
      <c r="FG88" s="56">
        <v>0</v>
      </c>
      <c r="FH88" s="56">
        <v>0</v>
      </c>
      <c r="FI88" s="56">
        <v>0</v>
      </c>
      <c r="FJ88" s="56">
        <v>0</v>
      </c>
      <c r="FK88" s="56">
        <v>0</v>
      </c>
      <c r="FL88" s="56">
        <v>0</v>
      </c>
      <c r="FM88" s="56">
        <v>0</v>
      </c>
      <c r="FN88" s="56">
        <v>0</v>
      </c>
      <c r="FO88" s="56">
        <v>0</v>
      </c>
      <c r="FP88" s="56">
        <v>0</v>
      </c>
      <c r="FQ88" s="56">
        <v>0</v>
      </c>
      <c r="FR88" s="56">
        <v>0</v>
      </c>
      <c r="FS88" s="58">
        <v>0</v>
      </c>
      <c r="FT88" s="56">
        <v>0</v>
      </c>
      <c r="FU88" s="56">
        <v>0</v>
      </c>
      <c r="FV88" s="56">
        <v>0</v>
      </c>
      <c r="FW88" s="56">
        <v>0</v>
      </c>
      <c r="FX88" s="56">
        <v>0</v>
      </c>
      <c r="FY88" s="56">
        <v>0</v>
      </c>
      <c r="FZ88" s="54" t="s">
        <v>1070</v>
      </c>
      <c r="GA88" s="54" t="s">
        <v>1071</v>
      </c>
      <c r="GB88" s="54" t="s">
        <v>1072</v>
      </c>
      <c r="GC88" s="54" t="s">
        <v>1073</v>
      </c>
      <c r="GD88" s="54"/>
      <c r="GE88" s="54"/>
      <c r="GF88" s="54"/>
      <c r="GG88" s="55"/>
      <c r="GH88" s="54"/>
      <c r="GI88" s="54"/>
      <c r="GJ88" s="54" t="s">
        <v>1076</v>
      </c>
      <c r="GK88" s="54" t="s">
        <v>1077</v>
      </c>
      <c r="GL88" s="54"/>
      <c r="GM88" s="54"/>
      <c r="GN88" s="54" t="s">
        <v>1208</v>
      </c>
      <c r="GO88" s="54" t="s">
        <v>1209</v>
      </c>
      <c r="GP88" s="54"/>
      <c r="GQ88" s="56">
        <v>0</v>
      </c>
      <c r="GR88" s="54" t="s">
        <v>1210</v>
      </c>
      <c r="GS88" s="54"/>
    </row>
    <row r="89" spans="1:201" x14ac:dyDescent="0.25">
      <c r="A89" s="54" t="s">
        <v>1032</v>
      </c>
      <c r="B89" s="54" t="s">
        <v>1033</v>
      </c>
      <c r="C89" s="54" t="s">
        <v>1197</v>
      </c>
      <c r="D89" s="54" t="s">
        <v>1035</v>
      </c>
      <c r="E89" s="54" t="s">
        <v>1036</v>
      </c>
      <c r="F89" s="55">
        <v>46175</v>
      </c>
      <c r="G89" s="55">
        <v>46175</v>
      </c>
      <c r="H89" s="54" t="s">
        <v>1037</v>
      </c>
      <c r="I89" s="54" t="s">
        <v>1038</v>
      </c>
      <c r="J89" s="54" t="s">
        <v>1039</v>
      </c>
      <c r="K89" s="55"/>
      <c r="L89" s="54" t="s">
        <v>1040</v>
      </c>
      <c r="M89" s="54"/>
      <c r="N89" s="54" t="s">
        <v>1198</v>
      </c>
      <c r="O89" s="54" t="s">
        <v>1121</v>
      </c>
      <c r="P89" s="54" t="s">
        <v>262</v>
      </c>
      <c r="Q89" s="54" t="s">
        <v>103</v>
      </c>
      <c r="R89" s="54" t="s">
        <v>1043</v>
      </c>
      <c r="S89" s="56">
        <v>1134</v>
      </c>
      <c r="T89" s="56">
        <v>1134</v>
      </c>
      <c r="U89" s="56">
        <v>0</v>
      </c>
      <c r="V89" s="56">
        <v>0</v>
      </c>
      <c r="W89" s="56">
        <v>0</v>
      </c>
      <c r="X89" s="56">
        <v>0</v>
      </c>
      <c r="Y89" s="56">
        <v>0</v>
      </c>
      <c r="Z89" s="56">
        <v>70</v>
      </c>
      <c r="AA89" s="56">
        <v>70</v>
      </c>
      <c r="AB89" s="59">
        <v>0</v>
      </c>
      <c r="AC89" s="56">
        <v>0</v>
      </c>
      <c r="AD89" s="56">
        <v>0</v>
      </c>
      <c r="AE89" s="56">
        <v>0</v>
      </c>
      <c r="AF89" s="54" t="s">
        <v>1199</v>
      </c>
      <c r="AG89" s="57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 t="s">
        <v>1045</v>
      </c>
      <c r="AS89" s="54" t="s">
        <v>1046</v>
      </c>
      <c r="AT89" s="54" t="s">
        <v>1047</v>
      </c>
      <c r="AU89" s="54" t="s">
        <v>1048</v>
      </c>
      <c r="AV89" s="54"/>
      <c r="AW89" s="55">
        <v>46189</v>
      </c>
      <c r="AX89" s="55">
        <v>46175</v>
      </c>
      <c r="AY89" s="55">
        <v>46175</v>
      </c>
      <c r="AZ89" s="55">
        <v>46176</v>
      </c>
      <c r="BA89" s="55">
        <v>46189</v>
      </c>
      <c r="BB89" s="56">
        <v>0</v>
      </c>
      <c r="BC89" s="56">
        <v>0</v>
      </c>
      <c r="BD89" s="56">
        <v>0</v>
      </c>
      <c r="BE89" s="56">
        <v>0</v>
      </c>
      <c r="BF89" s="56">
        <v>0</v>
      </c>
      <c r="BG89" s="56">
        <v>0</v>
      </c>
      <c r="BH89" s="56">
        <v>0</v>
      </c>
      <c r="BI89" s="56">
        <v>0</v>
      </c>
      <c r="BJ89" s="56">
        <v>0</v>
      </c>
      <c r="BK89" s="56">
        <v>0</v>
      </c>
      <c r="BL89" s="56">
        <v>0</v>
      </c>
      <c r="BM89" s="56">
        <v>0</v>
      </c>
      <c r="BN89" s="56">
        <v>0</v>
      </c>
      <c r="BO89" s="56">
        <v>0</v>
      </c>
      <c r="BP89" s="54" t="s">
        <v>1049</v>
      </c>
      <c r="BQ89" s="54" t="s">
        <v>1050</v>
      </c>
      <c r="BR89" s="54" t="s">
        <v>1049</v>
      </c>
      <c r="BS89" s="54" t="s">
        <v>1050</v>
      </c>
      <c r="BT89" s="54" t="s">
        <v>1051</v>
      </c>
      <c r="BU89" s="54" t="s">
        <v>1043</v>
      </c>
      <c r="BV89" s="58">
        <v>70</v>
      </c>
      <c r="BW89" s="54" t="s">
        <v>1052</v>
      </c>
      <c r="BX89" s="54" t="s">
        <v>1053</v>
      </c>
      <c r="BY89" s="54" t="s">
        <v>1054</v>
      </c>
      <c r="BZ89" s="54" t="s">
        <v>1055</v>
      </c>
      <c r="CA89" s="55"/>
      <c r="CB89" s="54" t="s">
        <v>1056</v>
      </c>
      <c r="CC89" s="54" t="s">
        <v>1057</v>
      </c>
      <c r="CD89" s="54" t="s">
        <v>1200</v>
      </c>
      <c r="CE89" s="54" t="s">
        <v>1201</v>
      </c>
      <c r="CF89" s="54" t="s">
        <v>1202</v>
      </c>
      <c r="CG89" s="54" t="s">
        <v>1203</v>
      </c>
      <c r="CH89" s="54" t="s">
        <v>1204</v>
      </c>
      <c r="CI89" s="54" t="s">
        <v>1203</v>
      </c>
      <c r="CJ89" s="54" t="s">
        <v>1064</v>
      </c>
      <c r="CK89" s="54" t="s">
        <v>1065</v>
      </c>
      <c r="CL89" s="54" t="s">
        <v>1205</v>
      </c>
      <c r="CM89" s="54" t="s">
        <v>1206</v>
      </c>
      <c r="CN89" s="54" t="s">
        <v>1068</v>
      </c>
      <c r="CO89" s="54" t="s">
        <v>1069</v>
      </c>
      <c r="CP89" s="56">
        <v>0</v>
      </c>
      <c r="CQ89" s="56">
        <v>0</v>
      </c>
      <c r="CR89" s="56">
        <v>0</v>
      </c>
      <c r="CS89" s="56">
        <v>0</v>
      </c>
      <c r="CT89" s="56">
        <v>0</v>
      </c>
      <c r="CU89" s="56">
        <v>0</v>
      </c>
      <c r="CV89" s="56">
        <v>0</v>
      </c>
      <c r="CW89" s="56">
        <v>0</v>
      </c>
      <c r="CX89" s="56">
        <v>0</v>
      </c>
      <c r="CY89" s="56">
        <v>0</v>
      </c>
      <c r="CZ89" s="56">
        <v>0</v>
      </c>
      <c r="DA89" s="56">
        <v>0</v>
      </c>
      <c r="DB89" s="56">
        <v>0</v>
      </c>
      <c r="DC89" s="56">
        <v>0</v>
      </c>
      <c r="DD89" s="56">
        <v>0</v>
      </c>
      <c r="DE89" s="56">
        <v>0</v>
      </c>
      <c r="DF89" s="56">
        <v>0</v>
      </c>
      <c r="DG89" s="56">
        <v>0</v>
      </c>
      <c r="DH89" s="56">
        <v>0</v>
      </c>
      <c r="DI89" s="56">
        <v>0</v>
      </c>
      <c r="DJ89" s="56">
        <v>0</v>
      </c>
      <c r="DK89" s="56">
        <v>0</v>
      </c>
      <c r="DL89" s="56">
        <v>0</v>
      </c>
      <c r="DM89" s="56">
        <v>0</v>
      </c>
      <c r="DN89" s="56">
        <v>0</v>
      </c>
      <c r="DO89" s="56">
        <v>0</v>
      </c>
      <c r="DP89" s="56">
        <v>0</v>
      </c>
      <c r="DQ89" s="56">
        <v>0</v>
      </c>
      <c r="DR89" s="56">
        <v>0</v>
      </c>
      <c r="DS89" s="56">
        <v>0</v>
      </c>
      <c r="DT89" s="56">
        <v>0</v>
      </c>
      <c r="DU89" s="56">
        <v>0</v>
      </c>
      <c r="DV89" s="56">
        <v>0</v>
      </c>
      <c r="DW89" s="56">
        <v>0</v>
      </c>
      <c r="DX89" s="56">
        <v>0</v>
      </c>
      <c r="DY89" s="56">
        <v>0</v>
      </c>
      <c r="DZ89" s="56">
        <v>0</v>
      </c>
      <c r="EA89" s="56">
        <v>0</v>
      </c>
      <c r="EB89" s="56">
        <v>0</v>
      </c>
      <c r="EC89" s="56">
        <v>0</v>
      </c>
      <c r="ED89" s="56">
        <v>0</v>
      </c>
      <c r="EE89" s="56">
        <v>0</v>
      </c>
      <c r="EF89" s="56">
        <v>0</v>
      </c>
      <c r="EG89" s="56">
        <v>0</v>
      </c>
      <c r="EH89" s="56">
        <v>136.08000000000001</v>
      </c>
      <c r="EI89" s="56">
        <v>0</v>
      </c>
      <c r="EJ89" s="56">
        <v>0</v>
      </c>
      <c r="EK89" s="56">
        <v>0</v>
      </c>
      <c r="EL89" s="56">
        <v>0</v>
      </c>
      <c r="EM89" s="56">
        <v>0</v>
      </c>
      <c r="EN89" s="56">
        <v>0</v>
      </c>
      <c r="EO89" s="56">
        <v>0</v>
      </c>
      <c r="EP89" s="56">
        <v>0</v>
      </c>
      <c r="EQ89" s="56">
        <v>0</v>
      </c>
      <c r="ER89" s="56">
        <v>0</v>
      </c>
      <c r="ES89" s="56">
        <v>0</v>
      </c>
      <c r="ET89" s="56">
        <v>0</v>
      </c>
      <c r="EU89" s="56">
        <v>0</v>
      </c>
      <c r="EV89" s="56">
        <v>0</v>
      </c>
      <c r="EW89" s="56">
        <v>0</v>
      </c>
      <c r="EX89" s="56">
        <v>0</v>
      </c>
      <c r="EY89" s="56">
        <v>0</v>
      </c>
      <c r="EZ89" s="56">
        <v>0</v>
      </c>
      <c r="FA89" s="56">
        <v>0</v>
      </c>
      <c r="FB89" s="56">
        <v>0</v>
      </c>
      <c r="FC89" s="58">
        <v>0</v>
      </c>
      <c r="FD89" s="56">
        <v>0</v>
      </c>
      <c r="FE89" s="56">
        <v>0</v>
      </c>
      <c r="FF89" s="56">
        <v>0</v>
      </c>
      <c r="FG89" s="56">
        <v>0</v>
      </c>
      <c r="FH89" s="56">
        <v>0</v>
      </c>
      <c r="FI89" s="56">
        <v>0</v>
      </c>
      <c r="FJ89" s="56">
        <v>0</v>
      </c>
      <c r="FK89" s="56">
        <v>0</v>
      </c>
      <c r="FL89" s="56">
        <v>0</v>
      </c>
      <c r="FM89" s="56">
        <v>0</v>
      </c>
      <c r="FN89" s="56">
        <v>0</v>
      </c>
      <c r="FO89" s="56">
        <v>0</v>
      </c>
      <c r="FP89" s="56">
        <v>0</v>
      </c>
      <c r="FQ89" s="56">
        <v>0</v>
      </c>
      <c r="FR89" s="56">
        <v>0</v>
      </c>
      <c r="FS89" s="58">
        <v>0</v>
      </c>
      <c r="FT89" s="56">
        <v>0</v>
      </c>
      <c r="FU89" s="56">
        <v>0</v>
      </c>
      <c r="FV89" s="56">
        <v>0</v>
      </c>
      <c r="FW89" s="56">
        <v>0</v>
      </c>
      <c r="FX89" s="56">
        <v>0</v>
      </c>
      <c r="FY89" s="56">
        <v>0</v>
      </c>
      <c r="FZ89" s="54" t="s">
        <v>1070</v>
      </c>
      <c r="GA89" s="54" t="s">
        <v>1071</v>
      </c>
      <c r="GB89" s="54" t="s">
        <v>1072</v>
      </c>
      <c r="GC89" s="54" t="s">
        <v>1073</v>
      </c>
      <c r="GD89" s="54" t="s">
        <v>1226</v>
      </c>
      <c r="GE89" s="54" t="s">
        <v>1201</v>
      </c>
      <c r="GF89" s="54"/>
      <c r="GG89" s="55"/>
      <c r="GH89" s="54"/>
      <c r="GI89" s="54"/>
      <c r="GJ89" s="54" t="s">
        <v>1076</v>
      </c>
      <c r="GK89" s="54" t="s">
        <v>1077</v>
      </c>
      <c r="GL89" s="54"/>
      <c r="GM89" s="54"/>
      <c r="GN89" s="54" t="s">
        <v>1208</v>
      </c>
      <c r="GO89" s="54" t="s">
        <v>1209</v>
      </c>
      <c r="GP89" s="54"/>
      <c r="GQ89" s="56">
        <v>0</v>
      </c>
      <c r="GR89" s="54" t="s">
        <v>1210</v>
      </c>
      <c r="GS89" s="54"/>
    </row>
    <row r="90" spans="1:201" x14ac:dyDescent="0.25">
      <c r="A90" s="54" t="s">
        <v>1032</v>
      </c>
      <c r="B90" s="54" t="s">
        <v>1033</v>
      </c>
      <c r="C90" s="54" t="s">
        <v>1197</v>
      </c>
      <c r="D90" s="54" t="s">
        <v>1035</v>
      </c>
      <c r="E90" s="54" t="s">
        <v>1036</v>
      </c>
      <c r="F90" s="55">
        <v>46175</v>
      </c>
      <c r="G90" s="55">
        <v>46175</v>
      </c>
      <c r="H90" s="54" t="s">
        <v>1037</v>
      </c>
      <c r="I90" s="54" t="s">
        <v>1038</v>
      </c>
      <c r="J90" s="54" t="s">
        <v>1039</v>
      </c>
      <c r="K90" s="55"/>
      <c r="L90" s="54" t="s">
        <v>1040</v>
      </c>
      <c r="M90" s="54"/>
      <c r="N90" s="54" t="s">
        <v>1198</v>
      </c>
      <c r="O90" s="54" t="s">
        <v>1122</v>
      </c>
      <c r="P90" s="54" t="s">
        <v>265</v>
      </c>
      <c r="Q90" s="54" t="s">
        <v>106</v>
      </c>
      <c r="R90" s="54" t="s">
        <v>1043</v>
      </c>
      <c r="S90" s="56">
        <v>184.2</v>
      </c>
      <c r="T90" s="56">
        <v>184.2</v>
      </c>
      <c r="U90" s="56">
        <v>0</v>
      </c>
      <c r="V90" s="56">
        <v>0</v>
      </c>
      <c r="W90" s="56">
        <v>0</v>
      </c>
      <c r="X90" s="56">
        <v>0</v>
      </c>
      <c r="Y90" s="56">
        <v>0</v>
      </c>
      <c r="Z90" s="56">
        <v>60</v>
      </c>
      <c r="AA90" s="56">
        <v>60</v>
      </c>
      <c r="AB90" s="59">
        <v>0</v>
      </c>
      <c r="AC90" s="56">
        <v>0</v>
      </c>
      <c r="AD90" s="56">
        <v>0</v>
      </c>
      <c r="AE90" s="56">
        <v>0</v>
      </c>
      <c r="AF90" s="54" t="s">
        <v>1199</v>
      </c>
      <c r="AG90" s="57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 t="s">
        <v>1045</v>
      </c>
      <c r="AS90" s="54" t="s">
        <v>1046</v>
      </c>
      <c r="AT90" s="54" t="s">
        <v>1047</v>
      </c>
      <c r="AU90" s="54" t="s">
        <v>1048</v>
      </c>
      <c r="AV90" s="54"/>
      <c r="AW90" s="55">
        <v>46189</v>
      </c>
      <c r="AX90" s="55">
        <v>46175</v>
      </c>
      <c r="AY90" s="55">
        <v>46175</v>
      </c>
      <c r="AZ90" s="55">
        <v>46176</v>
      </c>
      <c r="BA90" s="55">
        <v>46189</v>
      </c>
      <c r="BB90" s="56">
        <v>0</v>
      </c>
      <c r="BC90" s="56">
        <v>0</v>
      </c>
      <c r="BD90" s="56">
        <v>0</v>
      </c>
      <c r="BE90" s="56">
        <v>0</v>
      </c>
      <c r="BF90" s="56">
        <v>0</v>
      </c>
      <c r="BG90" s="56">
        <v>0</v>
      </c>
      <c r="BH90" s="56">
        <v>0</v>
      </c>
      <c r="BI90" s="56">
        <v>0</v>
      </c>
      <c r="BJ90" s="56">
        <v>0</v>
      </c>
      <c r="BK90" s="56">
        <v>0</v>
      </c>
      <c r="BL90" s="56">
        <v>0</v>
      </c>
      <c r="BM90" s="56">
        <v>0</v>
      </c>
      <c r="BN90" s="56">
        <v>0</v>
      </c>
      <c r="BO90" s="56">
        <v>0</v>
      </c>
      <c r="BP90" s="54" t="s">
        <v>1049</v>
      </c>
      <c r="BQ90" s="54" t="s">
        <v>1050</v>
      </c>
      <c r="BR90" s="54" t="s">
        <v>1049</v>
      </c>
      <c r="BS90" s="54" t="s">
        <v>1050</v>
      </c>
      <c r="BT90" s="54" t="s">
        <v>1051</v>
      </c>
      <c r="BU90" s="54" t="s">
        <v>1043</v>
      </c>
      <c r="BV90" s="58">
        <v>60</v>
      </c>
      <c r="BW90" s="54" t="s">
        <v>1052</v>
      </c>
      <c r="BX90" s="54" t="s">
        <v>1053</v>
      </c>
      <c r="BY90" s="54" t="s">
        <v>1054</v>
      </c>
      <c r="BZ90" s="54" t="s">
        <v>1055</v>
      </c>
      <c r="CA90" s="55"/>
      <c r="CB90" s="54" t="s">
        <v>1056</v>
      </c>
      <c r="CC90" s="54" t="s">
        <v>1057</v>
      </c>
      <c r="CD90" s="54" t="s">
        <v>1200</v>
      </c>
      <c r="CE90" s="54" t="s">
        <v>1201</v>
      </c>
      <c r="CF90" s="54" t="s">
        <v>1202</v>
      </c>
      <c r="CG90" s="54" t="s">
        <v>1203</v>
      </c>
      <c r="CH90" s="54" t="s">
        <v>1204</v>
      </c>
      <c r="CI90" s="54" t="s">
        <v>1203</v>
      </c>
      <c r="CJ90" s="54" t="s">
        <v>1064</v>
      </c>
      <c r="CK90" s="54" t="s">
        <v>1065</v>
      </c>
      <c r="CL90" s="54" t="s">
        <v>1205</v>
      </c>
      <c r="CM90" s="54" t="s">
        <v>1206</v>
      </c>
      <c r="CN90" s="54" t="s">
        <v>1068</v>
      </c>
      <c r="CO90" s="54" t="s">
        <v>1069</v>
      </c>
      <c r="CP90" s="56">
        <v>0</v>
      </c>
      <c r="CQ90" s="56">
        <v>0</v>
      </c>
      <c r="CR90" s="56">
        <v>0</v>
      </c>
      <c r="CS90" s="56">
        <v>0</v>
      </c>
      <c r="CT90" s="56">
        <v>0</v>
      </c>
      <c r="CU90" s="56">
        <v>0</v>
      </c>
      <c r="CV90" s="56">
        <v>0</v>
      </c>
      <c r="CW90" s="56">
        <v>0</v>
      </c>
      <c r="CX90" s="56">
        <v>0</v>
      </c>
      <c r="CY90" s="56">
        <v>0</v>
      </c>
      <c r="CZ90" s="56">
        <v>0</v>
      </c>
      <c r="DA90" s="56">
        <v>0</v>
      </c>
      <c r="DB90" s="56">
        <v>0</v>
      </c>
      <c r="DC90" s="56">
        <v>0</v>
      </c>
      <c r="DD90" s="56">
        <v>0</v>
      </c>
      <c r="DE90" s="56">
        <v>0</v>
      </c>
      <c r="DF90" s="56">
        <v>0</v>
      </c>
      <c r="DG90" s="56">
        <v>0</v>
      </c>
      <c r="DH90" s="56">
        <v>0</v>
      </c>
      <c r="DI90" s="56">
        <v>0</v>
      </c>
      <c r="DJ90" s="56">
        <v>0</v>
      </c>
      <c r="DK90" s="56">
        <v>0</v>
      </c>
      <c r="DL90" s="56">
        <v>0</v>
      </c>
      <c r="DM90" s="56">
        <v>0</v>
      </c>
      <c r="DN90" s="56">
        <v>0</v>
      </c>
      <c r="DO90" s="56">
        <v>0</v>
      </c>
      <c r="DP90" s="56">
        <v>0</v>
      </c>
      <c r="DQ90" s="56">
        <v>0</v>
      </c>
      <c r="DR90" s="56">
        <v>0</v>
      </c>
      <c r="DS90" s="56">
        <v>0</v>
      </c>
      <c r="DT90" s="56">
        <v>0</v>
      </c>
      <c r="DU90" s="56">
        <v>0</v>
      </c>
      <c r="DV90" s="56">
        <v>0</v>
      </c>
      <c r="DW90" s="56">
        <v>0</v>
      </c>
      <c r="DX90" s="56">
        <v>0</v>
      </c>
      <c r="DY90" s="56">
        <v>0</v>
      </c>
      <c r="DZ90" s="56">
        <v>0</v>
      </c>
      <c r="EA90" s="56">
        <v>0</v>
      </c>
      <c r="EB90" s="56">
        <v>0</v>
      </c>
      <c r="EC90" s="56">
        <v>0</v>
      </c>
      <c r="ED90" s="56">
        <v>0</v>
      </c>
      <c r="EE90" s="56">
        <v>0</v>
      </c>
      <c r="EF90" s="56">
        <v>0</v>
      </c>
      <c r="EG90" s="56">
        <v>0</v>
      </c>
      <c r="EH90" s="56">
        <v>22.1</v>
      </c>
      <c r="EI90" s="56">
        <v>0</v>
      </c>
      <c r="EJ90" s="56">
        <v>0</v>
      </c>
      <c r="EK90" s="56">
        <v>0</v>
      </c>
      <c r="EL90" s="56">
        <v>0</v>
      </c>
      <c r="EM90" s="56">
        <v>0</v>
      </c>
      <c r="EN90" s="56">
        <v>0</v>
      </c>
      <c r="EO90" s="56">
        <v>0</v>
      </c>
      <c r="EP90" s="56">
        <v>0</v>
      </c>
      <c r="EQ90" s="56">
        <v>0</v>
      </c>
      <c r="ER90" s="56">
        <v>0</v>
      </c>
      <c r="ES90" s="56">
        <v>0</v>
      </c>
      <c r="ET90" s="56">
        <v>0</v>
      </c>
      <c r="EU90" s="56">
        <v>0</v>
      </c>
      <c r="EV90" s="56">
        <v>0</v>
      </c>
      <c r="EW90" s="56">
        <v>0</v>
      </c>
      <c r="EX90" s="56">
        <v>0</v>
      </c>
      <c r="EY90" s="56">
        <v>0</v>
      </c>
      <c r="EZ90" s="56">
        <v>0</v>
      </c>
      <c r="FA90" s="56">
        <v>0</v>
      </c>
      <c r="FB90" s="56">
        <v>0</v>
      </c>
      <c r="FC90" s="58">
        <v>0</v>
      </c>
      <c r="FD90" s="56">
        <v>0</v>
      </c>
      <c r="FE90" s="56">
        <v>0</v>
      </c>
      <c r="FF90" s="56">
        <v>0</v>
      </c>
      <c r="FG90" s="56">
        <v>0</v>
      </c>
      <c r="FH90" s="56">
        <v>0</v>
      </c>
      <c r="FI90" s="56">
        <v>0</v>
      </c>
      <c r="FJ90" s="56">
        <v>0</v>
      </c>
      <c r="FK90" s="56">
        <v>0</v>
      </c>
      <c r="FL90" s="56">
        <v>0</v>
      </c>
      <c r="FM90" s="56">
        <v>0</v>
      </c>
      <c r="FN90" s="56">
        <v>0</v>
      </c>
      <c r="FO90" s="56">
        <v>0</v>
      </c>
      <c r="FP90" s="56">
        <v>0</v>
      </c>
      <c r="FQ90" s="56">
        <v>0</v>
      </c>
      <c r="FR90" s="56">
        <v>0</v>
      </c>
      <c r="FS90" s="58">
        <v>0</v>
      </c>
      <c r="FT90" s="56">
        <v>0</v>
      </c>
      <c r="FU90" s="56">
        <v>0</v>
      </c>
      <c r="FV90" s="56">
        <v>0</v>
      </c>
      <c r="FW90" s="56">
        <v>0</v>
      </c>
      <c r="FX90" s="56">
        <v>0</v>
      </c>
      <c r="FY90" s="56">
        <v>0</v>
      </c>
      <c r="FZ90" s="54" t="s">
        <v>1070</v>
      </c>
      <c r="GA90" s="54" t="s">
        <v>1071</v>
      </c>
      <c r="GB90" s="54" t="s">
        <v>1072</v>
      </c>
      <c r="GC90" s="54" t="s">
        <v>1073</v>
      </c>
      <c r="GD90" s="54" t="s">
        <v>1227</v>
      </c>
      <c r="GE90" s="54" t="s">
        <v>1201</v>
      </c>
      <c r="GF90" s="54"/>
      <c r="GG90" s="55"/>
      <c r="GH90" s="54"/>
      <c r="GI90" s="54"/>
      <c r="GJ90" s="54" t="s">
        <v>1076</v>
      </c>
      <c r="GK90" s="54" t="s">
        <v>1077</v>
      </c>
      <c r="GL90" s="54"/>
      <c r="GM90" s="54"/>
      <c r="GN90" s="54" t="s">
        <v>1208</v>
      </c>
      <c r="GO90" s="54" t="s">
        <v>1209</v>
      </c>
      <c r="GP90" s="54"/>
      <c r="GQ90" s="56">
        <v>0</v>
      </c>
      <c r="GR90" s="54" t="s">
        <v>1210</v>
      </c>
      <c r="GS90" s="54"/>
    </row>
    <row r="91" spans="1:201" x14ac:dyDescent="0.25">
      <c r="A91" s="54" t="s">
        <v>1032</v>
      </c>
      <c r="B91" s="54" t="s">
        <v>1033</v>
      </c>
      <c r="C91" s="54" t="s">
        <v>1197</v>
      </c>
      <c r="D91" s="54" t="s">
        <v>1035</v>
      </c>
      <c r="E91" s="54" t="s">
        <v>1036</v>
      </c>
      <c r="F91" s="55">
        <v>46175</v>
      </c>
      <c r="G91" s="55">
        <v>46175</v>
      </c>
      <c r="H91" s="54" t="s">
        <v>1037</v>
      </c>
      <c r="I91" s="54" t="s">
        <v>1038</v>
      </c>
      <c r="J91" s="54" t="s">
        <v>1039</v>
      </c>
      <c r="K91" s="55"/>
      <c r="L91" s="54" t="s">
        <v>1040</v>
      </c>
      <c r="M91" s="54"/>
      <c r="N91" s="54" t="s">
        <v>1198</v>
      </c>
      <c r="O91" s="54" t="s">
        <v>1126</v>
      </c>
      <c r="P91" s="54" t="s">
        <v>760</v>
      </c>
      <c r="Q91" s="54" t="s">
        <v>765</v>
      </c>
      <c r="R91" s="54" t="s">
        <v>1043</v>
      </c>
      <c r="S91" s="56">
        <v>930.6</v>
      </c>
      <c r="T91" s="56">
        <v>930.6</v>
      </c>
      <c r="U91" s="56">
        <v>0</v>
      </c>
      <c r="V91" s="56">
        <v>0</v>
      </c>
      <c r="W91" s="56">
        <v>0</v>
      </c>
      <c r="X91" s="56">
        <v>0</v>
      </c>
      <c r="Y91" s="56">
        <v>0</v>
      </c>
      <c r="Z91" s="56">
        <v>60</v>
      </c>
      <c r="AA91" s="56">
        <v>60</v>
      </c>
      <c r="AB91" s="59">
        <v>0</v>
      </c>
      <c r="AC91" s="56">
        <v>0</v>
      </c>
      <c r="AD91" s="56">
        <v>0</v>
      </c>
      <c r="AE91" s="56">
        <v>0</v>
      </c>
      <c r="AF91" s="54" t="s">
        <v>1199</v>
      </c>
      <c r="AG91" s="57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 t="s">
        <v>1045</v>
      </c>
      <c r="AS91" s="54" t="s">
        <v>1046</v>
      </c>
      <c r="AT91" s="54" t="s">
        <v>1047</v>
      </c>
      <c r="AU91" s="54" t="s">
        <v>1048</v>
      </c>
      <c r="AV91" s="54"/>
      <c r="AW91" s="55">
        <v>46189</v>
      </c>
      <c r="AX91" s="55">
        <v>46175</v>
      </c>
      <c r="AY91" s="55">
        <v>46175</v>
      </c>
      <c r="AZ91" s="55">
        <v>46176</v>
      </c>
      <c r="BA91" s="55">
        <v>46189</v>
      </c>
      <c r="BB91" s="56">
        <v>0</v>
      </c>
      <c r="BC91" s="56">
        <v>0</v>
      </c>
      <c r="BD91" s="56">
        <v>0</v>
      </c>
      <c r="BE91" s="56">
        <v>0</v>
      </c>
      <c r="BF91" s="56">
        <v>0</v>
      </c>
      <c r="BG91" s="56">
        <v>0</v>
      </c>
      <c r="BH91" s="56">
        <v>0</v>
      </c>
      <c r="BI91" s="56">
        <v>0</v>
      </c>
      <c r="BJ91" s="56">
        <v>0</v>
      </c>
      <c r="BK91" s="56">
        <v>0</v>
      </c>
      <c r="BL91" s="56">
        <v>0</v>
      </c>
      <c r="BM91" s="56">
        <v>0</v>
      </c>
      <c r="BN91" s="56">
        <v>0</v>
      </c>
      <c r="BO91" s="56">
        <v>0</v>
      </c>
      <c r="BP91" s="54" t="s">
        <v>1049</v>
      </c>
      <c r="BQ91" s="54" t="s">
        <v>1050</v>
      </c>
      <c r="BR91" s="54" t="s">
        <v>1049</v>
      </c>
      <c r="BS91" s="54" t="s">
        <v>1050</v>
      </c>
      <c r="BT91" s="54" t="s">
        <v>1051</v>
      </c>
      <c r="BU91" s="54" t="s">
        <v>1043</v>
      </c>
      <c r="BV91" s="58">
        <v>60</v>
      </c>
      <c r="BW91" s="54" t="s">
        <v>1052</v>
      </c>
      <c r="BX91" s="54" t="s">
        <v>1053</v>
      </c>
      <c r="BY91" s="54" t="s">
        <v>1054</v>
      </c>
      <c r="BZ91" s="54" t="s">
        <v>1055</v>
      </c>
      <c r="CA91" s="55"/>
      <c r="CB91" s="54" t="s">
        <v>1056</v>
      </c>
      <c r="CC91" s="54" t="s">
        <v>1057</v>
      </c>
      <c r="CD91" s="54" t="s">
        <v>1200</v>
      </c>
      <c r="CE91" s="54" t="s">
        <v>1201</v>
      </c>
      <c r="CF91" s="54" t="s">
        <v>1202</v>
      </c>
      <c r="CG91" s="54" t="s">
        <v>1203</v>
      </c>
      <c r="CH91" s="54" t="s">
        <v>1204</v>
      </c>
      <c r="CI91" s="54" t="s">
        <v>1203</v>
      </c>
      <c r="CJ91" s="54" t="s">
        <v>1064</v>
      </c>
      <c r="CK91" s="54" t="s">
        <v>1065</v>
      </c>
      <c r="CL91" s="54" t="s">
        <v>1205</v>
      </c>
      <c r="CM91" s="54" t="s">
        <v>1206</v>
      </c>
      <c r="CN91" s="54" t="s">
        <v>1068</v>
      </c>
      <c r="CO91" s="54" t="s">
        <v>1069</v>
      </c>
      <c r="CP91" s="56">
        <v>0</v>
      </c>
      <c r="CQ91" s="56">
        <v>0</v>
      </c>
      <c r="CR91" s="56">
        <v>0</v>
      </c>
      <c r="CS91" s="56">
        <v>0</v>
      </c>
      <c r="CT91" s="56">
        <v>0</v>
      </c>
      <c r="CU91" s="56">
        <v>0</v>
      </c>
      <c r="CV91" s="56">
        <v>0</v>
      </c>
      <c r="CW91" s="56">
        <v>0</v>
      </c>
      <c r="CX91" s="56">
        <v>0</v>
      </c>
      <c r="CY91" s="56">
        <v>0</v>
      </c>
      <c r="CZ91" s="56">
        <v>0</v>
      </c>
      <c r="DA91" s="56">
        <v>0</v>
      </c>
      <c r="DB91" s="56">
        <v>0</v>
      </c>
      <c r="DC91" s="56">
        <v>0</v>
      </c>
      <c r="DD91" s="56">
        <v>0</v>
      </c>
      <c r="DE91" s="56">
        <v>0</v>
      </c>
      <c r="DF91" s="56">
        <v>0</v>
      </c>
      <c r="DG91" s="56">
        <v>0</v>
      </c>
      <c r="DH91" s="56">
        <v>0</v>
      </c>
      <c r="DI91" s="56">
        <v>0</v>
      </c>
      <c r="DJ91" s="56">
        <v>0</v>
      </c>
      <c r="DK91" s="56">
        <v>0</v>
      </c>
      <c r="DL91" s="56">
        <v>0</v>
      </c>
      <c r="DM91" s="56">
        <v>0</v>
      </c>
      <c r="DN91" s="56">
        <v>0</v>
      </c>
      <c r="DO91" s="56">
        <v>0</v>
      </c>
      <c r="DP91" s="56">
        <v>0</v>
      </c>
      <c r="DQ91" s="56">
        <v>0</v>
      </c>
      <c r="DR91" s="56">
        <v>0</v>
      </c>
      <c r="DS91" s="56">
        <v>0</v>
      </c>
      <c r="DT91" s="56">
        <v>0</v>
      </c>
      <c r="DU91" s="56">
        <v>0</v>
      </c>
      <c r="DV91" s="56">
        <v>0</v>
      </c>
      <c r="DW91" s="56">
        <v>0</v>
      </c>
      <c r="DX91" s="56">
        <v>0</v>
      </c>
      <c r="DY91" s="56">
        <v>0</v>
      </c>
      <c r="DZ91" s="56">
        <v>0</v>
      </c>
      <c r="EA91" s="56">
        <v>0</v>
      </c>
      <c r="EB91" s="56">
        <v>0</v>
      </c>
      <c r="EC91" s="56">
        <v>0</v>
      </c>
      <c r="ED91" s="56">
        <v>0</v>
      </c>
      <c r="EE91" s="56">
        <v>0</v>
      </c>
      <c r="EF91" s="56">
        <v>0</v>
      </c>
      <c r="EG91" s="56">
        <v>0</v>
      </c>
      <c r="EH91" s="56">
        <v>111.67</v>
      </c>
      <c r="EI91" s="56">
        <v>0</v>
      </c>
      <c r="EJ91" s="56">
        <v>0</v>
      </c>
      <c r="EK91" s="56">
        <v>0</v>
      </c>
      <c r="EL91" s="56">
        <v>0</v>
      </c>
      <c r="EM91" s="56">
        <v>0</v>
      </c>
      <c r="EN91" s="56">
        <v>0</v>
      </c>
      <c r="EO91" s="56">
        <v>0</v>
      </c>
      <c r="EP91" s="56">
        <v>0</v>
      </c>
      <c r="EQ91" s="56">
        <v>0</v>
      </c>
      <c r="ER91" s="56">
        <v>0</v>
      </c>
      <c r="ES91" s="56">
        <v>0</v>
      </c>
      <c r="ET91" s="56">
        <v>0</v>
      </c>
      <c r="EU91" s="56">
        <v>0</v>
      </c>
      <c r="EV91" s="56">
        <v>0</v>
      </c>
      <c r="EW91" s="56">
        <v>0</v>
      </c>
      <c r="EX91" s="56">
        <v>0</v>
      </c>
      <c r="EY91" s="56">
        <v>0</v>
      </c>
      <c r="EZ91" s="56">
        <v>0</v>
      </c>
      <c r="FA91" s="56">
        <v>0</v>
      </c>
      <c r="FB91" s="56">
        <v>0</v>
      </c>
      <c r="FC91" s="58">
        <v>0</v>
      </c>
      <c r="FD91" s="56">
        <v>0</v>
      </c>
      <c r="FE91" s="56">
        <v>0</v>
      </c>
      <c r="FF91" s="56">
        <v>0</v>
      </c>
      <c r="FG91" s="56">
        <v>0</v>
      </c>
      <c r="FH91" s="56">
        <v>0</v>
      </c>
      <c r="FI91" s="56">
        <v>0</v>
      </c>
      <c r="FJ91" s="56">
        <v>0</v>
      </c>
      <c r="FK91" s="56">
        <v>0</v>
      </c>
      <c r="FL91" s="56">
        <v>0</v>
      </c>
      <c r="FM91" s="56">
        <v>0</v>
      </c>
      <c r="FN91" s="56">
        <v>0</v>
      </c>
      <c r="FO91" s="56">
        <v>0</v>
      </c>
      <c r="FP91" s="56">
        <v>0</v>
      </c>
      <c r="FQ91" s="56">
        <v>0</v>
      </c>
      <c r="FR91" s="56">
        <v>0</v>
      </c>
      <c r="FS91" s="58">
        <v>0</v>
      </c>
      <c r="FT91" s="56">
        <v>0</v>
      </c>
      <c r="FU91" s="56">
        <v>0</v>
      </c>
      <c r="FV91" s="56">
        <v>0</v>
      </c>
      <c r="FW91" s="56">
        <v>0</v>
      </c>
      <c r="FX91" s="56">
        <v>0</v>
      </c>
      <c r="FY91" s="56">
        <v>0</v>
      </c>
      <c r="FZ91" s="54" t="s">
        <v>1070</v>
      </c>
      <c r="GA91" s="54" t="s">
        <v>1071</v>
      </c>
      <c r="GB91" s="54" t="s">
        <v>1072</v>
      </c>
      <c r="GC91" s="54" t="s">
        <v>1073</v>
      </c>
      <c r="GD91" s="54"/>
      <c r="GE91" s="54"/>
      <c r="GF91" s="54"/>
      <c r="GG91" s="55"/>
      <c r="GH91" s="54"/>
      <c r="GI91" s="54"/>
      <c r="GJ91" s="54" t="s">
        <v>1076</v>
      </c>
      <c r="GK91" s="54" t="s">
        <v>1077</v>
      </c>
      <c r="GL91" s="54"/>
      <c r="GM91" s="54"/>
      <c r="GN91" s="54" t="s">
        <v>1208</v>
      </c>
      <c r="GO91" s="54" t="s">
        <v>1209</v>
      </c>
      <c r="GP91" s="54"/>
      <c r="GQ91" s="56">
        <v>0</v>
      </c>
      <c r="GR91" s="54" t="s">
        <v>1210</v>
      </c>
      <c r="GS91" s="54"/>
    </row>
    <row r="92" spans="1:201" x14ac:dyDescent="0.25">
      <c r="A92" s="54" t="s">
        <v>1032</v>
      </c>
      <c r="B92" s="54" t="s">
        <v>1033</v>
      </c>
      <c r="C92" s="54" t="s">
        <v>1197</v>
      </c>
      <c r="D92" s="54" t="s">
        <v>1035</v>
      </c>
      <c r="E92" s="54" t="s">
        <v>1036</v>
      </c>
      <c r="F92" s="55">
        <v>46175</v>
      </c>
      <c r="G92" s="55">
        <v>46175</v>
      </c>
      <c r="H92" s="54" t="s">
        <v>1037</v>
      </c>
      <c r="I92" s="54" t="s">
        <v>1038</v>
      </c>
      <c r="J92" s="54" t="s">
        <v>1039</v>
      </c>
      <c r="K92" s="55"/>
      <c r="L92" s="54" t="s">
        <v>1040</v>
      </c>
      <c r="M92" s="54"/>
      <c r="N92" s="54" t="s">
        <v>1198</v>
      </c>
      <c r="O92" s="54" t="s">
        <v>1128</v>
      </c>
      <c r="P92" s="54" t="s">
        <v>661</v>
      </c>
      <c r="Q92" s="54" t="s">
        <v>662</v>
      </c>
      <c r="R92" s="54" t="s">
        <v>1043</v>
      </c>
      <c r="S92" s="56">
        <v>850.2</v>
      </c>
      <c r="T92" s="56">
        <v>850.2</v>
      </c>
      <c r="U92" s="56">
        <v>0</v>
      </c>
      <c r="V92" s="56">
        <v>0</v>
      </c>
      <c r="W92" s="56">
        <v>0</v>
      </c>
      <c r="X92" s="56">
        <v>0</v>
      </c>
      <c r="Y92" s="56">
        <v>0</v>
      </c>
      <c r="Z92" s="56">
        <v>60</v>
      </c>
      <c r="AA92" s="56">
        <v>60</v>
      </c>
      <c r="AB92" s="59">
        <v>0</v>
      </c>
      <c r="AC92" s="56">
        <v>0</v>
      </c>
      <c r="AD92" s="56">
        <v>0</v>
      </c>
      <c r="AE92" s="56">
        <v>0</v>
      </c>
      <c r="AF92" s="54" t="s">
        <v>1199</v>
      </c>
      <c r="AG92" s="57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 t="s">
        <v>1045</v>
      </c>
      <c r="AS92" s="54" t="s">
        <v>1046</v>
      </c>
      <c r="AT92" s="54" t="s">
        <v>1047</v>
      </c>
      <c r="AU92" s="54" t="s">
        <v>1048</v>
      </c>
      <c r="AV92" s="54"/>
      <c r="AW92" s="55">
        <v>46189</v>
      </c>
      <c r="AX92" s="55">
        <v>46175</v>
      </c>
      <c r="AY92" s="55">
        <v>46175</v>
      </c>
      <c r="AZ92" s="55">
        <v>46176</v>
      </c>
      <c r="BA92" s="55">
        <v>46189</v>
      </c>
      <c r="BB92" s="56">
        <v>0</v>
      </c>
      <c r="BC92" s="56">
        <v>0</v>
      </c>
      <c r="BD92" s="56">
        <v>0</v>
      </c>
      <c r="BE92" s="56">
        <v>0</v>
      </c>
      <c r="BF92" s="56">
        <v>0</v>
      </c>
      <c r="BG92" s="56">
        <v>0</v>
      </c>
      <c r="BH92" s="56">
        <v>0</v>
      </c>
      <c r="BI92" s="56">
        <v>0</v>
      </c>
      <c r="BJ92" s="56">
        <v>0</v>
      </c>
      <c r="BK92" s="56">
        <v>0</v>
      </c>
      <c r="BL92" s="56">
        <v>0</v>
      </c>
      <c r="BM92" s="56">
        <v>0</v>
      </c>
      <c r="BN92" s="56">
        <v>0</v>
      </c>
      <c r="BO92" s="56">
        <v>0</v>
      </c>
      <c r="BP92" s="54" t="s">
        <v>1049</v>
      </c>
      <c r="BQ92" s="54" t="s">
        <v>1050</v>
      </c>
      <c r="BR92" s="54" t="s">
        <v>1049</v>
      </c>
      <c r="BS92" s="54" t="s">
        <v>1050</v>
      </c>
      <c r="BT92" s="54" t="s">
        <v>1051</v>
      </c>
      <c r="BU92" s="54" t="s">
        <v>1043</v>
      </c>
      <c r="BV92" s="58">
        <v>60</v>
      </c>
      <c r="BW92" s="54" t="s">
        <v>1052</v>
      </c>
      <c r="BX92" s="54" t="s">
        <v>1053</v>
      </c>
      <c r="BY92" s="54" t="s">
        <v>1054</v>
      </c>
      <c r="BZ92" s="54" t="s">
        <v>1055</v>
      </c>
      <c r="CA92" s="55"/>
      <c r="CB92" s="54" t="s">
        <v>1056</v>
      </c>
      <c r="CC92" s="54" t="s">
        <v>1057</v>
      </c>
      <c r="CD92" s="54" t="s">
        <v>1200</v>
      </c>
      <c r="CE92" s="54" t="s">
        <v>1201</v>
      </c>
      <c r="CF92" s="54" t="s">
        <v>1202</v>
      </c>
      <c r="CG92" s="54" t="s">
        <v>1203</v>
      </c>
      <c r="CH92" s="54" t="s">
        <v>1204</v>
      </c>
      <c r="CI92" s="54" t="s">
        <v>1203</v>
      </c>
      <c r="CJ92" s="54" t="s">
        <v>1064</v>
      </c>
      <c r="CK92" s="54" t="s">
        <v>1065</v>
      </c>
      <c r="CL92" s="54" t="s">
        <v>1205</v>
      </c>
      <c r="CM92" s="54" t="s">
        <v>1206</v>
      </c>
      <c r="CN92" s="54" t="s">
        <v>1068</v>
      </c>
      <c r="CO92" s="54" t="s">
        <v>1069</v>
      </c>
      <c r="CP92" s="56">
        <v>0</v>
      </c>
      <c r="CQ92" s="56">
        <v>0</v>
      </c>
      <c r="CR92" s="56">
        <v>0</v>
      </c>
      <c r="CS92" s="56">
        <v>0</v>
      </c>
      <c r="CT92" s="56">
        <v>0</v>
      </c>
      <c r="CU92" s="56">
        <v>0</v>
      </c>
      <c r="CV92" s="56">
        <v>0</v>
      </c>
      <c r="CW92" s="56">
        <v>0</v>
      </c>
      <c r="CX92" s="56">
        <v>0</v>
      </c>
      <c r="CY92" s="56">
        <v>0</v>
      </c>
      <c r="CZ92" s="56">
        <v>0</v>
      </c>
      <c r="DA92" s="56">
        <v>0</v>
      </c>
      <c r="DB92" s="56">
        <v>0</v>
      </c>
      <c r="DC92" s="56">
        <v>0</v>
      </c>
      <c r="DD92" s="56">
        <v>0</v>
      </c>
      <c r="DE92" s="56">
        <v>0</v>
      </c>
      <c r="DF92" s="56">
        <v>0</v>
      </c>
      <c r="DG92" s="56">
        <v>0</v>
      </c>
      <c r="DH92" s="56">
        <v>0</v>
      </c>
      <c r="DI92" s="56">
        <v>0</v>
      </c>
      <c r="DJ92" s="56">
        <v>0</v>
      </c>
      <c r="DK92" s="56">
        <v>0</v>
      </c>
      <c r="DL92" s="56">
        <v>0</v>
      </c>
      <c r="DM92" s="56">
        <v>0</v>
      </c>
      <c r="DN92" s="56">
        <v>0</v>
      </c>
      <c r="DO92" s="56">
        <v>0</v>
      </c>
      <c r="DP92" s="56">
        <v>0</v>
      </c>
      <c r="DQ92" s="56">
        <v>0</v>
      </c>
      <c r="DR92" s="56">
        <v>0</v>
      </c>
      <c r="DS92" s="56">
        <v>0</v>
      </c>
      <c r="DT92" s="56">
        <v>0</v>
      </c>
      <c r="DU92" s="56">
        <v>0</v>
      </c>
      <c r="DV92" s="56">
        <v>0</v>
      </c>
      <c r="DW92" s="56">
        <v>0</v>
      </c>
      <c r="DX92" s="56">
        <v>0</v>
      </c>
      <c r="DY92" s="56">
        <v>0</v>
      </c>
      <c r="DZ92" s="56">
        <v>0</v>
      </c>
      <c r="EA92" s="56">
        <v>0</v>
      </c>
      <c r="EB92" s="56">
        <v>0</v>
      </c>
      <c r="EC92" s="56">
        <v>0</v>
      </c>
      <c r="ED92" s="56">
        <v>0</v>
      </c>
      <c r="EE92" s="56">
        <v>0</v>
      </c>
      <c r="EF92" s="56">
        <v>0</v>
      </c>
      <c r="EG92" s="56">
        <v>0</v>
      </c>
      <c r="EH92" s="56">
        <v>102.02</v>
      </c>
      <c r="EI92" s="56">
        <v>0</v>
      </c>
      <c r="EJ92" s="56">
        <v>0</v>
      </c>
      <c r="EK92" s="56">
        <v>0</v>
      </c>
      <c r="EL92" s="56">
        <v>0</v>
      </c>
      <c r="EM92" s="56">
        <v>0</v>
      </c>
      <c r="EN92" s="56">
        <v>0</v>
      </c>
      <c r="EO92" s="56">
        <v>0</v>
      </c>
      <c r="EP92" s="56">
        <v>0</v>
      </c>
      <c r="EQ92" s="56">
        <v>0</v>
      </c>
      <c r="ER92" s="56">
        <v>0</v>
      </c>
      <c r="ES92" s="56">
        <v>0</v>
      </c>
      <c r="ET92" s="56">
        <v>0</v>
      </c>
      <c r="EU92" s="56">
        <v>0</v>
      </c>
      <c r="EV92" s="56">
        <v>0</v>
      </c>
      <c r="EW92" s="56">
        <v>0</v>
      </c>
      <c r="EX92" s="56">
        <v>0</v>
      </c>
      <c r="EY92" s="56">
        <v>0</v>
      </c>
      <c r="EZ92" s="56">
        <v>0</v>
      </c>
      <c r="FA92" s="56">
        <v>0</v>
      </c>
      <c r="FB92" s="56">
        <v>0</v>
      </c>
      <c r="FC92" s="58">
        <v>0</v>
      </c>
      <c r="FD92" s="56">
        <v>0</v>
      </c>
      <c r="FE92" s="56">
        <v>0</v>
      </c>
      <c r="FF92" s="56">
        <v>0</v>
      </c>
      <c r="FG92" s="56">
        <v>0</v>
      </c>
      <c r="FH92" s="56">
        <v>0</v>
      </c>
      <c r="FI92" s="56">
        <v>0</v>
      </c>
      <c r="FJ92" s="56">
        <v>0</v>
      </c>
      <c r="FK92" s="56">
        <v>0</v>
      </c>
      <c r="FL92" s="56">
        <v>0</v>
      </c>
      <c r="FM92" s="56">
        <v>0</v>
      </c>
      <c r="FN92" s="56">
        <v>0</v>
      </c>
      <c r="FO92" s="56">
        <v>0</v>
      </c>
      <c r="FP92" s="56">
        <v>0</v>
      </c>
      <c r="FQ92" s="56">
        <v>0</v>
      </c>
      <c r="FR92" s="56">
        <v>0</v>
      </c>
      <c r="FS92" s="58">
        <v>0</v>
      </c>
      <c r="FT92" s="56">
        <v>0</v>
      </c>
      <c r="FU92" s="56">
        <v>0</v>
      </c>
      <c r="FV92" s="56">
        <v>0</v>
      </c>
      <c r="FW92" s="56">
        <v>0</v>
      </c>
      <c r="FX92" s="56">
        <v>0</v>
      </c>
      <c r="FY92" s="56">
        <v>0</v>
      </c>
      <c r="FZ92" s="54" t="s">
        <v>1070</v>
      </c>
      <c r="GA92" s="54" t="s">
        <v>1071</v>
      </c>
      <c r="GB92" s="54" t="s">
        <v>1072</v>
      </c>
      <c r="GC92" s="54" t="s">
        <v>1073</v>
      </c>
      <c r="GD92" s="54"/>
      <c r="GE92" s="54"/>
      <c r="GF92" s="54"/>
      <c r="GG92" s="55"/>
      <c r="GH92" s="54"/>
      <c r="GI92" s="54"/>
      <c r="GJ92" s="54" t="s">
        <v>1076</v>
      </c>
      <c r="GK92" s="54" t="s">
        <v>1077</v>
      </c>
      <c r="GL92" s="54"/>
      <c r="GM92" s="54"/>
      <c r="GN92" s="54" t="s">
        <v>1208</v>
      </c>
      <c r="GO92" s="54" t="s">
        <v>1209</v>
      </c>
      <c r="GP92" s="54"/>
      <c r="GQ92" s="56">
        <v>0</v>
      </c>
      <c r="GR92" s="54" t="s">
        <v>1210</v>
      </c>
      <c r="GS92" s="54"/>
    </row>
    <row r="93" spans="1:201" x14ac:dyDescent="0.25">
      <c r="A93" s="54" t="s">
        <v>1032</v>
      </c>
      <c r="B93" s="54" t="s">
        <v>1033</v>
      </c>
      <c r="C93" s="54" t="s">
        <v>1197</v>
      </c>
      <c r="D93" s="54" t="s">
        <v>1035</v>
      </c>
      <c r="E93" s="54" t="s">
        <v>1036</v>
      </c>
      <c r="F93" s="55">
        <v>46175</v>
      </c>
      <c r="G93" s="55">
        <v>46175</v>
      </c>
      <c r="H93" s="54" t="s">
        <v>1037</v>
      </c>
      <c r="I93" s="54" t="s">
        <v>1038</v>
      </c>
      <c r="J93" s="54" t="s">
        <v>1039</v>
      </c>
      <c r="K93" s="55"/>
      <c r="L93" s="54" t="s">
        <v>1040</v>
      </c>
      <c r="M93" s="54"/>
      <c r="N93" s="54" t="s">
        <v>1198</v>
      </c>
      <c r="O93" s="54" t="s">
        <v>1130</v>
      </c>
      <c r="P93" s="54" t="s">
        <v>269</v>
      </c>
      <c r="Q93" s="54" t="s">
        <v>110</v>
      </c>
      <c r="R93" s="54" t="s">
        <v>1043</v>
      </c>
      <c r="S93" s="56">
        <v>316.8</v>
      </c>
      <c r="T93" s="56">
        <v>316.8</v>
      </c>
      <c r="U93" s="56">
        <v>0</v>
      </c>
      <c r="V93" s="56">
        <v>0</v>
      </c>
      <c r="W93" s="56">
        <v>0</v>
      </c>
      <c r="X93" s="56">
        <v>0</v>
      </c>
      <c r="Y93" s="56">
        <v>0</v>
      </c>
      <c r="Z93" s="56">
        <v>240</v>
      </c>
      <c r="AA93" s="56">
        <v>240</v>
      </c>
      <c r="AB93" s="59">
        <v>0</v>
      </c>
      <c r="AC93" s="56">
        <v>0</v>
      </c>
      <c r="AD93" s="56">
        <v>0</v>
      </c>
      <c r="AE93" s="56">
        <v>0</v>
      </c>
      <c r="AF93" s="54" t="s">
        <v>1199</v>
      </c>
      <c r="AG93" s="57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 t="s">
        <v>1045</v>
      </c>
      <c r="AS93" s="54" t="s">
        <v>1046</v>
      </c>
      <c r="AT93" s="54" t="s">
        <v>1047</v>
      </c>
      <c r="AU93" s="54" t="s">
        <v>1048</v>
      </c>
      <c r="AV93" s="54"/>
      <c r="AW93" s="55">
        <v>46189</v>
      </c>
      <c r="AX93" s="55">
        <v>46175</v>
      </c>
      <c r="AY93" s="55">
        <v>46175</v>
      </c>
      <c r="AZ93" s="55">
        <v>46176</v>
      </c>
      <c r="BA93" s="55">
        <v>46189</v>
      </c>
      <c r="BB93" s="56">
        <v>0</v>
      </c>
      <c r="BC93" s="56">
        <v>0</v>
      </c>
      <c r="BD93" s="56">
        <v>0</v>
      </c>
      <c r="BE93" s="56">
        <v>0</v>
      </c>
      <c r="BF93" s="56">
        <v>0</v>
      </c>
      <c r="BG93" s="56">
        <v>0</v>
      </c>
      <c r="BH93" s="56">
        <v>0</v>
      </c>
      <c r="BI93" s="56">
        <v>0</v>
      </c>
      <c r="BJ93" s="56">
        <v>0</v>
      </c>
      <c r="BK93" s="56">
        <v>0</v>
      </c>
      <c r="BL93" s="56">
        <v>0</v>
      </c>
      <c r="BM93" s="56">
        <v>0</v>
      </c>
      <c r="BN93" s="56">
        <v>0</v>
      </c>
      <c r="BO93" s="56">
        <v>0</v>
      </c>
      <c r="BP93" s="54" t="s">
        <v>1049</v>
      </c>
      <c r="BQ93" s="54" t="s">
        <v>1050</v>
      </c>
      <c r="BR93" s="54" t="s">
        <v>1049</v>
      </c>
      <c r="BS93" s="54" t="s">
        <v>1050</v>
      </c>
      <c r="BT93" s="54" t="s">
        <v>1051</v>
      </c>
      <c r="BU93" s="54" t="s">
        <v>1043</v>
      </c>
      <c r="BV93" s="58">
        <v>240</v>
      </c>
      <c r="BW93" s="54" t="s">
        <v>1052</v>
      </c>
      <c r="BX93" s="54" t="s">
        <v>1053</v>
      </c>
      <c r="BY93" s="54" t="s">
        <v>1054</v>
      </c>
      <c r="BZ93" s="54" t="s">
        <v>1055</v>
      </c>
      <c r="CA93" s="55"/>
      <c r="CB93" s="54" t="s">
        <v>1056</v>
      </c>
      <c r="CC93" s="54" t="s">
        <v>1057</v>
      </c>
      <c r="CD93" s="54" t="s">
        <v>1200</v>
      </c>
      <c r="CE93" s="54" t="s">
        <v>1201</v>
      </c>
      <c r="CF93" s="54" t="s">
        <v>1202</v>
      </c>
      <c r="CG93" s="54" t="s">
        <v>1203</v>
      </c>
      <c r="CH93" s="54" t="s">
        <v>1204</v>
      </c>
      <c r="CI93" s="54" t="s">
        <v>1203</v>
      </c>
      <c r="CJ93" s="54" t="s">
        <v>1064</v>
      </c>
      <c r="CK93" s="54" t="s">
        <v>1065</v>
      </c>
      <c r="CL93" s="54" t="s">
        <v>1205</v>
      </c>
      <c r="CM93" s="54" t="s">
        <v>1206</v>
      </c>
      <c r="CN93" s="54" t="s">
        <v>1068</v>
      </c>
      <c r="CO93" s="54" t="s">
        <v>1069</v>
      </c>
      <c r="CP93" s="56">
        <v>0</v>
      </c>
      <c r="CQ93" s="56">
        <v>0</v>
      </c>
      <c r="CR93" s="56">
        <v>0</v>
      </c>
      <c r="CS93" s="56">
        <v>0</v>
      </c>
      <c r="CT93" s="56">
        <v>0</v>
      </c>
      <c r="CU93" s="56">
        <v>0</v>
      </c>
      <c r="CV93" s="56">
        <v>0</v>
      </c>
      <c r="CW93" s="56">
        <v>0</v>
      </c>
      <c r="CX93" s="56">
        <v>0</v>
      </c>
      <c r="CY93" s="56">
        <v>0</v>
      </c>
      <c r="CZ93" s="56">
        <v>0</v>
      </c>
      <c r="DA93" s="56">
        <v>0</v>
      </c>
      <c r="DB93" s="56">
        <v>0</v>
      </c>
      <c r="DC93" s="56">
        <v>0</v>
      </c>
      <c r="DD93" s="56">
        <v>0</v>
      </c>
      <c r="DE93" s="56">
        <v>0</v>
      </c>
      <c r="DF93" s="56">
        <v>0</v>
      </c>
      <c r="DG93" s="56">
        <v>0</v>
      </c>
      <c r="DH93" s="56">
        <v>0</v>
      </c>
      <c r="DI93" s="56">
        <v>0</v>
      </c>
      <c r="DJ93" s="56">
        <v>0</v>
      </c>
      <c r="DK93" s="56">
        <v>0</v>
      </c>
      <c r="DL93" s="56">
        <v>0</v>
      </c>
      <c r="DM93" s="56">
        <v>0</v>
      </c>
      <c r="DN93" s="56">
        <v>0</v>
      </c>
      <c r="DO93" s="56">
        <v>0</v>
      </c>
      <c r="DP93" s="56">
        <v>0</v>
      </c>
      <c r="DQ93" s="56">
        <v>0</v>
      </c>
      <c r="DR93" s="56">
        <v>0</v>
      </c>
      <c r="DS93" s="56">
        <v>0</v>
      </c>
      <c r="DT93" s="56">
        <v>0</v>
      </c>
      <c r="DU93" s="56">
        <v>0</v>
      </c>
      <c r="DV93" s="56">
        <v>0</v>
      </c>
      <c r="DW93" s="56">
        <v>0</v>
      </c>
      <c r="DX93" s="56">
        <v>0</v>
      </c>
      <c r="DY93" s="56">
        <v>0</v>
      </c>
      <c r="DZ93" s="56">
        <v>0</v>
      </c>
      <c r="EA93" s="56">
        <v>0</v>
      </c>
      <c r="EB93" s="56">
        <v>0</v>
      </c>
      <c r="EC93" s="56">
        <v>0</v>
      </c>
      <c r="ED93" s="56">
        <v>0</v>
      </c>
      <c r="EE93" s="56">
        <v>0</v>
      </c>
      <c r="EF93" s="56">
        <v>0</v>
      </c>
      <c r="EG93" s="56">
        <v>0</v>
      </c>
      <c r="EH93" s="56">
        <v>38.020000000000003</v>
      </c>
      <c r="EI93" s="56">
        <v>0</v>
      </c>
      <c r="EJ93" s="56">
        <v>0</v>
      </c>
      <c r="EK93" s="56">
        <v>0</v>
      </c>
      <c r="EL93" s="56">
        <v>0</v>
      </c>
      <c r="EM93" s="56">
        <v>0</v>
      </c>
      <c r="EN93" s="56">
        <v>0</v>
      </c>
      <c r="EO93" s="56">
        <v>0</v>
      </c>
      <c r="EP93" s="56">
        <v>0</v>
      </c>
      <c r="EQ93" s="56">
        <v>0</v>
      </c>
      <c r="ER93" s="56">
        <v>0</v>
      </c>
      <c r="ES93" s="56">
        <v>0</v>
      </c>
      <c r="ET93" s="56">
        <v>0</v>
      </c>
      <c r="EU93" s="56">
        <v>0</v>
      </c>
      <c r="EV93" s="56">
        <v>0</v>
      </c>
      <c r="EW93" s="56">
        <v>0</v>
      </c>
      <c r="EX93" s="56">
        <v>0</v>
      </c>
      <c r="EY93" s="56">
        <v>0</v>
      </c>
      <c r="EZ93" s="56">
        <v>0</v>
      </c>
      <c r="FA93" s="56">
        <v>0</v>
      </c>
      <c r="FB93" s="56">
        <v>0</v>
      </c>
      <c r="FC93" s="58">
        <v>0</v>
      </c>
      <c r="FD93" s="56">
        <v>0</v>
      </c>
      <c r="FE93" s="56">
        <v>0</v>
      </c>
      <c r="FF93" s="56">
        <v>0</v>
      </c>
      <c r="FG93" s="56">
        <v>0</v>
      </c>
      <c r="FH93" s="56">
        <v>0</v>
      </c>
      <c r="FI93" s="56">
        <v>0</v>
      </c>
      <c r="FJ93" s="56">
        <v>0</v>
      </c>
      <c r="FK93" s="56">
        <v>0</v>
      </c>
      <c r="FL93" s="56">
        <v>0</v>
      </c>
      <c r="FM93" s="56">
        <v>0</v>
      </c>
      <c r="FN93" s="56">
        <v>0</v>
      </c>
      <c r="FO93" s="56">
        <v>0</v>
      </c>
      <c r="FP93" s="56">
        <v>0</v>
      </c>
      <c r="FQ93" s="56">
        <v>0</v>
      </c>
      <c r="FR93" s="56">
        <v>0</v>
      </c>
      <c r="FS93" s="58">
        <v>0</v>
      </c>
      <c r="FT93" s="56">
        <v>0</v>
      </c>
      <c r="FU93" s="56">
        <v>0</v>
      </c>
      <c r="FV93" s="56">
        <v>0</v>
      </c>
      <c r="FW93" s="56">
        <v>0</v>
      </c>
      <c r="FX93" s="56">
        <v>0</v>
      </c>
      <c r="FY93" s="56">
        <v>0</v>
      </c>
      <c r="FZ93" s="54" t="s">
        <v>1070</v>
      </c>
      <c r="GA93" s="54" t="s">
        <v>1071</v>
      </c>
      <c r="GB93" s="54" t="s">
        <v>1072</v>
      </c>
      <c r="GC93" s="54" t="s">
        <v>1073</v>
      </c>
      <c r="GD93" s="54" t="s">
        <v>1228</v>
      </c>
      <c r="GE93" s="54" t="s">
        <v>1201</v>
      </c>
      <c r="GF93" s="54"/>
      <c r="GG93" s="55"/>
      <c r="GH93" s="54"/>
      <c r="GI93" s="54"/>
      <c r="GJ93" s="54" t="s">
        <v>1076</v>
      </c>
      <c r="GK93" s="54" t="s">
        <v>1077</v>
      </c>
      <c r="GL93" s="54"/>
      <c r="GM93" s="54"/>
      <c r="GN93" s="54" t="s">
        <v>1208</v>
      </c>
      <c r="GO93" s="54" t="s">
        <v>1209</v>
      </c>
      <c r="GP93" s="54"/>
      <c r="GQ93" s="56">
        <v>0</v>
      </c>
      <c r="GR93" s="54" t="s">
        <v>1210</v>
      </c>
      <c r="GS93" s="54"/>
    </row>
    <row r="94" spans="1:201" x14ac:dyDescent="0.25">
      <c r="A94" s="54" t="s">
        <v>1032</v>
      </c>
      <c r="B94" s="54" t="s">
        <v>1033</v>
      </c>
      <c r="C94" s="54" t="s">
        <v>1197</v>
      </c>
      <c r="D94" s="54" t="s">
        <v>1035</v>
      </c>
      <c r="E94" s="54" t="s">
        <v>1036</v>
      </c>
      <c r="F94" s="55">
        <v>46175</v>
      </c>
      <c r="G94" s="55">
        <v>46175</v>
      </c>
      <c r="H94" s="54" t="s">
        <v>1037</v>
      </c>
      <c r="I94" s="54" t="s">
        <v>1038</v>
      </c>
      <c r="J94" s="54" t="s">
        <v>1039</v>
      </c>
      <c r="K94" s="55"/>
      <c r="L94" s="54" t="s">
        <v>1040</v>
      </c>
      <c r="M94" s="54"/>
      <c r="N94" s="54" t="s">
        <v>1198</v>
      </c>
      <c r="O94" s="54" t="s">
        <v>1131</v>
      </c>
      <c r="P94" s="54" t="s">
        <v>551</v>
      </c>
      <c r="Q94" s="54" t="s">
        <v>565</v>
      </c>
      <c r="R94" s="54" t="s">
        <v>1043</v>
      </c>
      <c r="S94" s="56">
        <v>1238.72</v>
      </c>
      <c r="T94" s="56">
        <v>1238.72</v>
      </c>
      <c r="U94" s="56">
        <v>0</v>
      </c>
      <c r="V94" s="56">
        <v>0</v>
      </c>
      <c r="W94" s="56">
        <v>0</v>
      </c>
      <c r="X94" s="56">
        <v>0</v>
      </c>
      <c r="Y94" s="56">
        <v>0</v>
      </c>
      <c r="Z94" s="56">
        <v>79</v>
      </c>
      <c r="AA94" s="56">
        <v>79</v>
      </c>
      <c r="AB94" s="59">
        <v>0</v>
      </c>
      <c r="AC94" s="56">
        <v>0</v>
      </c>
      <c r="AD94" s="56">
        <v>0</v>
      </c>
      <c r="AE94" s="56">
        <v>0</v>
      </c>
      <c r="AF94" s="54" t="s">
        <v>1199</v>
      </c>
      <c r="AG94" s="57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 t="s">
        <v>1045</v>
      </c>
      <c r="AS94" s="54" t="s">
        <v>1046</v>
      </c>
      <c r="AT94" s="54" t="s">
        <v>1047</v>
      </c>
      <c r="AU94" s="54" t="s">
        <v>1048</v>
      </c>
      <c r="AV94" s="54"/>
      <c r="AW94" s="55">
        <v>46189</v>
      </c>
      <c r="AX94" s="55">
        <v>46175</v>
      </c>
      <c r="AY94" s="55">
        <v>46175</v>
      </c>
      <c r="AZ94" s="55">
        <v>46176</v>
      </c>
      <c r="BA94" s="55">
        <v>46189</v>
      </c>
      <c r="BB94" s="56">
        <v>0</v>
      </c>
      <c r="BC94" s="56">
        <v>0</v>
      </c>
      <c r="BD94" s="56">
        <v>0</v>
      </c>
      <c r="BE94" s="56">
        <v>0</v>
      </c>
      <c r="BF94" s="56">
        <v>0</v>
      </c>
      <c r="BG94" s="56">
        <v>0</v>
      </c>
      <c r="BH94" s="56">
        <v>0</v>
      </c>
      <c r="BI94" s="56">
        <v>0</v>
      </c>
      <c r="BJ94" s="56">
        <v>0</v>
      </c>
      <c r="BK94" s="56">
        <v>0</v>
      </c>
      <c r="BL94" s="56">
        <v>0</v>
      </c>
      <c r="BM94" s="56">
        <v>0</v>
      </c>
      <c r="BN94" s="56">
        <v>0</v>
      </c>
      <c r="BO94" s="56">
        <v>0</v>
      </c>
      <c r="BP94" s="54" t="s">
        <v>1049</v>
      </c>
      <c r="BQ94" s="54" t="s">
        <v>1050</v>
      </c>
      <c r="BR94" s="54" t="s">
        <v>1049</v>
      </c>
      <c r="BS94" s="54" t="s">
        <v>1050</v>
      </c>
      <c r="BT94" s="54" t="s">
        <v>1051</v>
      </c>
      <c r="BU94" s="54" t="s">
        <v>1043</v>
      </c>
      <c r="BV94" s="58">
        <v>79</v>
      </c>
      <c r="BW94" s="54" t="s">
        <v>1052</v>
      </c>
      <c r="BX94" s="54" t="s">
        <v>1053</v>
      </c>
      <c r="BY94" s="54" t="s">
        <v>1054</v>
      </c>
      <c r="BZ94" s="54" t="s">
        <v>1055</v>
      </c>
      <c r="CA94" s="55"/>
      <c r="CB94" s="54" t="s">
        <v>1056</v>
      </c>
      <c r="CC94" s="54" t="s">
        <v>1057</v>
      </c>
      <c r="CD94" s="54" t="s">
        <v>1200</v>
      </c>
      <c r="CE94" s="54" t="s">
        <v>1201</v>
      </c>
      <c r="CF94" s="54" t="s">
        <v>1202</v>
      </c>
      <c r="CG94" s="54" t="s">
        <v>1203</v>
      </c>
      <c r="CH94" s="54" t="s">
        <v>1204</v>
      </c>
      <c r="CI94" s="54" t="s">
        <v>1203</v>
      </c>
      <c r="CJ94" s="54" t="s">
        <v>1064</v>
      </c>
      <c r="CK94" s="54" t="s">
        <v>1065</v>
      </c>
      <c r="CL94" s="54" t="s">
        <v>1205</v>
      </c>
      <c r="CM94" s="54" t="s">
        <v>1206</v>
      </c>
      <c r="CN94" s="54" t="s">
        <v>1068</v>
      </c>
      <c r="CO94" s="54" t="s">
        <v>1069</v>
      </c>
      <c r="CP94" s="56">
        <v>0</v>
      </c>
      <c r="CQ94" s="56">
        <v>0</v>
      </c>
      <c r="CR94" s="56">
        <v>0</v>
      </c>
      <c r="CS94" s="56">
        <v>0</v>
      </c>
      <c r="CT94" s="56">
        <v>0</v>
      </c>
      <c r="CU94" s="56">
        <v>0</v>
      </c>
      <c r="CV94" s="56">
        <v>0</v>
      </c>
      <c r="CW94" s="56">
        <v>0</v>
      </c>
      <c r="CX94" s="56">
        <v>0</v>
      </c>
      <c r="CY94" s="56">
        <v>0</v>
      </c>
      <c r="CZ94" s="56">
        <v>0</v>
      </c>
      <c r="DA94" s="56">
        <v>0</v>
      </c>
      <c r="DB94" s="56">
        <v>0</v>
      </c>
      <c r="DC94" s="56">
        <v>0</v>
      </c>
      <c r="DD94" s="56">
        <v>0</v>
      </c>
      <c r="DE94" s="56">
        <v>0</v>
      </c>
      <c r="DF94" s="56">
        <v>0</v>
      </c>
      <c r="DG94" s="56">
        <v>0</v>
      </c>
      <c r="DH94" s="56">
        <v>0</v>
      </c>
      <c r="DI94" s="56">
        <v>0</v>
      </c>
      <c r="DJ94" s="56">
        <v>0</v>
      </c>
      <c r="DK94" s="56">
        <v>0</v>
      </c>
      <c r="DL94" s="56">
        <v>0</v>
      </c>
      <c r="DM94" s="56">
        <v>0</v>
      </c>
      <c r="DN94" s="56">
        <v>0</v>
      </c>
      <c r="DO94" s="56">
        <v>0</v>
      </c>
      <c r="DP94" s="56">
        <v>0</v>
      </c>
      <c r="DQ94" s="56">
        <v>0</v>
      </c>
      <c r="DR94" s="56">
        <v>0</v>
      </c>
      <c r="DS94" s="56">
        <v>0</v>
      </c>
      <c r="DT94" s="56">
        <v>0</v>
      </c>
      <c r="DU94" s="56">
        <v>0</v>
      </c>
      <c r="DV94" s="56">
        <v>0</v>
      </c>
      <c r="DW94" s="56">
        <v>0</v>
      </c>
      <c r="DX94" s="56">
        <v>0</v>
      </c>
      <c r="DY94" s="56">
        <v>0</v>
      </c>
      <c r="DZ94" s="56">
        <v>0</v>
      </c>
      <c r="EA94" s="56">
        <v>0</v>
      </c>
      <c r="EB94" s="56">
        <v>0</v>
      </c>
      <c r="EC94" s="56">
        <v>0</v>
      </c>
      <c r="ED94" s="56">
        <v>0</v>
      </c>
      <c r="EE94" s="56">
        <v>0</v>
      </c>
      <c r="EF94" s="56">
        <v>0</v>
      </c>
      <c r="EG94" s="56">
        <v>0</v>
      </c>
      <c r="EH94" s="56">
        <v>148.65</v>
      </c>
      <c r="EI94" s="56">
        <v>0</v>
      </c>
      <c r="EJ94" s="56">
        <v>0</v>
      </c>
      <c r="EK94" s="56">
        <v>0</v>
      </c>
      <c r="EL94" s="56">
        <v>0</v>
      </c>
      <c r="EM94" s="56">
        <v>0</v>
      </c>
      <c r="EN94" s="56">
        <v>0</v>
      </c>
      <c r="EO94" s="56">
        <v>0</v>
      </c>
      <c r="EP94" s="56">
        <v>0</v>
      </c>
      <c r="EQ94" s="56">
        <v>0</v>
      </c>
      <c r="ER94" s="56">
        <v>0</v>
      </c>
      <c r="ES94" s="56">
        <v>0</v>
      </c>
      <c r="ET94" s="56">
        <v>0</v>
      </c>
      <c r="EU94" s="56">
        <v>0</v>
      </c>
      <c r="EV94" s="56">
        <v>0</v>
      </c>
      <c r="EW94" s="56">
        <v>0</v>
      </c>
      <c r="EX94" s="56">
        <v>0</v>
      </c>
      <c r="EY94" s="56">
        <v>0</v>
      </c>
      <c r="EZ94" s="56">
        <v>0</v>
      </c>
      <c r="FA94" s="56">
        <v>0</v>
      </c>
      <c r="FB94" s="56">
        <v>0</v>
      </c>
      <c r="FC94" s="58">
        <v>0</v>
      </c>
      <c r="FD94" s="56">
        <v>0</v>
      </c>
      <c r="FE94" s="56">
        <v>0</v>
      </c>
      <c r="FF94" s="56">
        <v>0</v>
      </c>
      <c r="FG94" s="56">
        <v>0</v>
      </c>
      <c r="FH94" s="56">
        <v>0</v>
      </c>
      <c r="FI94" s="56">
        <v>0</v>
      </c>
      <c r="FJ94" s="56">
        <v>0</v>
      </c>
      <c r="FK94" s="56">
        <v>0</v>
      </c>
      <c r="FL94" s="56">
        <v>0</v>
      </c>
      <c r="FM94" s="56">
        <v>0</v>
      </c>
      <c r="FN94" s="56">
        <v>0</v>
      </c>
      <c r="FO94" s="56">
        <v>0</v>
      </c>
      <c r="FP94" s="56">
        <v>0</v>
      </c>
      <c r="FQ94" s="56">
        <v>0</v>
      </c>
      <c r="FR94" s="56">
        <v>0</v>
      </c>
      <c r="FS94" s="58">
        <v>0</v>
      </c>
      <c r="FT94" s="56">
        <v>0</v>
      </c>
      <c r="FU94" s="56">
        <v>0</v>
      </c>
      <c r="FV94" s="56">
        <v>0</v>
      </c>
      <c r="FW94" s="56">
        <v>0</v>
      </c>
      <c r="FX94" s="56">
        <v>0</v>
      </c>
      <c r="FY94" s="56">
        <v>0</v>
      </c>
      <c r="FZ94" s="54" t="s">
        <v>1083</v>
      </c>
      <c r="GA94" s="54" t="s">
        <v>1084</v>
      </c>
      <c r="GB94" s="54" t="s">
        <v>1072</v>
      </c>
      <c r="GC94" s="54" t="s">
        <v>1073</v>
      </c>
      <c r="GD94" s="54"/>
      <c r="GE94" s="54"/>
      <c r="GF94" s="54"/>
      <c r="GG94" s="55"/>
      <c r="GH94" s="54"/>
      <c r="GI94" s="54"/>
      <c r="GJ94" s="54" t="s">
        <v>1076</v>
      </c>
      <c r="GK94" s="54" t="s">
        <v>1077</v>
      </c>
      <c r="GL94" s="54"/>
      <c r="GM94" s="54"/>
      <c r="GN94" s="54" t="s">
        <v>1208</v>
      </c>
      <c r="GO94" s="54" t="s">
        <v>1209</v>
      </c>
      <c r="GP94" s="54"/>
      <c r="GQ94" s="56">
        <v>0</v>
      </c>
      <c r="GR94" s="54" t="s">
        <v>1210</v>
      </c>
      <c r="GS94" s="54"/>
    </row>
    <row r="95" spans="1:201" x14ac:dyDescent="0.25">
      <c r="A95" s="54" t="s">
        <v>1032</v>
      </c>
      <c r="B95" s="54" t="s">
        <v>1033</v>
      </c>
      <c r="C95" s="54" t="s">
        <v>1197</v>
      </c>
      <c r="D95" s="54" t="s">
        <v>1035</v>
      </c>
      <c r="E95" s="54" t="s">
        <v>1036</v>
      </c>
      <c r="F95" s="55">
        <v>46175</v>
      </c>
      <c r="G95" s="55">
        <v>46175</v>
      </c>
      <c r="H95" s="54" t="s">
        <v>1037</v>
      </c>
      <c r="I95" s="54" t="s">
        <v>1038</v>
      </c>
      <c r="J95" s="54" t="s">
        <v>1039</v>
      </c>
      <c r="K95" s="55"/>
      <c r="L95" s="54" t="s">
        <v>1040</v>
      </c>
      <c r="M95" s="54"/>
      <c r="N95" s="54" t="s">
        <v>1198</v>
      </c>
      <c r="O95" s="54" t="s">
        <v>1132</v>
      </c>
      <c r="P95" s="54" t="s">
        <v>552</v>
      </c>
      <c r="Q95" s="54" t="s">
        <v>564</v>
      </c>
      <c r="R95" s="54" t="s">
        <v>1043</v>
      </c>
      <c r="S95" s="56">
        <v>1835.4</v>
      </c>
      <c r="T95" s="56">
        <v>1835.4</v>
      </c>
      <c r="U95" s="56">
        <v>0</v>
      </c>
      <c r="V95" s="56">
        <v>0</v>
      </c>
      <c r="W95" s="56">
        <v>0</v>
      </c>
      <c r="X95" s="56">
        <v>0</v>
      </c>
      <c r="Y95" s="56">
        <v>0</v>
      </c>
      <c r="Z95" s="56">
        <v>60</v>
      </c>
      <c r="AA95" s="56">
        <v>60</v>
      </c>
      <c r="AB95" s="59">
        <v>0</v>
      </c>
      <c r="AC95" s="56">
        <v>0</v>
      </c>
      <c r="AD95" s="56">
        <v>0</v>
      </c>
      <c r="AE95" s="56">
        <v>0</v>
      </c>
      <c r="AF95" s="54" t="s">
        <v>1199</v>
      </c>
      <c r="AG95" s="57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 t="s">
        <v>1045</v>
      </c>
      <c r="AS95" s="54" t="s">
        <v>1046</v>
      </c>
      <c r="AT95" s="54" t="s">
        <v>1047</v>
      </c>
      <c r="AU95" s="54" t="s">
        <v>1048</v>
      </c>
      <c r="AV95" s="54"/>
      <c r="AW95" s="55">
        <v>46189</v>
      </c>
      <c r="AX95" s="55">
        <v>46175</v>
      </c>
      <c r="AY95" s="55">
        <v>46175</v>
      </c>
      <c r="AZ95" s="55">
        <v>46176</v>
      </c>
      <c r="BA95" s="55">
        <v>46189</v>
      </c>
      <c r="BB95" s="56">
        <v>0</v>
      </c>
      <c r="BC95" s="56">
        <v>0</v>
      </c>
      <c r="BD95" s="56">
        <v>0</v>
      </c>
      <c r="BE95" s="56">
        <v>0</v>
      </c>
      <c r="BF95" s="56">
        <v>0</v>
      </c>
      <c r="BG95" s="56">
        <v>0</v>
      </c>
      <c r="BH95" s="56">
        <v>0</v>
      </c>
      <c r="BI95" s="56">
        <v>0</v>
      </c>
      <c r="BJ95" s="56">
        <v>0</v>
      </c>
      <c r="BK95" s="56">
        <v>0</v>
      </c>
      <c r="BL95" s="56">
        <v>0</v>
      </c>
      <c r="BM95" s="56">
        <v>0</v>
      </c>
      <c r="BN95" s="56">
        <v>0</v>
      </c>
      <c r="BO95" s="56">
        <v>0</v>
      </c>
      <c r="BP95" s="54" t="s">
        <v>1049</v>
      </c>
      <c r="BQ95" s="54" t="s">
        <v>1050</v>
      </c>
      <c r="BR95" s="54" t="s">
        <v>1049</v>
      </c>
      <c r="BS95" s="54" t="s">
        <v>1050</v>
      </c>
      <c r="BT95" s="54" t="s">
        <v>1051</v>
      </c>
      <c r="BU95" s="54" t="s">
        <v>1043</v>
      </c>
      <c r="BV95" s="58">
        <v>60</v>
      </c>
      <c r="BW95" s="54" t="s">
        <v>1052</v>
      </c>
      <c r="BX95" s="54" t="s">
        <v>1053</v>
      </c>
      <c r="BY95" s="54" t="s">
        <v>1054</v>
      </c>
      <c r="BZ95" s="54" t="s">
        <v>1055</v>
      </c>
      <c r="CA95" s="55"/>
      <c r="CB95" s="54" t="s">
        <v>1056</v>
      </c>
      <c r="CC95" s="54" t="s">
        <v>1057</v>
      </c>
      <c r="CD95" s="54" t="s">
        <v>1200</v>
      </c>
      <c r="CE95" s="54" t="s">
        <v>1201</v>
      </c>
      <c r="CF95" s="54" t="s">
        <v>1202</v>
      </c>
      <c r="CG95" s="54" t="s">
        <v>1203</v>
      </c>
      <c r="CH95" s="54" t="s">
        <v>1204</v>
      </c>
      <c r="CI95" s="54" t="s">
        <v>1203</v>
      </c>
      <c r="CJ95" s="54" t="s">
        <v>1064</v>
      </c>
      <c r="CK95" s="54" t="s">
        <v>1065</v>
      </c>
      <c r="CL95" s="54" t="s">
        <v>1205</v>
      </c>
      <c r="CM95" s="54" t="s">
        <v>1206</v>
      </c>
      <c r="CN95" s="54" t="s">
        <v>1068</v>
      </c>
      <c r="CO95" s="54" t="s">
        <v>1069</v>
      </c>
      <c r="CP95" s="56">
        <v>0</v>
      </c>
      <c r="CQ95" s="56">
        <v>0</v>
      </c>
      <c r="CR95" s="56">
        <v>0</v>
      </c>
      <c r="CS95" s="56">
        <v>0</v>
      </c>
      <c r="CT95" s="56">
        <v>0</v>
      </c>
      <c r="CU95" s="56">
        <v>0</v>
      </c>
      <c r="CV95" s="56">
        <v>0</v>
      </c>
      <c r="CW95" s="56">
        <v>0</v>
      </c>
      <c r="CX95" s="56">
        <v>0</v>
      </c>
      <c r="CY95" s="56">
        <v>0</v>
      </c>
      <c r="CZ95" s="56">
        <v>0</v>
      </c>
      <c r="DA95" s="56">
        <v>0</v>
      </c>
      <c r="DB95" s="56">
        <v>0</v>
      </c>
      <c r="DC95" s="56">
        <v>0</v>
      </c>
      <c r="DD95" s="56">
        <v>0</v>
      </c>
      <c r="DE95" s="56">
        <v>0</v>
      </c>
      <c r="DF95" s="56">
        <v>0</v>
      </c>
      <c r="DG95" s="56">
        <v>0</v>
      </c>
      <c r="DH95" s="56">
        <v>0</v>
      </c>
      <c r="DI95" s="56">
        <v>0</v>
      </c>
      <c r="DJ95" s="56">
        <v>0</v>
      </c>
      <c r="DK95" s="56">
        <v>0</v>
      </c>
      <c r="DL95" s="56">
        <v>0</v>
      </c>
      <c r="DM95" s="56">
        <v>0</v>
      </c>
      <c r="DN95" s="56">
        <v>0</v>
      </c>
      <c r="DO95" s="56">
        <v>0</v>
      </c>
      <c r="DP95" s="56">
        <v>0</v>
      </c>
      <c r="DQ95" s="56">
        <v>0</v>
      </c>
      <c r="DR95" s="56">
        <v>0</v>
      </c>
      <c r="DS95" s="56">
        <v>0</v>
      </c>
      <c r="DT95" s="56">
        <v>0</v>
      </c>
      <c r="DU95" s="56">
        <v>0</v>
      </c>
      <c r="DV95" s="56">
        <v>0</v>
      </c>
      <c r="DW95" s="56">
        <v>0</v>
      </c>
      <c r="DX95" s="56">
        <v>0</v>
      </c>
      <c r="DY95" s="56">
        <v>0</v>
      </c>
      <c r="DZ95" s="56">
        <v>0</v>
      </c>
      <c r="EA95" s="56">
        <v>0</v>
      </c>
      <c r="EB95" s="56">
        <v>0</v>
      </c>
      <c r="EC95" s="56">
        <v>0</v>
      </c>
      <c r="ED95" s="56">
        <v>0</v>
      </c>
      <c r="EE95" s="56">
        <v>0</v>
      </c>
      <c r="EF95" s="56">
        <v>0</v>
      </c>
      <c r="EG95" s="56">
        <v>0</v>
      </c>
      <c r="EH95" s="56">
        <v>220.25</v>
      </c>
      <c r="EI95" s="56">
        <v>0</v>
      </c>
      <c r="EJ95" s="56">
        <v>0</v>
      </c>
      <c r="EK95" s="56">
        <v>0</v>
      </c>
      <c r="EL95" s="56">
        <v>0</v>
      </c>
      <c r="EM95" s="56">
        <v>0</v>
      </c>
      <c r="EN95" s="56">
        <v>0</v>
      </c>
      <c r="EO95" s="56">
        <v>0</v>
      </c>
      <c r="EP95" s="56">
        <v>0</v>
      </c>
      <c r="EQ95" s="56">
        <v>0</v>
      </c>
      <c r="ER95" s="56">
        <v>0</v>
      </c>
      <c r="ES95" s="56">
        <v>0</v>
      </c>
      <c r="ET95" s="56">
        <v>0</v>
      </c>
      <c r="EU95" s="56">
        <v>0</v>
      </c>
      <c r="EV95" s="56">
        <v>0</v>
      </c>
      <c r="EW95" s="56">
        <v>0</v>
      </c>
      <c r="EX95" s="56">
        <v>0</v>
      </c>
      <c r="EY95" s="56">
        <v>0</v>
      </c>
      <c r="EZ95" s="56">
        <v>0</v>
      </c>
      <c r="FA95" s="56">
        <v>0</v>
      </c>
      <c r="FB95" s="56">
        <v>0</v>
      </c>
      <c r="FC95" s="58">
        <v>0</v>
      </c>
      <c r="FD95" s="56">
        <v>0</v>
      </c>
      <c r="FE95" s="56">
        <v>0</v>
      </c>
      <c r="FF95" s="56">
        <v>0</v>
      </c>
      <c r="FG95" s="56">
        <v>0</v>
      </c>
      <c r="FH95" s="56">
        <v>0</v>
      </c>
      <c r="FI95" s="56">
        <v>0</v>
      </c>
      <c r="FJ95" s="56">
        <v>0</v>
      </c>
      <c r="FK95" s="56">
        <v>0</v>
      </c>
      <c r="FL95" s="56">
        <v>0</v>
      </c>
      <c r="FM95" s="56">
        <v>0</v>
      </c>
      <c r="FN95" s="56">
        <v>0</v>
      </c>
      <c r="FO95" s="56">
        <v>0</v>
      </c>
      <c r="FP95" s="56">
        <v>0</v>
      </c>
      <c r="FQ95" s="56">
        <v>0</v>
      </c>
      <c r="FR95" s="56">
        <v>0</v>
      </c>
      <c r="FS95" s="58">
        <v>0</v>
      </c>
      <c r="FT95" s="56">
        <v>0</v>
      </c>
      <c r="FU95" s="56">
        <v>0</v>
      </c>
      <c r="FV95" s="56">
        <v>0</v>
      </c>
      <c r="FW95" s="56">
        <v>0</v>
      </c>
      <c r="FX95" s="56">
        <v>0</v>
      </c>
      <c r="FY95" s="56">
        <v>0</v>
      </c>
      <c r="FZ95" s="54" t="s">
        <v>1083</v>
      </c>
      <c r="GA95" s="54" t="s">
        <v>1084</v>
      </c>
      <c r="GB95" s="54" t="s">
        <v>1072</v>
      </c>
      <c r="GC95" s="54" t="s">
        <v>1073</v>
      </c>
      <c r="GD95" s="54"/>
      <c r="GE95" s="54"/>
      <c r="GF95" s="54"/>
      <c r="GG95" s="55"/>
      <c r="GH95" s="54"/>
      <c r="GI95" s="54"/>
      <c r="GJ95" s="54" t="s">
        <v>1076</v>
      </c>
      <c r="GK95" s="54" t="s">
        <v>1077</v>
      </c>
      <c r="GL95" s="54"/>
      <c r="GM95" s="54"/>
      <c r="GN95" s="54" t="s">
        <v>1208</v>
      </c>
      <c r="GO95" s="54" t="s">
        <v>1209</v>
      </c>
      <c r="GP95" s="54"/>
      <c r="GQ95" s="56">
        <v>0</v>
      </c>
      <c r="GR95" s="54" t="s">
        <v>1210</v>
      </c>
      <c r="GS95" s="54"/>
    </row>
    <row r="96" spans="1:201" x14ac:dyDescent="0.25">
      <c r="A96" s="54" t="s">
        <v>1032</v>
      </c>
      <c r="B96" s="54" t="s">
        <v>1033</v>
      </c>
      <c r="C96" s="54" t="s">
        <v>1197</v>
      </c>
      <c r="D96" s="54" t="s">
        <v>1035</v>
      </c>
      <c r="E96" s="54" t="s">
        <v>1036</v>
      </c>
      <c r="F96" s="55">
        <v>46175</v>
      </c>
      <c r="G96" s="55">
        <v>46175</v>
      </c>
      <c r="H96" s="54" t="s">
        <v>1037</v>
      </c>
      <c r="I96" s="54" t="s">
        <v>1038</v>
      </c>
      <c r="J96" s="54" t="s">
        <v>1039</v>
      </c>
      <c r="K96" s="55"/>
      <c r="L96" s="54" t="s">
        <v>1040</v>
      </c>
      <c r="M96" s="54"/>
      <c r="N96" s="54" t="s">
        <v>1198</v>
      </c>
      <c r="O96" s="54" t="s">
        <v>1133</v>
      </c>
      <c r="P96" s="54" t="s">
        <v>709</v>
      </c>
      <c r="Q96" s="54" t="s">
        <v>711</v>
      </c>
      <c r="R96" s="54" t="s">
        <v>1043</v>
      </c>
      <c r="S96" s="56">
        <v>2895.48</v>
      </c>
      <c r="T96" s="56">
        <v>2895.48</v>
      </c>
      <c r="U96" s="56">
        <v>0</v>
      </c>
      <c r="V96" s="56">
        <v>0</v>
      </c>
      <c r="W96" s="56">
        <v>0</v>
      </c>
      <c r="X96" s="56">
        <v>0</v>
      </c>
      <c r="Y96" s="56">
        <v>0</v>
      </c>
      <c r="Z96" s="56">
        <v>126</v>
      </c>
      <c r="AA96" s="56">
        <v>126</v>
      </c>
      <c r="AB96" s="59">
        <v>0</v>
      </c>
      <c r="AC96" s="56">
        <v>0</v>
      </c>
      <c r="AD96" s="56">
        <v>0</v>
      </c>
      <c r="AE96" s="56">
        <v>0</v>
      </c>
      <c r="AF96" s="54" t="s">
        <v>1199</v>
      </c>
      <c r="AG96" s="57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 t="s">
        <v>1045</v>
      </c>
      <c r="AS96" s="54" t="s">
        <v>1046</v>
      </c>
      <c r="AT96" s="54" t="s">
        <v>1047</v>
      </c>
      <c r="AU96" s="54" t="s">
        <v>1048</v>
      </c>
      <c r="AV96" s="54"/>
      <c r="AW96" s="55">
        <v>46189</v>
      </c>
      <c r="AX96" s="55">
        <v>46175</v>
      </c>
      <c r="AY96" s="55">
        <v>46175</v>
      </c>
      <c r="AZ96" s="55">
        <v>46176</v>
      </c>
      <c r="BA96" s="55">
        <v>46189</v>
      </c>
      <c r="BB96" s="56">
        <v>0</v>
      </c>
      <c r="BC96" s="56">
        <v>0</v>
      </c>
      <c r="BD96" s="56">
        <v>0</v>
      </c>
      <c r="BE96" s="56">
        <v>0</v>
      </c>
      <c r="BF96" s="56">
        <v>0</v>
      </c>
      <c r="BG96" s="56">
        <v>0</v>
      </c>
      <c r="BH96" s="56">
        <v>0</v>
      </c>
      <c r="BI96" s="56">
        <v>0</v>
      </c>
      <c r="BJ96" s="56">
        <v>0</v>
      </c>
      <c r="BK96" s="56">
        <v>0</v>
      </c>
      <c r="BL96" s="56">
        <v>0</v>
      </c>
      <c r="BM96" s="56">
        <v>0</v>
      </c>
      <c r="BN96" s="56">
        <v>0</v>
      </c>
      <c r="BO96" s="56">
        <v>0</v>
      </c>
      <c r="BP96" s="54" t="s">
        <v>1049</v>
      </c>
      <c r="BQ96" s="54" t="s">
        <v>1050</v>
      </c>
      <c r="BR96" s="54" t="s">
        <v>1049</v>
      </c>
      <c r="BS96" s="54" t="s">
        <v>1050</v>
      </c>
      <c r="BT96" s="54" t="s">
        <v>1051</v>
      </c>
      <c r="BU96" s="54" t="s">
        <v>1043</v>
      </c>
      <c r="BV96" s="58">
        <v>126</v>
      </c>
      <c r="BW96" s="54" t="s">
        <v>1052</v>
      </c>
      <c r="BX96" s="54" t="s">
        <v>1053</v>
      </c>
      <c r="BY96" s="54" t="s">
        <v>1054</v>
      </c>
      <c r="BZ96" s="54" t="s">
        <v>1055</v>
      </c>
      <c r="CA96" s="55"/>
      <c r="CB96" s="54" t="s">
        <v>1056</v>
      </c>
      <c r="CC96" s="54" t="s">
        <v>1057</v>
      </c>
      <c r="CD96" s="54" t="s">
        <v>1200</v>
      </c>
      <c r="CE96" s="54" t="s">
        <v>1201</v>
      </c>
      <c r="CF96" s="54" t="s">
        <v>1202</v>
      </c>
      <c r="CG96" s="54" t="s">
        <v>1203</v>
      </c>
      <c r="CH96" s="54" t="s">
        <v>1204</v>
      </c>
      <c r="CI96" s="54" t="s">
        <v>1203</v>
      </c>
      <c r="CJ96" s="54" t="s">
        <v>1064</v>
      </c>
      <c r="CK96" s="54" t="s">
        <v>1065</v>
      </c>
      <c r="CL96" s="54" t="s">
        <v>1205</v>
      </c>
      <c r="CM96" s="54" t="s">
        <v>1206</v>
      </c>
      <c r="CN96" s="54" t="s">
        <v>1068</v>
      </c>
      <c r="CO96" s="54" t="s">
        <v>1069</v>
      </c>
      <c r="CP96" s="56">
        <v>0</v>
      </c>
      <c r="CQ96" s="56">
        <v>0</v>
      </c>
      <c r="CR96" s="56">
        <v>0</v>
      </c>
      <c r="CS96" s="56">
        <v>0</v>
      </c>
      <c r="CT96" s="56">
        <v>0</v>
      </c>
      <c r="CU96" s="56">
        <v>0</v>
      </c>
      <c r="CV96" s="56">
        <v>0</v>
      </c>
      <c r="CW96" s="56">
        <v>0</v>
      </c>
      <c r="CX96" s="56">
        <v>0</v>
      </c>
      <c r="CY96" s="56">
        <v>0</v>
      </c>
      <c r="CZ96" s="56">
        <v>0</v>
      </c>
      <c r="DA96" s="56">
        <v>0</v>
      </c>
      <c r="DB96" s="56">
        <v>0</v>
      </c>
      <c r="DC96" s="56">
        <v>0</v>
      </c>
      <c r="DD96" s="56">
        <v>0</v>
      </c>
      <c r="DE96" s="56">
        <v>0</v>
      </c>
      <c r="DF96" s="56">
        <v>0</v>
      </c>
      <c r="DG96" s="56">
        <v>0</v>
      </c>
      <c r="DH96" s="56">
        <v>0</v>
      </c>
      <c r="DI96" s="56">
        <v>0</v>
      </c>
      <c r="DJ96" s="56">
        <v>0</v>
      </c>
      <c r="DK96" s="56">
        <v>0</v>
      </c>
      <c r="DL96" s="56">
        <v>0</v>
      </c>
      <c r="DM96" s="56">
        <v>0</v>
      </c>
      <c r="DN96" s="56">
        <v>0</v>
      </c>
      <c r="DO96" s="56">
        <v>0</v>
      </c>
      <c r="DP96" s="56">
        <v>0</v>
      </c>
      <c r="DQ96" s="56">
        <v>0</v>
      </c>
      <c r="DR96" s="56">
        <v>0</v>
      </c>
      <c r="DS96" s="56">
        <v>0</v>
      </c>
      <c r="DT96" s="56">
        <v>0</v>
      </c>
      <c r="DU96" s="56">
        <v>0</v>
      </c>
      <c r="DV96" s="56">
        <v>0</v>
      </c>
      <c r="DW96" s="56">
        <v>0</v>
      </c>
      <c r="DX96" s="56">
        <v>0</v>
      </c>
      <c r="DY96" s="56">
        <v>0</v>
      </c>
      <c r="DZ96" s="56">
        <v>0</v>
      </c>
      <c r="EA96" s="56">
        <v>0</v>
      </c>
      <c r="EB96" s="56">
        <v>0</v>
      </c>
      <c r="EC96" s="56">
        <v>0</v>
      </c>
      <c r="ED96" s="56">
        <v>0</v>
      </c>
      <c r="EE96" s="56">
        <v>0</v>
      </c>
      <c r="EF96" s="56">
        <v>0</v>
      </c>
      <c r="EG96" s="56">
        <v>0</v>
      </c>
      <c r="EH96" s="56">
        <v>115.82</v>
      </c>
      <c r="EI96" s="56">
        <v>0</v>
      </c>
      <c r="EJ96" s="56">
        <v>0</v>
      </c>
      <c r="EK96" s="56">
        <v>0</v>
      </c>
      <c r="EL96" s="56">
        <v>0</v>
      </c>
      <c r="EM96" s="56">
        <v>0</v>
      </c>
      <c r="EN96" s="56">
        <v>0</v>
      </c>
      <c r="EO96" s="56">
        <v>0</v>
      </c>
      <c r="EP96" s="56">
        <v>0</v>
      </c>
      <c r="EQ96" s="56">
        <v>0</v>
      </c>
      <c r="ER96" s="56">
        <v>0</v>
      </c>
      <c r="ES96" s="56">
        <v>0</v>
      </c>
      <c r="ET96" s="56">
        <v>0</v>
      </c>
      <c r="EU96" s="56">
        <v>0</v>
      </c>
      <c r="EV96" s="56">
        <v>0</v>
      </c>
      <c r="EW96" s="56">
        <v>0</v>
      </c>
      <c r="EX96" s="56">
        <v>0</v>
      </c>
      <c r="EY96" s="56">
        <v>0</v>
      </c>
      <c r="EZ96" s="56">
        <v>0</v>
      </c>
      <c r="FA96" s="56">
        <v>0</v>
      </c>
      <c r="FB96" s="56">
        <v>0</v>
      </c>
      <c r="FC96" s="58">
        <v>0</v>
      </c>
      <c r="FD96" s="56">
        <v>0</v>
      </c>
      <c r="FE96" s="56">
        <v>0</v>
      </c>
      <c r="FF96" s="56">
        <v>0</v>
      </c>
      <c r="FG96" s="56">
        <v>0</v>
      </c>
      <c r="FH96" s="56">
        <v>0</v>
      </c>
      <c r="FI96" s="56">
        <v>0</v>
      </c>
      <c r="FJ96" s="56">
        <v>0</v>
      </c>
      <c r="FK96" s="56">
        <v>0</v>
      </c>
      <c r="FL96" s="56">
        <v>0</v>
      </c>
      <c r="FM96" s="56">
        <v>0</v>
      </c>
      <c r="FN96" s="56">
        <v>0</v>
      </c>
      <c r="FO96" s="56">
        <v>0</v>
      </c>
      <c r="FP96" s="56">
        <v>0</v>
      </c>
      <c r="FQ96" s="56">
        <v>0</v>
      </c>
      <c r="FR96" s="56">
        <v>0</v>
      </c>
      <c r="FS96" s="58">
        <v>0</v>
      </c>
      <c r="FT96" s="56">
        <v>0</v>
      </c>
      <c r="FU96" s="56">
        <v>0</v>
      </c>
      <c r="FV96" s="56">
        <v>0</v>
      </c>
      <c r="FW96" s="56">
        <v>0</v>
      </c>
      <c r="FX96" s="56">
        <v>0</v>
      </c>
      <c r="FY96" s="56">
        <v>0</v>
      </c>
      <c r="FZ96" s="54" t="s">
        <v>1070</v>
      </c>
      <c r="GA96" s="54" t="s">
        <v>1071</v>
      </c>
      <c r="GB96" s="54" t="s">
        <v>1072</v>
      </c>
      <c r="GC96" s="54" t="s">
        <v>1073</v>
      </c>
      <c r="GD96" s="54"/>
      <c r="GE96" s="54"/>
      <c r="GF96" s="54"/>
      <c r="GG96" s="55"/>
      <c r="GH96" s="54"/>
      <c r="GI96" s="54"/>
      <c r="GJ96" s="54" t="s">
        <v>1076</v>
      </c>
      <c r="GK96" s="54" t="s">
        <v>1077</v>
      </c>
      <c r="GL96" s="54"/>
      <c r="GM96" s="54"/>
      <c r="GN96" s="54" t="s">
        <v>1208</v>
      </c>
      <c r="GO96" s="54" t="s">
        <v>1209</v>
      </c>
      <c r="GP96" s="54"/>
      <c r="GQ96" s="56">
        <v>0</v>
      </c>
      <c r="GR96" s="54" t="s">
        <v>1210</v>
      </c>
      <c r="GS96" s="54"/>
    </row>
    <row r="97" spans="1:201" x14ac:dyDescent="0.25">
      <c r="A97" s="54" t="s">
        <v>1032</v>
      </c>
      <c r="B97" s="54" t="s">
        <v>1033</v>
      </c>
      <c r="C97" s="54" t="s">
        <v>1197</v>
      </c>
      <c r="D97" s="54" t="s">
        <v>1035</v>
      </c>
      <c r="E97" s="54" t="s">
        <v>1036</v>
      </c>
      <c r="F97" s="55">
        <v>46175</v>
      </c>
      <c r="G97" s="55">
        <v>46175</v>
      </c>
      <c r="H97" s="54" t="s">
        <v>1037</v>
      </c>
      <c r="I97" s="54" t="s">
        <v>1038</v>
      </c>
      <c r="J97" s="54" t="s">
        <v>1039</v>
      </c>
      <c r="K97" s="55"/>
      <c r="L97" s="54" t="s">
        <v>1040</v>
      </c>
      <c r="M97" s="54"/>
      <c r="N97" s="54" t="s">
        <v>1198</v>
      </c>
      <c r="O97" s="54" t="s">
        <v>1134</v>
      </c>
      <c r="P97" s="54" t="s">
        <v>271</v>
      </c>
      <c r="Q97" s="54" t="s">
        <v>378</v>
      </c>
      <c r="R97" s="54" t="s">
        <v>1043</v>
      </c>
      <c r="S97" s="56">
        <v>243.6</v>
      </c>
      <c r="T97" s="56">
        <v>243.6</v>
      </c>
      <c r="U97" s="56">
        <v>0</v>
      </c>
      <c r="V97" s="56">
        <v>0</v>
      </c>
      <c r="W97" s="56">
        <v>0</v>
      </c>
      <c r="X97" s="56">
        <v>0</v>
      </c>
      <c r="Y97" s="56">
        <v>0</v>
      </c>
      <c r="Z97" s="56">
        <v>60</v>
      </c>
      <c r="AA97" s="56">
        <v>60</v>
      </c>
      <c r="AB97" s="59">
        <v>0</v>
      </c>
      <c r="AC97" s="56">
        <v>0</v>
      </c>
      <c r="AD97" s="56">
        <v>0</v>
      </c>
      <c r="AE97" s="56">
        <v>0</v>
      </c>
      <c r="AF97" s="54" t="s">
        <v>1199</v>
      </c>
      <c r="AG97" s="57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 t="s">
        <v>1045</v>
      </c>
      <c r="AS97" s="54" t="s">
        <v>1081</v>
      </c>
      <c r="AT97" s="54" t="s">
        <v>1082</v>
      </c>
      <c r="AU97" s="54" t="s">
        <v>1048</v>
      </c>
      <c r="AV97" s="54"/>
      <c r="AW97" s="55">
        <v>46189</v>
      </c>
      <c r="AX97" s="55">
        <v>46175</v>
      </c>
      <c r="AY97" s="55">
        <v>46175</v>
      </c>
      <c r="AZ97" s="55">
        <v>46176</v>
      </c>
      <c r="BA97" s="55">
        <v>46189</v>
      </c>
      <c r="BB97" s="56">
        <v>0</v>
      </c>
      <c r="BC97" s="56">
        <v>0</v>
      </c>
      <c r="BD97" s="56">
        <v>0</v>
      </c>
      <c r="BE97" s="56">
        <v>0</v>
      </c>
      <c r="BF97" s="56">
        <v>0</v>
      </c>
      <c r="BG97" s="56">
        <v>0</v>
      </c>
      <c r="BH97" s="56">
        <v>0</v>
      </c>
      <c r="BI97" s="56">
        <v>0</v>
      </c>
      <c r="BJ97" s="56">
        <v>0</v>
      </c>
      <c r="BK97" s="56">
        <v>0</v>
      </c>
      <c r="BL97" s="56">
        <v>0</v>
      </c>
      <c r="BM97" s="56">
        <v>0</v>
      </c>
      <c r="BN97" s="56">
        <v>0</v>
      </c>
      <c r="BO97" s="56">
        <v>0</v>
      </c>
      <c r="BP97" s="54" t="s">
        <v>1049</v>
      </c>
      <c r="BQ97" s="54" t="s">
        <v>1050</v>
      </c>
      <c r="BR97" s="54" t="s">
        <v>1049</v>
      </c>
      <c r="BS97" s="54" t="s">
        <v>1050</v>
      </c>
      <c r="BT97" s="54" t="s">
        <v>1051</v>
      </c>
      <c r="BU97" s="54" t="s">
        <v>1043</v>
      </c>
      <c r="BV97" s="58">
        <v>60</v>
      </c>
      <c r="BW97" s="54" t="s">
        <v>1052</v>
      </c>
      <c r="BX97" s="54" t="s">
        <v>1053</v>
      </c>
      <c r="BY97" s="54" t="s">
        <v>1054</v>
      </c>
      <c r="BZ97" s="54" t="s">
        <v>1055</v>
      </c>
      <c r="CA97" s="55"/>
      <c r="CB97" s="54" t="s">
        <v>1056</v>
      </c>
      <c r="CC97" s="54" t="s">
        <v>1057</v>
      </c>
      <c r="CD97" s="54" t="s">
        <v>1200</v>
      </c>
      <c r="CE97" s="54" t="s">
        <v>1201</v>
      </c>
      <c r="CF97" s="54" t="s">
        <v>1202</v>
      </c>
      <c r="CG97" s="54" t="s">
        <v>1203</v>
      </c>
      <c r="CH97" s="54" t="s">
        <v>1204</v>
      </c>
      <c r="CI97" s="54" t="s">
        <v>1203</v>
      </c>
      <c r="CJ97" s="54" t="s">
        <v>1064</v>
      </c>
      <c r="CK97" s="54" t="s">
        <v>1065</v>
      </c>
      <c r="CL97" s="54" t="s">
        <v>1205</v>
      </c>
      <c r="CM97" s="54" t="s">
        <v>1206</v>
      </c>
      <c r="CN97" s="54" t="s">
        <v>1068</v>
      </c>
      <c r="CO97" s="54" t="s">
        <v>1069</v>
      </c>
      <c r="CP97" s="56">
        <v>0</v>
      </c>
      <c r="CQ97" s="56">
        <v>0</v>
      </c>
      <c r="CR97" s="56">
        <v>0</v>
      </c>
      <c r="CS97" s="56">
        <v>0</v>
      </c>
      <c r="CT97" s="56">
        <v>0</v>
      </c>
      <c r="CU97" s="56">
        <v>0</v>
      </c>
      <c r="CV97" s="56">
        <v>0</v>
      </c>
      <c r="CW97" s="56">
        <v>0</v>
      </c>
      <c r="CX97" s="56">
        <v>0</v>
      </c>
      <c r="CY97" s="56">
        <v>0</v>
      </c>
      <c r="CZ97" s="56">
        <v>0</v>
      </c>
      <c r="DA97" s="56">
        <v>0</v>
      </c>
      <c r="DB97" s="56">
        <v>0</v>
      </c>
      <c r="DC97" s="56">
        <v>0</v>
      </c>
      <c r="DD97" s="56">
        <v>0</v>
      </c>
      <c r="DE97" s="56">
        <v>0</v>
      </c>
      <c r="DF97" s="56">
        <v>0</v>
      </c>
      <c r="DG97" s="56">
        <v>0</v>
      </c>
      <c r="DH97" s="56">
        <v>0</v>
      </c>
      <c r="DI97" s="56">
        <v>0</v>
      </c>
      <c r="DJ97" s="56">
        <v>0</v>
      </c>
      <c r="DK97" s="56">
        <v>0</v>
      </c>
      <c r="DL97" s="56">
        <v>0</v>
      </c>
      <c r="DM97" s="56">
        <v>0</v>
      </c>
      <c r="DN97" s="56">
        <v>0</v>
      </c>
      <c r="DO97" s="56">
        <v>0</v>
      </c>
      <c r="DP97" s="56">
        <v>0</v>
      </c>
      <c r="DQ97" s="56">
        <v>0</v>
      </c>
      <c r="DR97" s="56">
        <v>0</v>
      </c>
      <c r="DS97" s="56">
        <v>0</v>
      </c>
      <c r="DT97" s="56">
        <v>0</v>
      </c>
      <c r="DU97" s="56">
        <v>0</v>
      </c>
      <c r="DV97" s="56">
        <v>0</v>
      </c>
      <c r="DW97" s="56">
        <v>0</v>
      </c>
      <c r="DX97" s="56">
        <v>0</v>
      </c>
      <c r="DY97" s="56">
        <v>0</v>
      </c>
      <c r="DZ97" s="56">
        <v>0</v>
      </c>
      <c r="EA97" s="56">
        <v>0</v>
      </c>
      <c r="EB97" s="56">
        <v>0</v>
      </c>
      <c r="EC97" s="56">
        <v>0</v>
      </c>
      <c r="ED97" s="56">
        <v>0</v>
      </c>
      <c r="EE97" s="56">
        <v>0</v>
      </c>
      <c r="EF97" s="56">
        <v>0</v>
      </c>
      <c r="EG97" s="56">
        <v>0</v>
      </c>
      <c r="EH97" s="56">
        <v>29.23</v>
      </c>
      <c r="EI97" s="56">
        <v>0</v>
      </c>
      <c r="EJ97" s="56">
        <v>0</v>
      </c>
      <c r="EK97" s="56">
        <v>0</v>
      </c>
      <c r="EL97" s="56">
        <v>0</v>
      </c>
      <c r="EM97" s="56">
        <v>0</v>
      </c>
      <c r="EN97" s="56">
        <v>0</v>
      </c>
      <c r="EO97" s="56">
        <v>0</v>
      </c>
      <c r="EP97" s="56">
        <v>0</v>
      </c>
      <c r="EQ97" s="56">
        <v>0</v>
      </c>
      <c r="ER97" s="56">
        <v>0</v>
      </c>
      <c r="ES97" s="56">
        <v>0</v>
      </c>
      <c r="ET97" s="56">
        <v>0</v>
      </c>
      <c r="EU97" s="56">
        <v>0</v>
      </c>
      <c r="EV97" s="56">
        <v>0</v>
      </c>
      <c r="EW97" s="56">
        <v>0</v>
      </c>
      <c r="EX97" s="56">
        <v>0</v>
      </c>
      <c r="EY97" s="56">
        <v>0</v>
      </c>
      <c r="EZ97" s="56">
        <v>0</v>
      </c>
      <c r="FA97" s="56">
        <v>0</v>
      </c>
      <c r="FB97" s="56">
        <v>0</v>
      </c>
      <c r="FC97" s="58">
        <v>0</v>
      </c>
      <c r="FD97" s="56">
        <v>0</v>
      </c>
      <c r="FE97" s="56">
        <v>0</v>
      </c>
      <c r="FF97" s="56">
        <v>0</v>
      </c>
      <c r="FG97" s="56">
        <v>0</v>
      </c>
      <c r="FH97" s="56">
        <v>0</v>
      </c>
      <c r="FI97" s="56">
        <v>0</v>
      </c>
      <c r="FJ97" s="56">
        <v>0</v>
      </c>
      <c r="FK97" s="56">
        <v>0</v>
      </c>
      <c r="FL97" s="56">
        <v>0</v>
      </c>
      <c r="FM97" s="56">
        <v>0</v>
      </c>
      <c r="FN97" s="56">
        <v>0</v>
      </c>
      <c r="FO97" s="56">
        <v>0</v>
      </c>
      <c r="FP97" s="56">
        <v>0</v>
      </c>
      <c r="FQ97" s="56">
        <v>0</v>
      </c>
      <c r="FR97" s="56">
        <v>0</v>
      </c>
      <c r="FS97" s="58">
        <v>0</v>
      </c>
      <c r="FT97" s="56">
        <v>0</v>
      </c>
      <c r="FU97" s="56">
        <v>0</v>
      </c>
      <c r="FV97" s="56">
        <v>0</v>
      </c>
      <c r="FW97" s="56">
        <v>0</v>
      </c>
      <c r="FX97" s="56">
        <v>0</v>
      </c>
      <c r="FY97" s="56">
        <v>0</v>
      </c>
      <c r="FZ97" s="54" t="s">
        <v>1083</v>
      </c>
      <c r="GA97" s="54" t="s">
        <v>1084</v>
      </c>
      <c r="GB97" s="54" t="s">
        <v>1072</v>
      </c>
      <c r="GC97" s="54" t="s">
        <v>1073</v>
      </c>
      <c r="GD97" s="54" t="s">
        <v>1229</v>
      </c>
      <c r="GE97" s="54" t="s">
        <v>1201</v>
      </c>
      <c r="GF97" s="54"/>
      <c r="GG97" s="55"/>
      <c r="GH97" s="54"/>
      <c r="GI97" s="54"/>
      <c r="GJ97" s="54" t="s">
        <v>1076</v>
      </c>
      <c r="GK97" s="54" t="s">
        <v>1077</v>
      </c>
      <c r="GL97" s="54"/>
      <c r="GM97" s="54"/>
      <c r="GN97" s="54" t="s">
        <v>1208</v>
      </c>
      <c r="GO97" s="54" t="s">
        <v>1209</v>
      </c>
      <c r="GP97" s="54"/>
      <c r="GQ97" s="56">
        <v>0</v>
      </c>
      <c r="GR97" s="54" t="s">
        <v>1210</v>
      </c>
      <c r="GS97" s="54"/>
    </row>
    <row r="98" spans="1:201" x14ac:dyDescent="0.25">
      <c r="A98" s="54" t="s">
        <v>1032</v>
      </c>
      <c r="B98" s="54" t="s">
        <v>1033</v>
      </c>
      <c r="C98" s="54" t="s">
        <v>1197</v>
      </c>
      <c r="D98" s="54" t="s">
        <v>1035</v>
      </c>
      <c r="E98" s="54" t="s">
        <v>1036</v>
      </c>
      <c r="F98" s="55">
        <v>46175</v>
      </c>
      <c r="G98" s="55">
        <v>46175</v>
      </c>
      <c r="H98" s="54" t="s">
        <v>1037</v>
      </c>
      <c r="I98" s="54" t="s">
        <v>1038</v>
      </c>
      <c r="J98" s="54" t="s">
        <v>1039</v>
      </c>
      <c r="K98" s="55"/>
      <c r="L98" s="54" t="s">
        <v>1040</v>
      </c>
      <c r="M98" s="54"/>
      <c r="N98" s="54" t="s">
        <v>1198</v>
      </c>
      <c r="O98" s="54" t="s">
        <v>1135</v>
      </c>
      <c r="P98" s="54" t="s">
        <v>321</v>
      </c>
      <c r="Q98" s="54" t="s">
        <v>379</v>
      </c>
      <c r="R98" s="54" t="s">
        <v>1043</v>
      </c>
      <c r="S98" s="56">
        <v>335</v>
      </c>
      <c r="T98" s="56">
        <v>335</v>
      </c>
      <c r="U98" s="56">
        <v>0</v>
      </c>
      <c r="V98" s="56">
        <v>0</v>
      </c>
      <c r="W98" s="56">
        <v>0</v>
      </c>
      <c r="X98" s="56">
        <v>0</v>
      </c>
      <c r="Y98" s="56">
        <v>0</v>
      </c>
      <c r="Z98" s="56">
        <v>100</v>
      </c>
      <c r="AA98" s="56">
        <v>100</v>
      </c>
      <c r="AB98" s="59">
        <v>0</v>
      </c>
      <c r="AC98" s="56">
        <v>0</v>
      </c>
      <c r="AD98" s="56">
        <v>0</v>
      </c>
      <c r="AE98" s="56">
        <v>0</v>
      </c>
      <c r="AF98" s="54" t="s">
        <v>1199</v>
      </c>
      <c r="AG98" s="57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 t="s">
        <v>1045</v>
      </c>
      <c r="AS98" s="54" t="s">
        <v>1046</v>
      </c>
      <c r="AT98" s="54" t="s">
        <v>1047</v>
      </c>
      <c r="AU98" s="54" t="s">
        <v>1048</v>
      </c>
      <c r="AV98" s="54"/>
      <c r="AW98" s="55">
        <v>46189</v>
      </c>
      <c r="AX98" s="55">
        <v>46175</v>
      </c>
      <c r="AY98" s="55">
        <v>46175</v>
      </c>
      <c r="AZ98" s="55">
        <v>46176</v>
      </c>
      <c r="BA98" s="55">
        <v>46189</v>
      </c>
      <c r="BB98" s="56">
        <v>0</v>
      </c>
      <c r="BC98" s="56">
        <v>0</v>
      </c>
      <c r="BD98" s="56">
        <v>0</v>
      </c>
      <c r="BE98" s="56">
        <v>0</v>
      </c>
      <c r="BF98" s="56">
        <v>0</v>
      </c>
      <c r="BG98" s="56">
        <v>0</v>
      </c>
      <c r="BH98" s="56">
        <v>0</v>
      </c>
      <c r="BI98" s="56">
        <v>0</v>
      </c>
      <c r="BJ98" s="56">
        <v>0</v>
      </c>
      <c r="BK98" s="56">
        <v>0</v>
      </c>
      <c r="BL98" s="56">
        <v>0</v>
      </c>
      <c r="BM98" s="56">
        <v>0</v>
      </c>
      <c r="BN98" s="56">
        <v>0</v>
      </c>
      <c r="BO98" s="56">
        <v>0</v>
      </c>
      <c r="BP98" s="54" t="s">
        <v>1049</v>
      </c>
      <c r="BQ98" s="54" t="s">
        <v>1050</v>
      </c>
      <c r="BR98" s="54" t="s">
        <v>1049</v>
      </c>
      <c r="BS98" s="54" t="s">
        <v>1050</v>
      </c>
      <c r="BT98" s="54" t="s">
        <v>1051</v>
      </c>
      <c r="BU98" s="54" t="s">
        <v>1043</v>
      </c>
      <c r="BV98" s="58">
        <v>100</v>
      </c>
      <c r="BW98" s="54" t="s">
        <v>1052</v>
      </c>
      <c r="BX98" s="54" t="s">
        <v>1053</v>
      </c>
      <c r="BY98" s="54" t="s">
        <v>1054</v>
      </c>
      <c r="BZ98" s="54" t="s">
        <v>1055</v>
      </c>
      <c r="CA98" s="55"/>
      <c r="CB98" s="54" t="s">
        <v>1056</v>
      </c>
      <c r="CC98" s="54" t="s">
        <v>1057</v>
      </c>
      <c r="CD98" s="54" t="s">
        <v>1200</v>
      </c>
      <c r="CE98" s="54" t="s">
        <v>1201</v>
      </c>
      <c r="CF98" s="54" t="s">
        <v>1202</v>
      </c>
      <c r="CG98" s="54" t="s">
        <v>1203</v>
      </c>
      <c r="CH98" s="54" t="s">
        <v>1204</v>
      </c>
      <c r="CI98" s="54" t="s">
        <v>1203</v>
      </c>
      <c r="CJ98" s="54" t="s">
        <v>1064</v>
      </c>
      <c r="CK98" s="54" t="s">
        <v>1065</v>
      </c>
      <c r="CL98" s="54" t="s">
        <v>1205</v>
      </c>
      <c r="CM98" s="54" t="s">
        <v>1206</v>
      </c>
      <c r="CN98" s="54" t="s">
        <v>1068</v>
      </c>
      <c r="CO98" s="54" t="s">
        <v>1069</v>
      </c>
      <c r="CP98" s="56">
        <v>0</v>
      </c>
      <c r="CQ98" s="56">
        <v>0</v>
      </c>
      <c r="CR98" s="56">
        <v>0</v>
      </c>
      <c r="CS98" s="56">
        <v>0</v>
      </c>
      <c r="CT98" s="56">
        <v>0</v>
      </c>
      <c r="CU98" s="56">
        <v>0</v>
      </c>
      <c r="CV98" s="56">
        <v>0</v>
      </c>
      <c r="CW98" s="56">
        <v>0</v>
      </c>
      <c r="CX98" s="56">
        <v>0</v>
      </c>
      <c r="CY98" s="56">
        <v>0</v>
      </c>
      <c r="CZ98" s="56">
        <v>0</v>
      </c>
      <c r="DA98" s="56">
        <v>0</v>
      </c>
      <c r="DB98" s="56">
        <v>0</v>
      </c>
      <c r="DC98" s="56">
        <v>0</v>
      </c>
      <c r="DD98" s="56">
        <v>0</v>
      </c>
      <c r="DE98" s="56">
        <v>0</v>
      </c>
      <c r="DF98" s="56">
        <v>0</v>
      </c>
      <c r="DG98" s="56">
        <v>0</v>
      </c>
      <c r="DH98" s="56">
        <v>0</v>
      </c>
      <c r="DI98" s="56">
        <v>0</v>
      </c>
      <c r="DJ98" s="56">
        <v>0</v>
      </c>
      <c r="DK98" s="56">
        <v>0</v>
      </c>
      <c r="DL98" s="56">
        <v>0</v>
      </c>
      <c r="DM98" s="56">
        <v>0</v>
      </c>
      <c r="DN98" s="56">
        <v>0</v>
      </c>
      <c r="DO98" s="56">
        <v>0</v>
      </c>
      <c r="DP98" s="56">
        <v>0</v>
      </c>
      <c r="DQ98" s="56">
        <v>0</v>
      </c>
      <c r="DR98" s="56">
        <v>0</v>
      </c>
      <c r="DS98" s="56">
        <v>0</v>
      </c>
      <c r="DT98" s="56">
        <v>0</v>
      </c>
      <c r="DU98" s="56">
        <v>0</v>
      </c>
      <c r="DV98" s="56">
        <v>0</v>
      </c>
      <c r="DW98" s="56">
        <v>0</v>
      </c>
      <c r="DX98" s="56">
        <v>0</v>
      </c>
      <c r="DY98" s="56">
        <v>0</v>
      </c>
      <c r="DZ98" s="56">
        <v>0</v>
      </c>
      <c r="EA98" s="56">
        <v>0</v>
      </c>
      <c r="EB98" s="56">
        <v>0</v>
      </c>
      <c r="EC98" s="56">
        <v>0</v>
      </c>
      <c r="ED98" s="56">
        <v>0</v>
      </c>
      <c r="EE98" s="56">
        <v>0</v>
      </c>
      <c r="EF98" s="56">
        <v>0</v>
      </c>
      <c r="EG98" s="56">
        <v>0</v>
      </c>
      <c r="EH98" s="56">
        <v>40.200000000000003</v>
      </c>
      <c r="EI98" s="56">
        <v>0</v>
      </c>
      <c r="EJ98" s="56">
        <v>0</v>
      </c>
      <c r="EK98" s="56">
        <v>0</v>
      </c>
      <c r="EL98" s="56">
        <v>0</v>
      </c>
      <c r="EM98" s="56">
        <v>0</v>
      </c>
      <c r="EN98" s="56">
        <v>0</v>
      </c>
      <c r="EO98" s="56">
        <v>0</v>
      </c>
      <c r="EP98" s="56">
        <v>0</v>
      </c>
      <c r="EQ98" s="56">
        <v>0</v>
      </c>
      <c r="ER98" s="56">
        <v>0</v>
      </c>
      <c r="ES98" s="56">
        <v>0</v>
      </c>
      <c r="ET98" s="56">
        <v>0</v>
      </c>
      <c r="EU98" s="56">
        <v>0</v>
      </c>
      <c r="EV98" s="56">
        <v>0</v>
      </c>
      <c r="EW98" s="56">
        <v>0</v>
      </c>
      <c r="EX98" s="56">
        <v>0</v>
      </c>
      <c r="EY98" s="56">
        <v>0</v>
      </c>
      <c r="EZ98" s="56">
        <v>0</v>
      </c>
      <c r="FA98" s="56">
        <v>0</v>
      </c>
      <c r="FB98" s="56">
        <v>0</v>
      </c>
      <c r="FC98" s="58">
        <v>0</v>
      </c>
      <c r="FD98" s="56">
        <v>0</v>
      </c>
      <c r="FE98" s="56">
        <v>0</v>
      </c>
      <c r="FF98" s="56">
        <v>0</v>
      </c>
      <c r="FG98" s="56">
        <v>0</v>
      </c>
      <c r="FH98" s="56">
        <v>0</v>
      </c>
      <c r="FI98" s="56">
        <v>0</v>
      </c>
      <c r="FJ98" s="56">
        <v>0</v>
      </c>
      <c r="FK98" s="56">
        <v>0</v>
      </c>
      <c r="FL98" s="56">
        <v>0</v>
      </c>
      <c r="FM98" s="56">
        <v>0</v>
      </c>
      <c r="FN98" s="56">
        <v>0</v>
      </c>
      <c r="FO98" s="56">
        <v>0</v>
      </c>
      <c r="FP98" s="56">
        <v>0</v>
      </c>
      <c r="FQ98" s="56">
        <v>0</v>
      </c>
      <c r="FR98" s="56">
        <v>0</v>
      </c>
      <c r="FS98" s="58">
        <v>0</v>
      </c>
      <c r="FT98" s="56">
        <v>0</v>
      </c>
      <c r="FU98" s="56">
        <v>0</v>
      </c>
      <c r="FV98" s="56">
        <v>0</v>
      </c>
      <c r="FW98" s="56">
        <v>0</v>
      </c>
      <c r="FX98" s="56">
        <v>0</v>
      </c>
      <c r="FY98" s="56">
        <v>0</v>
      </c>
      <c r="FZ98" s="54" t="s">
        <v>1070</v>
      </c>
      <c r="GA98" s="54" t="s">
        <v>1071</v>
      </c>
      <c r="GB98" s="54" t="s">
        <v>1072</v>
      </c>
      <c r="GC98" s="54" t="s">
        <v>1073</v>
      </c>
      <c r="GD98" s="54" t="s">
        <v>1230</v>
      </c>
      <c r="GE98" s="54" t="s">
        <v>1201</v>
      </c>
      <c r="GF98" s="54"/>
      <c r="GG98" s="55"/>
      <c r="GH98" s="54"/>
      <c r="GI98" s="54"/>
      <c r="GJ98" s="54" t="s">
        <v>1076</v>
      </c>
      <c r="GK98" s="54" t="s">
        <v>1077</v>
      </c>
      <c r="GL98" s="54"/>
      <c r="GM98" s="54"/>
      <c r="GN98" s="54" t="s">
        <v>1208</v>
      </c>
      <c r="GO98" s="54" t="s">
        <v>1209</v>
      </c>
      <c r="GP98" s="54"/>
      <c r="GQ98" s="56">
        <v>0</v>
      </c>
      <c r="GR98" s="54" t="s">
        <v>1210</v>
      </c>
      <c r="GS98" s="54"/>
    </row>
    <row r="99" spans="1:201" x14ac:dyDescent="0.25">
      <c r="A99" s="54" t="s">
        <v>1032</v>
      </c>
      <c r="B99" s="54" t="s">
        <v>1033</v>
      </c>
      <c r="C99" s="54" t="s">
        <v>1197</v>
      </c>
      <c r="D99" s="54" t="s">
        <v>1035</v>
      </c>
      <c r="E99" s="54" t="s">
        <v>1036</v>
      </c>
      <c r="F99" s="55">
        <v>46175</v>
      </c>
      <c r="G99" s="55">
        <v>46175</v>
      </c>
      <c r="H99" s="54" t="s">
        <v>1037</v>
      </c>
      <c r="I99" s="54" t="s">
        <v>1038</v>
      </c>
      <c r="J99" s="54" t="s">
        <v>1039</v>
      </c>
      <c r="K99" s="55"/>
      <c r="L99" s="54" t="s">
        <v>1040</v>
      </c>
      <c r="M99" s="54"/>
      <c r="N99" s="54" t="s">
        <v>1198</v>
      </c>
      <c r="O99" s="54" t="s">
        <v>1137</v>
      </c>
      <c r="P99" s="54" t="s">
        <v>284</v>
      </c>
      <c r="Q99" s="54" t="s">
        <v>124</v>
      </c>
      <c r="R99" s="54" t="s">
        <v>1043</v>
      </c>
      <c r="S99" s="56">
        <v>967.2</v>
      </c>
      <c r="T99" s="56">
        <v>967.2</v>
      </c>
      <c r="U99" s="56">
        <v>0</v>
      </c>
      <c r="V99" s="56">
        <v>0</v>
      </c>
      <c r="W99" s="56">
        <v>0</v>
      </c>
      <c r="X99" s="56">
        <v>0</v>
      </c>
      <c r="Y99" s="56">
        <v>0</v>
      </c>
      <c r="Z99" s="56">
        <v>240</v>
      </c>
      <c r="AA99" s="56">
        <v>240</v>
      </c>
      <c r="AB99" s="59">
        <v>0</v>
      </c>
      <c r="AC99" s="56">
        <v>0</v>
      </c>
      <c r="AD99" s="56">
        <v>0</v>
      </c>
      <c r="AE99" s="56">
        <v>0</v>
      </c>
      <c r="AF99" s="54" t="s">
        <v>1199</v>
      </c>
      <c r="AG99" s="57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 t="s">
        <v>1045</v>
      </c>
      <c r="AS99" s="54" t="s">
        <v>1046</v>
      </c>
      <c r="AT99" s="54" t="s">
        <v>1047</v>
      </c>
      <c r="AU99" s="54" t="s">
        <v>1048</v>
      </c>
      <c r="AV99" s="54"/>
      <c r="AW99" s="55">
        <v>46189</v>
      </c>
      <c r="AX99" s="55">
        <v>46175</v>
      </c>
      <c r="AY99" s="55">
        <v>46175</v>
      </c>
      <c r="AZ99" s="55">
        <v>46176</v>
      </c>
      <c r="BA99" s="55">
        <v>46189</v>
      </c>
      <c r="BB99" s="56">
        <v>0</v>
      </c>
      <c r="BC99" s="56">
        <v>0</v>
      </c>
      <c r="BD99" s="56">
        <v>0</v>
      </c>
      <c r="BE99" s="56">
        <v>0</v>
      </c>
      <c r="BF99" s="56">
        <v>0</v>
      </c>
      <c r="BG99" s="56">
        <v>0</v>
      </c>
      <c r="BH99" s="56">
        <v>0</v>
      </c>
      <c r="BI99" s="56">
        <v>0</v>
      </c>
      <c r="BJ99" s="56">
        <v>0</v>
      </c>
      <c r="BK99" s="56">
        <v>0</v>
      </c>
      <c r="BL99" s="56">
        <v>0</v>
      </c>
      <c r="BM99" s="56">
        <v>0</v>
      </c>
      <c r="BN99" s="56">
        <v>0</v>
      </c>
      <c r="BO99" s="56">
        <v>0</v>
      </c>
      <c r="BP99" s="54" t="s">
        <v>1049</v>
      </c>
      <c r="BQ99" s="54" t="s">
        <v>1050</v>
      </c>
      <c r="BR99" s="54" t="s">
        <v>1049</v>
      </c>
      <c r="BS99" s="54" t="s">
        <v>1050</v>
      </c>
      <c r="BT99" s="54" t="s">
        <v>1051</v>
      </c>
      <c r="BU99" s="54" t="s">
        <v>1043</v>
      </c>
      <c r="BV99" s="58">
        <v>240</v>
      </c>
      <c r="BW99" s="54" t="s">
        <v>1052</v>
      </c>
      <c r="BX99" s="54" t="s">
        <v>1053</v>
      </c>
      <c r="BY99" s="54" t="s">
        <v>1054</v>
      </c>
      <c r="BZ99" s="54" t="s">
        <v>1055</v>
      </c>
      <c r="CA99" s="55"/>
      <c r="CB99" s="54" t="s">
        <v>1056</v>
      </c>
      <c r="CC99" s="54" t="s">
        <v>1057</v>
      </c>
      <c r="CD99" s="54" t="s">
        <v>1200</v>
      </c>
      <c r="CE99" s="54" t="s">
        <v>1201</v>
      </c>
      <c r="CF99" s="54" t="s">
        <v>1202</v>
      </c>
      <c r="CG99" s="54" t="s">
        <v>1203</v>
      </c>
      <c r="CH99" s="54" t="s">
        <v>1204</v>
      </c>
      <c r="CI99" s="54" t="s">
        <v>1203</v>
      </c>
      <c r="CJ99" s="54" t="s">
        <v>1064</v>
      </c>
      <c r="CK99" s="54" t="s">
        <v>1065</v>
      </c>
      <c r="CL99" s="54" t="s">
        <v>1205</v>
      </c>
      <c r="CM99" s="54" t="s">
        <v>1206</v>
      </c>
      <c r="CN99" s="54" t="s">
        <v>1068</v>
      </c>
      <c r="CO99" s="54" t="s">
        <v>1069</v>
      </c>
      <c r="CP99" s="56">
        <v>0</v>
      </c>
      <c r="CQ99" s="56">
        <v>0</v>
      </c>
      <c r="CR99" s="56">
        <v>0</v>
      </c>
      <c r="CS99" s="56">
        <v>0</v>
      </c>
      <c r="CT99" s="56">
        <v>0</v>
      </c>
      <c r="CU99" s="56">
        <v>0</v>
      </c>
      <c r="CV99" s="56">
        <v>0</v>
      </c>
      <c r="CW99" s="56">
        <v>0</v>
      </c>
      <c r="CX99" s="56">
        <v>0</v>
      </c>
      <c r="CY99" s="56">
        <v>0</v>
      </c>
      <c r="CZ99" s="56">
        <v>0</v>
      </c>
      <c r="DA99" s="56">
        <v>0</v>
      </c>
      <c r="DB99" s="56">
        <v>0</v>
      </c>
      <c r="DC99" s="56">
        <v>0</v>
      </c>
      <c r="DD99" s="56">
        <v>0</v>
      </c>
      <c r="DE99" s="56">
        <v>0</v>
      </c>
      <c r="DF99" s="56">
        <v>0</v>
      </c>
      <c r="DG99" s="56">
        <v>0</v>
      </c>
      <c r="DH99" s="56">
        <v>0</v>
      </c>
      <c r="DI99" s="56">
        <v>0</v>
      </c>
      <c r="DJ99" s="56">
        <v>0</v>
      </c>
      <c r="DK99" s="56">
        <v>0</v>
      </c>
      <c r="DL99" s="56">
        <v>0</v>
      </c>
      <c r="DM99" s="56">
        <v>0</v>
      </c>
      <c r="DN99" s="56">
        <v>0</v>
      </c>
      <c r="DO99" s="56">
        <v>0</v>
      </c>
      <c r="DP99" s="56">
        <v>0</v>
      </c>
      <c r="DQ99" s="56">
        <v>0</v>
      </c>
      <c r="DR99" s="56">
        <v>0</v>
      </c>
      <c r="DS99" s="56">
        <v>0</v>
      </c>
      <c r="DT99" s="56">
        <v>0</v>
      </c>
      <c r="DU99" s="56">
        <v>0</v>
      </c>
      <c r="DV99" s="56">
        <v>0</v>
      </c>
      <c r="DW99" s="56">
        <v>0</v>
      </c>
      <c r="DX99" s="56">
        <v>0</v>
      </c>
      <c r="DY99" s="56">
        <v>0</v>
      </c>
      <c r="DZ99" s="56">
        <v>0</v>
      </c>
      <c r="EA99" s="56">
        <v>0</v>
      </c>
      <c r="EB99" s="56">
        <v>0</v>
      </c>
      <c r="EC99" s="56">
        <v>0</v>
      </c>
      <c r="ED99" s="56">
        <v>0</v>
      </c>
      <c r="EE99" s="56">
        <v>0</v>
      </c>
      <c r="EF99" s="56">
        <v>0</v>
      </c>
      <c r="EG99" s="56">
        <v>0</v>
      </c>
      <c r="EH99" s="56">
        <v>116.06</v>
      </c>
      <c r="EI99" s="56">
        <v>0</v>
      </c>
      <c r="EJ99" s="56">
        <v>0</v>
      </c>
      <c r="EK99" s="56">
        <v>0</v>
      </c>
      <c r="EL99" s="56">
        <v>0</v>
      </c>
      <c r="EM99" s="56">
        <v>0</v>
      </c>
      <c r="EN99" s="56">
        <v>0</v>
      </c>
      <c r="EO99" s="56">
        <v>0</v>
      </c>
      <c r="EP99" s="56">
        <v>0</v>
      </c>
      <c r="EQ99" s="56">
        <v>0</v>
      </c>
      <c r="ER99" s="56">
        <v>0</v>
      </c>
      <c r="ES99" s="56">
        <v>0</v>
      </c>
      <c r="ET99" s="56">
        <v>0</v>
      </c>
      <c r="EU99" s="56">
        <v>0</v>
      </c>
      <c r="EV99" s="56">
        <v>0</v>
      </c>
      <c r="EW99" s="56">
        <v>0</v>
      </c>
      <c r="EX99" s="56">
        <v>0</v>
      </c>
      <c r="EY99" s="56">
        <v>0</v>
      </c>
      <c r="EZ99" s="56">
        <v>0</v>
      </c>
      <c r="FA99" s="56">
        <v>0</v>
      </c>
      <c r="FB99" s="56">
        <v>0</v>
      </c>
      <c r="FC99" s="58">
        <v>0</v>
      </c>
      <c r="FD99" s="56">
        <v>0</v>
      </c>
      <c r="FE99" s="56">
        <v>0</v>
      </c>
      <c r="FF99" s="56">
        <v>0</v>
      </c>
      <c r="FG99" s="56">
        <v>0</v>
      </c>
      <c r="FH99" s="56">
        <v>0</v>
      </c>
      <c r="FI99" s="56">
        <v>0</v>
      </c>
      <c r="FJ99" s="56">
        <v>0</v>
      </c>
      <c r="FK99" s="56">
        <v>0</v>
      </c>
      <c r="FL99" s="56">
        <v>0</v>
      </c>
      <c r="FM99" s="56">
        <v>0</v>
      </c>
      <c r="FN99" s="56">
        <v>0</v>
      </c>
      <c r="FO99" s="56">
        <v>0</v>
      </c>
      <c r="FP99" s="56">
        <v>0</v>
      </c>
      <c r="FQ99" s="56">
        <v>0</v>
      </c>
      <c r="FR99" s="56">
        <v>0</v>
      </c>
      <c r="FS99" s="58">
        <v>0</v>
      </c>
      <c r="FT99" s="56">
        <v>0</v>
      </c>
      <c r="FU99" s="56">
        <v>0</v>
      </c>
      <c r="FV99" s="56">
        <v>0</v>
      </c>
      <c r="FW99" s="56">
        <v>0</v>
      </c>
      <c r="FX99" s="56">
        <v>0</v>
      </c>
      <c r="FY99" s="56">
        <v>0</v>
      </c>
      <c r="FZ99" s="54" t="s">
        <v>1070</v>
      </c>
      <c r="GA99" s="54" t="s">
        <v>1071</v>
      </c>
      <c r="GB99" s="54" t="s">
        <v>1072</v>
      </c>
      <c r="GC99" s="54" t="s">
        <v>1073</v>
      </c>
      <c r="GD99" s="54" t="s">
        <v>1231</v>
      </c>
      <c r="GE99" s="54" t="s">
        <v>1201</v>
      </c>
      <c r="GF99" s="54"/>
      <c r="GG99" s="55"/>
      <c r="GH99" s="54"/>
      <c r="GI99" s="54"/>
      <c r="GJ99" s="54" t="s">
        <v>1076</v>
      </c>
      <c r="GK99" s="54" t="s">
        <v>1077</v>
      </c>
      <c r="GL99" s="54"/>
      <c r="GM99" s="54"/>
      <c r="GN99" s="54" t="s">
        <v>1208</v>
      </c>
      <c r="GO99" s="54" t="s">
        <v>1209</v>
      </c>
      <c r="GP99" s="54"/>
      <c r="GQ99" s="56">
        <v>0</v>
      </c>
      <c r="GR99" s="54" t="s">
        <v>1210</v>
      </c>
      <c r="GS99" s="54"/>
    </row>
    <row r="100" spans="1:201" x14ac:dyDescent="0.25">
      <c r="A100" s="54" t="s">
        <v>1032</v>
      </c>
      <c r="B100" s="54" t="s">
        <v>1033</v>
      </c>
      <c r="C100" s="54" t="s">
        <v>1197</v>
      </c>
      <c r="D100" s="54" t="s">
        <v>1035</v>
      </c>
      <c r="E100" s="54" t="s">
        <v>1036</v>
      </c>
      <c r="F100" s="55">
        <v>46175</v>
      </c>
      <c r="G100" s="55">
        <v>46175</v>
      </c>
      <c r="H100" s="54" t="s">
        <v>1037</v>
      </c>
      <c r="I100" s="54" t="s">
        <v>1038</v>
      </c>
      <c r="J100" s="54" t="s">
        <v>1039</v>
      </c>
      <c r="K100" s="55"/>
      <c r="L100" s="54" t="s">
        <v>1040</v>
      </c>
      <c r="M100" s="54"/>
      <c r="N100" s="54" t="s">
        <v>1198</v>
      </c>
      <c r="O100" s="54" t="s">
        <v>1139</v>
      </c>
      <c r="P100" s="54" t="s">
        <v>433</v>
      </c>
      <c r="Q100" s="54" t="s">
        <v>434</v>
      </c>
      <c r="R100" s="54" t="s">
        <v>1043</v>
      </c>
      <c r="S100" s="56">
        <v>1847.7</v>
      </c>
      <c r="T100" s="56">
        <v>1847.7</v>
      </c>
      <c r="U100" s="56">
        <v>0</v>
      </c>
      <c r="V100" s="56">
        <v>0</v>
      </c>
      <c r="W100" s="56">
        <v>0</v>
      </c>
      <c r="X100" s="56">
        <v>0</v>
      </c>
      <c r="Y100" s="56">
        <v>0</v>
      </c>
      <c r="Z100" s="56">
        <v>90</v>
      </c>
      <c r="AA100" s="56">
        <v>90</v>
      </c>
      <c r="AB100" s="59">
        <v>0</v>
      </c>
      <c r="AC100" s="56">
        <v>0</v>
      </c>
      <c r="AD100" s="56">
        <v>0</v>
      </c>
      <c r="AE100" s="56">
        <v>0</v>
      </c>
      <c r="AF100" s="54" t="s">
        <v>1199</v>
      </c>
      <c r="AG100" s="57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 t="s">
        <v>1045</v>
      </c>
      <c r="AS100" s="54" t="s">
        <v>1046</v>
      </c>
      <c r="AT100" s="54" t="s">
        <v>1047</v>
      </c>
      <c r="AU100" s="54" t="s">
        <v>1048</v>
      </c>
      <c r="AV100" s="54"/>
      <c r="AW100" s="55">
        <v>46189</v>
      </c>
      <c r="AX100" s="55">
        <v>46175</v>
      </c>
      <c r="AY100" s="55">
        <v>46175</v>
      </c>
      <c r="AZ100" s="55">
        <v>46176</v>
      </c>
      <c r="BA100" s="55">
        <v>46189</v>
      </c>
      <c r="BB100" s="56">
        <v>0</v>
      </c>
      <c r="BC100" s="56">
        <v>0</v>
      </c>
      <c r="BD100" s="56">
        <v>0</v>
      </c>
      <c r="BE100" s="56">
        <v>0</v>
      </c>
      <c r="BF100" s="56">
        <v>0</v>
      </c>
      <c r="BG100" s="56">
        <v>0</v>
      </c>
      <c r="BH100" s="56">
        <v>0</v>
      </c>
      <c r="BI100" s="56">
        <v>0</v>
      </c>
      <c r="BJ100" s="56">
        <v>0</v>
      </c>
      <c r="BK100" s="56">
        <v>0</v>
      </c>
      <c r="BL100" s="56">
        <v>0</v>
      </c>
      <c r="BM100" s="56">
        <v>0</v>
      </c>
      <c r="BN100" s="56">
        <v>0</v>
      </c>
      <c r="BO100" s="56">
        <v>0</v>
      </c>
      <c r="BP100" s="54" t="s">
        <v>1049</v>
      </c>
      <c r="BQ100" s="54" t="s">
        <v>1050</v>
      </c>
      <c r="BR100" s="54" t="s">
        <v>1049</v>
      </c>
      <c r="BS100" s="54" t="s">
        <v>1050</v>
      </c>
      <c r="BT100" s="54" t="s">
        <v>1051</v>
      </c>
      <c r="BU100" s="54" t="s">
        <v>1043</v>
      </c>
      <c r="BV100" s="58">
        <v>90</v>
      </c>
      <c r="BW100" s="54" t="s">
        <v>1052</v>
      </c>
      <c r="BX100" s="54" t="s">
        <v>1053</v>
      </c>
      <c r="BY100" s="54" t="s">
        <v>1054</v>
      </c>
      <c r="BZ100" s="54" t="s">
        <v>1055</v>
      </c>
      <c r="CA100" s="55"/>
      <c r="CB100" s="54" t="s">
        <v>1056</v>
      </c>
      <c r="CC100" s="54" t="s">
        <v>1057</v>
      </c>
      <c r="CD100" s="54" t="s">
        <v>1200</v>
      </c>
      <c r="CE100" s="54" t="s">
        <v>1201</v>
      </c>
      <c r="CF100" s="54" t="s">
        <v>1202</v>
      </c>
      <c r="CG100" s="54" t="s">
        <v>1203</v>
      </c>
      <c r="CH100" s="54" t="s">
        <v>1204</v>
      </c>
      <c r="CI100" s="54" t="s">
        <v>1203</v>
      </c>
      <c r="CJ100" s="54" t="s">
        <v>1064</v>
      </c>
      <c r="CK100" s="54" t="s">
        <v>1065</v>
      </c>
      <c r="CL100" s="54" t="s">
        <v>1205</v>
      </c>
      <c r="CM100" s="54" t="s">
        <v>1206</v>
      </c>
      <c r="CN100" s="54" t="s">
        <v>1068</v>
      </c>
      <c r="CO100" s="54" t="s">
        <v>1069</v>
      </c>
      <c r="CP100" s="56">
        <v>0</v>
      </c>
      <c r="CQ100" s="56">
        <v>0</v>
      </c>
      <c r="CR100" s="56">
        <v>0</v>
      </c>
      <c r="CS100" s="56">
        <v>0</v>
      </c>
      <c r="CT100" s="56">
        <v>0</v>
      </c>
      <c r="CU100" s="56">
        <v>0</v>
      </c>
      <c r="CV100" s="56">
        <v>0</v>
      </c>
      <c r="CW100" s="56">
        <v>0</v>
      </c>
      <c r="CX100" s="56">
        <v>0</v>
      </c>
      <c r="CY100" s="56">
        <v>0</v>
      </c>
      <c r="CZ100" s="56">
        <v>0</v>
      </c>
      <c r="DA100" s="56">
        <v>0</v>
      </c>
      <c r="DB100" s="56">
        <v>0</v>
      </c>
      <c r="DC100" s="56">
        <v>0</v>
      </c>
      <c r="DD100" s="56">
        <v>0</v>
      </c>
      <c r="DE100" s="56">
        <v>0</v>
      </c>
      <c r="DF100" s="56">
        <v>0</v>
      </c>
      <c r="DG100" s="56">
        <v>0</v>
      </c>
      <c r="DH100" s="56">
        <v>0</v>
      </c>
      <c r="DI100" s="56">
        <v>0</v>
      </c>
      <c r="DJ100" s="56">
        <v>0</v>
      </c>
      <c r="DK100" s="56">
        <v>0</v>
      </c>
      <c r="DL100" s="56">
        <v>0</v>
      </c>
      <c r="DM100" s="56">
        <v>0</v>
      </c>
      <c r="DN100" s="56">
        <v>0</v>
      </c>
      <c r="DO100" s="56">
        <v>0</v>
      </c>
      <c r="DP100" s="56">
        <v>0</v>
      </c>
      <c r="DQ100" s="56">
        <v>0</v>
      </c>
      <c r="DR100" s="56">
        <v>0</v>
      </c>
      <c r="DS100" s="56">
        <v>0</v>
      </c>
      <c r="DT100" s="56">
        <v>0</v>
      </c>
      <c r="DU100" s="56">
        <v>0</v>
      </c>
      <c r="DV100" s="56">
        <v>0</v>
      </c>
      <c r="DW100" s="56">
        <v>0</v>
      </c>
      <c r="DX100" s="56">
        <v>0</v>
      </c>
      <c r="DY100" s="56">
        <v>0</v>
      </c>
      <c r="DZ100" s="56">
        <v>0</v>
      </c>
      <c r="EA100" s="56">
        <v>0</v>
      </c>
      <c r="EB100" s="56">
        <v>0</v>
      </c>
      <c r="EC100" s="56">
        <v>0</v>
      </c>
      <c r="ED100" s="56">
        <v>0</v>
      </c>
      <c r="EE100" s="56">
        <v>0</v>
      </c>
      <c r="EF100" s="56">
        <v>0</v>
      </c>
      <c r="EG100" s="56">
        <v>0</v>
      </c>
      <c r="EH100" s="56">
        <v>221.72</v>
      </c>
      <c r="EI100" s="56">
        <v>0</v>
      </c>
      <c r="EJ100" s="56">
        <v>0</v>
      </c>
      <c r="EK100" s="56">
        <v>0</v>
      </c>
      <c r="EL100" s="56">
        <v>0</v>
      </c>
      <c r="EM100" s="56">
        <v>0</v>
      </c>
      <c r="EN100" s="56">
        <v>0</v>
      </c>
      <c r="EO100" s="56">
        <v>0</v>
      </c>
      <c r="EP100" s="56">
        <v>0</v>
      </c>
      <c r="EQ100" s="56">
        <v>0</v>
      </c>
      <c r="ER100" s="56">
        <v>0</v>
      </c>
      <c r="ES100" s="56">
        <v>0</v>
      </c>
      <c r="ET100" s="56">
        <v>0</v>
      </c>
      <c r="EU100" s="56">
        <v>0</v>
      </c>
      <c r="EV100" s="56">
        <v>0</v>
      </c>
      <c r="EW100" s="56">
        <v>0</v>
      </c>
      <c r="EX100" s="56">
        <v>0</v>
      </c>
      <c r="EY100" s="56">
        <v>0</v>
      </c>
      <c r="EZ100" s="56">
        <v>0</v>
      </c>
      <c r="FA100" s="56">
        <v>0</v>
      </c>
      <c r="FB100" s="56">
        <v>0</v>
      </c>
      <c r="FC100" s="58">
        <v>0</v>
      </c>
      <c r="FD100" s="56">
        <v>0</v>
      </c>
      <c r="FE100" s="56">
        <v>0</v>
      </c>
      <c r="FF100" s="56">
        <v>0</v>
      </c>
      <c r="FG100" s="56">
        <v>0</v>
      </c>
      <c r="FH100" s="56">
        <v>0</v>
      </c>
      <c r="FI100" s="56">
        <v>0</v>
      </c>
      <c r="FJ100" s="56">
        <v>0</v>
      </c>
      <c r="FK100" s="56">
        <v>0</v>
      </c>
      <c r="FL100" s="56">
        <v>0</v>
      </c>
      <c r="FM100" s="56">
        <v>0</v>
      </c>
      <c r="FN100" s="56">
        <v>0</v>
      </c>
      <c r="FO100" s="56">
        <v>0</v>
      </c>
      <c r="FP100" s="56">
        <v>0</v>
      </c>
      <c r="FQ100" s="56">
        <v>0</v>
      </c>
      <c r="FR100" s="56">
        <v>0</v>
      </c>
      <c r="FS100" s="58">
        <v>0</v>
      </c>
      <c r="FT100" s="56">
        <v>0</v>
      </c>
      <c r="FU100" s="56">
        <v>0</v>
      </c>
      <c r="FV100" s="56">
        <v>0</v>
      </c>
      <c r="FW100" s="56">
        <v>0</v>
      </c>
      <c r="FX100" s="56">
        <v>0</v>
      </c>
      <c r="FY100" s="56">
        <v>0</v>
      </c>
      <c r="FZ100" s="54" t="s">
        <v>1083</v>
      </c>
      <c r="GA100" s="54" t="s">
        <v>1084</v>
      </c>
      <c r="GB100" s="54" t="s">
        <v>1072</v>
      </c>
      <c r="GC100" s="54" t="s">
        <v>1073</v>
      </c>
      <c r="GD100" s="54"/>
      <c r="GE100" s="54"/>
      <c r="GF100" s="54"/>
      <c r="GG100" s="55"/>
      <c r="GH100" s="54"/>
      <c r="GI100" s="54"/>
      <c r="GJ100" s="54" t="s">
        <v>1076</v>
      </c>
      <c r="GK100" s="54" t="s">
        <v>1077</v>
      </c>
      <c r="GL100" s="54"/>
      <c r="GM100" s="54"/>
      <c r="GN100" s="54" t="s">
        <v>1208</v>
      </c>
      <c r="GO100" s="54" t="s">
        <v>1209</v>
      </c>
      <c r="GP100" s="54"/>
      <c r="GQ100" s="56">
        <v>0</v>
      </c>
      <c r="GR100" s="54" t="s">
        <v>1210</v>
      </c>
      <c r="GS100" s="54"/>
    </row>
    <row r="101" spans="1:201" x14ac:dyDescent="0.25">
      <c r="A101" s="54" t="s">
        <v>1032</v>
      </c>
      <c r="B101" s="54" t="s">
        <v>1033</v>
      </c>
      <c r="C101" s="54" t="s">
        <v>1197</v>
      </c>
      <c r="D101" s="54" t="s">
        <v>1035</v>
      </c>
      <c r="E101" s="54" t="s">
        <v>1036</v>
      </c>
      <c r="F101" s="55">
        <v>46175</v>
      </c>
      <c r="G101" s="55">
        <v>46175</v>
      </c>
      <c r="H101" s="54" t="s">
        <v>1037</v>
      </c>
      <c r="I101" s="54" t="s">
        <v>1038</v>
      </c>
      <c r="J101" s="54" t="s">
        <v>1039</v>
      </c>
      <c r="K101" s="55"/>
      <c r="L101" s="54" t="s">
        <v>1040</v>
      </c>
      <c r="M101" s="54"/>
      <c r="N101" s="54" t="s">
        <v>1198</v>
      </c>
      <c r="O101" s="54" t="s">
        <v>1141</v>
      </c>
      <c r="P101" s="54" t="s">
        <v>612</v>
      </c>
      <c r="Q101" s="54" t="s">
        <v>384</v>
      </c>
      <c r="R101" s="54" t="s">
        <v>1043</v>
      </c>
      <c r="S101" s="56">
        <v>675</v>
      </c>
      <c r="T101" s="56">
        <v>0</v>
      </c>
      <c r="U101" s="56">
        <v>0</v>
      </c>
      <c r="V101" s="56">
        <v>675</v>
      </c>
      <c r="W101" s="56">
        <v>0</v>
      </c>
      <c r="X101" s="56">
        <v>0</v>
      </c>
      <c r="Y101" s="56">
        <v>0</v>
      </c>
      <c r="Z101" s="56">
        <v>100</v>
      </c>
      <c r="AA101" s="56">
        <v>0</v>
      </c>
      <c r="AB101" s="59">
        <v>0</v>
      </c>
      <c r="AC101" s="56">
        <v>100</v>
      </c>
      <c r="AD101" s="56">
        <v>0</v>
      </c>
      <c r="AE101" s="56">
        <v>0</v>
      </c>
      <c r="AF101" s="54" t="s">
        <v>1199</v>
      </c>
      <c r="AG101" s="57"/>
      <c r="AH101" s="54" t="s">
        <v>1123</v>
      </c>
      <c r="AI101" s="54" t="s">
        <v>1124</v>
      </c>
      <c r="AJ101" s="54"/>
      <c r="AK101" s="54"/>
      <c r="AL101" s="54"/>
      <c r="AM101" s="54"/>
      <c r="AN101" s="54"/>
      <c r="AO101" s="54"/>
      <c r="AP101" s="54"/>
      <c r="AQ101" s="54"/>
      <c r="AR101" s="54" t="s">
        <v>1045</v>
      </c>
      <c r="AS101" s="54" t="s">
        <v>1046</v>
      </c>
      <c r="AT101" s="54" t="s">
        <v>1047</v>
      </c>
      <c r="AU101" s="54" t="s">
        <v>1048</v>
      </c>
      <c r="AV101" s="54"/>
      <c r="AW101" s="55">
        <v>46189</v>
      </c>
      <c r="AX101" s="55">
        <v>46175</v>
      </c>
      <c r="AY101" s="55">
        <v>46175</v>
      </c>
      <c r="AZ101" s="55"/>
      <c r="BA101" s="55">
        <v>46189</v>
      </c>
      <c r="BB101" s="56">
        <v>0</v>
      </c>
      <c r="BC101" s="56">
        <v>0</v>
      </c>
      <c r="BD101" s="56">
        <v>0</v>
      </c>
      <c r="BE101" s="56">
        <v>0</v>
      </c>
      <c r="BF101" s="56">
        <v>0</v>
      </c>
      <c r="BG101" s="56">
        <v>0</v>
      </c>
      <c r="BH101" s="56">
        <v>0</v>
      </c>
      <c r="BI101" s="56">
        <v>0</v>
      </c>
      <c r="BJ101" s="56">
        <v>0</v>
      </c>
      <c r="BK101" s="56">
        <v>0</v>
      </c>
      <c r="BL101" s="56">
        <v>0</v>
      </c>
      <c r="BM101" s="56">
        <v>0</v>
      </c>
      <c r="BN101" s="56">
        <v>0</v>
      </c>
      <c r="BO101" s="56">
        <v>0</v>
      </c>
      <c r="BP101" s="54" t="s">
        <v>1049</v>
      </c>
      <c r="BQ101" s="54" t="s">
        <v>1050</v>
      </c>
      <c r="BR101" s="54" t="s">
        <v>1049</v>
      </c>
      <c r="BS101" s="54" t="s">
        <v>1050</v>
      </c>
      <c r="BT101" s="54" t="s">
        <v>1051</v>
      </c>
      <c r="BU101" s="54" t="s">
        <v>1043</v>
      </c>
      <c r="BV101" s="58">
        <v>0</v>
      </c>
      <c r="BW101" s="54" t="s">
        <v>1052</v>
      </c>
      <c r="BX101" s="54" t="s">
        <v>1053</v>
      </c>
      <c r="BY101" s="54" t="s">
        <v>1054</v>
      </c>
      <c r="BZ101" s="54" t="s">
        <v>1055</v>
      </c>
      <c r="CA101" s="55"/>
      <c r="CB101" s="54" t="s">
        <v>1056</v>
      </c>
      <c r="CC101" s="54" t="s">
        <v>1057</v>
      </c>
      <c r="CD101" s="54" t="s">
        <v>1200</v>
      </c>
      <c r="CE101" s="54" t="s">
        <v>1201</v>
      </c>
      <c r="CF101" s="54" t="s">
        <v>1202</v>
      </c>
      <c r="CG101" s="54" t="s">
        <v>1203</v>
      </c>
      <c r="CH101" s="54" t="s">
        <v>1204</v>
      </c>
      <c r="CI101" s="54" t="s">
        <v>1203</v>
      </c>
      <c r="CJ101" s="54" t="s">
        <v>1064</v>
      </c>
      <c r="CK101" s="54" t="s">
        <v>1065</v>
      </c>
      <c r="CL101" s="54" t="s">
        <v>1205</v>
      </c>
      <c r="CM101" s="54" t="s">
        <v>1206</v>
      </c>
      <c r="CN101" s="54" t="s">
        <v>1068</v>
      </c>
      <c r="CO101" s="54" t="s">
        <v>1069</v>
      </c>
      <c r="CP101" s="56">
        <v>0</v>
      </c>
      <c r="CQ101" s="56">
        <v>0</v>
      </c>
      <c r="CR101" s="56">
        <v>0</v>
      </c>
      <c r="CS101" s="56">
        <v>0</v>
      </c>
      <c r="CT101" s="56">
        <v>0</v>
      </c>
      <c r="CU101" s="56">
        <v>0</v>
      </c>
      <c r="CV101" s="56">
        <v>0</v>
      </c>
      <c r="CW101" s="56">
        <v>0</v>
      </c>
      <c r="CX101" s="56">
        <v>0</v>
      </c>
      <c r="CY101" s="56">
        <v>0</v>
      </c>
      <c r="CZ101" s="56">
        <v>0</v>
      </c>
      <c r="DA101" s="56">
        <v>0</v>
      </c>
      <c r="DB101" s="56">
        <v>0</v>
      </c>
      <c r="DC101" s="56">
        <v>0</v>
      </c>
      <c r="DD101" s="56">
        <v>0</v>
      </c>
      <c r="DE101" s="56">
        <v>0</v>
      </c>
      <c r="DF101" s="56">
        <v>0</v>
      </c>
      <c r="DG101" s="56">
        <v>0</v>
      </c>
      <c r="DH101" s="56">
        <v>0</v>
      </c>
      <c r="DI101" s="56">
        <v>0</v>
      </c>
      <c r="DJ101" s="56">
        <v>0</v>
      </c>
      <c r="DK101" s="56">
        <v>0</v>
      </c>
      <c r="DL101" s="56">
        <v>0</v>
      </c>
      <c r="DM101" s="56">
        <v>0</v>
      </c>
      <c r="DN101" s="56">
        <v>0</v>
      </c>
      <c r="DO101" s="56">
        <v>0</v>
      </c>
      <c r="DP101" s="56">
        <v>0</v>
      </c>
      <c r="DQ101" s="56">
        <v>0</v>
      </c>
      <c r="DR101" s="56">
        <v>0</v>
      </c>
      <c r="DS101" s="56">
        <v>0</v>
      </c>
      <c r="DT101" s="56">
        <v>0</v>
      </c>
      <c r="DU101" s="56">
        <v>0</v>
      </c>
      <c r="DV101" s="56">
        <v>0</v>
      </c>
      <c r="DW101" s="56">
        <v>0</v>
      </c>
      <c r="DX101" s="56">
        <v>0</v>
      </c>
      <c r="DY101" s="56">
        <v>0</v>
      </c>
      <c r="DZ101" s="56">
        <v>0</v>
      </c>
      <c r="EA101" s="56">
        <v>0</v>
      </c>
      <c r="EB101" s="56">
        <v>0</v>
      </c>
      <c r="EC101" s="56">
        <v>0</v>
      </c>
      <c r="ED101" s="56">
        <v>0</v>
      </c>
      <c r="EE101" s="56">
        <v>0</v>
      </c>
      <c r="EF101" s="56">
        <v>0</v>
      </c>
      <c r="EG101" s="56">
        <v>0</v>
      </c>
      <c r="EH101" s="56">
        <v>81</v>
      </c>
      <c r="EI101" s="56">
        <v>0</v>
      </c>
      <c r="EJ101" s="56">
        <v>0</v>
      </c>
      <c r="EK101" s="56">
        <v>0</v>
      </c>
      <c r="EL101" s="56">
        <v>0</v>
      </c>
      <c r="EM101" s="56">
        <v>0</v>
      </c>
      <c r="EN101" s="56">
        <v>0</v>
      </c>
      <c r="EO101" s="56">
        <v>0</v>
      </c>
      <c r="EP101" s="56">
        <v>0</v>
      </c>
      <c r="EQ101" s="56">
        <v>0</v>
      </c>
      <c r="ER101" s="56">
        <v>0</v>
      </c>
      <c r="ES101" s="56">
        <v>0</v>
      </c>
      <c r="ET101" s="56">
        <v>0</v>
      </c>
      <c r="EU101" s="56">
        <v>0</v>
      </c>
      <c r="EV101" s="56">
        <v>0</v>
      </c>
      <c r="EW101" s="56">
        <v>0</v>
      </c>
      <c r="EX101" s="56">
        <v>0</v>
      </c>
      <c r="EY101" s="56">
        <v>0</v>
      </c>
      <c r="EZ101" s="56">
        <v>0</v>
      </c>
      <c r="FA101" s="56">
        <v>0</v>
      </c>
      <c r="FB101" s="56">
        <v>0</v>
      </c>
      <c r="FC101" s="58">
        <v>0</v>
      </c>
      <c r="FD101" s="56">
        <v>0</v>
      </c>
      <c r="FE101" s="56">
        <v>0</v>
      </c>
      <c r="FF101" s="56">
        <v>0</v>
      </c>
      <c r="FG101" s="56">
        <v>0</v>
      </c>
      <c r="FH101" s="56">
        <v>0</v>
      </c>
      <c r="FI101" s="56">
        <v>0</v>
      </c>
      <c r="FJ101" s="56">
        <v>0</v>
      </c>
      <c r="FK101" s="56">
        <v>0</v>
      </c>
      <c r="FL101" s="56">
        <v>0</v>
      </c>
      <c r="FM101" s="56">
        <v>0</v>
      </c>
      <c r="FN101" s="56">
        <v>0</v>
      </c>
      <c r="FO101" s="56">
        <v>0</v>
      </c>
      <c r="FP101" s="56">
        <v>0</v>
      </c>
      <c r="FQ101" s="56">
        <v>0</v>
      </c>
      <c r="FR101" s="56">
        <v>0</v>
      </c>
      <c r="FS101" s="58">
        <v>0</v>
      </c>
      <c r="FT101" s="56">
        <v>0</v>
      </c>
      <c r="FU101" s="56">
        <v>0</v>
      </c>
      <c r="FV101" s="56">
        <v>0</v>
      </c>
      <c r="FW101" s="56">
        <v>0</v>
      </c>
      <c r="FX101" s="56">
        <v>0</v>
      </c>
      <c r="FY101" s="56">
        <v>0</v>
      </c>
      <c r="FZ101" s="54" t="s">
        <v>1070</v>
      </c>
      <c r="GA101" s="54" t="s">
        <v>1071</v>
      </c>
      <c r="GB101" s="54" t="s">
        <v>1072</v>
      </c>
      <c r="GC101" s="54" t="s">
        <v>1073</v>
      </c>
      <c r="GD101" s="54"/>
      <c r="GE101" s="54"/>
      <c r="GF101" s="54"/>
      <c r="GG101" s="55"/>
      <c r="GH101" s="54"/>
      <c r="GI101" s="54"/>
      <c r="GJ101" s="54" t="s">
        <v>1076</v>
      </c>
      <c r="GK101" s="54" t="s">
        <v>1077</v>
      </c>
      <c r="GL101" s="54"/>
      <c r="GM101" s="54"/>
      <c r="GN101" s="54" t="s">
        <v>1208</v>
      </c>
      <c r="GO101" s="54" t="s">
        <v>1209</v>
      </c>
      <c r="GP101" s="54"/>
      <c r="GQ101" s="56">
        <v>0</v>
      </c>
      <c r="GR101" s="54" t="s">
        <v>1210</v>
      </c>
      <c r="GS101" s="54"/>
    </row>
    <row r="102" spans="1:201" x14ac:dyDescent="0.25">
      <c r="A102" s="54" t="s">
        <v>1032</v>
      </c>
      <c r="B102" s="54" t="s">
        <v>1033</v>
      </c>
      <c r="C102" s="54" t="s">
        <v>1197</v>
      </c>
      <c r="D102" s="54" t="s">
        <v>1035</v>
      </c>
      <c r="E102" s="54" t="s">
        <v>1036</v>
      </c>
      <c r="F102" s="55">
        <v>46175</v>
      </c>
      <c r="G102" s="55">
        <v>46175</v>
      </c>
      <c r="H102" s="54" t="s">
        <v>1037</v>
      </c>
      <c r="I102" s="54" t="s">
        <v>1038</v>
      </c>
      <c r="J102" s="54" t="s">
        <v>1039</v>
      </c>
      <c r="K102" s="55"/>
      <c r="L102" s="54" t="s">
        <v>1040</v>
      </c>
      <c r="M102" s="54"/>
      <c r="N102" s="54" t="s">
        <v>1198</v>
      </c>
      <c r="O102" s="54" t="s">
        <v>1142</v>
      </c>
      <c r="P102" s="54" t="s">
        <v>288</v>
      </c>
      <c r="Q102" s="54" t="s">
        <v>128</v>
      </c>
      <c r="R102" s="54" t="s">
        <v>1043</v>
      </c>
      <c r="S102" s="56">
        <v>961.2</v>
      </c>
      <c r="T102" s="56">
        <v>961.2</v>
      </c>
      <c r="U102" s="56">
        <v>0</v>
      </c>
      <c r="V102" s="56">
        <v>0</v>
      </c>
      <c r="W102" s="56">
        <v>0</v>
      </c>
      <c r="X102" s="56">
        <v>0</v>
      </c>
      <c r="Y102" s="56">
        <v>0</v>
      </c>
      <c r="Z102" s="56">
        <v>120</v>
      </c>
      <c r="AA102" s="56">
        <v>120</v>
      </c>
      <c r="AB102" s="59">
        <v>0</v>
      </c>
      <c r="AC102" s="56">
        <v>0</v>
      </c>
      <c r="AD102" s="56">
        <v>0</v>
      </c>
      <c r="AE102" s="56">
        <v>0</v>
      </c>
      <c r="AF102" s="54" t="s">
        <v>1199</v>
      </c>
      <c r="AG102" s="57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 t="s">
        <v>1045</v>
      </c>
      <c r="AS102" s="54" t="s">
        <v>1046</v>
      </c>
      <c r="AT102" s="54" t="s">
        <v>1047</v>
      </c>
      <c r="AU102" s="54" t="s">
        <v>1048</v>
      </c>
      <c r="AV102" s="54"/>
      <c r="AW102" s="55">
        <v>46189</v>
      </c>
      <c r="AX102" s="55">
        <v>46175</v>
      </c>
      <c r="AY102" s="55">
        <v>46175</v>
      </c>
      <c r="AZ102" s="55">
        <v>46176</v>
      </c>
      <c r="BA102" s="55">
        <v>46189</v>
      </c>
      <c r="BB102" s="56">
        <v>0</v>
      </c>
      <c r="BC102" s="56">
        <v>0</v>
      </c>
      <c r="BD102" s="56">
        <v>0</v>
      </c>
      <c r="BE102" s="56">
        <v>0</v>
      </c>
      <c r="BF102" s="56">
        <v>0</v>
      </c>
      <c r="BG102" s="56">
        <v>0</v>
      </c>
      <c r="BH102" s="56">
        <v>0</v>
      </c>
      <c r="BI102" s="56">
        <v>0</v>
      </c>
      <c r="BJ102" s="56">
        <v>0</v>
      </c>
      <c r="BK102" s="56">
        <v>0</v>
      </c>
      <c r="BL102" s="56">
        <v>0</v>
      </c>
      <c r="BM102" s="56">
        <v>0</v>
      </c>
      <c r="BN102" s="56">
        <v>0</v>
      </c>
      <c r="BO102" s="56">
        <v>0</v>
      </c>
      <c r="BP102" s="54" t="s">
        <v>1049</v>
      </c>
      <c r="BQ102" s="54" t="s">
        <v>1050</v>
      </c>
      <c r="BR102" s="54" t="s">
        <v>1049</v>
      </c>
      <c r="BS102" s="54" t="s">
        <v>1050</v>
      </c>
      <c r="BT102" s="54" t="s">
        <v>1051</v>
      </c>
      <c r="BU102" s="54" t="s">
        <v>1043</v>
      </c>
      <c r="BV102" s="58">
        <v>120</v>
      </c>
      <c r="BW102" s="54" t="s">
        <v>1052</v>
      </c>
      <c r="BX102" s="54" t="s">
        <v>1053</v>
      </c>
      <c r="BY102" s="54" t="s">
        <v>1054</v>
      </c>
      <c r="BZ102" s="54" t="s">
        <v>1055</v>
      </c>
      <c r="CA102" s="55"/>
      <c r="CB102" s="54" t="s">
        <v>1056</v>
      </c>
      <c r="CC102" s="54" t="s">
        <v>1057</v>
      </c>
      <c r="CD102" s="54" t="s">
        <v>1200</v>
      </c>
      <c r="CE102" s="54" t="s">
        <v>1201</v>
      </c>
      <c r="CF102" s="54" t="s">
        <v>1202</v>
      </c>
      <c r="CG102" s="54" t="s">
        <v>1203</v>
      </c>
      <c r="CH102" s="54" t="s">
        <v>1204</v>
      </c>
      <c r="CI102" s="54" t="s">
        <v>1203</v>
      </c>
      <c r="CJ102" s="54" t="s">
        <v>1064</v>
      </c>
      <c r="CK102" s="54" t="s">
        <v>1065</v>
      </c>
      <c r="CL102" s="54" t="s">
        <v>1205</v>
      </c>
      <c r="CM102" s="54" t="s">
        <v>1206</v>
      </c>
      <c r="CN102" s="54" t="s">
        <v>1068</v>
      </c>
      <c r="CO102" s="54" t="s">
        <v>1069</v>
      </c>
      <c r="CP102" s="56">
        <v>0</v>
      </c>
      <c r="CQ102" s="56">
        <v>0</v>
      </c>
      <c r="CR102" s="56">
        <v>0</v>
      </c>
      <c r="CS102" s="56">
        <v>0</v>
      </c>
      <c r="CT102" s="56">
        <v>0</v>
      </c>
      <c r="CU102" s="56">
        <v>0</v>
      </c>
      <c r="CV102" s="56">
        <v>0</v>
      </c>
      <c r="CW102" s="56">
        <v>0</v>
      </c>
      <c r="CX102" s="56">
        <v>0</v>
      </c>
      <c r="CY102" s="56">
        <v>0</v>
      </c>
      <c r="CZ102" s="56">
        <v>0</v>
      </c>
      <c r="DA102" s="56">
        <v>0</v>
      </c>
      <c r="DB102" s="56">
        <v>0</v>
      </c>
      <c r="DC102" s="56">
        <v>0</v>
      </c>
      <c r="DD102" s="56">
        <v>0</v>
      </c>
      <c r="DE102" s="56">
        <v>0</v>
      </c>
      <c r="DF102" s="56">
        <v>0</v>
      </c>
      <c r="DG102" s="56">
        <v>0</v>
      </c>
      <c r="DH102" s="56">
        <v>0</v>
      </c>
      <c r="DI102" s="56">
        <v>0</v>
      </c>
      <c r="DJ102" s="56">
        <v>0</v>
      </c>
      <c r="DK102" s="56">
        <v>0</v>
      </c>
      <c r="DL102" s="56">
        <v>0</v>
      </c>
      <c r="DM102" s="56">
        <v>0</v>
      </c>
      <c r="DN102" s="56">
        <v>0</v>
      </c>
      <c r="DO102" s="56">
        <v>0</v>
      </c>
      <c r="DP102" s="56">
        <v>0</v>
      </c>
      <c r="DQ102" s="56">
        <v>0</v>
      </c>
      <c r="DR102" s="56">
        <v>0</v>
      </c>
      <c r="DS102" s="56">
        <v>0</v>
      </c>
      <c r="DT102" s="56">
        <v>0</v>
      </c>
      <c r="DU102" s="56">
        <v>0</v>
      </c>
      <c r="DV102" s="56">
        <v>0</v>
      </c>
      <c r="DW102" s="56">
        <v>0</v>
      </c>
      <c r="DX102" s="56">
        <v>0</v>
      </c>
      <c r="DY102" s="56">
        <v>0</v>
      </c>
      <c r="DZ102" s="56">
        <v>0</v>
      </c>
      <c r="EA102" s="56">
        <v>0</v>
      </c>
      <c r="EB102" s="56">
        <v>0</v>
      </c>
      <c r="EC102" s="56">
        <v>0</v>
      </c>
      <c r="ED102" s="56">
        <v>0</v>
      </c>
      <c r="EE102" s="56">
        <v>0</v>
      </c>
      <c r="EF102" s="56">
        <v>0</v>
      </c>
      <c r="EG102" s="56">
        <v>0</v>
      </c>
      <c r="EH102" s="56">
        <v>115.34</v>
      </c>
      <c r="EI102" s="56">
        <v>0</v>
      </c>
      <c r="EJ102" s="56">
        <v>0</v>
      </c>
      <c r="EK102" s="56">
        <v>0</v>
      </c>
      <c r="EL102" s="56">
        <v>0</v>
      </c>
      <c r="EM102" s="56">
        <v>0</v>
      </c>
      <c r="EN102" s="56">
        <v>0</v>
      </c>
      <c r="EO102" s="56">
        <v>0</v>
      </c>
      <c r="EP102" s="56">
        <v>0</v>
      </c>
      <c r="EQ102" s="56">
        <v>0</v>
      </c>
      <c r="ER102" s="56">
        <v>0</v>
      </c>
      <c r="ES102" s="56">
        <v>0</v>
      </c>
      <c r="ET102" s="56">
        <v>0</v>
      </c>
      <c r="EU102" s="56">
        <v>0</v>
      </c>
      <c r="EV102" s="56">
        <v>0</v>
      </c>
      <c r="EW102" s="56">
        <v>0</v>
      </c>
      <c r="EX102" s="56">
        <v>0</v>
      </c>
      <c r="EY102" s="56">
        <v>0</v>
      </c>
      <c r="EZ102" s="56">
        <v>0</v>
      </c>
      <c r="FA102" s="56">
        <v>0</v>
      </c>
      <c r="FB102" s="56">
        <v>0</v>
      </c>
      <c r="FC102" s="58">
        <v>0</v>
      </c>
      <c r="FD102" s="56">
        <v>0</v>
      </c>
      <c r="FE102" s="56">
        <v>0</v>
      </c>
      <c r="FF102" s="56">
        <v>0</v>
      </c>
      <c r="FG102" s="56">
        <v>0</v>
      </c>
      <c r="FH102" s="56">
        <v>0</v>
      </c>
      <c r="FI102" s="56">
        <v>0</v>
      </c>
      <c r="FJ102" s="56">
        <v>0</v>
      </c>
      <c r="FK102" s="56">
        <v>0</v>
      </c>
      <c r="FL102" s="56">
        <v>0</v>
      </c>
      <c r="FM102" s="56">
        <v>0</v>
      </c>
      <c r="FN102" s="56">
        <v>0</v>
      </c>
      <c r="FO102" s="56">
        <v>0</v>
      </c>
      <c r="FP102" s="56">
        <v>0</v>
      </c>
      <c r="FQ102" s="56">
        <v>0</v>
      </c>
      <c r="FR102" s="56">
        <v>0</v>
      </c>
      <c r="FS102" s="58">
        <v>0</v>
      </c>
      <c r="FT102" s="56">
        <v>0</v>
      </c>
      <c r="FU102" s="56">
        <v>0</v>
      </c>
      <c r="FV102" s="56">
        <v>0</v>
      </c>
      <c r="FW102" s="56">
        <v>0</v>
      </c>
      <c r="FX102" s="56">
        <v>0</v>
      </c>
      <c r="FY102" s="56">
        <v>0</v>
      </c>
      <c r="FZ102" s="54" t="s">
        <v>1083</v>
      </c>
      <c r="GA102" s="54" t="s">
        <v>1084</v>
      </c>
      <c r="GB102" s="54" t="s">
        <v>1072</v>
      </c>
      <c r="GC102" s="54" t="s">
        <v>1073</v>
      </c>
      <c r="GD102" s="54" t="s">
        <v>1232</v>
      </c>
      <c r="GE102" s="54" t="s">
        <v>1201</v>
      </c>
      <c r="GF102" s="54"/>
      <c r="GG102" s="55"/>
      <c r="GH102" s="54"/>
      <c r="GI102" s="54"/>
      <c r="GJ102" s="54" t="s">
        <v>1076</v>
      </c>
      <c r="GK102" s="54" t="s">
        <v>1077</v>
      </c>
      <c r="GL102" s="54"/>
      <c r="GM102" s="54"/>
      <c r="GN102" s="54" t="s">
        <v>1208</v>
      </c>
      <c r="GO102" s="54" t="s">
        <v>1209</v>
      </c>
      <c r="GP102" s="54"/>
      <c r="GQ102" s="56">
        <v>0</v>
      </c>
      <c r="GR102" s="54" t="s">
        <v>1210</v>
      </c>
      <c r="GS102" s="54"/>
    </row>
    <row r="103" spans="1:201" x14ac:dyDescent="0.25">
      <c r="A103" s="54" t="s">
        <v>1032</v>
      </c>
      <c r="B103" s="54" t="s">
        <v>1033</v>
      </c>
      <c r="C103" s="54" t="s">
        <v>1197</v>
      </c>
      <c r="D103" s="54" t="s">
        <v>1035</v>
      </c>
      <c r="E103" s="54" t="s">
        <v>1036</v>
      </c>
      <c r="F103" s="55">
        <v>46175</v>
      </c>
      <c r="G103" s="55">
        <v>46175</v>
      </c>
      <c r="H103" s="54" t="s">
        <v>1037</v>
      </c>
      <c r="I103" s="54" t="s">
        <v>1038</v>
      </c>
      <c r="J103" s="54" t="s">
        <v>1039</v>
      </c>
      <c r="K103" s="55"/>
      <c r="L103" s="54" t="s">
        <v>1040</v>
      </c>
      <c r="M103" s="54"/>
      <c r="N103" s="54" t="s">
        <v>1198</v>
      </c>
      <c r="O103" s="54" t="s">
        <v>1144</v>
      </c>
      <c r="P103" s="54" t="s">
        <v>290</v>
      </c>
      <c r="Q103" s="54" t="s">
        <v>130</v>
      </c>
      <c r="R103" s="54" t="s">
        <v>1043</v>
      </c>
      <c r="S103" s="56">
        <v>1113.5999999999999</v>
      </c>
      <c r="T103" s="56">
        <v>1113.5999999999999</v>
      </c>
      <c r="U103" s="56">
        <v>0</v>
      </c>
      <c r="V103" s="56">
        <v>0</v>
      </c>
      <c r="W103" s="56">
        <v>0</v>
      </c>
      <c r="X103" s="56">
        <v>0</v>
      </c>
      <c r="Y103" s="56">
        <v>0</v>
      </c>
      <c r="Z103" s="56">
        <v>120</v>
      </c>
      <c r="AA103" s="56">
        <v>120</v>
      </c>
      <c r="AB103" s="59">
        <v>0</v>
      </c>
      <c r="AC103" s="56">
        <v>0</v>
      </c>
      <c r="AD103" s="56">
        <v>0</v>
      </c>
      <c r="AE103" s="56">
        <v>0</v>
      </c>
      <c r="AF103" s="54" t="s">
        <v>1199</v>
      </c>
      <c r="AG103" s="57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 t="s">
        <v>1045</v>
      </c>
      <c r="AS103" s="54" t="s">
        <v>1046</v>
      </c>
      <c r="AT103" s="54" t="s">
        <v>1047</v>
      </c>
      <c r="AU103" s="54" t="s">
        <v>1048</v>
      </c>
      <c r="AV103" s="54"/>
      <c r="AW103" s="55">
        <v>46189</v>
      </c>
      <c r="AX103" s="55">
        <v>46175</v>
      </c>
      <c r="AY103" s="55">
        <v>46175</v>
      </c>
      <c r="AZ103" s="55">
        <v>46176</v>
      </c>
      <c r="BA103" s="55">
        <v>46189</v>
      </c>
      <c r="BB103" s="56">
        <v>0</v>
      </c>
      <c r="BC103" s="56">
        <v>0</v>
      </c>
      <c r="BD103" s="56">
        <v>0</v>
      </c>
      <c r="BE103" s="56">
        <v>0</v>
      </c>
      <c r="BF103" s="56">
        <v>0</v>
      </c>
      <c r="BG103" s="56">
        <v>0</v>
      </c>
      <c r="BH103" s="56">
        <v>0</v>
      </c>
      <c r="BI103" s="56">
        <v>0</v>
      </c>
      <c r="BJ103" s="56">
        <v>0</v>
      </c>
      <c r="BK103" s="56">
        <v>0</v>
      </c>
      <c r="BL103" s="56">
        <v>0</v>
      </c>
      <c r="BM103" s="56">
        <v>0</v>
      </c>
      <c r="BN103" s="56">
        <v>0</v>
      </c>
      <c r="BO103" s="56">
        <v>0</v>
      </c>
      <c r="BP103" s="54" t="s">
        <v>1049</v>
      </c>
      <c r="BQ103" s="54" t="s">
        <v>1050</v>
      </c>
      <c r="BR103" s="54" t="s">
        <v>1049</v>
      </c>
      <c r="BS103" s="54" t="s">
        <v>1050</v>
      </c>
      <c r="BT103" s="54" t="s">
        <v>1051</v>
      </c>
      <c r="BU103" s="54" t="s">
        <v>1043</v>
      </c>
      <c r="BV103" s="58">
        <v>120</v>
      </c>
      <c r="BW103" s="54" t="s">
        <v>1052</v>
      </c>
      <c r="BX103" s="54" t="s">
        <v>1053</v>
      </c>
      <c r="BY103" s="54" t="s">
        <v>1054</v>
      </c>
      <c r="BZ103" s="54" t="s">
        <v>1055</v>
      </c>
      <c r="CA103" s="55"/>
      <c r="CB103" s="54" t="s">
        <v>1056</v>
      </c>
      <c r="CC103" s="54" t="s">
        <v>1057</v>
      </c>
      <c r="CD103" s="54" t="s">
        <v>1200</v>
      </c>
      <c r="CE103" s="54" t="s">
        <v>1201</v>
      </c>
      <c r="CF103" s="54" t="s">
        <v>1202</v>
      </c>
      <c r="CG103" s="54" t="s">
        <v>1203</v>
      </c>
      <c r="CH103" s="54" t="s">
        <v>1204</v>
      </c>
      <c r="CI103" s="54" t="s">
        <v>1203</v>
      </c>
      <c r="CJ103" s="54" t="s">
        <v>1064</v>
      </c>
      <c r="CK103" s="54" t="s">
        <v>1065</v>
      </c>
      <c r="CL103" s="54" t="s">
        <v>1205</v>
      </c>
      <c r="CM103" s="54" t="s">
        <v>1206</v>
      </c>
      <c r="CN103" s="54" t="s">
        <v>1068</v>
      </c>
      <c r="CO103" s="54" t="s">
        <v>1069</v>
      </c>
      <c r="CP103" s="56">
        <v>0</v>
      </c>
      <c r="CQ103" s="56">
        <v>0</v>
      </c>
      <c r="CR103" s="56">
        <v>0</v>
      </c>
      <c r="CS103" s="56">
        <v>0</v>
      </c>
      <c r="CT103" s="56">
        <v>0</v>
      </c>
      <c r="CU103" s="56">
        <v>0</v>
      </c>
      <c r="CV103" s="56">
        <v>0</v>
      </c>
      <c r="CW103" s="56">
        <v>0</v>
      </c>
      <c r="CX103" s="56">
        <v>0</v>
      </c>
      <c r="CY103" s="56">
        <v>0</v>
      </c>
      <c r="CZ103" s="56">
        <v>0</v>
      </c>
      <c r="DA103" s="56">
        <v>0</v>
      </c>
      <c r="DB103" s="56">
        <v>0</v>
      </c>
      <c r="DC103" s="56">
        <v>0</v>
      </c>
      <c r="DD103" s="56">
        <v>0</v>
      </c>
      <c r="DE103" s="56">
        <v>0</v>
      </c>
      <c r="DF103" s="56">
        <v>0</v>
      </c>
      <c r="DG103" s="56">
        <v>0</v>
      </c>
      <c r="DH103" s="56">
        <v>0</v>
      </c>
      <c r="DI103" s="56">
        <v>0</v>
      </c>
      <c r="DJ103" s="56">
        <v>0</v>
      </c>
      <c r="DK103" s="56">
        <v>0</v>
      </c>
      <c r="DL103" s="56">
        <v>0</v>
      </c>
      <c r="DM103" s="56">
        <v>0</v>
      </c>
      <c r="DN103" s="56">
        <v>0</v>
      </c>
      <c r="DO103" s="56">
        <v>0</v>
      </c>
      <c r="DP103" s="56">
        <v>0</v>
      </c>
      <c r="DQ103" s="56">
        <v>0</v>
      </c>
      <c r="DR103" s="56">
        <v>0</v>
      </c>
      <c r="DS103" s="56">
        <v>0</v>
      </c>
      <c r="DT103" s="56">
        <v>0</v>
      </c>
      <c r="DU103" s="56">
        <v>0</v>
      </c>
      <c r="DV103" s="56">
        <v>0</v>
      </c>
      <c r="DW103" s="56">
        <v>0</v>
      </c>
      <c r="DX103" s="56">
        <v>0</v>
      </c>
      <c r="DY103" s="56">
        <v>0</v>
      </c>
      <c r="DZ103" s="56">
        <v>0</v>
      </c>
      <c r="EA103" s="56">
        <v>0</v>
      </c>
      <c r="EB103" s="56">
        <v>0</v>
      </c>
      <c r="EC103" s="56">
        <v>0</v>
      </c>
      <c r="ED103" s="56">
        <v>0</v>
      </c>
      <c r="EE103" s="56">
        <v>0</v>
      </c>
      <c r="EF103" s="56">
        <v>0</v>
      </c>
      <c r="EG103" s="56">
        <v>0</v>
      </c>
      <c r="EH103" s="56">
        <v>133.63</v>
      </c>
      <c r="EI103" s="56">
        <v>0</v>
      </c>
      <c r="EJ103" s="56">
        <v>0</v>
      </c>
      <c r="EK103" s="56">
        <v>0</v>
      </c>
      <c r="EL103" s="56">
        <v>0</v>
      </c>
      <c r="EM103" s="56">
        <v>0</v>
      </c>
      <c r="EN103" s="56">
        <v>0</v>
      </c>
      <c r="EO103" s="56">
        <v>0</v>
      </c>
      <c r="EP103" s="56">
        <v>0</v>
      </c>
      <c r="EQ103" s="56">
        <v>0</v>
      </c>
      <c r="ER103" s="56">
        <v>0</v>
      </c>
      <c r="ES103" s="56">
        <v>0</v>
      </c>
      <c r="ET103" s="56">
        <v>0</v>
      </c>
      <c r="EU103" s="56">
        <v>0</v>
      </c>
      <c r="EV103" s="56">
        <v>0</v>
      </c>
      <c r="EW103" s="56">
        <v>0</v>
      </c>
      <c r="EX103" s="56">
        <v>0</v>
      </c>
      <c r="EY103" s="56">
        <v>0</v>
      </c>
      <c r="EZ103" s="56">
        <v>0</v>
      </c>
      <c r="FA103" s="56">
        <v>0</v>
      </c>
      <c r="FB103" s="56">
        <v>0</v>
      </c>
      <c r="FC103" s="58">
        <v>0</v>
      </c>
      <c r="FD103" s="56">
        <v>0</v>
      </c>
      <c r="FE103" s="56">
        <v>0</v>
      </c>
      <c r="FF103" s="56">
        <v>0</v>
      </c>
      <c r="FG103" s="56">
        <v>0</v>
      </c>
      <c r="FH103" s="56">
        <v>0</v>
      </c>
      <c r="FI103" s="56">
        <v>0</v>
      </c>
      <c r="FJ103" s="56">
        <v>0</v>
      </c>
      <c r="FK103" s="56">
        <v>0</v>
      </c>
      <c r="FL103" s="56">
        <v>0</v>
      </c>
      <c r="FM103" s="56">
        <v>0</v>
      </c>
      <c r="FN103" s="56">
        <v>0</v>
      </c>
      <c r="FO103" s="56">
        <v>0</v>
      </c>
      <c r="FP103" s="56">
        <v>0</v>
      </c>
      <c r="FQ103" s="56">
        <v>0</v>
      </c>
      <c r="FR103" s="56">
        <v>0</v>
      </c>
      <c r="FS103" s="58">
        <v>0</v>
      </c>
      <c r="FT103" s="56">
        <v>0</v>
      </c>
      <c r="FU103" s="56">
        <v>0</v>
      </c>
      <c r="FV103" s="56">
        <v>0</v>
      </c>
      <c r="FW103" s="56">
        <v>0</v>
      </c>
      <c r="FX103" s="56">
        <v>0</v>
      </c>
      <c r="FY103" s="56">
        <v>0</v>
      </c>
      <c r="FZ103" s="54" t="s">
        <v>1070</v>
      </c>
      <c r="GA103" s="54" t="s">
        <v>1071</v>
      </c>
      <c r="GB103" s="54" t="s">
        <v>1072</v>
      </c>
      <c r="GC103" s="54" t="s">
        <v>1073</v>
      </c>
      <c r="GD103" s="54" t="s">
        <v>1233</v>
      </c>
      <c r="GE103" s="54" t="s">
        <v>1201</v>
      </c>
      <c r="GF103" s="54"/>
      <c r="GG103" s="55"/>
      <c r="GH103" s="54"/>
      <c r="GI103" s="54"/>
      <c r="GJ103" s="54" t="s">
        <v>1076</v>
      </c>
      <c r="GK103" s="54" t="s">
        <v>1077</v>
      </c>
      <c r="GL103" s="54"/>
      <c r="GM103" s="54"/>
      <c r="GN103" s="54" t="s">
        <v>1208</v>
      </c>
      <c r="GO103" s="54" t="s">
        <v>1209</v>
      </c>
      <c r="GP103" s="54"/>
      <c r="GQ103" s="56">
        <v>0</v>
      </c>
      <c r="GR103" s="54" t="s">
        <v>1210</v>
      </c>
      <c r="GS103" s="54"/>
    </row>
    <row r="104" spans="1:201" x14ac:dyDescent="0.25">
      <c r="A104" s="54" t="s">
        <v>1032</v>
      </c>
      <c r="B104" s="54" t="s">
        <v>1033</v>
      </c>
      <c r="C104" s="54" t="s">
        <v>1197</v>
      </c>
      <c r="D104" s="54" t="s">
        <v>1035</v>
      </c>
      <c r="E104" s="54" t="s">
        <v>1036</v>
      </c>
      <c r="F104" s="55">
        <v>46175</v>
      </c>
      <c r="G104" s="55">
        <v>46175</v>
      </c>
      <c r="H104" s="54" t="s">
        <v>1037</v>
      </c>
      <c r="I104" s="54" t="s">
        <v>1038</v>
      </c>
      <c r="J104" s="54" t="s">
        <v>1039</v>
      </c>
      <c r="K104" s="55"/>
      <c r="L104" s="54" t="s">
        <v>1040</v>
      </c>
      <c r="M104" s="54"/>
      <c r="N104" s="54" t="s">
        <v>1198</v>
      </c>
      <c r="O104" s="54" t="s">
        <v>1146</v>
      </c>
      <c r="P104" s="54" t="s">
        <v>505</v>
      </c>
      <c r="Q104" s="54" t="s">
        <v>514</v>
      </c>
      <c r="R104" s="54" t="s">
        <v>1043</v>
      </c>
      <c r="S104" s="56">
        <v>739.2</v>
      </c>
      <c r="T104" s="56">
        <v>0</v>
      </c>
      <c r="U104" s="56">
        <v>739.2</v>
      </c>
      <c r="V104" s="56">
        <v>0</v>
      </c>
      <c r="W104" s="56">
        <v>0</v>
      </c>
      <c r="X104" s="56">
        <v>0</v>
      </c>
      <c r="Y104" s="56">
        <v>0</v>
      </c>
      <c r="Z104" s="56">
        <v>30</v>
      </c>
      <c r="AA104" s="56">
        <v>0</v>
      </c>
      <c r="AB104" s="59">
        <v>30</v>
      </c>
      <c r="AC104" s="56">
        <v>0</v>
      </c>
      <c r="AD104" s="56">
        <v>0</v>
      </c>
      <c r="AE104" s="56">
        <v>0</v>
      </c>
      <c r="AF104" s="54" t="s">
        <v>1199</v>
      </c>
      <c r="AG104" s="57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 t="s">
        <v>1045</v>
      </c>
      <c r="AS104" s="54" t="s">
        <v>1046</v>
      </c>
      <c r="AT104" s="54" t="s">
        <v>1047</v>
      </c>
      <c r="AU104" s="54" t="s">
        <v>1048</v>
      </c>
      <c r="AV104" s="54"/>
      <c r="AW104" s="55">
        <v>46189</v>
      </c>
      <c r="AX104" s="55">
        <v>46175</v>
      </c>
      <c r="AY104" s="55">
        <v>46175</v>
      </c>
      <c r="AZ104" s="55"/>
      <c r="BA104" s="55">
        <v>46189</v>
      </c>
      <c r="BB104" s="56">
        <v>0</v>
      </c>
      <c r="BC104" s="56">
        <v>0</v>
      </c>
      <c r="BD104" s="56">
        <v>0</v>
      </c>
      <c r="BE104" s="56">
        <v>0</v>
      </c>
      <c r="BF104" s="56">
        <v>0</v>
      </c>
      <c r="BG104" s="56">
        <v>0</v>
      </c>
      <c r="BH104" s="56">
        <v>0</v>
      </c>
      <c r="BI104" s="56">
        <v>0</v>
      </c>
      <c r="BJ104" s="56">
        <v>0</v>
      </c>
      <c r="BK104" s="56">
        <v>0</v>
      </c>
      <c r="BL104" s="56">
        <v>0</v>
      </c>
      <c r="BM104" s="56">
        <v>0</v>
      </c>
      <c r="BN104" s="56">
        <v>0</v>
      </c>
      <c r="BO104" s="56">
        <v>0</v>
      </c>
      <c r="BP104" s="54" t="s">
        <v>1049</v>
      </c>
      <c r="BQ104" s="54" t="s">
        <v>1050</v>
      </c>
      <c r="BR104" s="54" t="s">
        <v>1049</v>
      </c>
      <c r="BS104" s="54" t="s">
        <v>1050</v>
      </c>
      <c r="BT104" s="54" t="s">
        <v>1051</v>
      </c>
      <c r="BU104" s="54" t="s">
        <v>1043</v>
      </c>
      <c r="BV104" s="58">
        <v>0</v>
      </c>
      <c r="BW104" s="54" t="s">
        <v>1052</v>
      </c>
      <c r="BX104" s="54" t="s">
        <v>1053</v>
      </c>
      <c r="BY104" s="54" t="s">
        <v>1054</v>
      </c>
      <c r="BZ104" s="54" t="s">
        <v>1055</v>
      </c>
      <c r="CA104" s="55"/>
      <c r="CB104" s="54" t="s">
        <v>1056</v>
      </c>
      <c r="CC104" s="54" t="s">
        <v>1057</v>
      </c>
      <c r="CD104" s="54" t="s">
        <v>1200</v>
      </c>
      <c r="CE104" s="54" t="s">
        <v>1201</v>
      </c>
      <c r="CF104" s="54" t="s">
        <v>1202</v>
      </c>
      <c r="CG104" s="54" t="s">
        <v>1203</v>
      </c>
      <c r="CH104" s="54" t="s">
        <v>1204</v>
      </c>
      <c r="CI104" s="54" t="s">
        <v>1203</v>
      </c>
      <c r="CJ104" s="54" t="s">
        <v>1064</v>
      </c>
      <c r="CK104" s="54" t="s">
        <v>1065</v>
      </c>
      <c r="CL104" s="54" t="s">
        <v>1205</v>
      </c>
      <c r="CM104" s="54" t="s">
        <v>1206</v>
      </c>
      <c r="CN104" s="54" t="s">
        <v>1068</v>
      </c>
      <c r="CO104" s="54" t="s">
        <v>1069</v>
      </c>
      <c r="CP104" s="56">
        <v>0</v>
      </c>
      <c r="CQ104" s="56">
        <v>0</v>
      </c>
      <c r="CR104" s="56">
        <v>0</v>
      </c>
      <c r="CS104" s="56">
        <v>0</v>
      </c>
      <c r="CT104" s="56">
        <v>0</v>
      </c>
      <c r="CU104" s="56">
        <v>0</v>
      </c>
      <c r="CV104" s="56">
        <v>0</v>
      </c>
      <c r="CW104" s="56">
        <v>0</v>
      </c>
      <c r="CX104" s="56">
        <v>0</v>
      </c>
      <c r="CY104" s="56">
        <v>0</v>
      </c>
      <c r="CZ104" s="56">
        <v>0</v>
      </c>
      <c r="DA104" s="56">
        <v>0</v>
      </c>
      <c r="DB104" s="56">
        <v>0</v>
      </c>
      <c r="DC104" s="56">
        <v>0</v>
      </c>
      <c r="DD104" s="56">
        <v>0</v>
      </c>
      <c r="DE104" s="56">
        <v>0</v>
      </c>
      <c r="DF104" s="56">
        <v>0</v>
      </c>
      <c r="DG104" s="56">
        <v>0</v>
      </c>
      <c r="DH104" s="56">
        <v>0</v>
      </c>
      <c r="DI104" s="56">
        <v>0</v>
      </c>
      <c r="DJ104" s="56">
        <v>0</v>
      </c>
      <c r="DK104" s="56">
        <v>0</v>
      </c>
      <c r="DL104" s="56">
        <v>0</v>
      </c>
      <c r="DM104" s="56">
        <v>0</v>
      </c>
      <c r="DN104" s="56">
        <v>0</v>
      </c>
      <c r="DO104" s="56">
        <v>0</v>
      </c>
      <c r="DP104" s="56">
        <v>0</v>
      </c>
      <c r="DQ104" s="56">
        <v>0</v>
      </c>
      <c r="DR104" s="56">
        <v>0</v>
      </c>
      <c r="DS104" s="56">
        <v>0</v>
      </c>
      <c r="DT104" s="56">
        <v>0</v>
      </c>
      <c r="DU104" s="56">
        <v>0</v>
      </c>
      <c r="DV104" s="56">
        <v>0</v>
      </c>
      <c r="DW104" s="56">
        <v>0</v>
      </c>
      <c r="DX104" s="56">
        <v>0</v>
      </c>
      <c r="DY104" s="56">
        <v>0</v>
      </c>
      <c r="DZ104" s="56">
        <v>0</v>
      </c>
      <c r="EA104" s="56">
        <v>0</v>
      </c>
      <c r="EB104" s="56">
        <v>0</v>
      </c>
      <c r="EC104" s="56">
        <v>88.7</v>
      </c>
      <c r="ED104" s="56">
        <v>0</v>
      </c>
      <c r="EE104" s="56">
        <v>0</v>
      </c>
      <c r="EF104" s="56">
        <v>0</v>
      </c>
      <c r="EG104" s="56">
        <v>0</v>
      </c>
      <c r="EH104" s="56">
        <v>88.7</v>
      </c>
      <c r="EI104" s="56">
        <v>0</v>
      </c>
      <c r="EJ104" s="56">
        <v>0</v>
      </c>
      <c r="EK104" s="56">
        <v>0</v>
      </c>
      <c r="EL104" s="56">
        <v>0</v>
      </c>
      <c r="EM104" s="56">
        <v>0</v>
      </c>
      <c r="EN104" s="56">
        <v>0</v>
      </c>
      <c r="EO104" s="56">
        <v>0</v>
      </c>
      <c r="EP104" s="56">
        <v>739.2</v>
      </c>
      <c r="EQ104" s="56">
        <v>0</v>
      </c>
      <c r="ER104" s="56">
        <v>0</v>
      </c>
      <c r="ES104" s="56">
        <v>30</v>
      </c>
      <c r="ET104" s="56">
        <v>0</v>
      </c>
      <c r="EU104" s="56">
        <v>0</v>
      </c>
      <c r="EV104" s="56">
        <v>0</v>
      </c>
      <c r="EW104" s="56">
        <v>0</v>
      </c>
      <c r="EX104" s="56">
        <v>0</v>
      </c>
      <c r="EY104" s="56">
        <v>0</v>
      </c>
      <c r="EZ104" s="56">
        <v>0</v>
      </c>
      <c r="FA104" s="56">
        <v>0</v>
      </c>
      <c r="FB104" s="56">
        <v>0</v>
      </c>
      <c r="FC104" s="58">
        <v>0</v>
      </c>
      <c r="FD104" s="56">
        <v>0</v>
      </c>
      <c r="FE104" s="56">
        <v>0</v>
      </c>
      <c r="FF104" s="56">
        <v>0</v>
      </c>
      <c r="FG104" s="56">
        <v>0</v>
      </c>
      <c r="FH104" s="56">
        <v>0</v>
      </c>
      <c r="FI104" s="56">
        <v>0</v>
      </c>
      <c r="FJ104" s="56">
        <v>0</v>
      </c>
      <c r="FK104" s="56">
        <v>0</v>
      </c>
      <c r="FL104" s="56">
        <v>0</v>
      </c>
      <c r="FM104" s="56">
        <v>0</v>
      </c>
      <c r="FN104" s="56">
        <v>0</v>
      </c>
      <c r="FO104" s="56">
        <v>0</v>
      </c>
      <c r="FP104" s="56">
        <v>0</v>
      </c>
      <c r="FQ104" s="56">
        <v>0</v>
      </c>
      <c r="FR104" s="56">
        <v>0</v>
      </c>
      <c r="FS104" s="58">
        <v>0</v>
      </c>
      <c r="FT104" s="56">
        <v>0</v>
      </c>
      <c r="FU104" s="56">
        <v>0</v>
      </c>
      <c r="FV104" s="56">
        <v>0</v>
      </c>
      <c r="FW104" s="56">
        <v>0</v>
      </c>
      <c r="FX104" s="56">
        <v>0</v>
      </c>
      <c r="FY104" s="56">
        <v>0</v>
      </c>
      <c r="FZ104" s="54" t="s">
        <v>1070</v>
      </c>
      <c r="GA104" s="54" t="s">
        <v>1071</v>
      </c>
      <c r="GB104" s="54" t="s">
        <v>1072</v>
      </c>
      <c r="GC104" s="54" t="s">
        <v>1073</v>
      </c>
      <c r="GD104" s="54"/>
      <c r="GE104" s="54"/>
      <c r="GF104" s="54" t="s">
        <v>1234</v>
      </c>
      <c r="GG104" s="55">
        <v>46205</v>
      </c>
      <c r="GH104" s="54"/>
      <c r="GI104" s="54"/>
      <c r="GJ104" s="54" t="s">
        <v>1076</v>
      </c>
      <c r="GK104" s="54" t="s">
        <v>1077</v>
      </c>
      <c r="GL104" s="54"/>
      <c r="GM104" s="54"/>
      <c r="GN104" s="54" t="s">
        <v>1208</v>
      </c>
      <c r="GO104" s="54" t="s">
        <v>1209</v>
      </c>
      <c r="GP104" s="54"/>
      <c r="GQ104" s="56">
        <v>0</v>
      </c>
      <c r="GR104" s="54" t="s">
        <v>1210</v>
      </c>
      <c r="GS104" s="54" t="s">
        <v>1101</v>
      </c>
    </row>
    <row r="105" spans="1:201" x14ac:dyDescent="0.25">
      <c r="A105" s="54" t="s">
        <v>1032</v>
      </c>
      <c r="B105" s="54" t="s">
        <v>1033</v>
      </c>
      <c r="C105" s="54" t="s">
        <v>1197</v>
      </c>
      <c r="D105" s="54" t="s">
        <v>1035</v>
      </c>
      <c r="E105" s="54" t="s">
        <v>1036</v>
      </c>
      <c r="F105" s="55">
        <v>46175</v>
      </c>
      <c r="G105" s="55">
        <v>46175</v>
      </c>
      <c r="H105" s="54" t="s">
        <v>1037</v>
      </c>
      <c r="I105" s="54" t="s">
        <v>1038</v>
      </c>
      <c r="J105" s="54" t="s">
        <v>1039</v>
      </c>
      <c r="K105" s="55"/>
      <c r="L105" s="54" t="s">
        <v>1040</v>
      </c>
      <c r="M105" s="54"/>
      <c r="N105" s="54" t="s">
        <v>1198</v>
      </c>
      <c r="O105" s="54" t="s">
        <v>1148</v>
      </c>
      <c r="P105" s="54" t="s">
        <v>292</v>
      </c>
      <c r="Q105" s="54" t="s">
        <v>132</v>
      </c>
      <c r="R105" s="54" t="s">
        <v>1043</v>
      </c>
      <c r="S105" s="56">
        <v>1305.5999999999999</v>
      </c>
      <c r="T105" s="56">
        <v>1305.5999999999999</v>
      </c>
      <c r="U105" s="56">
        <v>0</v>
      </c>
      <c r="V105" s="56">
        <v>0</v>
      </c>
      <c r="W105" s="56">
        <v>0</v>
      </c>
      <c r="X105" s="56">
        <v>0</v>
      </c>
      <c r="Y105" s="56">
        <v>0</v>
      </c>
      <c r="Z105" s="56">
        <v>120</v>
      </c>
      <c r="AA105" s="56">
        <v>120</v>
      </c>
      <c r="AB105" s="59">
        <v>0</v>
      </c>
      <c r="AC105" s="56">
        <v>0</v>
      </c>
      <c r="AD105" s="56">
        <v>0</v>
      </c>
      <c r="AE105" s="56">
        <v>0</v>
      </c>
      <c r="AF105" s="54" t="s">
        <v>1199</v>
      </c>
      <c r="AG105" s="57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 t="s">
        <v>1045</v>
      </c>
      <c r="AS105" s="54" t="s">
        <v>1046</v>
      </c>
      <c r="AT105" s="54" t="s">
        <v>1047</v>
      </c>
      <c r="AU105" s="54" t="s">
        <v>1048</v>
      </c>
      <c r="AV105" s="54"/>
      <c r="AW105" s="55">
        <v>46189</v>
      </c>
      <c r="AX105" s="55">
        <v>46175</v>
      </c>
      <c r="AY105" s="55">
        <v>46175</v>
      </c>
      <c r="AZ105" s="55">
        <v>46176</v>
      </c>
      <c r="BA105" s="55">
        <v>46189</v>
      </c>
      <c r="BB105" s="56">
        <v>0</v>
      </c>
      <c r="BC105" s="56">
        <v>0</v>
      </c>
      <c r="BD105" s="56">
        <v>0</v>
      </c>
      <c r="BE105" s="56">
        <v>0</v>
      </c>
      <c r="BF105" s="56">
        <v>0</v>
      </c>
      <c r="BG105" s="56">
        <v>0</v>
      </c>
      <c r="BH105" s="56">
        <v>0</v>
      </c>
      <c r="BI105" s="56">
        <v>0</v>
      </c>
      <c r="BJ105" s="56">
        <v>0</v>
      </c>
      <c r="BK105" s="56">
        <v>0</v>
      </c>
      <c r="BL105" s="56">
        <v>0</v>
      </c>
      <c r="BM105" s="56">
        <v>0</v>
      </c>
      <c r="BN105" s="56">
        <v>0</v>
      </c>
      <c r="BO105" s="56">
        <v>0</v>
      </c>
      <c r="BP105" s="54" t="s">
        <v>1049</v>
      </c>
      <c r="BQ105" s="54" t="s">
        <v>1050</v>
      </c>
      <c r="BR105" s="54" t="s">
        <v>1049</v>
      </c>
      <c r="BS105" s="54" t="s">
        <v>1050</v>
      </c>
      <c r="BT105" s="54" t="s">
        <v>1051</v>
      </c>
      <c r="BU105" s="54" t="s">
        <v>1043</v>
      </c>
      <c r="BV105" s="58">
        <v>120</v>
      </c>
      <c r="BW105" s="54" t="s">
        <v>1052</v>
      </c>
      <c r="BX105" s="54" t="s">
        <v>1053</v>
      </c>
      <c r="BY105" s="54" t="s">
        <v>1054</v>
      </c>
      <c r="BZ105" s="54" t="s">
        <v>1055</v>
      </c>
      <c r="CA105" s="55"/>
      <c r="CB105" s="54" t="s">
        <v>1056</v>
      </c>
      <c r="CC105" s="54" t="s">
        <v>1057</v>
      </c>
      <c r="CD105" s="54" t="s">
        <v>1200</v>
      </c>
      <c r="CE105" s="54" t="s">
        <v>1201</v>
      </c>
      <c r="CF105" s="54" t="s">
        <v>1202</v>
      </c>
      <c r="CG105" s="54" t="s">
        <v>1203</v>
      </c>
      <c r="CH105" s="54" t="s">
        <v>1204</v>
      </c>
      <c r="CI105" s="54" t="s">
        <v>1203</v>
      </c>
      <c r="CJ105" s="54" t="s">
        <v>1064</v>
      </c>
      <c r="CK105" s="54" t="s">
        <v>1065</v>
      </c>
      <c r="CL105" s="54" t="s">
        <v>1205</v>
      </c>
      <c r="CM105" s="54" t="s">
        <v>1206</v>
      </c>
      <c r="CN105" s="54" t="s">
        <v>1068</v>
      </c>
      <c r="CO105" s="54" t="s">
        <v>1069</v>
      </c>
      <c r="CP105" s="56">
        <v>0</v>
      </c>
      <c r="CQ105" s="56">
        <v>0</v>
      </c>
      <c r="CR105" s="56">
        <v>0</v>
      </c>
      <c r="CS105" s="56">
        <v>0</v>
      </c>
      <c r="CT105" s="56">
        <v>0</v>
      </c>
      <c r="CU105" s="56">
        <v>0</v>
      </c>
      <c r="CV105" s="56">
        <v>0</v>
      </c>
      <c r="CW105" s="56">
        <v>0</v>
      </c>
      <c r="CX105" s="56">
        <v>0</v>
      </c>
      <c r="CY105" s="56">
        <v>0</v>
      </c>
      <c r="CZ105" s="56">
        <v>0</v>
      </c>
      <c r="DA105" s="56">
        <v>0</v>
      </c>
      <c r="DB105" s="56">
        <v>0</v>
      </c>
      <c r="DC105" s="56">
        <v>0</v>
      </c>
      <c r="DD105" s="56">
        <v>0</v>
      </c>
      <c r="DE105" s="56">
        <v>0</v>
      </c>
      <c r="DF105" s="56">
        <v>0</v>
      </c>
      <c r="DG105" s="56">
        <v>0</v>
      </c>
      <c r="DH105" s="56">
        <v>0</v>
      </c>
      <c r="DI105" s="56">
        <v>0</v>
      </c>
      <c r="DJ105" s="56">
        <v>0</v>
      </c>
      <c r="DK105" s="56">
        <v>0</v>
      </c>
      <c r="DL105" s="56">
        <v>0</v>
      </c>
      <c r="DM105" s="56">
        <v>0</v>
      </c>
      <c r="DN105" s="56">
        <v>0</v>
      </c>
      <c r="DO105" s="56">
        <v>0</v>
      </c>
      <c r="DP105" s="56">
        <v>0</v>
      </c>
      <c r="DQ105" s="56">
        <v>0</v>
      </c>
      <c r="DR105" s="56">
        <v>0</v>
      </c>
      <c r="DS105" s="56">
        <v>0</v>
      </c>
      <c r="DT105" s="56">
        <v>0</v>
      </c>
      <c r="DU105" s="56">
        <v>0</v>
      </c>
      <c r="DV105" s="56">
        <v>0</v>
      </c>
      <c r="DW105" s="56">
        <v>0</v>
      </c>
      <c r="DX105" s="56">
        <v>0</v>
      </c>
      <c r="DY105" s="56">
        <v>0</v>
      </c>
      <c r="DZ105" s="56">
        <v>0</v>
      </c>
      <c r="EA105" s="56">
        <v>0</v>
      </c>
      <c r="EB105" s="56">
        <v>0</v>
      </c>
      <c r="EC105" s="56">
        <v>0</v>
      </c>
      <c r="ED105" s="56">
        <v>0</v>
      </c>
      <c r="EE105" s="56">
        <v>0</v>
      </c>
      <c r="EF105" s="56">
        <v>0</v>
      </c>
      <c r="EG105" s="56">
        <v>0</v>
      </c>
      <c r="EH105" s="56">
        <v>156.66999999999999</v>
      </c>
      <c r="EI105" s="56">
        <v>0</v>
      </c>
      <c r="EJ105" s="56">
        <v>0</v>
      </c>
      <c r="EK105" s="56">
        <v>0</v>
      </c>
      <c r="EL105" s="56">
        <v>0</v>
      </c>
      <c r="EM105" s="56">
        <v>0</v>
      </c>
      <c r="EN105" s="56">
        <v>0</v>
      </c>
      <c r="EO105" s="56">
        <v>0</v>
      </c>
      <c r="EP105" s="56">
        <v>0</v>
      </c>
      <c r="EQ105" s="56">
        <v>0</v>
      </c>
      <c r="ER105" s="56">
        <v>0</v>
      </c>
      <c r="ES105" s="56">
        <v>0</v>
      </c>
      <c r="ET105" s="56">
        <v>0</v>
      </c>
      <c r="EU105" s="56">
        <v>0</v>
      </c>
      <c r="EV105" s="56">
        <v>0</v>
      </c>
      <c r="EW105" s="56">
        <v>0</v>
      </c>
      <c r="EX105" s="56">
        <v>0</v>
      </c>
      <c r="EY105" s="56">
        <v>0</v>
      </c>
      <c r="EZ105" s="56">
        <v>0</v>
      </c>
      <c r="FA105" s="56">
        <v>0</v>
      </c>
      <c r="FB105" s="56">
        <v>0</v>
      </c>
      <c r="FC105" s="58">
        <v>0</v>
      </c>
      <c r="FD105" s="56">
        <v>0</v>
      </c>
      <c r="FE105" s="56">
        <v>0</v>
      </c>
      <c r="FF105" s="56">
        <v>0</v>
      </c>
      <c r="FG105" s="56">
        <v>0</v>
      </c>
      <c r="FH105" s="56">
        <v>0</v>
      </c>
      <c r="FI105" s="56">
        <v>0</v>
      </c>
      <c r="FJ105" s="56">
        <v>0</v>
      </c>
      <c r="FK105" s="56">
        <v>0</v>
      </c>
      <c r="FL105" s="56">
        <v>0</v>
      </c>
      <c r="FM105" s="56">
        <v>0</v>
      </c>
      <c r="FN105" s="56">
        <v>0</v>
      </c>
      <c r="FO105" s="56">
        <v>0</v>
      </c>
      <c r="FP105" s="56">
        <v>0</v>
      </c>
      <c r="FQ105" s="56">
        <v>0</v>
      </c>
      <c r="FR105" s="56">
        <v>0</v>
      </c>
      <c r="FS105" s="58">
        <v>0</v>
      </c>
      <c r="FT105" s="56">
        <v>0</v>
      </c>
      <c r="FU105" s="56">
        <v>0</v>
      </c>
      <c r="FV105" s="56">
        <v>0</v>
      </c>
      <c r="FW105" s="56">
        <v>0</v>
      </c>
      <c r="FX105" s="56">
        <v>0</v>
      </c>
      <c r="FY105" s="56">
        <v>0</v>
      </c>
      <c r="FZ105" s="54" t="s">
        <v>1070</v>
      </c>
      <c r="GA105" s="54" t="s">
        <v>1071</v>
      </c>
      <c r="GB105" s="54" t="s">
        <v>1072</v>
      </c>
      <c r="GC105" s="54" t="s">
        <v>1073</v>
      </c>
      <c r="GD105" s="54" t="s">
        <v>1235</v>
      </c>
      <c r="GE105" s="54" t="s">
        <v>1201</v>
      </c>
      <c r="GF105" s="54"/>
      <c r="GG105" s="55"/>
      <c r="GH105" s="54"/>
      <c r="GI105" s="54"/>
      <c r="GJ105" s="54" t="s">
        <v>1076</v>
      </c>
      <c r="GK105" s="54" t="s">
        <v>1077</v>
      </c>
      <c r="GL105" s="54"/>
      <c r="GM105" s="54"/>
      <c r="GN105" s="54" t="s">
        <v>1208</v>
      </c>
      <c r="GO105" s="54" t="s">
        <v>1209</v>
      </c>
      <c r="GP105" s="54"/>
      <c r="GQ105" s="56">
        <v>0</v>
      </c>
      <c r="GR105" s="54" t="s">
        <v>1210</v>
      </c>
      <c r="GS105" s="54"/>
    </row>
    <row r="106" spans="1:201" x14ac:dyDescent="0.25">
      <c r="A106" s="54" t="s">
        <v>1032</v>
      </c>
      <c r="B106" s="54" t="s">
        <v>1033</v>
      </c>
      <c r="C106" s="54" t="s">
        <v>1197</v>
      </c>
      <c r="D106" s="54" t="s">
        <v>1035</v>
      </c>
      <c r="E106" s="54" t="s">
        <v>1036</v>
      </c>
      <c r="F106" s="55">
        <v>46175</v>
      </c>
      <c r="G106" s="55">
        <v>46175</v>
      </c>
      <c r="H106" s="54" t="s">
        <v>1037</v>
      </c>
      <c r="I106" s="54" t="s">
        <v>1038</v>
      </c>
      <c r="J106" s="54" t="s">
        <v>1039</v>
      </c>
      <c r="K106" s="55"/>
      <c r="L106" s="54" t="s">
        <v>1040</v>
      </c>
      <c r="M106" s="54"/>
      <c r="N106" s="54" t="s">
        <v>1198</v>
      </c>
      <c r="O106" s="54" t="s">
        <v>1149</v>
      </c>
      <c r="P106" s="54" t="s">
        <v>581</v>
      </c>
      <c r="Q106" s="54" t="s">
        <v>588</v>
      </c>
      <c r="R106" s="54" t="s">
        <v>1043</v>
      </c>
      <c r="S106" s="56">
        <v>556.79999999999995</v>
      </c>
      <c r="T106" s="56">
        <v>556.79999999999995</v>
      </c>
      <c r="U106" s="56">
        <v>0</v>
      </c>
      <c r="V106" s="56">
        <v>0</v>
      </c>
      <c r="W106" s="56">
        <v>0</v>
      </c>
      <c r="X106" s="56">
        <v>0</v>
      </c>
      <c r="Y106" s="56">
        <v>0</v>
      </c>
      <c r="Z106" s="56">
        <v>120</v>
      </c>
      <c r="AA106" s="56">
        <v>120</v>
      </c>
      <c r="AB106" s="59">
        <v>0</v>
      </c>
      <c r="AC106" s="56">
        <v>0</v>
      </c>
      <c r="AD106" s="56">
        <v>0</v>
      </c>
      <c r="AE106" s="56">
        <v>0</v>
      </c>
      <c r="AF106" s="54" t="s">
        <v>1199</v>
      </c>
      <c r="AG106" s="57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 t="s">
        <v>1045</v>
      </c>
      <c r="AS106" s="54" t="s">
        <v>1046</v>
      </c>
      <c r="AT106" s="54" t="s">
        <v>1047</v>
      </c>
      <c r="AU106" s="54" t="s">
        <v>1048</v>
      </c>
      <c r="AV106" s="54"/>
      <c r="AW106" s="55">
        <v>46189</v>
      </c>
      <c r="AX106" s="55">
        <v>46175</v>
      </c>
      <c r="AY106" s="55">
        <v>46175</v>
      </c>
      <c r="AZ106" s="55">
        <v>46176</v>
      </c>
      <c r="BA106" s="55">
        <v>46189</v>
      </c>
      <c r="BB106" s="56">
        <v>0</v>
      </c>
      <c r="BC106" s="56">
        <v>0</v>
      </c>
      <c r="BD106" s="56">
        <v>0</v>
      </c>
      <c r="BE106" s="56">
        <v>0</v>
      </c>
      <c r="BF106" s="56">
        <v>0</v>
      </c>
      <c r="BG106" s="56">
        <v>0</v>
      </c>
      <c r="BH106" s="56">
        <v>0</v>
      </c>
      <c r="BI106" s="56">
        <v>0</v>
      </c>
      <c r="BJ106" s="56">
        <v>0</v>
      </c>
      <c r="BK106" s="56">
        <v>0</v>
      </c>
      <c r="BL106" s="56">
        <v>0</v>
      </c>
      <c r="BM106" s="56">
        <v>0</v>
      </c>
      <c r="BN106" s="56">
        <v>0</v>
      </c>
      <c r="BO106" s="56">
        <v>0</v>
      </c>
      <c r="BP106" s="54" t="s">
        <v>1049</v>
      </c>
      <c r="BQ106" s="54" t="s">
        <v>1050</v>
      </c>
      <c r="BR106" s="54" t="s">
        <v>1049</v>
      </c>
      <c r="BS106" s="54" t="s">
        <v>1050</v>
      </c>
      <c r="BT106" s="54" t="s">
        <v>1051</v>
      </c>
      <c r="BU106" s="54" t="s">
        <v>1043</v>
      </c>
      <c r="BV106" s="58">
        <v>120</v>
      </c>
      <c r="BW106" s="54" t="s">
        <v>1052</v>
      </c>
      <c r="BX106" s="54" t="s">
        <v>1053</v>
      </c>
      <c r="BY106" s="54" t="s">
        <v>1054</v>
      </c>
      <c r="BZ106" s="54" t="s">
        <v>1055</v>
      </c>
      <c r="CA106" s="55"/>
      <c r="CB106" s="54" t="s">
        <v>1056</v>
      </c>
      <c r="CC106" s="54" t="s">
        <v>1057</v>
      </c>
      <c r="CD106" s="54" t="s">
        <v>1200</v>
      </c>
      <c r="CE106" s="54" t="s">
        <v>1201</v>
      </c>
      <c r="CF106" s="54" t="s">
        <v>1202</v>
      </c>
      <c r="CG106" s="54" t="s">
        <v>1203</v>
      </c>
      <c r="CH106" s="54" t="s">
        <v>1204</v>
      </c>
      <c r="CI106" s="54" t="s">
        <v>1203</v>
      </c>
      <c r="CJ106" s="54" t="s">
        <v>1064</v>
      </c>
      <c r="CK106" s="54" t="s">
        <v>1065</v>
      </c>
      <c r="CL106" s="54" t="s">
        <v>1205</v>
      </c>
      <c r="CM106" s="54" t="s">
        <v>1206</v>
      </c>
      <c r="CN106" s="54" t="s">
        <v>1068</v>
      </c>
      <c r="CO106" s="54" t="s">
        <v>1069</v>
      </c>
      <c r="CP106" s="56">
        <v>0</v>
      </c>
      <c r="CQ106" s="56">
        <v>0</v>
      </c>
      <c r="CR106" s="56">
        <v>0</v>
      </c>
      <c r="CS106" s="56">
        <v>0</v>
      </c>
      <c r="CT106" s="56">
        <v>0</v>
      </c>
      <c r="CU106" s="56">
        <v>0</v>
      </c>
      <c r="CV106" s="56">
        <v>0</v>
      </c>
      <c r="CW106" s="56">
        <v>0</v>
      </c>
      <c r="CX106" s="56">
        <v>0</v>
      </c>
      <c r="CY106" s="56">
        <v>0</v>
      </c>
      <c r="CZ106" s="56">
        <v>0</v>
      </c>
      <c r="DA106" s="56">
        <v>0</v>
      </c>
      <c r="DB106" s="56">
        <v>0</v>
      </c>
      <c r="DC106" s="56">
        <v>0</v>
      </c>
      <c r="DD106" s="56">
        <v>0</v>
      </c>
      <c r="DE106" s="56">
        <v>0</v>
      </c>
      <c r="DF106" s="56">
        <v>0</v>
      </c>
      <c r="DG106" s="56">
        <v>0</v>
      </c>
      <c r="DH106" s="56">
        <v>0</v>
      </c>
      <c r="DI106" s="56">
        <v>0</v>
      </c>
      <c r="DJ106" s="56">
        <v>0</v>
      </c>
      <c r="DK106" s="56">
        <v>0</v>
      </c>
      <c r="DL106" s="56">
        <v>0</v>
      </c>
      <c r="DM106" s="56">
        <v>0</v>
      </c>
      <c r="DN106" s="56">
        <v>0</v>
      </c>
      <c r="DO106" s="56">
        <v>0</v>
      </c>
      <c r="DP106" s="56">
        <v>0</v>
      </c>
      <c r="DQ106" s="56">
        <v>0</v>
      </c>
      <c r="DR106" s="56">
        <v>0</v>
      </c>
      <c r="DS106" s="56">
        <v>0</v>
      </c>
      <c r="DT106" s="56">
        <v>0</v>
      </c>
      <c r="DU106" s="56">
        <v>0</v>
      </c>
      <c r="DV106" s="56">
        <v>0</v>
      </c>
      <c r="DW106" s="56">
        <v>0</v>
      </c>
      <c r="DX106" s="56">
        <v>0</v>
      </c>
      <c r="DY106" s="56">
        <v>0</v>
      </c>
      <c r="DZ106" s="56">
        <v>0</v>
      </c>
      <c r="EA106" s="56">
        <v>0</v>
      </c>
      <c r="EB106" s="56">
        <v>0</v>
      </c>
      <c r="EC106" s="56">
        <v>0</v>
      </c>
      <c r="ED106" s="56">
        <v>0</v>
      </c>
      <c r="EE106" s="56">
        <v>0</v>
      </c>
      <c r="EF106" s="56">
        <v>0</v>
      </c>
      <c r="EG106" s="56">
        <v>0</v>
      </c>
      <c r="EH106" s="56">
        <v>66.819999999999993</v>
      </c>
      <c r="EI106" s="56">
        <v>0</v>
      </c>
      <c r="EJ106" s="56">
        <v>0</v>
      </c>
      <c r="EK106" s="56">
        <v>0</v>
      </c>
      <c r="EL106" s="56">
        <v>0</v>
      </c>
      <c r="EM106" s="56">
        <v>0</v>
      </c>
      <c r="EN106" s="56">
        <v>0</v>
      </c>
      <c r="EO106" s="56">
        <v>0</v>
      </c>
      <c r="EP106" s="56">
        <v>0</v>
      </c>
      <c r="EQ106" s="56">
        <v>0</v>
      </c>
      <c r="ER106" s="56">
        <v>0</v>
      </c>
      <c r="ES106" s="56">
        <v>0</v>
      </c>
      <c r="ET106" s="56">
        <v>0</v>
      </c>
      <c r="EU106" s="56">
        <v>0</v>
      </c>
      <c r="EV106" s="56">
        <v>0</v>
      </c>
      <c r="EW106" s="56">
        <v>0</v>
      </c>
      <c r="EX106" s="56">
        <v>0</v>
      </c>
      <c r="EY106" s="56">
        <v>0</v>
      </c>
      <c r="EZ106" s="56">
        <v>0</v>
      </c>
      <c r="FA106" s="56">
        <v>0</v>
      </c>
      <c r="FB106" s="56">
        <v>0</v>
      </c>
      <c r="FC106" s="58">
        <v>0</v>
      </c>
      <c r="FD106" s="56">
        <v>0</v>
      </c>
      <c r="FE106" s="56">
        <v>0</v>
      </c>
      <c r="FF106" s="56">
        <v>0</v>
      </c>
      <c r="FG106" s="56">
        <v>0</v>
      </c>
      <c r="FH106" s="56">
        <v>0</v>
      </c>
      <c r="FI106" s="56">
        <v>0</v>
      </c>
      <c r="FJ106" s="56">
        <v>0</v>
      </c>
      <c r="FK106" s="56">
        <v>0</v>
      </c>
      <c r="FL106" s="56">
        <v>0</v>
      </c>
      <c r="FM106" s="56">
        <v>0</v>
      </c>
      <c r="FN106" s="56">
        <v>0</v>
      </c>
      <c r="FO106" s="56">
        <v>0</v>
      </c>
      <c r="FP106" s="56">
        <v>0</v>
      </c>
      <c r="FQ106" s="56">
        <v>0</v>
      </c>
      <c r="FR106" s="56">
        <v>0</v>
      </c>
      <c r="FS106" s="58">
        <v>0</v>
      </c>
      <c r="FT106" s="56">
        <v>0</v>
      </c>
      <c r="FU106" s="56">
        <v>0</v>
      </c>
      <c r="FV106" s="56">
        <v>0</v>
      </c>
      <c r="FW106" s="56">
        <v>0</v>
      </c>
      <c r="FX106" s="56">
        <v>0</v>
      </c>
      <c r="FY106" s="56">
        <v>0</v>
      </c>
      <c r="FZ106" s="54" t="s">
        <v>1070</v>
      </c>
      <c r="GA106" s="54" t="s">
        <v>1071</v>
      </c>
      <c r="GB106" s="54" t="s">
        <v>1072</v>
      </c>
      <c r="GC106" s="54" t="s">
        <v>1073</v>
      </c>
      <c r="GD106" s="54"/>
      <c r="GE106" s="54"/>
      <c r="GF106" s="54"/>
      <c r="GG106" s="55"/>
      <c r="GH106" s="54"/>
      <c r="GI106" s="54"/>
      <c r="GJ106" s="54" t="s">
        <v>1076</v>
      </c>
      <c r="GK106" s="54" t="s">
        <v>1077</v>
      </c>
      <c r="GL106" s="54"/>
      <c r="GM106" s="54"/>
      <c r="GN106" s="54" t="s">
        <v>1208</v>
      </c>
      <c r="GO106" s="54" t="s">
        <v>1209</v>
      </c>
      <c r="GP106" s="54"/>
      <c r="GQ106" s="56">
        <v>0</v>
      </c>
      <c r="GR106" s="54" t="s">
        <v>1210</v>
      </c>
      <c r="GS106" s="54"/>
    </row>
    <row r="107" spans="1:201" x14ac:dyDescent="0.25">
      <c r="A107" s="54" t="s">
        <v>1032</v>
      </c>
      <c r="B107" s="54" t="s">
        <v>1033</v>
      </c>
      <c r="C107" s="54" t="s">
        <v>1197</v>
      </c>
      <c r="D107" s="54" t="s">
        <v>1035</v>
      </c>
      <c r="E107" s="54" t="s">
        <v>1036</v>
      </c>
      <c r="F107" s="55">
        <v>46175</v>
      </c>
      <c r="G107" s="55">
        <v>46175</v>
      </c>
      <c r="H107" s="54" t="s">
        <v>1037</v>
      </c>
      <c r="I107" s="54" t="s">
        <v>1038</v>
      </c>
      <c r="J107" s="54" t="s">
        <v>1039</v>
      </c>
      <c r="K107" s="55"/>
      <c r="L107" s="54" t="s">
        <v>1040</v>
      </c>
      <c r="M107" s="54"/>
      <c r="N107" s="54" t="s">
        <v>1198</v>
      </c>
      <c r="O107" s="54" t="s">
        <v>1151</v>
      </c>
      <c r="P107" s="54" t="s">
        <v>324</v>
      </c>
      <c r="Q107" s="54" t="s">
        <v>141</v>
      </c>
      <c r="R107" s="54" t="s">
        <v>1043</v>
      </c>
      <c r="S107" s="56">
        <v>426</v>
      </c>
      <c r="T107" s="56">
        <v>426</v>
      </c>
      <c r="U107" s="56">
        <v>0</v>
      </c>
      <c r="V107" s="56">
        <v>0</v>
      </c>
      <c r="W107" s="56">
        <v>0</v>
      </c>
      <c r="X107" s="56">
        <v>0</v>
      </c>
      <c r="Y107" s="56">
        <v>0</v>
      </c>
      <c r="Z107" s="56">
        <v>120</v>
      </c>
      <c r="AA107" s="56">
        <v>120</v>
      </c>
      <c r="AB107" s="59">
        <v>0</v>
      </c>
      <c r="AC107" s="56">
        <v>0</v>
      </c>
      <c r="AD107" s="56">
        <v>0</v>
      </c>
      <c r="AE107" s="56">
        <v>0</v>
      </c>
      <c r="AF107" s="54" t="s">
        <v>1199</v>
      </c>
      <c r="AG107" s="57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 t="s">
        <v>1045</v>
      </c>
      <c r="AS107" s="54" t="s">
        <v>1046</v>
      </c>
      <c r="AT107" s="54" t="s">
        <v>1047</v>
      </c>
      <c r="AU107" s="54" t="s">
        <v>1048</v>
      </c>
      <c r="AV107" s="54"/>
      <c r="AW107" s="55">
        <v>46189</v>
      </c>
      <c r="AX107" s="55">
        <v>46175</v>
      </c>
      <c r="AY107" s="55">
        <v>46175</v>
      </c>
      <c r="AZ107" s="55">
        <v>46176</v>
      </c>
      <c r="BA107" s="55">
        <v>46189</v>
      </c>
      <c r="BB107" s="56">
        <v>0</v>
      </c>
      <c r="BC107" s="56">
        <v>0</v>
      </c>
      <c r="BD107" s="56">
        <v>0</v>
      </c>
      <c r="BE107" s="56">
        <v>0</v>
      </c>
      <c r="BF107" s="56">
        <v>0</v>
      </c>
      <c r="BG107" s="56">
        <v>0</v>
      </c>
      <c r="BH107" s="56">
        <v>0</v>
      </c>
      <c r="BI107" s="56">
        <v>0</v>
      </c>
      <c r="BJ107" s="56">
        <v>0</v>
      </c>
      <c r="BK107" s="56">
        <v>0</v>
      </c>
      <c r="BL107" s="56">
        <v>0</v>
      </c>
      <c r="BM107" s="56">
        <v>0</v>
      </c>
      <c r="BN107" s="56">
        <v>0</v>
      </c>
      <c r="BO107" s="56">
        <v>0</v>
      </c>
      <c r="BP107" s="54" t="s">
        <v>1049</v>
      </c>
      <c r="BQ107" s="54" t="s">
        <v>1050</v>
      </c>
      <c r="BR107" s="54" t="s">
        <v>1049</v>
      </c>
      <c r="BS107" s="54" t="s">
        <v>1050</v>
      </c>
      <c r="BT107" s="54" t="s">
        <v>1051</v>
      </c>
      <c r="BU107" s="54" t="s">
        <v>1043</v>
      </c>
      <c r="BV107" s="58">
        <v>120</v>
      </c>
      <c r="BW107" s="54" t="s">
        <v>1052</v>
      </c>
      <c r="BX107" s="54" t="s">
        <v>1053</v>
      </c>
      <c r="BY107" s="54" t="s">
        <v>1054</v>
      </c>
      <c r="BZ107" s="54" t="s">
        <v>1055</v>
      </c>
      <c r="CA107" s="55"/>
      <c r="CB107" s="54" t="s">
        <v>1056</v>
      </c>
      <c r="CC107" s="54" t="s">
        <v>1057</v>
      </c>
      <c r="CD107" s="54" t="s">
        <v>1200</v>
      </c>
      <c r="CE107" s="54" t="s">
        <v>1201</v>
      </c>
      <c r="CF107" s="54" t="s">
        <v>1202</v>
      </c>
      <c r="CG107" s="54" t="s">
        <v>1203</v>
      </c>
      <c r="CH107" s="54" t="s">
        <v>1204</v>
      </c>
      <c r="CI107" s="54" t="s">
        <v>1203</v>
      </c>
      <c r="CJ107" s="54" t="s">
        <v>1064</v>
      </c>
      <c r="CK107" s="54" t="s">
        <v>1065</v>
      </c>
      <c r="CL107" s="54" t="s">
        <v>1205</v>
      </c>
      <c r="CM107" s="54" t="s">
        <v>1206</v>
      </c>
      <c r="CN107" s="54" t="s">
        <v>1068</v>
      </c>
      <c r="CO107" s="54" t="s">
        <v>1069</v>
      </c>
      <c r="CP107" s="56">
        <v>0</v>
      </c>
      <c r="CQ107" s="56">
        <v>0</v>
      </c>
      <c r="CR107" s="56">
        <v>0</v>
      </c>
      <c r="CS107" s="56">
        <v>0</v>
      </c>
      <c r="CT107" s="56">
        <v>0</v>
      </c>
      <c r="CU107" s="56">
        <v>0</v>
      </c>
      <c r="CV107" s="56">
        <v>0</v>
      </c>
      <c r="CW107" s="56">
        <v>0</v>
      </c>
      <c r="CX107" s="56">
        <v>0</v>
      </c>
      <c r="CY107" s="56">
        <v>0</v>
      </c>
      <c r="CZ107" s="56">
        <v>0</v>
      </c>
      <c r="DA107" s="56">
        <v>0</v>
      </c>
      <c r="DB107" s="56">
        <v>0</v>
      </c>
      <c r="DC107" s="56">
        <v>0</v>
      </c>
      <c r="DD107" s="56">
        <v>0</v>
      </c>
      <c r="DE107" s="56">
        <v>0</v>
      </c>
      <c r="DF107" s="56">
        <v>0</v>
      </c>
      <c r="DG107" s="56">
        <v>0</v>
      </c>
      <c r="DH107" s="56">
        <v>0</v>
      </c>
      <c r="DI107" s="56">
        <v>0</v>
      </c>
      <c r="DJ107" s="56">
        <v>0</v>
      </c>
      <c r="DK107" s="56">
        <v>0</v>
      </c>
      <c r="DL107" s="56">
        <v>0</v>
      </c>
      <c r="DM107" s="56">
        <v>0</v>
      </c>
      <c r="DN107" s="56">
        <v>0</v>
      </c>
      <c r="DO107" s="56">
        <v>0</v>
      </c>
      <c r="DP107" s="56">
        <v>0</v>
      </c>
      <c r="DQ107" s="56">
        <v>0</v>
      </c>
      <c r="DR107" s="56">
        <v>0</v>
      </c>
      <c r="DS107" s="56">
        <v>0</v>
      </c>
      <c r="DT107" s="56">
        <v>0</v>
      </c>
      <c r="DU107" s="56">
        <v>0</v>
      </c>
      <c r="DV107" s="56">
        <v>0</v>
      </c>
      <c r="DW107" s="56">
        <v>0</v>
      </c>
      <c r="DX107" s="56">
        <v>0</v>
      </c>
      <c r="DY107" s="56">
        <v>0</v>
      </c>
      <c r="DZ107" s="56">
        <v>0</v>
      </c>
      <c r="EA107" s="56">
        <v>0</v>
      </c>
      <c r="EB107" s="56">
        <v>0</v>
      </c>
      <c r="EC107" s="56">
        <v>0</v>
      </c>
      <c r="ED107" s="56">
        <v>0</v>
      </c>
      <c r="EE107" s="56">
        <v>0</v>
      </c>
      <c r="EF107" s="56">
        <v>0</v>
      </c>
      <c r="EG107" s="56">
        <v>0</v>
      </c>
      <c r="EH107" s="56">
        <v>51.12</v>
      </c>
      <c r="EI107" s="56">
        <v>0</v>
      </c>
      <c r="EJ107" s="56">
        <v>0</v>
      </c>
      <c r="EK107" s="56">
        <v>0</v>
      </c>
      <c r="EL107" s="56">
        <v>0</v>
      </c>
      <c r="EM107" s="56">
        <v>0</v>
      </c>
      <c r="EN107" s="56">
        <v>0</v>
      </c>
      <c r="EO107" s="56">
        <v>0</v>
      </c>
      <c r="EP107" s="56">
        <v>0</v>
      </c>
      <c r="EQ107" s="56">
        <v>0</v>
      </c>
      <c r="ER107" s="56">
        <v>0</v>
      </c>
      <c r="ES107" s="56">
        <v>0</v>
      </c>
      <c r="ET107" s="56">
        <v>0</v>
      </c>
      <c r="EU107" s="56">
        <v>0</v>
      </c>
      <c r="EV107" s="56">
        <v>0</v>
      </c>
      <c r="EW107" s="56">
        <v>0</v>
      </c>
      <c r="EX107" s="56">
        <v>0</v>
      </c>
      <c r="EY107" s="56">
        <v>0</v>
      </c>
      <c r="EZ107" s="56">
        <v>0</v>
      </c>
      <c r="FA107" s="56">
        <v>0</v>
      </c>
      <c r="FB107" s="56">
        <v>0</v>
      </c>
      <c r="FC107" s="58">
        <v>0</v>
      </c>
      <c r="FD107" s="56">
        <v>0</v>
      </c>
      <c r="FE107" s="56">
        <v>0</v>
      </c>
      <c r="FF107" s="56">
        <v>0</v>
      </c>
      <c r="FG107" s="56">
        <v>0</v>
      </c>
      <c r="FH107" s="56">
        <v>0</v>
      </c>
      <c r="FI107" s="56">
        <v>0</v>
      </c>
      <c r="FJ107" s="56">
        <v>0</v>
      </c>
      <c r="FK107" s="56">
        <v>0</v>
      </c>
      <c r="FL107" s="56">
        <v>0</v>
      </c>
      <c r="FM107" s="56">
        <v>0</v>
      </c>
      <c r="FN107" s="56">
        <v>0</v>
      </c>
      <c r="FO107" s="56">
        <v>0</v>
      </c>
      <c r="FP107" s="56">
        <v>0</v>
      </c>
      <c r="FQ107" s="56">
        <v>0</v>
      </c>
      <c r="FR107" s="56">
        <v>0</v>
      </c>
      <c r="FS107" s="58">
        <v>0</v>
      </c>
      <c r="FT107" s="56">
        <v>0</v>
      </c>
      <c r="FU107" s="56">
        <v>0</v>
      </c>
      <c r="FV107" s="56">
        <v>0</v>
      </c>
      <c r="FW107" s="56">
        <v>0</v>
      </c>
      <c r="FX107" s="56">
        <v>0</v>
      </c>
      <c r="FY107" s="56">
        <v>0</v>
      </c>
      <c r="FZ107" s="54" t="s">
        <v>1070</v>
      </c>
      <c r="GA107" s="54" t="s">
        <v>1071</v>
      </c>
      <c r="GB107" s="54" t="s">
        <v>1072</v>
      </c>
      <c r="GC107" s="54" t="s">
        <v>1073</v>
      </c>
      <c r="GD107" s="54" t="s">
        <v>1236</v>
      </c>
      <c r="GE107" s="54" t="s">
        <v>1201</v>
      </c>
      <c r="GF107" s="54"/>
      <c r="GG107" s="55"/>
      <c r="GH107" s="54"/>
      <c r="GI107" s="54"/>
      <c r="GJ107" s="54" t="s">
        <v>1076</v>
      </c>
      <c r="GK107" s="54" t="s">
        <v>1077</v>
      </c>
      <c r="GL107" s="54"/>
      <c r="GM107" s="54"/>
      <c r="GN107" s="54" t="s">
        <v>1208</v>
      </c>
      <c r="GO107" s="54" t="s">
        <v>1209</v>
      </c>
      <c r="GP107" s="54"/>
      <c r="GQ107" s="56">
        <v>0</v>
      </c>
      <c r="GR107" s="54" t="s">
        <v>1210</v>
      </c>
      <c r="GS107" s="54"/>
    </row>
    <row r="108" spans="1:201" x14ac:dyDescent="0.25">
      <c r="A108" s="54" t="s">
        <v>1032</v>
      </c>
      <c r="B108" s="54" t="s">
        <v>1033</v>
      </c>
      <c r="C108" s="54" t="s">
        <v>1197</v>
      </c>
      <c r="D108" s="54" t="s">
        <v>1035</v>
      </c>
      <c r="E108" s="54" t="s">
        <v>1036</v>
      </c>
      <c r="F108" s="55">
        <v>46175</v>
      </c>
      <c r="G108" s="55">
        <v>46175</v>
      </c>
      <c r="H108" s="54" t="s">
        <v>1037</v>
      </c>
      <c r="I108" s="54" t="s">
        <v>1038</v>
      </c>
      <c r="J108" s="54" t="s">
        <v>1039</v>
      </c>
      <c r="K108" s="55"/>
      <c r="L108" s="54" t="s">
        <v>1040</v>
      </c>
      <c r="M108" s="54"/>
      <c r="N108" s="54" t="s">
        <v>1198</v>
      </c>
      <c r="O108" s="54" t="s">
        <v>1153</v>
      </c>
      <c r="P108" s="54" t="s">
        <v>297</v>
      </c>
      <c r="Q108" s="54" t="s">
        <v>144</v>
      </c>
      <c r="R108" s="54" t="s">
        <v>1043</v>
      </c>
      <c r="S108" s="56">
        <v>1183.2</v>
      </c>
      <c r="T108" s="56">
        <v>1183.2</v>
      </c>
      <c r="U108" s="56">
        <v>0</v>
      </c>
      <c r="V108" s="56">
        <v>0</v>
      </c>
      <c r="W108" s="56">
        <v>0</v>
      </c>
      <c r="X108" s="56">
        <v>0</v>
      </c>
      <c r="Y108" s="56">
        <v>0</v>
      </c>
      <c r="Z108" s="56">
        <v>240</v>
      </c>
      <c r="AA108" s="56">
        <v>240</v>
      </c>
      <c r="AB108" s="59">
        <v>0</v>
      </c>
      <c r="AC108" s="56">
        <v>0</v>
      </c>
      <c r="AD108" s="56">
        <v>0</v>
      </c>
      <c r="AE108" s="56">
        <v>0</v>
      </c>
      <c r="AF108" s="54" t="s">
        <v>1199</v>
      </c>
      <c r="AG108" s="57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 t="s">
        <v>1045</v>
      </c>
      <c r="AS108" s="54" t="s">
        <v>1046</v>
      </c>
      <c r="AT108" s="54" t="s">
        <v>1047</v>
      </c>
      <c r="AU108" s="54" t="s">
        <v>1048</v>
      </c>
      <c r="AV108" s="54"/>
      <c r="AW108" s="55">
        <v>46189</v>
      </c>
      <c r="AX108" s="55">
        <v>46175</v>
      </c>
      <c r="AY108" s="55">
        <v>46175</v>
      </c>
      <c r="AZ108" s="55">
        <v>46176</v>
      </c>
      <c r="BA108" s="55">
        <v>46189</v>
      </c>
      <c r="BB108" s="56">
        <v>0</v>
      </c>
      <c r="BC108" s="56">
        <v>0</v>
      </c>
      <c r="BD108" s="56">
        <v>0</v>
      </c>
      <c r="BE108" s="56">
        <v>0</v>
      </c>
      <c r="BF108" s="56">
        <v>0</v>
      </c>
      <c r="BG108" s="56">
        <v>0</v>
      </c>
      <c r="BH108" s="56">
        <v>0</v>
      </c>
      <c r="BI108" s="56">
        <v>0</v>
      </c>
      <c r="BJ108" s="56">
        <v>0</v>
      </c>
      <c r="BK108" s="56">
        <v>0</v>
      </c>
      <c r="BL108" s="56">
        <v>0</v>
      </c>
      <c r="BM108" s="56">
        <v>0</v>
      </c>
      <c r="BN108" s="56">
        <v>0</v>
      </c>
      <c r="BO108" s="56">
        <v>0</v>
      </c>
      <c r="BP108" s="54" t="s">
        <v>1049</v>
      </c>
      <c r="BQ108" s="54" t="s">
        <v>1050</v>
      </c>
      <c r="BR108" s="54" t="s">
        <v>1049</v>
      </c>
      <c r="BS108" s="54" t="s">
        <v>1050</v>
      </c>
      <c r="BT108" s="54" t="s">
        <v>1051</v>
      </c>
      <c r="BU108" s="54" t="s">
        <v>1043</v>
      </c>
      <c r="BV108" s="58">
        <v>240</v>
      </c>
      <c r="BW108" s="54" t="s">
        <v>1052</v>
      </c>
      <c r="BX108" s="54" t="s">
        <v>1053</v>
      </c>
      <c r="BY108" s="54" t="s">
        <v>1054</v>
      </c>
      <c r="BZ108" s="54" t="s">
        <v>1055</v>
      </c>
      <c r="CA108" s="55"/>
      <c r="CB108" s="54" t="s">
        <v>1056</v>
      </c>
      <c r="CC108" s="54" t="s">
        <v>1057</v>
      </c>
      <c r="CD108" s="54" t="s">
        <v>1200</v>
      </c>
      <c r="CE108" s="54" t="s">
        <v>1201</v>
      </c>
      <c r="CF108" s="54" t="s">
        <v>1202</v>
      </c>
      <c r="CG108" s="54" t="s">
        <v>1203</v>
      </c>
      <c r="CH108" s="54" t="s">
        <v>1204</v>
      </c>
      <c r="CI108" s="54" t="s">
        <v>1203</v>
      </c>
      <c r="CJ108" s="54" t="s">
        <v>1064</v>
      </c>
      <c r="CK108" s="54" t="s">
        <v>1065</v>
      </c>
      <c r="CL108" s="54" t="s">
        <v>1205</v>
      </c>
      <c r="CM108" s="54" t="s">
        <v>1206</v>
      </c>
      <c r="CN108" s="54" t="s">
        <v>1068</v>
      </c>
      <c r="CO108" s="54" t="s">
        <v>1069</v>
      </c>
      <c r="CP108" s="56">
        <v>0</v>
      </c>
      <c r="CQ108" s="56">
        <v>0</v>
      </c>
      <c r="CR108" s="56">
        <v>0</v>
      </c>
      <c r="CS108" s="56">
        <v>0</v>
      </c>
      <c r="CT108" s="56">
        <v>0</v>
      </c>
      <c r="CU108" s="56">
        <v>0</v>
      </c>
      <c r="CV108" s="56">
        <v>0</v>
      </c>
      <c r="CW108" s="56">
        <v>0</v>
      </c>
      <c r="CX108" s="56">
        <v>0</v>
      </c>
      <c r="CY108" s="56">
        <v>0</v>
      </c>
      <c r="CZ108" s="56">
        <v>0</v>
      </c>
      <c r="DA108" s="56">
        <v>0</v>
      </c>
      <c r="DB108" s="56">
        <v>0</v>
      </c>
      <c r="DC108" s="56">
        <v>0</v>
      </c>
      <c r="DD108" s="56">
        <v>0</v>
      </c>
      <c r="DE108" s="56">
        <v>0</v>
      </c>
      <c r="DF108" s="56">
        <v>0</v>
      </c>
      <c r="DG108" s="56">
        <v>0</v>
      </c>
      <c r="DH108" s="56">
        <v>0</v>
      </c>
      <c r="DI108" s="56">
        <v>0</v>
      </c>
      <c r="DJ108" s="56">
        <v>0</v>
      </c>
      <c r="DK108" s="56">
        <v>0</v>
      </c>
      <c r="DL108" s="56">
        <v>0</v>
      </c>
      <c r="DM108" s="56">
        <v>0</v>
      </c>
      <c r="DN108" s="56">
        <v>0</v>
      </c>
      <c r="DO108" s="56">
        <v>0</v>
      </c>
      <c r="DP108" s="56">
        <v>0</v>
      </c>
      <c r="DQ108" s="56">
        <v>0</v>
      </c>
      <c r="DR108" s="56">
        <v>0</v>
      </c>
      <c r="DS108" s="56">
        <v>0</v>
      </c>
      <c r="DT108" s="56">
        <v>0</v>
      </c>
      <c r="DU108" s="56">
        <v>0</v>
      </c>
      <c r="DV108" s="56">
        <v>0</v>
      </c>
      <c r="DW108" s="56">
        <v>0</v>
      </c>
      <c r="DX108" s="56">
        <v>0</v>
      </c>
      <c r="DY108" s="56">
        <v>0</v>
      </c>
      <c r="DZ108" s="56">
        <v>0</v>
      </c>
      <c r="EA108" s="56">
        <v>0</v>
      </c>
      <c r="EB108" s="56">
        <v>0</v>
      </c>
      <c r="EC108" s="56">
        <v>0</v>
      </c>
      <c r="ED108" s="56">
        <v>0</v>
      </c>
      <c r="EE108" s="56">
        <v>0</v>
      </c>
      <c r="EF108" s="56">
        <v>0</v>
      </c>
      <c r="EG108" s="56">
        <v>0</v>
      </c>
      <c r="EH108" s="56">
        <v>141.97999999999999</v>
      </c>
      <c r="EI108" s="56">
        <v>0</v>
      </c>
      <c r="EJ108" s="56">
        <v>0</v>
      </c>
      <c r="EK108" s="56">
        <v>0</v>
      </c>
      <c r="EL108" s="56">
        <v>0</v>
      </c>
      <c r="EM108" s="56">
        <v>0</v>
      </c>
      <c r="EN108" s="56">
        <v>0</v>
      </c>
      <c r="EO108" s="56">
        <v>0</v>
      </c>
      <c r="EP108" s="56">
        <v>0</v>
      </c>
      <c r="EQ108" s="56">
        <v>0</v>
      </c>
      <c r="ER108" s="56">
        <v>0</v>
      </c>
      <c r="ES108" s="56">
        <v>0</v>
      </c>
      <c r="ET108" s="56">
        <v>0</v>
      </c>
      <c r="EU108" s="56">
        <v>0</v>
      </c>
      <c r="EV108" s="56">
        <v>0</v>
      </c>
      <c r="EW108" s="56">
        <v>0</v>
      </c>
      <c r="EX108" s="56">
        <v>0</v>
      </c>
      <c r="EY108" s="56">
        <v>0</v>
      </c>
      <c r="EZ108" s="56">
        <v>0</v>
      </c>
      <c r="FA108" s="56">
        <v>0</v>
      </c>
      <c r="FB108" s="56">
        <v>0</v>
      </c>
      <c r="FC108" s="58">
        <v>0</v>
      </c>
      <c r="FD108" s="56">
        <v>0</v>
      </c>
      <c r="FE108" s="56">
        <v>0</v>
      </c>
      <c r="FF108" s="56">
        <v>0</v>
      </c>
      <c r="FG108" s="56">
        <v>0</v>
      </c>
      <c r="FH108" s="56">
        <v>0</v>
      </c>
      <c r="FI108" s="56">
        <v>0</v>
      </c>
      <c r="FJ108" s="56">
        <v>0</v>
      </c>
      <c r="FK108" s="56">
        <v>0</v>
      </c>
      <c r="FL108" s="56">
        <v>0</v>
      </c>
      <c r="FM108" s="56">
        <v>0</v>
      </c>
      <c r="FN108" s="56">
        <v>0</v>
      </c>
      <c r="FO108" s="56">
        <v>0</v>
      </c>
      <c r="FP108" s="56">
        <v>0</v>
      </c>
      <c r="FQ108" s="56">
        <v>0</v>
      </c>
      <c r="FR108" s="56">
        <v>0</v>
      </c>
      <c r="FS108" s="58">
        <v>0</v>
      </c>
      <c r="FT108" s="56">
        <v>0</v>
      </c>
      <c r="FU108" s="56">
        <v>0</v>
      </c>
      <c r="FV108" s="56">
        <v>0</v>
      </c>
      <c r="FW108" s="56">
        <v>0</v>
      </c>
      <c r="FX108" s="56">
        <v>0</v>
      </c>
      <c r="FY108" s="56">
        <v>0</v>
      </c>
      <c r="FZ108" s="54" t="s">
        <v>1070</v>
      </c>
      <c r="GA108" s="54" t="s">
        <v>1071</v>
      </c>
      <c r="GB108" s="54" t="s">
        <v>1072</v>
      </c>
      <c r="GC108" s="54" t="s">
        <v>1073</v>
      </c>
      <c r="GD108" s="54" t="s">
        <v>1237</v>
      </c>
      <c r="GE108" s="54" t="s">
        <v>1201</v>
      </c>
      <c r="GF108" s="54"/>
      <c r="GG108" s="55"/>
      <c r="GH108" s="54"/>
      <c r="GI108" s="54"/>
      <c r="GJ108" s="54" t="s">
        <v>1076</v>
      </c>
      <c r="GK108" s="54" t="s">
        <v>1077</v>
      </c>
      <c r="GL108" s="54"/>
      <c r="GM108" s="54"/>
      <c r="GN108" s="54" t="s">
        <v>1208</v>
      </c>
      <c r="GO108" s="54" t="s">
        <v>1209</v>
      </c>
      <c r="GP108" s="54"/>
      <c r="GQ108" s="56">
        <v>0</v>
      </c>
      <c r="GR108" s="54" t="s">
        <v>1210</v>
      </c>
      <c r="GS108" s="54"/>
    </row>
    <row r="109" spans="1:201" x14ac:dyDescent="0.25">
      <c r="A109" s="54" t="s">
        <v>1032</v>
      </c>
      <c r="B109" s="54" t="s">
        <v>1033</v>
      </c>
      <c r="C109" s="54" t="s">
        <v>1197</v>
      </c>
      <c r="D109" s="54" t="s">
        <v>1035</v>
      </c>
      <c r="E109" s="54" t="s">
        <v>1036</v>
      </c>
      <c r="F109" s="55">
        <v>46175</v>
      </c>
      <c r="G109" s="55">
        <v>46175</v>
      </c>
      <c r="H109" s="54" t="s">
        <v>1037</v>
      </c>
      <c r="I109" s="54" t="s">
        <v>1038</v>
      </c>
      <c r="J109" s="54" t="s">
        <v>1039</v>
      </c>
      <c r="K109" s="55"/>
      <c r="L109" s="54" t="s">
        <v>1040</v>
      </c>
      <c r="M109" s="54"/>
      <c r="N109" s="54" t="s">
        <v>1198</v>
      </c>
      <c r="O109" s="54" t="s">
        <v>1159</v>
      </c>
      <c r="P109" s="54" t="s">
        <v>644</v>
      </c>
      <c r="Q109" s="54" t="s">
        <v>150</v>
      </c>
      <c r="R109" s="54" t="s">
        <v>1043</v>
      </c>
      <c r="S109" s="56">
        <v>4195.2</v>
      </c>
      <c r="T109" s="56">
        <v>4195.2</v>
      </c>
      <c r="U109" s="56">
        <v>0</v>
      </c>
      <c r="V109" s="56">
        <v>0</v>
      </c>
      <c r="W109" s="56">
        <v>0</v>
      </c>
      <c r="X109" s="56">
        <v>0</v>
      </c>
      <c r="Y109" s="56">
        <v>0</v>
      </c>
      <c r="Z109" s="56">
        <v>240</v>
      </c>
      <c r="AA109" s="56">
        <v>240</v>
      </c>
      <c r="AB109" s="59">
        <v>0</v>
      </c>
      <c r="AC109" s="56">
        <v>0</v>
      </c>
      <c r="AD109" s="56">
        <v>0</v>
      </c>
      <c r="AE109" s="56">
        <v>0</v>
      </c>
      <c r="AF109" s="54" t="s">
        <v>1199</v>
      </c>
      <c r="AG109" s="57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 t="s">
        <v>1045</v>
      </c>
      <c r="AS109" s="54" t="s">
        <v>1046</v>
      </c>
      <c r="AT109" s="54" t="s">
        <v>1047</v>
      </c>
      <c r="AU109" s="54" t="s">
        <v>1048</v>
      </c>
      <c r="AV109" s="54"/>
      <c r="AW109" s="55">
        <v>46189</v>
      </c>
      <c r="AX109" s="55">
        <v>46175</v>
      </c>
      <c r="AY109" s="55">
        <v>46175</v>
      </c>
      <c r="AZ109" s="55">
        <v>46176</v>
      </c>
      <c r="BA109" s="55">
        <v>46189</v>
      </c>
      <c r="BB109" s="56">
        <v>0</v>
      </c>
      <c r="BC109" s="56">
        <v>0</v>
      </c>
      <c r="BD109" s="56">
        <v>0</v>
      </c>
      <c r="BE109" s="56">
        <v>0</v>
      </c>
      <c r="BF109" s="56">
        <v>0</v>
      </c>
      <c r="BG109" s="56">
        <v>0</v>
      </c>
      <c r="BH109" s="56">
        <v>0</v>
      </c>
      <c r="BI109" s="56">
        <v>0</v>
      </c>
      <c r="BJ109" s="56">
        <v>0</v>
      </c>
      <c r="BK109" s="56">
        <v>0</v>
      </c>
      <c r="BL109" s="56">
        <v>0</v>
      </c>
      <c r="BM109" s="56">
        <v>0</v>
      </c>
      <c r="BN109" s="56">
        <v>0</v>
      </c>
      <c r="BO109" s="56">
        <v>0</v>
      </c>
      <c r="BP109" s="54" t="s">
        <v>1049</v>
      </c>
      <c r="BQ109" s="54" t="s">
        <v>1050</v>
      </c>
      <c r="BR109" s="54" t="s">
        <v>1049</v>
      </c>
      <c r="BS109" s="54" t="s">
        <v>1050</v>
      </c>
      <c r="BT109" s="54" t="s">
        <v>1051</v>
      </c>
      <c r="BU109" s="54" t="s">
        <v>1043</v>
      </c>
      <c r="BV109" s="58">
        <v>240</v>
      </c>
      <c r="BW109" s="54" t="s">
        <v>1052</v>
      </c>
      <c r="BX109" s="54" t="s">
        <v>1053</v>
      </c>
      <c r="BY109" s="54" t="s">
        <v>1054</v>
      </c>
      <c r="BZ109" s="54" t="s">
        <v>1055</v>
      </c>
      <c r="CA109" s="55"/>
      <c r="CB109" s="54" t="s">
        <v>1056</v>
      </c>
      <c r="CC109" s="54" t="s">
        <v>1057</v>
      </c>
      <c r="CD109" s="54" t="s">
        <v>1200</v>
      </c>
      <c r="CE109" s="54" t="s">
        <v>1201</v>
      </c>
      <c r="CF109" s="54" t="s">
        <v>1202</v>
      </c>
      <c r="CG109" s="54" t="s">
        <v>1203</v>
      </c>
      <c r="CH109" s="54" t="s">
        <v>1204</v>
      </c>
      <c r="CI109" s="54" t="s">
        <v>1203</v>
      </c>
      <c r="CJ109" s="54" t="s">
        <v>1064</v>
      </c>
      <c r="CK109" s="54" t="s">
        <v>1065</v>
      </c>
      <c r="CL109" s="54" t="s">
        <v>1205</v>
      </c>
      <c r="CM109" s="54" t="s">
        <v>1206</v>
      </c>
      <c r="CN109" s="54" t="s">
        <v>1068</v>
      </c>
      <c r="CO109" s="54" t="s">
        <v>1069</v>
      </c>
      <c r="CP109" s="56">
        <v>0</v>
      </c>
      <c r="CQ109" s="56">
        <v>0</v>
      </c>
      <c r="CR109" s="56">
        <v>0</v>
      </c>
      <c r="CS109" s="56">
        <v>0</v>
      </c>
      <c r="CT109" s="56">
        <v>0</v>
      </c>
      <c r="CU109" s="56">
        <v>0</v>
      </c>
      <c r="CV109" s="56">
        <v>0</v>
      </c>
      <c r="CW109" s="56">
        <v>0</v>
      </c>
      <c r="CX109" s="56">
        <v>0</v>
      </c>
      <c r="CY109" s="56">
        <v>0</v>
      </c>
      <c r="CZ109" s="56">
        <v>0</v>
      </c>
      <c r="DA109" s="56">
        <v>0</v>
      </c>
      <c r="DB109" s="56">
        <v>0</v>
      </c>
      <c r="DC109" s="56">
        <v>0</v>
      </c>
      <c r="DD109" s="56">
        <v>0</v>
      </c>
      <c r="DE109" s="56">
        <v>0</v>
      </c>
      <c r="DF109" s="56">
        <v>0</v>
      </c>
      <c r="DG109" s="56">
        <v>0</v>
      </c>
      <c r="DH109" s="56">
        <v>0</v>
      </c>
      <c r="DI109" s="56">
        <v>0</v>
      </c>
      <c r="DJ109" s="56">
        <v>0</v>
      </c>
      <c r="DK109" s="56">
        <v>0</v>
      </c>
      <c r="DL109" s="56">
        <v>0</v>
      </c>
      <c r="DM109" s="56">
        <v>0</v>
      </c>
      <c r="DN109" s="56">
        <v>0</v>
      </c>
      <c r="DO109" s="56">
        <v>0</v>
      </c>
      <c r="DP109" s="56">
        <v>0</v>
      </c>
      <c r="DQ109" s="56">
        <v>0</v>
      </c>
      <c r="DR109" s="56">
        <v>0</v>
      </c>
      <c r="DS109" s="56">
        <v>0</v>
      </c>
      <c r="DT109" s="56">
        <v>0</v>
      </c>
      <c r="DU109" s="56">
        <v>0</v>
      </c>
      <c r="DV109" s="56">
        <v>0</v>
      </c>
      <c r="DW109" s="56">
        <v>0</v>
      </c>
      <c r="DX109" s="56">
        <v>0</v>
      </c>
      <c r="DY109" s="56">
        <v>0</v>
      </c>
      <c r="DZ109" s="56">
        <v>0</v>
      </c>
      <c r="EA109" s="56">
        <v>0</v>
      </c>
      <c r="EB109" s="56">
        <v>0</v>
      </c>
      <c r="EC109" s="56">
        <v>0</v>
      </c>
      <c r="ED109" s="56">
        <v>0</v>
      </c>
      <c r="EE109" s="56">
        <v>0</v>
      </c>
      <c r="EF109" s="56">
        <v>0</v>
      </c>
      <c r="EG109" s="56">
        <v>0</v>
      </c>
      <c r="EH109" s="56">
        <v>167.81</v>
      </c>
      <c r="EI109" s="56">
        <v>0</v>
      </c>
      <c r="EJ109" s="56">
        <v>0</v>
      </c>
      <c r="EK109" s="56">
        <v>0</v>
      </c>
      <c r="EL109" s="56">
        <v>0</v>
      </c>
      <c r="EM109" s="56">
        <v>0</v>
      </c>
      <c r="EN109" s="56">
        <v>0</v>
      </c>
      <c r="EO109" s="56">
        <v>0</v>
      </c>
      <c r="EP109" s="56">
        <v>0</v>
      </c>
      <c r="EQ109" s="56">
        <v>0</v>
      </c>
      <c r="ER109" s="56">
        <v>0</v>
      </c>
      <c r="ES109" s="56">
        <v>0</v>
      </c>
      <c r="ET109" s="56">
        <v>0</v>
      </c>
      <c r="EU109" s="56">
        <v>0</v>
      </c>
      <c r="EV109" s="56">
        <v>0</v>
      </c>
      <c r="EW109" s="56">
        <v>0</v>
      </c>
      <c r="EX109" s="56">
        <v>0</v>
      </c>
      <c r="EY109" s="56">
        <v>0</v>
      </c>
      <c r="EZ109" s="56">
        <v>0</v>
      </c>
      <c r="FA109" s="56">
        <v>0</v>
      </c>
      <c r="FB109" s="56">
        <v>0</v>
      </c>
      <c r="FC109" s="58">
        <v>0</v>
      </c>
      <c r="FD109" s="56">
        <v>0</v>
      </c>
      <c r="FE109" s="56">
        <v>0</v>
      </c>
      <c r="FF109" s="56">
        <v>0</v>
      </c>
      <c r="FG109" s="56">
        <v>0</v>
      </c>
      <c r="FH109" s="56">
        <v>0</v>
      </c>
      <c r="FI109" s="56">
        <v>0</v>
      </c>
      <c r="FJ109" s="56">
        <v>0</v>
      </c>
      <c r="FK109" s="56">
        <v>0</v>
      </c>
      <c r="FL109" s="56">
        <v>0</v>
      </c>
      <c r="FM109" s="56">
        <v>0</v>
      </c>
      <c r="FN109" s="56">
        <v>0</v>
      </c>
      <c r="FO109" s="56">
        <v>0</v>
      </c>
      <c r="FP109" s="56">
        <v>0</v>
      </c>
      <c r="FQ109" s="56">
        <v>0</v>
      </c>
      <c r="FR109" s="56">
        <v>0</v>
      </c>
      <c r="FS109" s="58">
        <v>0</v>
      </c>
      <c r="FT109" s="56">
        <v>0</v>
      </c>
      <c r="FU109" s="56">
        <v>0</v>
      </c>
      <c r="FV109" s="56">
        <v>0</v>
      </c>
      <c r="FW109" s="56">
        <v>0</v>
      </c>
      <c r="FX109" s="56">
        <v>0</v>
      </c>
      <c r="FY109" s="56">
        <v>0</v>
      </c>
      <c r="FZ109" s="54" t="s">
        <v>1070</v>
      </c>
      <c r="GA109" s="54" t="s">
        <v>1071</v>
      </c>
      <c r="GB109" s="54" t="s">
        <v>1072</v>
      </c>
      <c r="GC109" s="54" t="s">
        <v>1073</v>
      </c>
      <c r="GD109" s="54"/>
      <c r="GE109" s="54"/>
      <c r="GF109" s="54"/>
      <c r="GG109" s="55"/>
      <c r="GH109" s="54"/>
      <c r="GI109" s="54"/>
      <c r="GJ109" s="54" t="s">
        <v>1076</v>
      </c>
      <c r="GK109" s="54" t="s">
        <v>1077</v>
      </c>
      <c r="GL109" s="54"/>
      <c r="GM109" s="54"/>
      <c r="GN109" s="54" t="s">
        <v>1208</v>
      </c>
      <c r="GO109" s="54" t="s">
        <v>1209</v>
      </c>
      <c r="GP109" s="54"/>
      <c r="GQ109" s="56">
        <v>0</v>
      </c>
      <c r="GR109" s="54" t="s">
        <v>1210</v>
      </c>
      <c r="GS109" s="54"/>
    </row>
    <row r="110" spans="1:201" x14ac:dyDescent="0.25">
      <c r="A110" s="54" t="s">
        <v>1032</v>
      </c>
      <c r="B110" s="54" t="s">
        <v>1033</v>
      </c>
      <c r="C110" s="54" t="s">
        <v>1197</v>
      </c>
      <c r="D110" s="54" t="s">
        <v>1035</v>
      </c>
      <c r="E110" s="54" t="s">
        <v>1036</v>
      </c>
      <c r="F110" s="55">
        <v>46175</v>
      </c>
      <c r="G110" s="55">
        <v>46175</v>
      </c>
      <c r="H110" s="54" t="s">
        <v>1037</v>
      </c>
      <c r="I110" s="54" t="s">
        <v>1038</v>
      </c>
      <c r="J110" s="54" t="s">
        <v>1039</v>
      </c>
      <c r="K110" s="55"/>
      <c r="L110" s="54" t="s">
        <v>1040</v>
      </c>
      <c r="M110" s="54"/>
      <c r="N110" s="54" t="s">
        <v>1198</v>
      </c>
      <c r="O110" s="54" t="s">
        <v>1161</v>
      </c>
      <c r="P110" s="54" t="s">
        <v>604</v>
      </c>
      <c r="Q110" s="54" t="s">
        <v>605</v>
      </c>
      <c r="R110" s="54" t="s">
        <v>1043</v>
      </c>
      <c r="S110" s="56">
        <v>2268.6</v>
      </c>
      <c r="T110" s="56">
        <v>2268.6</v>
      </c>
      <c r="U110" s="56">
        <v>0</v>
      </c>
      <c r="V110" s="56">
        <v>0</v>
      </c>
      <c r="W110" s="56">
        <v>0</v>
      </c>
      <c r="X110" s="56">
        <v>0</v>
      </c>
      <c r="Y110" s="56">
        <v>0</v>
      </c>
      <c r="Z110" s="56">
        <v>60</v>
      </c>
      <c r="AA110" s="56">
        <v>60</v>
      </c>
      <c r="AB110" s="59">
        <v>0</v>
      </c>
      <c r="AC110" s="56">
        <v>0</v>
      </c>
      <c r="AD110" s="56">
        <v>0</v>
      </c>
      <c r="AE110" s="56">
        <v>0</v>
      </c>
      <c r="AF110" s="54" t="s">
        <v>1199</v>
      </c>
      <c r="AG110" s="57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 t="s">
        <v>1045</v>
      </c>
      <c r="AS110" s="54" t="s">
        <v>1046</v>
      </c>
      <c r="AT110" s="54" t="s">
        <v>1047</v>
      </c>
      <c r="AU110" s="54" t="s">
        <v>1048</v>
      </c>
      <c r="AV110" s="54"/>
      <c r="AW110" s="55">
        <v>46189</v>
      </c>
      <c r="AX110" s="55">
        <v>46175</v>
      </c>
      <c r="AY110" s="55">
        <v>46175</v>
      </c>
      <c r="AZ110" s="55">
        <v>46176</v>
      </c>
      <c r="BA110" s="55">
        <v>46189</v>
      </c>
      <c r="BB110" s="56">
        <v>0</v>
      </c>
      <c r="BC110" s="56">
        <v>0</v>
      </c>
      <c r="BD110" s="56">
        <v>0</v>
      </c>
      <c r="BE110" s="56">
        <v>0</v>
      </c>
      <c r="BF110" s="56">
        <v>0</v>
      </c>
      <c r="BG110" s="56">
        <v>0</v>
      </c>
      <c r="BH110" s="56">
        <v>0</v>
      </c>
      <c r="BI110" s="56">
        <v>0</v>
      </c>
      <c r="BJ110" s="56">
        <v>0</v>
      </c>
      <c r="BK110" s="56">
        <v>0</v>
      </c>
      <c r="BL110" s="56">
        <v>0</v>
      </c>
      <c r="BM110" s="56">
        <v>0</v>
      </c>
      <c r="BN110" s="56">
        <v>0</v>
      </c>
      <c r="BO110" s="56">
        <v>0</v>
      </c>
      <c r="BP110" s="54" t="s">
        <v>1049</v>
      </c>
      <c r="BQ110" s="54" t="s">
        <v>1050</v>
      </c>
      <c r="BR110" s="54" t="s">
        <v>1049</v>
      </c>
      <c r="BS110" s="54" t="s">
        <v>1050</v>
      </c>
      <c r="BT110" s="54" t="s">
        <v>1051</v>
      </c>
      <c r="BU110" s="54" t="s">
        <v>1043</v>
      </c>
      <c r="BV110" s="58">
        <v>60</v>
      </c>
      <c r="BW110" s="54" t="s">
        <v>1052</v>
      </c>
      <c r="BX110" s="54" t="s">
        <v>1053</v>
      </c>
      <c r="BY110" s="54" t="s">
        <v>1054</v>
      </c>
      <c r="BZ110" s="54" t="s">
        <v>1055</v>
      </c>
      <c r="CA110" s="55"/>
      <c r="CB110" s="54" t="s">
        <v>1056</v>
      </c>
      <c r="CC110" s="54" t="s">
        <v>1057</v>
      </c>
      <c r="CD110" s="54" t="s">
        <v>1200</v>
      </c>
      <c r="CE110" s="54" t="s">
        <v>1201</v>
      </c>
      <c r="CF110" s="54" t="s">
        <v>1202</v>
      </c>
      <c r="CG110" s="54" t="s">
        <v>1203</v>
      </c>
      <c r="CH110" s="54" t="s">
        <v>1204</v>
      </c>
      <c r="CI110" s="54" t="s">
        <v>1203</v>
      </c>
      <c r="CJ110" s="54" t="s">
        <v>1064</v>
      </c>
      <c r="CK110" s="54" t="s">
        <v>1065</v>
      </c>
      <c r="CL110" s="54" t="s">
        <v>1205</v>
      </c>
      <c r="CM110" s="54" t="s">
        <v>1206</v>
      </c>
      <c r="CN110" s="54" t="s">
        <v>1068</v>
      </c>
      <c r="CO110" s="54" t="s">
        <v>1069</v>
      </c>
      <c r="CP110" s="56">
        <v>0</v>
      </c>
      <c r="CQ110" s="56">
        <v>0</v>
      </c>
      <c r="CR110" s="56">
        <v>0</v>
      </c>
      <c r="CS110" s="56">
        <v>0</v>
      </c>
      <c r="CT110" s="56">
        <v>0</v>
      </c>
      <c r="CU110" s="56">
        <v>0</v>
      </c>
      <c r="CV110" s="56">
        <v>0</v>
      </c>
      <c r="CW110" s="56">
        <v>0</v>
      </c>
      <c r="CX110" s="56">
        <v>0</v>
      </c>
      <c r="CY110" s="56">
        <v>0</v>
      </c>
      <c r="CZ110" s="56">
        <v>0</v>
      </c>
      <c r="DA110" s="56">
        <v>0</v>
      </c>
      <c r="DB110" s="56">
        <v>0</v>
      </c>
      <c r="DC110" s="56">
        <v>0</v>
      </c>
      <c r="DD110" s="56">
        <v>0</v>
      </c>
      <c r="DE110" s="56">
        <v>0</v>
      </c>
      <c r="DF110" s="56">
        <v>0</v>
      </c>
      <c r="DG110" s="56">
        <v>0</v>
      </c>
      <c r="DH110" s="56">
        <v>0</v>
      </c>
      <c r="DI110" s="56">
        <v>0</v>
      </c>
      <c r="DJ110" s="56">
        <v>0</v>
      </c>
      <c r="DK110" s="56">
        <v>0</v>
      </c>
      <c r="DL110" s="56">
        <v>0</v>
      </c>
      <c r="DM110" s="56">
        <v>0</v>
      </c>
      <c r="DN110" s="56">
        <v>0</v>
      </c>
      <c r="DO110" s="56">
        <v>0</v>
      </c>
      <c r="DP110" s="56">
        <v>0</v>
      </c>
      <c r="DQ110" s="56">
        <v>0</v>
      </c>
      <c r="DR110" s="56">
        <v>0</v>
      </c>
      <c r="DS110" s="56">
        <v>0</v>
      </c>
      <c r="DT110" s="56">
        <v>0</v>
      </c>
      <c r="DU110" s="56">
        <v>0</v>
      </c>
      <c r="DV110" s="56">
        <v>0</v>
      </c>
      <c r="DW110" s="56">
        <v>0</v>
      </c>
      <c r="DX110" s="56">
        <v>0</v>
      </c>
      <c r="DY110" s="56">
        <v>0</v>
      </c>
      <c r="DZ110" s="56">
        <v>0</v>
      </c>
      <c r="EA110" s="56">
        <v>0</v>
      </c>
      <c r="EB110" s="56">
        <v>0</v>
      </c>
      <c r="EC110" s="56">
        <v>0</v>
      </c>
      <c r="ED110" s="56">
        <v>0</v>
      </c>
      <c r="EE110" s="56">
        <v>0</v>
      </c>
      <c r="EF110" s="56">
        <v>0</v>
      </c>
      <c r="EG110" s="56">
        <v>0</v>
      </c>
      <c r="EH110" s="56">
        <v>272.23</v>
      </c>
      <c r="EI110" s="56">
        <v>0</v>
      </c>
      <c r="EJ110" s="56">
        <v>0</v>
      </c>
      <c r="EK110" s="56">
        <v>0</v>
      </c>
      <c r="EL110" s="56">
        <v>0</v>
      </c>
      <c r="EM110" s="56">
        <v>0</v>
      </c>
      <c r="EN110" s="56">
        <v>0</v>
      </c>
      <c r="EO110" s="56">
        <v>0</v>
      </c>
      <c r="EP110" s="56">
        <v>0</v>
      </c>
      <c r="EQ110" s="56">
        <v>0</v>
      </c>
      <c r="ER110" s="56">
        <v>0</v>
      </c>
      <c r="ES110" s="56">
        <v>0</v>
      </c>
      <c r="ET110" s="56">
        <v>0</v>
      </c>
      <c r="EU110" s="56">
        <v>0</v>
      </c>
      <c r="EV110" s="56">
        <v>0</v>
      </c>
      <c r="EW110" s="56">
        <v>0</v>
      </c>
      <c r="EX110" s="56">
        <v>0</v>
      </c>
      <c r="EY110" s="56">
        <v>0</v>
      </c>
      <c r="EZ110" s="56">
        <v>0</v>
      </c>
      <c r="FA110" s="56">
        <v>0</v>
      </c>
      <c r="FB110" s="56">
        <v>0</v>
      </c>
      <c r="FC110" s="58">
        <v>0</v>
      </c>
      <c r="FD110" s="56">
        <v>0</v>
      </c>
      <c r="FE110" s="56">
        <v>0</v>
      </c>
      <c r="FF110" s="56">
        <v>0</v>
      </c>
      <c r="FG110" s="56">
        <v>0</v>
      </c>
      <c r="FH110" s="56">
        <v>0</v>
      </c>
      <c r="FI110" s="56">
        <v>0</v>
      </c>
      <c r="FJ110" s="56">
        <v>0</v>
      </c>
      <c r="FK110" s="56">
        <v>0</v>
      </c>
      <c r="FL110" s="56">
        <v>0</v>
      </c>
      <c r="FM110" s="56">
        <v>0</v>
      </c>
      <c r="FN110" s="56">
        <v>0</v>
      </c>
      <c r="FO110" s="56">
        <v>0</v>
      </c>
      <c r="FP110" s="56">
        <v>0</v>
      </c>
      <c r="FQ110" s="56">
        <v>0</v>
      </c>
      <c r="FR110" s="56">
        <v>0</v>
      </c>
      <c r="FS110" s="58">
        <v>0</v>
      </c>
      <c r="FT110" s="56">
        <v>0</v>
      </c>
      <c r="FU110" s="56">
        <v>0</v>
      </c>
      <c r="FV110" s="56">
        <v>0</v>
      </c>
      <c r="FW110" s="56">
        <v>0</v>
      </c>
      <c r="FX110" s="56">
        <v>0</v>
      </c>
      <c r="FY110" s="56">
        <v>0</v>
      </c>
      <c r="FZ110" s="54" t="s">
        <v>1083</v>
      </c>
      <c r="GA110" s="54" t="s">
        <v>1084</v>
      </c>
      <c r="GB110" s="54" t="s">
        <v>1072</v>
      </c>
      <c r="GC110" s="54" t="s">
        <v>1073</v>
      </c>
      <c r="GD110" s="54"/>
      <c r="GE110" s="54"/>
      <c r="GF110" s="54"/>
      <c r="GG110" s="55"/>
      <c r="GH110" s="54"/>
      <c r="GI110" s="54"/>
      <c r="GJ110" s="54" t="s">
        <v>1076</v>
      </c>
      <c r="GK110" s="54" t="s">
        <v>1077</v>
      </c>
      <c r="GL110" s="54"/>
      <c r="GM110" s="54"/>
      <c r="GN110" s="54" t="s">
        <v>1208</v>
      </c>
      <c r="GO110" s="54" t="s">
        <v>1209</v>
      </c>
      <c r="GP110" s="54"/>
      <c r="GQ110" s="56">
        <v>0</v>
      </c>
      <c r="GR110" s="54" t="s">
        <v>1210</v>
      </c>
      <c r="GS110" s="54"/>
    </row>
    <row r="111" spans="1:201" x14ac:dyDescent="0.25">
      <c r="A111" s="54" t="s">
        <v>1032</v>
      </c>
      <c r="B111" s="54" t="s">
        <v>1033</v>
      </c>
      <c r="C111" s="54" t="s">
        <v>1197</v>
      </c>
      <c r="D111" s="54" t="s">
        <v>1035</v>
      </c>
      <c r="E111" s="54" t="s">
        <v>1036</v>
      </c>
      <c r="F111" s="55">
        <v>46175</v>
      </c>
      <c r="G111" s="55">
        <v>46175</v>
      </c>
      <c r="H111" s="54" t="s">
        <v>1037</v>
      </c>
      <c r="I111" s="54" t="s">
        <v>1038</v>
      </c>
      <c r="J111" s="54" t="s">
        <v>1039</v>
      </c>
      <c r="K111" s="55"/>
      <c r="L111" s="54" t="s">
        <v>1040</v>
      </c>
      <c r="M111" s="54"/>
      <c r="N111" s="54" t="s">
        <v>1198</v>
      </c>
      <c r="O111" s="54" t="s">
        <v>1162</v>
      </c>
      <c r="P111" s="54" t="s">
        <v>357</v>
      </c>
      <c r="Q111" s="54" t="s">
        <v>157</v>
      </c>
      <c r="R111" s="54" t="s">
        <v>1043</v>
      </c>
      <c r="S111" s="56">
        <v>1129.8</v>
      </c>
      <c r="T111" s="56">
        <v>1129.8</v>
      </c>
      <c r="U111" s="56">
        <v>0</v>
      </c>
      <c r="V111" s="56">
        <v>0</v>
      </c>
      <c r="W111" s="56">
        <v>0</v>
      </c>
      <c r="X111" s="56">
        <v>0</v>
      </c>
      <c r="Y111" s="56">
        <v>0</v>
      </c>
      <c r="Z111" s="56">
        <v>60</v>
      </c>
      <c r="AA111" s="56">
        <v>60</v>
      </c>
      <c r="AB111" s="59">
        <v>0</v>
      </c>
      <c r="AC111" s="56">
        <v>0</v>
      </c>
      <c r="AD111" s="56">
        <v>0</v>
      </c>
      <c r="AE111" s="56">
        <v>0</v>
      </c>
      <c r="AF111" s="54" t="s">
        <v>1199</v>
      </c>
      <c r="AG111" s="57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 t="s">
        <v>1045</v>
      </c>
      <c r="AS111" s="54" t="s">
        <v>1046</v>
      </c>
      <c r="AT111" s="54" t="s">
        <v>1047</v>
      </c>
      <c r="AU111" s="54" t="s">
        <v>1048</v>
      </c>
      <c r="AV111" s="54"/>
      <c r="AW111" s="55">
        <v>46189</v>
      </c>
      <c r="AX111" s="55">
        <v>46175</v>
      </c>
      <c r="AY111" s="55">
        <v>46175</v>
      </c>
      <c r="AZ111" s="55">
        <v>46176</v>
      </c>
      <c r="BA111" s="55">
        <v>46189</v>
      </c>
      <c r="BB111" s="56">
        <v>0</v>
      </c>
      <c r="BC111" s="56">
        <v>0</v>
      </c>
      <c r="BD111" s="56">
        <v>0</v>
      </c>
      <c r="BE111" s="56">
        <v>0</v>
      </c>
      <c r="BF111" s="56">
        <v>0</v>
      </c>
      <c r="BG111" s="56">
        <v>0</v>
      </c>
      <c r="BH111" s="56">
        <v>0</v>
      </c>
      <c r="BI111" s="56">
        <v>0</v>
      </c>
      <c r="BJ111" s="56">
        <v>0</v>
      </c>
      <c r="BK111" s="56">
        <v>0</v>
      </c>
      <c r="BL111" s="56">
        <v>0</v>
      </c>
      <c r="BM111" s="56">
        <v>0</v>
      </c>
      <c r="BN111" s="56">
        <v>0</v>
      </c>
      <c r="BO111" s="56">
        <v>0</v>
      </c>
      <c r="BP111" s="54" t="s">
        <v>1049</v>
      </c>
      <c r="BQ111" s="54" t="s">
        <v>1050</v>
      </c>
      <c r="BR111" s="54" t="s">
        <v>1049</v>
      </c>
      <c r="BS111" s="54" t="s">
        <v>1050</v>
      </c>
      <c r="BT111" s="54" t="s">
        <v>1051</v>
      </c>
      <c r="BU111" s="54" t="s">
        <v>1043</v>
      </c>
      <c r="BV111" s="58">
        <v>60</v>
      </c>
      <c r="BW111" s="54" t="s">
        <v>1052</v>
      </c>
      <c r="BX111" s="54" t="s">
        <v>1053</v>
      </c>
      <c r="BY111" s="54" t="s">
        <v>1054</v>
      </c>
      <c r="BZ111" s="54" t="s">
        <v>1055</v>
      </c>
      <c r="CA111" s="55"/>
      <c r="CB111" s="54" t="s">
        <v>1056</v>
      </c>
      <c r="CC111" s="54" t="s">
        <v>1057</v>
      </c>
      <c r="CD111" s="54" t="s">
        <v>1200</v>
      </c>
      <c r="CE111" s="54" t="s">
        <v>1201</v>
      </c>
      <c r="CF111" s="54" t="s">
        <v>1202</v>
      </c>
      <c r="CG111" s="54" t="s">
        <v>1203</v>
      </c>
      <c r="CH111" s="54" t="s">
        <v>1204</v>
      </c>
      <c r="CI111" s="54" t="s">
        <v>1203</v>
      </c>
      <c r="CJ111" s="54" t="s">
        <v>1064</v>
      </c>
      <c r="CK111" s="54" t="s">
        <v>1065</v>
      </c>
      <c r="CL111" s="54" t="s">
        <v>1205</v>
      </c>
      <c r="CM111" s="54" t="s">
        <v>1206</v>
      </c>
      <c r="CN111" s="54" t="s">
        <v>1068</v>
      </c>
      <c r="CO111" s="54" t="s">
        <v>1069</v>
      </c>
      <c r="CP111" s="56">
        <v>0</v>
      </c>
      <c r="CQ111" s="56">
        <v>0</v>
      </c>
      <c r="CR111" s="56">
        <v>0</v>
      </c>
      <c r="CS111" s="56">
        <v>0</v>
      </c>
      <c r="CT111" s="56">
        <v>0</v>
      </c>
      <c r="CU111" s="56">
        <v>0</v>
      </c>
      <c r="CV111" s="56">
        <v>0</v>
      </c>
      <c r="CW111" s="56">
        <v>0</v>
      </c>
      <c r="CX111" s="56">
        <v>0</v>
      </c>
      <c r="CY111" s="56">
        <v>0</v>
      </c>
      <c r="CZ111" s="56">
        <v>0</v>
      </c>
      <c r="DA111" s="56">
        <v>0</v>
      </c>
      <c r="DB111" s="56">
        <v>0</v>
      </c>
      <c r="DC111" s="56">
        <v>0</v>
      </c>
      <c r="DD111" s="56">
        <v>0</v>
      </c>
      <c r="DE111" s="56">
        <v>0</v>
      </c>
      <c r="DF111" s="56">
        <v>0</v>
      </c>
      <c r="DG111" s="56">
        <v>0</v>
      </c>
      <c r="DH111" s="56">
        <v>0</v>
      </c>
      <c r="DI111" s="56">
        <v>0</v>
      </c>
      <c r="DJ111" s="56">
        <v>0</v>
      </c>
      <c r="DK111" s="56">
        <v>0</v>
      </c>
      <c r="DL111" s="56">
        <v>0</v>
      </c>
      <c r="DM111" s="56">
        <v>0</v>
      </c>
      <c r="DN111" s="56">
        <v>0</v>
      </c>
      <c r="DO111" s="56">
        <v>0</v>
      </c>
      <c r="DP111" s="56">
        <v>0</v>
      </c>
      <c r="DQ111" s="56">
        <v>0</v>
      </c>
      <c r="DR111" s="56">
        <v>0</v>
      </c>
      <c r="DS111" s="56">
        <v>0</v>
      </c>
      <c r="DT111" s="56">
        <v>0</v>
      </c>
      <c r="DU111" s="56">
        <v>0</v>
      </c>
      <c r="DV111" s="56">
        <v>0</v>
      </c>
      <c r="DW111" s="56">
        <v>0</v>
      </c>
      <c r="DX111" s="56">
        <v>0</v>
      </c>
      <c r="DY111" s="56">
        <v>0</v>
      </c>
      <c r="DZ111" s="56">
        <v>0</v>
      </c>
      <c r="EA111" s="56">
        <v>0</v>
      </c>
      <c r="EB111" s="56">
        <v>0</v>
      </c>
      <c r="EC111" s="56">
        <v>0</v>
      </c>
      <c r="ED111" s="56">
        <v>0</v>
      </c>
      <c r="EE111" s="56">
        <v>0</v>
      </c>
      <c r="EF111" s="56">
        <v>0</v>
      </c>
      <c r="EG111" s="56">
        <v>0</v>
      </c>
      <c r="EH111" s="56">
        <v>135.58000000000001</v>
      </c>
      <c r="EI111" s="56">
        <v>0</v>
      </c>
      <c r="EJ111" s="56">
        <v>0</v>
      </c>
      <c r="EK111" s="56">
        <v>0</v>
      </c>
      <c r="EL111" s="56">
        <v>0</v>
      </c>
      <c r="EM111" s="56">
        <v>0</v>
      </c>
      <c r="EN111" s="56">
        <v>0</v>
      </c>
      <c r="EO111" s="56">
        <v>0</v>
      </c>
      <c r="EP111" s="56">
        <v>0</v>
      </c>
      <c r="EQ111" s="56">
        <v>0</v>
      </c>
      <c r="ER111" s="56">
        <v>0</v>
      </c>
      <c r="ES111" s="56">
        <v>0</v>
      </c>
      <c r="ET111" s="56">
        <v>0</v>
      </c>
      <c r="EU111" s="56">
        <v>0</v>
      </c>
      <c r="EV111" s="56">
        <v>0</v>
      </c>
      <c r="EW111" s="56">
        <v>0</v>
      </c>
      <c r="EX111" s="56">
        <v>0</v>
      </c>
      <c r="EY111" s="56">
        <v>0</v>
      </c>
      <c r="EZ111" s="56">
        <v>0</v>
      </c>
      <c r="FA111" s="56">
        <v>0</v>
      </c>
      <c r="FB111" s="56">
        <v>0</v>
      </c>
      <c r="FC111" s="58">
        <v>0</v>
      </c>
      <c r="FD111" s="56">
        <v>0</v>
      </c>
      <c r="FE111" s="56">
        <v>0</v>
      </c>
      <c r="FF111" s="56">
        <v>0</v>
      </c>
      <c r="FG111" s="56">
        <v>0</v>
      </c>
      <c r="FH111" s="56">
        <v>0</v>
      </c>
      <c r="FI111" s="56">
        <v>0</v>
      </c>
      <c r="FJ111" s="56">
        <v>0</v>
      </c>
      <c r="FK111" s="56">
        <v>0</v>
      </c>
      <c r="FL111" s="56">
        <v>0</v>
      </c>
      <c r="FM111" s="56">
        <v>0</v>
      </c>
      <c r="FN111" s="56">
        <v>0</v>
      </c>
      <c r="FO111" s="56">
        <v>0</v>
      </c>
      <c r="FP111" s="56">
        <v>0</v>
      </c>
      <c r="FQ111" s="56">
        <v>0</v>
      </c>
      <c r="FR111" s="56">
        <v>0</v>
      </c>
      <c r="FS111" s="58">
        <v>0</v>
      </c>
      <c r="FT111" s="56">
        <v>0</v>
      </c>
      <c r="FU111" s="56">
        <v>0</v>
      </c>
      <c r="FV111" s="56">
        <v>0</v>
      </c>
      <c r="FW111" s="56">
        <v>0</v>
      </c>
      <c r="FX111" s="56">
        <v>0</v>
      </c>
      <c r="FY111" s="56">
        <v>0</v>
      </c>
      <c r="FZ111" s="54" t="s">
        <v>1070</v>
      </c>
      <c r="GA111" s="54" t="s">
        <v>1071</v>
      </c>
      <c r="GB111" s="54" t="s">
        <v>1072</v>
      </c>
      <c r="GC111" s="54" t="s">
        <v>1073</v>
      </c>
      <c r="GD111" s="54" t="s">
        <v>1238</v>
      </c>
      <c r="GE111" s="54" t="s">
        <v>1201</v>
      </c>
      <c r="GF111" s="54"/>
      <c r="GG111" s="55"/>
      <c r="GH111" s="54"/>
      <c r="GI111" s="54"/>
      <c r="GJ111" s="54" t="s">
        <v>1076</v>
      </c>
      <c r="GK111" s="54" t="s">
        <v>1077</v>
      </c>
      <c r="GL111" s="54"/>
      <c r="GM111" s="54"/>
      <c r="GN111" s="54" t="s">
        <v>1208</v>
      </c>
      <c r="GO111" s="54" t="s">
        <v>1209</v>
      </c>
      <c r="GP111" s="54"/>
      <c r="GQ111" s="56">
        <v>0</v>
      </c>
      <c r="GR111" s="54" t="s">
        <v>1210</v>
      </c>
      <c r="GS111" s="54"/>
    </row>
    <row r="112" spans="1:201" x14ac:dyDescent="0.25">
      <c r="A112" s="54" t="s">
        <v>1032</v>
      </c>
      <c r="B112" s="54" t="s">
        <v>1033</v>
      </c>
      <c r="C112" s="54" t="s">
        <v>1197</v>
      </c>
      <c r="D112" s="54" t="s">
        <v>1035</v>
      </c>
      <c r="E112" s="54" t="s">
        <v>1036</v>
      </c>
      <c r="F112" s="55">
        <v>46175</v>
      </c>
      <c r="G112" s="55">
        <v>46175</v>
      </c>
      <c r="H112" s="54" t="s">
        <v>1037</v>
      </c>
      <c r="I112" s="54" t="s">
        <v>1038</v>
      </c>
      <c r="J112" s="54" t="s">
        <v>1039</v>
      </c>
      <c r="K112" s="55"/>
      <c r="L112" s="54" t="s">
        <v>1040</v>
      </c>
      <c r="M112" s="54"/>
      <c r="N112" s="54" t="s">
        <v>1198</v>
      </c>
      <c r="O112" s="54" t="s">
        <v>1163</v>
      </c>
      <c r="P112" s="54" t="s">
        <v>307</v>
      </c>
      <c r="Q112" s="54" t="s">
        <v>159</v>
      </c>
      <c r="R112" s="54" t="s">
        <v>1043</v>
      </c>
      <c r="S112" s="56">
        <v>594</v>
      </c>
      <c r="T112" s="56">
        <v>594</v>
      </c>
      <c r="U112" s="56">
        <v>0</v>
      </c>
      <c r="V112" s="56">
        <v>0</v>
      </c>
      <c r="W112" s="56">
        <v>0</v>
      </c>
      <c r="X112" s="56">
        <v>0</v>
      </c>
      <c r="Y112" s="56">
        <v>0</v>
      </c>
      <c r="Z112" s="56">
        <v>100</v>
      </c>
      <c r="AA112" s="56">
        <v>100</v>
      </c>
      <c r="AB112" s="59">
        <v>0</v>
      </c>
      <c r="AC112" s="56">
        <v>0</v>
      </c>
      <c r="AD112" s="56">
        <v>0</v>
      </c>
      <c r="AE112" s="56">
        <v>0</v>
      </c>
      <c r="AF112" s="54" t="s">
        <v>1199</v>
      </c>
      <c r="AG112" s="57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 t="s">
        <v>1045</v>
      </c>
      <c r="AS112" s="54" t="s">
        <v>1046</v>
      </c>
      <c r="AT112" s="54" t="s">
        <v>1047</v>
      </c>
      <c r="AU112" s="54" t="s">
        <v>1048</v>
      </c>
      <c r="AV112" s="54"/>
      <c r="AW112" s="55">
        <v>46189</v>
      </c>
      <c r="AX112" s="55">
        <v>46175</v>
      </c>
      <c r="AY112" s="55">
        <v>46175</v>
      </c>
      <c r="AZ112" s="55"/>
      <c r="BA112" s="55">
        <v>46189</v>
      </c>
      <c r="BB112" s="56">
        <v>0</v>
      </c>
      <c r="BC112" s="56">
        <v>0</v>
      </c>
      <c r="BD112" s="56">
        <v>0</v>
      </c>
      <c r="BE112" s="56">
        <v>0</v>
      </c>
      <c r="BF112" s="56">
        <v>0</v>
      </c>
      <c r="BG112" s="56">
        <v>0</v>
      </c>
      <c r="BH112" s="56">
        <v>0</v>
      </c>
      <c r="BI112" s="56">
        <v>0</v>
      </c>
      <c r="BJ112" s="56">
        <v>0</v>
      </c>
      <c r="BK112" s="56">
        <v>0</v>
      </c>
      <c r="BL112" s="56">
        <v>0</v>
      </c>
      <c r="BM112" s="56">
        <v>0</v>
      </c>
      <c r="BN112" s="56">
        <v>0</v>
      </c>
      <c r="BO112" s="56">
        <v>0</v>
      </c>
      <c r="BP112" s="54" t="s">
        <v>1049</v>
      </c>
      <c r="BQ112" s="54" t="s">
        <v>1050</v>
      </c>
      <c r="BR112" s="54" t="s">
        <v>1049</v>
      </c>
      <c r="BS112" s="54" t="s">
        <v>1050</v>
      </c>
      <c r="BT112" s="54" t="s">
        <v>1051</v>
      </c>
      <c r="BU112" s="54" t="s">
        <v>1043</v>
      </c>
      <c r="BV112" s="58">
        <v>100</v>
      </c>
      <c r="BW112" s="54" t="s">
        <v>1052</v>
      </c>
      <c r="BX112" s="54" t="s">
        <v>1053</v>
      </c>
      <c r="BY112" s="54" t="s">
        <v>1054</v>
      </c>
      <c r="BZ112" s="54" t="s">
        <v>1055</v>
      </c>
      <c r="CA112" s="55"/>
      <c r="CB112" s="54" t="s">
        <v>1056</v>
      </c>
      <c r="CC112" s="54" t="s">
        <v>1057</v>
      </c>
      <c r="CD112" s="54" t="s">
        <v>1200</v>
      </c>
      <c r="CE112" s="54" t="s">
        <v>1201</v>
      </c>
      <c r="CF112" s="54" t="s">
        <v>1202</v>
      </c>
      <c r="CG112" s="54" t="s">
        <v>1203</v>
      </c>
      <c r="CH112" s="54" t="s">
        <v>1204</v>
      </c>
      <c r="CI112" s="54" t="s">
        <v>1203</v>
      </c>
      <c r="CJ112" s="54" t="s">
        <v>1064</v>
      </c>
      <c r="CK112" s="54" t="s">
        <v>1065</v>
      </c>
      <c r="CL112" s="54" t="s">
        <v>1205</v>
      </c>
      <c r="CM112" s="54" t="s">
        <v>1206</v>
      </c>
      <c r="CN112" s="54" t="s">
        <v>1068</v>
      </c>
      <c r="CO112" s="54" t="s">
        <v>1069</v>
      </c>
      <c r="CP112" s="56">
        <v>0</v>
      </c>
      <c r="CQ112" s="56">
        <v>0</v>
      </c>
      <c r="CR112" s="56">
        <v>0</v>
      </c>
      <c r="CS112" s="56">
        <v>0</v>
      </c>
      <c r="CT112" s="56">
        <v>0</v>
      </c>
      <c r="CU112" s="56">
        <v>0</v>
      </c>
      <c r="CV112" s="56">
        <v>0</v>
      </c>
      <c r="CW112" s="56">
        <v>0</v>
      </c>
      <c r="CX112" s="56">
        <v>0</v>
      </c>
      <c r="CY112" s="56">
        <v>0</v>
      </c>
      <c r="CZ112" s="56">
        <v>0</v>
      </c>
      <c r="DA112" s="56">
        <v>0</v>
      </c>
      <c r="DB112" s="56">
        <v>0</v>
      </c>
      <c r="DC112" s="56">
        <v>0</v>
      </c>
      <c r="DD112" s="56">
        <v>0</v>
      </c>
      <c r="DE112" s="56">
        <v>0</v>
      </c>
      <c r="DF112" s="56">
        <v>0</v>
      </c>
      <c r="DG112" s="56">
        <v>0</v>
      </c>
      <c r="DH112" s="56">
        <v>0</v>
      </c>
      <c r="DI112" s="56">
        <v>0</v>
      </c>
      <c r="DJ112" s="56">
        <v>0</v>
      </c>
      <c r="DK112" s="56">
        <v>0</v>
      </c>
      <c r="DL112" s="56">
        <v>0</v>
      </c>
      <c r="DM112" s="56">
        <v>0</v>
      </c>
      <c r="DN112" s="56">
        <v>0</v>
      </c>
      <c r="DO112" s="56">
        <v>0</v>
      </c>
      <c r="DP112" s="56">
        <v>0</v>
      </c>
      <c r="DQ112" s="56">
        <v>0</v>
      </c>
      <c r="DR112" s="56">
        <v>0</v>
      </c>
      <c r="DS112" s="56">
        <v>0</v>
      </c>
      <c r="DT112" s="56">
        <v>0</v>
      </c>
      <c r="DU112" s="56">
        <v>0</v>
      </c>
      <c r="DV112" s="56">
        <v>0</v>
      </c>
      <c r="DW112" s="56">
        <v>0</v>
      </c>
      <c r="DX112" s="56">
        <v>0</v>
      </c>
      <c r="DY112" s="56">
        <v>0</v>
      </c>
      <c r="DZ112" s="56">
        <v>0</v>
      </c>
      <c r="EA112" s="56">
        <v>0</v>
      </c>
      <c r="EB112" s="56">
        <v>0</v>
      </c>
      <c r="EC112" s="56">
        <v>0</v>
      </c>
      <c r="ED112" s="56">
        <v>0</v>
      </c>
      <c r="EE112" s="56">
        <v>0</v>
      </c>
      <c r="EF112" s="56">
        <v>0</v>
      </c>
      <c r="EG112" s="56">
        <v>0</v>
      </c>
      <c r="EH112" s="56">
        <v>71.28</v>
      </c>
      <c r="EI112" s="56">
        <v>0</v>
      </c>
      <c r="EJ112" s="56">
        <v>0</v>
      </c>
      <c r="EK112" s="56">
        <v>0</v>
      </c>
      <c r="EL112" s="56">
        <v>0</v>
      </c>
      <c r="EM112" s="56">
        <v>0</v>
      </c>
      <c r="EN112" s="56">
        <v>0</v>
      </c>
      <c r="EO112" s="56">
        <v>0</v>
      </c>
      <c r="EP112" s="56">
        <v>0</v>
      </c>
      <c r="EQ112" s="56">
        <v>0</v>
      </c>
      <c r="ER112" s="56">
        <v>0</v>
      </c>
      <c r="ES112" s="56">
        <v>0</v>
      </c>
      <c r="ET112" s="56">
        <v>0</v>
      </c>
      <c r="EU112" s="56">
        <v>0</v>
      </c>
      <c r="EV112" s="56">
        <v>0</v>
      </c>
      <c r="EW112" s="56">
        <v>0</v>
      </c>
      <c r="EX112" s="56">
        <v>0</v>
      </c>
      <c r="EY112" s="56">
        <v>0</v>
      </c>
      <c r="EZ112" s="56">
        <v>0</v>
      </c>
      <c r="FA112" s="56">
        <v>0</v>
      </c>
      <c r="FB112" s="56">
        <v>0</v>
      </c>
      <c r="FC112" s="58">
        <v>0</v>
      </c>
      <c r="FD112" s="56">
        <v>0</v>
      </c>
      <c r="FE112" s="56">
        <v>0</v>
      </c>
      <c r="FF112" s="56">
        <v>0</v>
      </c>
      <c r="FG112" s="56">
        <v>0</v>
      </c>
      <c r="FH112" s="56">
        <v>0</v>
      </c>
      <c r="FI112" s="56">
        <v>0</v>
      </c>
      <c r="FJ112" s="56">
        <v>0</v>
      </c>
      <c r="FK112" s="56">
        <v>0</v>
      </c>
      <c r="FL112" s="56">
        <v>0</v>
      </c>
      <c r="FM112" s="56">
        <v>0</v>
      </c>
      <c r="FN112" s="56">
        <v>0</v>
      </c>
      <c r="FO112" s="56">
        <v>0</v>
      </c>
      <c r="FP112" s="56">
        <v>0</v>
      </c>
      <c r="FQ112" s="56">
        <v>0</v>
      </c>
      <c r="FR112" s="56">
        <v>0</v>
      </c>
      <c r="FS112" s="58">
        <v>0</v>
      </c>
      <c r="FT112" s="56">
        <v>0</v>
      </c>
      <c r="FU112" s="56">
        <v>0</v>
      </c>
      <c r="FV112" s="56">
        <v>0</v>
      </c>
      <c r="FW112" s="56">
        <v>0</v>
      </c>
      <c r="FX112" s="56">
        <v>0</v>
      </c>
      <c r="FY112" s="56">
        <v>0</v>
      </c>
      <c r="FZ112" s="54" t="s">
        <v>1083</v>
      </c>
      <c r="GA112" s="54" t="s">
        <v>1084</v>
      </c>
      <c r="GB112" s="54" t="s">
        <v>1072</v>
      </c>
      <c r="GC112" s="54" t="s">
        <v>1073</v>
      </c>
      <c r="GD112" s="54" t="s">
        <v>1239</v>
      </c>
      <c r="GE112" s="54" t="s">
        <v>1201</v>
      </c>
      <c r="GF112" s="54"/>
      <c r="GG112" s="55"/>
      <c r="GH112" s="54"/>
      <c r="GI112" s="54"/>
      <c r="GJ112" s="54" t="s">
        <v>1076</v>
      </c>
      <c r="GK112" s="54" t="s">
        <v>1077</v>
      </c>
      <c r="GL112" s="54"/>
      <c r="GM112" s="54"/>
      <c r="GN112" s="54" t="s">
        <v>1208</v>
      </c>
      <c r="GO112" s="54" t="s">
        <v>1209</v>
      </c>
      <c r="GP112" s="54"/>
      <c r="GQ112" s="56">
        <v>0</v>
      </c>
      <c r="GR112" s="54" t="s">
        <v>1210</v>
      </c>
      <c r="GS112" s="54"/>
    </row>
    <row r="113" spans="1:201" x14ac:dyDescent="0.25">
      <c r="A113" s="54" t="s">
        <v>1032</v>
      </c>
      <c r="B113" s="54" t="s">
        <v>1033</v>
      </c>
      <c r="C113" s="54" t="s">
        <v>1197</v>
      </c>
      <c r="D113" s="54" t="s">
        <v>1035</v>
      </c>
      <c r="E113" s="54" t="s">
        <v>1036</v>
      </c>
      <c r="F113" s="55">
        <v>46175</v>
      </c>
      <c r="G113" s="55">
        <v>46175</v>
      </c>
      <c r="H113" s="54" t="s">
        <v>1037</v>
      </c>
      <c r="I113" s="54" t="s">
        <v>1038</v>
      </c>
      <c r="J113" s="54" t="s">
        <v>1039</v>
      </c>
      <c r="K113" s="55"/>
      <c r="L113" s="54" t="s">
        <v>1040</v>
      </c>
      <c r="M113" s="54"/>
      <c r="N113" s="54" t="s">
        <v>1198</v>
      </c>
      <c r="O113" s="54" t="s">
        <v>1165</v>
      </c>
      <c r="P113" s="54" t="s">
        <v>309</v>
      </c>
      <c r="Q113" s="54" t="s">
        <v>161</v>
      </c>
      <c r="R113" s="54" t="s">
        <v>1043</v>
      </c>
      <c r="S113" s="56">
        <v>1383</v>
      </c>
      <c r="T113" s="56">
        <v>1383</v>
      </c>
      <c r="U113" s="56">
        <v>0</v>
      </c>
      <c r="V113" s="56">
        <v>0</v>
      </c>
      <c r="W113" s="56">
        <v>0</v>
      </c>
      <c r="X113" s="56">
        <v>0</v>
      </c>
      <c r="Y113" s="56">
        <v>0</v>
      </c>
      <c r="Z113" s="56">
        <v>60</v>
      </c>
      <c r="AA113" s="56">
        <v>60</v>
      </c>
      <c r="AB113" s="59">
        <v>0</v>
      </c>
      <c r="AC113" s="56">
        <v>0</v>
      </c>
      <c r="AD113" s="56">
        <v>0</v>
      </c>
      <c r="AE113" s="56">
        <v>0</v>
      </c>
      <c r="AF113" s="54" t="s">
        <v>1199</v>
      </c>
      <c r="AG113" s="57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 t="s">
        <v>1045</v>
      </c>
      <c r="AS113" s="54" t="s">
        <v>1046</v>
      </c>
      <c r="AT113" s="54" t="s">
        <v>1047</v>
      </c>
      <c r="AU113" s="54" t="s">
        <v>1048</v>
      </c>
      <c r="AV113" s="54"/>
      <c r="AW113" s="55">
        <v>46189</v>
      </c>
      <c r="AX113" s="55">
        <v>46175</v>
      </c>
      <c r="AY113" s="55">
        <v>46175</v>
      </c>
      <c r="AZ113" s="55">
        <v>46176</v>
      </c>
      <c r="BA113" s="55">
        <v>46189</v>
      </c>
      <c r="BB113" s="56">
        <v>0</v>
      </c>
      <c r="BC113" s="56">
        <v>0</v>
      </c>
      <c r="BD113" s="56">
        <v>0</v>
      </c>
      <c r="BE113" s="56">
        <v>0</v>
      </c>
      <c r="BF113" s="56">
        <v>0</v>
      </c>
      <c r="BG113" s="56">
        <v>0</v>
      </c>
      <c r="BH113" s="56">
        <v>0</v>
      </c>
      <c r="BI113" s="56">
        <v>0</v>
      </c>
      <c r="BJ113" s="56">
        <v>0</v>
      </c>
      <c r="BK113" s="56">
        <v>0</v>
      </c>
      <c r="BL113" s="56">
        <v>0</v>
      </c>
      <c r="BM113" s="56">
        <v>0</v>
      </c>
      <c r="BN113" s="56">
        <v>0</v>
      </c>
      <c r="BO113" s="56">
        <v>0</v>
      </c>
      <c r="BP113" s="54" t="s">
        <v>1049</v>
      </c>
      <c r="BQ113" s="54" t="s">
        <v>1050</v>
      </c>
      <c r="BR113" s="54" t="s">
        <v>1049</v>
      </c>
      <c r="BS113" s="54" t="s">
        <v>1050</v>
      </c>
      <c r="BT113" s="54" t="s">
        <v>1051</v>
      </c>
      <c r="BU113" s="54" t="s">
        <v>1043</v>
      </c>
      <c r="BV113" s="58">
        <v>60</v>
      </c>
      <c r="BW113" s="54" t="s">
        <v>1052</v>
      </c>
      <c r="BX113" s="54" t="s">
        <v>1053</v>
      </c>
      <c r="BY113" s="54" t="s">
        <v>1054</v>
      </c>
      <c r="BZ113" s="54" t="s">
        <v>1055</v>
      </c>
      <c r="CA113" s="55"/>
      <c r="CB113" s="54" t="s">
        <v>1056</v>
      </c>
      <c r="CC113" s="54" t="s">
        <v>1057</v>
      </c>
      <c r="CD113" s="54" t="s">
        <v>1200</v>
      </c>
      <c r="CE113" s="54" t="s">
        <v>1201</v>
      </c>
      <c r="CF113" s="54" t="s">
        <v>1202</v>
      </c>
      <c r="CG113" s="54" t="s">
        <v>1203</v>
      </c>
      <c r="CH113" s="54" t="s">
        <v>1204</v>
      </c>
      <c r="CI113" s="54" t="s">
        <v>1203</v>
      </c>
      <c r="CJ113" s="54" t="s">
        <v>1064</v>
      </c>
      <c r="CK113" s="54" t="s">
        <v>1065</v>
      </c>
      <c r="CL113" s="54" t="s">
        <v>1205</v>
      </c>
      <c r="CM113" s="54" t="s">
        <v>1206</v>
      </c>
      <c r="CN113" s="54" t="s">
        <v>1068</v>
      </c>
      <c r="CO113" s="54" t="s">
        <v>1069</v>
      </c>
      <c r="CP113" s="56">
        <v>0</v>
      </c>
      <c r="CQ113" s="56">
        <v>0</v>
      </c>
      <c r="CR113" s="56">
        <v>0</v>
      </c>
      <c r="CS113" s="56">
        <v>0</v>
      </c>
      <c r="CT113" s="56">
        <v>0</v>
      </c>
      <c r="CU113" s="56">
        <v>0</v>
      </c>
      <c r="CV113" s="56">
        <v>0</v>
      </c>
      <c r="CW113" s="56">
        <v>0</v>
      </c>
      <c r="CX113" s="56">
        <v>0</v>
      </c>
      <c r="CY113" s="56">
        <v>0</v>
      </c>
      <c r="CZ113" s="56">
        <v>0</v>
      </c>
      <c r="DA113" s="56">
        <v>0</v>
      </c>
      <c r="DB113" s="56">
        <v>0</v>
      </c>
      <c r="DC113" s="56">
        <v>0</v>
      </c>
      <c r="DD113" s="56">
        <v>0</v>
      </c>
      <c r="DE113" s="56">
        <v>0</v>
      </c>
      <c r="DF113" s="56">
        <v>0</v>
      </c>
      <c r="DG113" s="56">
        <v>0</v>
      </c>
      <c r="DH113" s="56">
        <v>0</v>
      </c>
      <c r="DI113" s="56">
        <v>0</v>
      </c>
      <c r="DJ113" s="56">
        <v>0</v>
      </c>
      <c r="DK113" s="56">
        <v>0</v>
      </c>
      <c r="DL113" s="56">
        <v>0</v>
      </c>
      <c r="DM113" s="56">
        <v>0</v>
      </c>
      <c r="DN113" s="56">
        <v>0</v>
      </c>
      <c r="DO113" s="56">
        <v>0</v>
      </c>
      <c r="DP113" s="56">
        <v>0</v>
      </c>
      <c r="DQ113" s="56">
        <v>0</v>
      </c>
      <c r="DR113" s="56">
        <v>0</v>
      </c>
      <c r="DS113" s="56">
        <v>0</v>
      </c>
      <c r="DT113" s="56">
        <v>0</v>
      </c>
      <c r="DU113" s="56">
        <v>0</v>
      </c>
      <c r="DV113" s="56">
        <v>0</v>
      </c>
      <c r="DW113" s="56">
        <v>0</v>
      </c>
      <c r="DX113" s="56">
        <v>0</v>
      </c>
      <c r="DY113" s="56">
        <v>0</v>
      </c>
      <c r="DZ113" s="56">
        <v>0</v>
      </c>
      <c r="EA113" s="56">
        <v>0</v>
      </c>
      <c r="EB113" s="56">
        <v>0</v>
      </c>
      <c r="EC113" s="56">
        <v>0</v>
      </c>
      <c r="ED113" s="56">
        <v>0</v>
      </c>
      <c r="EE113" s="56">
        <v>0</v>
      </c>
      <c r="EF113" s="56">
        <v>0</v>
      </c>
      <c r="EG113" s="56">
        <v>0</v>
      </c>
      <c r="EH113" s="56">
        <v>165.96</v>
      </c>
      <c r="EI113" s="56">
        <v>0</v>
      </c>
      <c r="EJ113" s="56">
        <v>0</v>
      </c>
      <c r="EK113" s="56">
        <v>0</v>
      </c>
      <c r="EL113" s="56">
        <v>0</v>
      </c>
      <c r="EM113" s="56">
        <v>0</v>
      </c>
      <c r="EN113" s="56">
        <v>0</v>
      </c>
      <c r="EO113" s="56">
        <v>0</v>
      </c>
      <c r="EP113" s="56">
        <v>0</v>
      </c>
      <c r="EQ113" s="56">
        <v>0</v>
      </c>
      <c r="ER113" s="56">
        <v>0</v>
      </c>
      <c r="ES113" s="56">
        <v>0</v>
      </c>
      <c r="ET113" s="56">
        <v>0</v>
      </c>
      <c r="EU113" s="56">
        <v>0</v>
      </c>
      <c r="EV113" s="56">
        <v>0</v>
      </c>
      <c r="EW113" s="56">
        <v>0</v>
      </c>
      <c r="EX113" s="56">
        <v>0</v>
      </c>
      <c r="EY113" s="56">
        <v>0</v>
      </c>
      <c r="EZ113" s="56">
        <v>0</v>
      </c>
      <c r="FA113" s="56">
        <v>0</v>
      </c>
      <c r="FB113" s="56">
        <v>0</v>
      </c>
      <c r="FC113" s="58">
        <v>0</v>
      </c>
      <c r="FD113" s="56">
        <v>0</v>
      </c>
      <c r="FE113" s="56">
        <v>0</v>
      </c>
      <c r="FF113" s="56">
        <v>0</v>
      </c>
      <c r="FG113" s="56">
        <v>0</v>
      </c>
      <c r="FH113" s="56">
        <v>0</v>
      </c>
      <c r="FI113" s="56">
        <v>0</v>
      </c>
      <c r="FJ113" s="56">
        <v>0</v>
      </c>
      <c r="FK113" s="56">
        <v>0</v>
      </c>
      <c r="FL113" s="56">
        <v>0</v>
      </c>
      <c r="FM113" s="56">
        <v>0</v>
      </c>
      <c r="FN113" s="56">
        <v>0</v>
      </c>
      <c r="FO113" s="56">
        <v>0</v>
      </c>
      <c r="FP113" s="56">
        <v>0</v>
      </c>
      <c r="FQ113" s="56">
        <v>0</v>
      </c>
      <c r="FR113" s="56">
        <v>0</v>
      </c>
      <c r="FS113" s="58">
        <v>0</v>
      </c>
      <c r="FT113" s="56">
        <v>0</v>
      </c>
      <c r="FU113" s="56">
        <v>0</v>
      </c>
      <c r="FV113" s="56">
        <v>0</v>
      </c>
      <c r="FW113" s="56">
        <v>0</v>
      </c>
      <c r="FX113" s="56">
        <v>0</v>
      </c>
      <c r="FY113" s="56">
        <v>0</v>
      </c>
      <c r="FZ113" s="54" t="s">
        <v>1070</v>
      </c>
      <c r="GA113" s="54" t="s">
        <v>1071</v>
      </c>
      <c r="GB113" s="54" t="s">
        <v>1072</v>
      </c>
      <c r="GC113" s="54" t="s">
        <v>1073</v>
      </c>
      <c r="GD113" s="54" t="s">
        <v>1240</v>
      </c>
      <c r="GE113" s="54" t="s">
        <v>1201</v>
      </c>
      <c r="GF113" s="54"/>
      <c r="GG113" s="55"/>
      <c r="GH113" s="54"/>
      <c r="GI113" s="54"/>
      <c r="GJ113" s="54" t="s">
        <v>1076</v>
      </c>
      <c r="GK113" s="54" t="s">
        <v>1077</v>
      </c>
      <c r="GL113" s="54"/>
      <c r="GM113" s="54"/>
      <c r="GN113" s="54" t="s">
        <v>1208</v>
      </c>
      <c r="GO113" s="54" t="s">
        <v>1209</v>
      </c>
      <c r="GP113" s="54"/>
      <c r="GQ113" s="56">
        <v>0</v>
      </c>
      <c r="GR113" s="54" t="s">
        <v>1210</v>
      </c>
      <c r="GS113" s="54"/>
    </row>
    <row r="114" spans="1:201" x14ac:dyDescent="0.25">
      <c r="A114" s="54" t="s">
        <v>1032</v>
      </c>
      <c r="B114" s="54" t="s">
        <v>1033</v>
      </c>
      <c r="C114" s="54" t="s">
        <v>1197</v>
      </c>
      <c r="D114" s="54" t="s">
        <v>1035</v>
      </c>
      <c r="E114" s="54" t="s">
        <v>1036</v>
      </c>
      <c r="F114" s="55">
        <v>46175</v>
      </c>
      <c r="G114" s="55">
        <v>46175</v>
      </c>
      <c r="H114" s="54" t="s">
        <v>1037</v>
      </c>
      <c r="I114" s="54" t="s">
        <v>1038</v>
      </c>
      <c r="J114" s="54" t="s">
        <v>1039</v>
      </c>
      <c r="K114" s="55"/>
      <c r="L114" s="54" t="s">
        <v>1040</v>
      </c>
      <c r="M114" s="54"/>
      <c r="N114" s="54" t="s">
        <v>1198</v>
      </c>
      <c r="O114" s="54" t="s">
        <v>1167</v>
      </c>
      <c r="P114" s="54" t="s">
        <v>310</v>
      </c>
      <c r="Q114" s="54" t="s">
        <v>162</v>
      </c>
      <c r="R114" s="54" t="s">
        <v>1043</v>
      </c>
      <c r="S114" s="56">
        <v>1902.6</v>
      </c>
      <c r="T114" s="56">
        <v>1902.6</v>
      </c>
      <c r="U114" s="56">
        <v>0</v>
      </c>
      <c r="V114" s="56">
        <v>0</v>
      </c>
      <c r="W114" s="56">
        <v>0</v>
      </c>
      <c r="X114" s="56">
        <v>0</v>
      </c>
      <c r="Y114" s="56">
        <v>0</v>
      </c>
      <c r="Z114" s="56">
        <v>60</v>
      </c>
      <c r="AA114" s="56">
        <v>60</v>
      </c>
      <c r="AB114" s="59">
        <v>0</v>
      </c>
      <c r="AC114" s="56">
        <v>0</v>
      </c>
      <c r="AD114" s="56">
        <v>0</v>
      </c>
      <c r="AE114" s="56">
        <v>0</v>
      </c>
      <c r="AF114" s="54" t="s">
        <v>1199</v>
      </c>
      <c r="AG114" s="57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 t="s">
        <v>1045</v>
      </c>
      <c r="AS114" s="54" t="s">
        <v>1046</v>
      </c>
      <c r="AT114" s="54" t="s">
        <v>1047</v>
      </c>
      <c r="AU114" s="54" t="s">
        <v>1048</v>
      </c>
      <c r="AV114" s="54"/>
      <c r="AW114" s="55">
        <v>46189</v>
      </c>
      <c r="AX114" s="55">
        <v>46175</v>
      </c>
      <c r="AY114" s="55">
        <v>46175</v>
      </c>
      <c r="AZ114" s="55">
        <v>46176</v>
      </c>
      <c r="BA114" s="55">
        <v>46189</v>
      </c>
      <c r="BB114" s="56">
        <v>0</v>
      </c>
      <c r="BC114" s="56">
        <v>0</v>
      </c>
      <c r="BD114" s="56">
        <v>0</v>
      </c>
      <c r="BE114" s="56">
        <v>0</v>
      </c>
      <c r="BF114" s="56">
        <v>0</v>
      </c>
      <c r="BG114" s="56">
        <v>0</v>
      </c>
      <c r="BH114" s="56">
        <v>0</v>
      </c>
      <c r="BI114" s="56">
        <v>0</v>
      </c>
      <c r="BJ114" s="56">
        <v>0</v>
      </c>
      <c r="BK114" s="56">
        <v>0</v>
      </c>
      <c r="BL114" s="56">
        <v>0</v>
      </c>
      <c r="BM114" s="56">
        <v>0</v>
      </c>
      <c r="BN114" s="56">
        <v>0</v>
      </c>
      <c r="BO114" s="56">
        <v>0</v>
      </c>
      <c r="BP114" s="54" t="s">
        <v>1049</v>
      </c>
      <c r="BQ114" s="54" t="s">
        <v>1050</v>
      </c>
      <c r="BR114" s="54" t="s">
        <v>1049</v>
      </c>
      <c r="BS114" s="54" t="s">
        <v>1050</v>
      </c>
      <c r="BT114" s="54" t="s">
        <v>1051</v>
      </c>
      <c r="BU114" s="54" t="s">
        <v>1043</v>
      </c>
      <c r="BV114" s="58">
        <v>60</v>
      </c>
      <c r="BW114" s="54" t="s">
        <v>1052</v>
      </c>
      <c r="BX114" s="54" t="s">
        <v>1053</v>
      </c>
      <c r="BY114" s="54" t="s">
        <v>1054</v>
      </c>
      <c r="BZ114" s="54" t="s">
        <v>1055</v>
      </c>
      <c r="CA114" s="55"/>
      <c r="CB114" s="54" t="s">
        <v>1056</v>
      </c>
      <c r="CC114" s="54" t="s">
        <v>1057</v>
      </c>
      <c r="CD114" s="54" t="s">
        <v>1200</v>
      </c>
      <c r="CE114" s="54" t="s">
        <v>1201</v>
      </c>
      <c r="CF114" s="54" t="s">
        <v>1202</v>
      </c>
      <c r="CG114" s="54" t="s">
        <v>1203</v>
      </c>
      <c r="CH114" s="54" t="s">
        <v>1204</v>
      </c>
      <c r="CI114" s="54" t="s">
        <v>1203</v>
      </c>
      <c r="CJ114" s="54" t="s">
        <v>1064</v>
      </c>
      <c r="CK114" s="54" t="s">
        <v>1065</v>
      </c>
      <c r="CL114" s="54" t="s">
        <v>1205</v>
      </c>
      <c r="CM114" s="54" t="s">
        <v>1206</v>
      </c>
      <c r="CN114" s="54" t="s">
        <v>1068</v>
      </c>
      <c r="CO114" s="54" t="s">
        <v>1069</v>
      </c>
      <c r="CP114" s="56">
        <v>0</v>
      </c>
      <c r="CQ114" s="56">
        <v>0</v>
      </c>
      <c r="CR114" s="56">
        <v>0</v>
      </c>
      <c r="CS114" s="56">
        <v>0</v>
      </c>
      <c r="CT114" s="56">
        <v>0</v>
      </c>
      <c r="CU114" s="56">
        <v>0</v>
      </c>
      <c r="CV114" s="56">
        <v>0</v>
      </c>
      <c r="CW114" s="56">
        <v>0</v>
      </c>
      <c r="CX114" s="56">
        <v>0</v>
      </c>
      <c r="CY114" s="56">
        <v>0</v>
      </c>
      <c r="CZ114" s="56">
        <v>0</v>
      </c>
      <c r="DA114" s="56">
        <v>0</v>
      </c>
      <c r="DB114" s="56">
        <v>0</v>
      </c>
      <c r="DC114" s="56">
        <v>0</v>
      </c>
      <c r="DD114" s="56">
        <v>0</v>
      </c>
      <c r="DE114" s="56">
        <v>0</v>
      </c>
      <c r="DF114" s="56">
        <v>0</v>
      </c>
      <c r="DG114" s="56">
        <v>0</v>
      </c>
      <c r="DH114" s="56">
        <v>0</v>
      </c>
      <c r="DI114" s="56">
        <v>0</v>
      </c>
      <c r="DJ114" s="56">
        <v>0</v>
      </c>
      <c r="DK114" s="56">
        <v>0</v>
      </c>
      <c r="DL114" s="56">
        <v>0</v>
      </c>
      <c r="DM114" s="56">
        <v>0</v>
      </c>
      <c r="DN114" s="56">
        <v>0</v>
      </c>
      <c r="DO114" s="56">
        <v>0</v>
      </c>
      <c r="DP114" s="56">
        <v>0</v>
      </c>
      <c r="DQ114" s="56">
        <v>0</v>
      </c>
      <c r="DR114" s="56">
        <v>0</v>
      </c>
      <c r="DS114" s="56">
        <v>0</v>
      </c>
      <c r="DT114" s="56">
        <v>0</v>
      </c>
      <c r="DU114" s="56">
        <v>0</v>
      </c>
      <c r="DV114" s="56">
        <v>0</v>
      </c>
      <c r="DW114" s="56">
        <v>0</v>
      </c>
      <c r="DX114" s="56">
        <v>0</v>
      </c>
      <c r="DY114" s="56">
        <v>0</v>
      </c>
      <c r="DZ114" s="56">
        <v>0</v>
      </c>
      <c r="EA114" s="56">
        <v>0</v>
      </c>
      <c r="EB114" s="56">
        <v>0</v>
      </c>
      <c r="EC114" s="56">
        <v>0</v>
      </c>
      <c r="ED114" s="56">
        <v>0</v>
      </c>
      <c r="EE114" s="56">
        <v>0</v>
      </c>
      <c r="EF114" s="56">
        <v>0</v>
      </c>
      <c r="EG114" s="56">
        <v>0</v>
      </c>
      <c r="EH114" s="56">
        <v>228.31</v>
      </c>
      <c r="EI114" s="56">
        <v>0</v>
      </c>
      <c r="EJ114" s="56">
        <v>0</v>
      </c>
      <c r="EK114" s="56">
        <v>0</v>
      </c>
      <c r="EL114" s="56">
        <v>0</v>
      </c>
      <c r="EM114" s="56">
        <v>0</v>
      </c>
      <c r="EN114" s="56">
        <v>0</v>
      </c>
      <c r="EO114" s="56">
        <v>0</v>
      </c>
      <c r="EP114" s="56">
        <v>0</v>
      </c>
      <c r="EQ114" s="56">
        <v>0</v>
      </c>
      <c r="ER114" s="56">
        <v>0</v>
      </c>
      <c r="ES114" s="56">
        <v>0</v>
      </c>
      <c r="ET114" s="56">
        <v>0</v>
      </c>
      <c r="EU114" s="56">
        <v>0</v>
      </c>
      <c r="EV114" s="56">
        <v>0</v>
      </c>
      <c r="EW114" s="56">
        <v>0</v>
      </c>
      <c r="EX114" s="56">
        <v>0</v>
      </c>
      <c r="EY114" s="56">
        <v>0</v>
      </c>
      <c r="EZ114" s="56">
        <v>0</v>
      </c>
      <c r="FA114" s="56">
        <v>0</v>
      </c>
      <c r="FB114" s="56">
        <v>0</v>
      </c>
      <c r="FC114" s="58">
        <v>0</v>
      </c>
      <c r="FD114" s="56">
        <v>0</v>
      </c>
      <c r="FE114" s="56">
        <v>0</v>
      </c>
      <c r="FF114" s="56">
        <v>0</v>
      </c>
      <c r="FG114" s="56">
        <v>0</v>
      </c>
      <c r="FH114" s="56">
        <v>0</v>
      </c>
      <c r="FI114" s="56">
        <v>0</v>
      </c>
      <c r="FJ114" s="56">
        <v>0</v>
      </c>
      <c r="FK114" s="56">
        <v>0</v>
      </c>
      <c r="FL114" s="56">
        <v>0</v>
      </c>
      <c r="FM114" s="56">
        <v>0</v>
      </c>
      <c r="FN114" s="56">
        <v>0</v>
      </c>
      <c r="FO114" s="56">
        <v>0</v>
      </c>
      <c r="FP114" s="56">
        <v>0</v>
      </c>
      <c r="FQ114" s="56">
        <v>0</v>
      </c>
      <c r="FR114" s="56">
        <v>0</v>
      </c>
      <c r="FS114" s="58">
        <v>0</v>
      </c>
      <c r="FT114" s="56">
        <v>0</v>
      </c>
      <c r="FU114" s="56">
        <v>0</v>
      </c>
      <c r="FV114" s="56">
        <v>0</v>
      </c>
      <c r="FW114" s="56">
        <v>0</v>
      </c>
      <c r="FX114" s="56">
        <v>0</v>
      </c>
      <c r="FY114" s="56">
        <v>0</v>
      </c>
      <c r="FZ114" s="54" t="s">
        <v>1070</v>
      </c>
      <c r="GA114" s="54" t="s">
        <v>1071</v>
      </c>
      <c r="GB114" s="54" t="s">
        <v>1072</v>
      </c>
      <c r="GC114" s="54" t="s">
        <v>1073</v>
      </c>
      <c r="GD114" s="54" t="s">
        <v>1240</v>
      </c>
      <c r="GE114" s="54" t="s">
        <v>1201</v>
      </c>
      <c r="GF114" s="54"/>
      <c r="GG114" s="55"/>
      <c r="GH114" s="54"/>
      <c r="GI114" s="54"/>
      <c r="GJ114" s="54" t="s">
        <v>1076</v>
      </c>
      <c r="GK114" s="54" t="s">
        <v>1077</v>
      </c>
      <c r="GL114" s="54"/>
      <c r="GM114" s="54"/>
      <c r="GN114" s="54" t="s">
        <v>1208</v>
      </c>
      <c r="GO114" s="54" t="s">
        <v>1209</v>
      </c>
      <c r="GP114" s="54"/>
      <c r="GQ114" s="56">
        <v>0</v>
      </c>
      <c r="GR114" s="54" t="s">
        <v>1210</v>
      </c>
      <c r="GS114" s="54"/>
    </row>
    <row r="115" spans="1:201" x14ac:dyDescent="0.25">
      <c r="A115" s="54" t="s">
        <v>1032</v>
      </c>
      <c r="B115" s="54" t="s">
        <v>1033</v>
      </c>
      <c r="C115" s="54" t="s">
        <v>1197</v>
      </c>
      <c r="D115" s="54" t="s">
        <v>1035</v>
      </c>
      <c r="E115" s="54" t="s">
        <v>1036</v>
      </c>
      <c r="F115" s="55">
        <v>46175</v>
      </c>
      <c r="G115" s="55">
        <v>46175</v>
      </c>
      <c r="H115" s="54" t="s">
        <v>1037</v>
      </c>
      <c r="I115" s="54" t="s">
        <v>1038</v>
      </c>
      <c r="J115" s="54" t="s">
        <v>1039</v>
      </c>
      <c r="K115" s="55"/>
      <c r="L115" s="54" t="s">
        <v>1040</v>
      </c>
      <c r="M115" s="54"/>
      <c r="N115" s="54" t="s">
        <v>1198</v>
      </c>
      <c r="O115" s="54" t="s">
        <v>1168</v>
      </c>
      <c r="P115" s="54" t="s">
        <v>551</v>
      </c>
      <c r="Q115" s="54" t="s">
        <v>565</v>
      </c>
      <c r="R115" s="54" t="s">
        <v>1043</v>
      </c>
      <c r="S115" s="56">
        <v>1583.68</v>
      </c>
      <c r="T115" s="56">
        <v>0</v>
      </c>
      <c r="U115" s="56">
        <v>1583.68</v>
      </c>
      <c r="V115" s="56">
        <v>0</v>
      </c>
      <c r="W115" s="56">
        <v>0</v>
      </c>
      <c r="X115" s="56">
        <v>0</v>
      </c>
      <c r="Y115" s="56">
        <v>0</v>
      </c>
      <c r="Z115" s="56">
        <v>101</v>
      </c>
      <c r="AA115" s="56">
        <v>0</v>
      </c>
      <c r="AB115" s="59">
        <v>101</v>
      </c>
      <c r="AC115" s="56">
        <v>0</v>
      </c>
      <c r="AD115" s="56">
        <v>0</v>
      </c>
      <c r="AE115" s="56">
        <v>0</v>
      </c>
      <c r="AF115" s="54" t="s">
        <v>1199</v>
      </c>
      <c r="AG115" s="57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 t="s">
        <v>1045</v>
      </c>
      <c r="AS115" s="54" t="s">
        <v>1046</v>
      </c>
      <c r="AT115" s="54" t="s">
        <v>1047</v>
      </c>
      <c r="AU115" s="54" t="s">
        <v>1048</v>
      </c>
      <c r="AV115" s="54"/>
      <c r="AW115" s="55">
        <v>46189</v>
      </c>
      <c r="AX115" s="55">
        <v>46175</v>
      </c>
      <c r="AY115" s="55">
        <v>46175</v>
      </c>
      <c r="AZ115" s="55"/>
      <c r="BA115" s="55">
        <v>46189</v>
      </c>
      <c r="BB115" s="56">
        <v>0</v>
      </c>
      <c r="BC115" s="56">
        <v>0</v>
      </c>
      <c r="BD115" s="56">
        <v>0</v>
      </c>
      <c r="BE115" s="56">
        <v>0</v>
      </c>
      <c r="BF115" s="56">
        <v>0</v>
      </c>
      <c r="BG115" s="56">
        <v>0</v>
      </c>
      <c r="BH115" s="56">
        <v>0</v>
      </c>
      <c r="BI115" s="56">
        <v>0</v>
      </c>
      <c r="BJ115" s="56">
        <v>0</v>
      </c>
      <c r="BK115" s="56">
        <v>0</v>
      </c>
      <c r="BL115" s="56">
        <v>0</v>
      </c>
      <c r="BM115" s="56">
        <v>0</v>
      </c>
      <c r="BN115" s="56">
        <v>0</v>
      </c>
      <c r="BO115" s="56">
        <v>0</v>
      </c>
      <c r="BP115" s="54" t="s">
        <v>1049</v>
      </c>
      <c r="BQ115" s="54" t="s">
        <v>1050</v>
      </c>
      <c r="BR115" s="54" t="s">
        <v>1049</v>
      </c>
      <c r="BS115" s="54" t="s">
        <v>1050</v>
      </c>
      <c r="BT115" s="54" t="s">
        <v>1051</v>
      </c>
      <c r="BU115" s="54" t="s">
        <v>1043</v>
      </c>
      <c r="BV115" s="58">
        <v>0</v>
      </c>
      <c r="BW115" s="54" t="s">
        <v>1052</v>
      </c>
      <c r="BX115" s="54" t="s">
        <v>1053</v>
      </c>
      <c r="BY115" s="54" t="s">
        <v>1054</v>
      </c>
      <c r="BZ115" s="54" t="s">
        <v>1055</v>
      </c>
      <c r="CA115" s="55"/>
      <c r="CB115" s="54" t="s">
        <v>1056</v>
      </c>
      <c r="CC115" s="54" t="s">
        <v>1057</v>
      </c>
      <c r="CD115" s="54" t="s">
        <v>1200</v>
      </c>
      <c r="CE115" s="54" t="s">
        <v>1201</v>
      </c>
      <c r="CF115" s="54" t="s">
        <v>1202</v>
      </c>
      <c r="CG115" s="54" t="s">
        <v>1203</v>
      </c>
      <c r="CH115" s="54" t="s">
        <v>1204</v>
      </c>
      <c r="CI115" s="54" t="s">
        <v>1203</v>
      </c>
      <c r="CJ115" s="54" t="s">
        <v>1064</v>
      </c>
      <c r="CK115" s="54" t="s">
        <v>1065</v>
      </c>
      <c r="CL115" s="54" t="s">
        <v>1205</v>
      </c>
      <c r="CM115" s="54" t="s">
        <v>1206</v>
      </c>
      <c r="CN115" s="54" t="s">
        <v>1068</v>
      </c>
      <c r="CO115" s="54" t="s">
        <v>1069</v>
      </c>
      <c r="CP115" s="56">
        <v>0</v>
      </c>
      <c r="CQ115" s="56">
        <v>0</v>
      </c>
      <c r="CR115" s="56">
        <v>0</v>
      </c>
      <c r="CS115" s="56">
        <v>0</v>
      </c>
      <c r="CT115" s="56">
        <v>0</v>
      </c>
      <c r="CU115" s="56">
        <v>0</v>
      </c>
      <c r="CV115" s="56">
        <v>0</v>
      </c>
      <c r="CW115" s="56">
        <v>0</v>
      </c>
      <c r="CX115" s="56">
        <v>0</v>
      </c>
      <c r="CY115" s="56">
        <v>0</v>
      </c>
      <c r="CZ115" s="56">
        <v>0</v>
      </c>
      <c r="DA115" s="56">
        <v>0</v>
      </c>
      <c r="DB115" s="56">
        <v>0</v>
      </c>
      <c r="DC115" s="56">
        <v>0</v>
      </c>
      <c r="DD115" s="56">
        <v>0</v>
      </c>
      <c r="DE115" s="56">
        <v>0</v>
      </c>
      <c r="DF115" s="56">
        <v>0</v>
      </c>
      <c r="DG115" s="56">
        <v>0</v>
      </c>
      <c r="DH115" s="56">
        <v>0</v>
      </c>
      <c r="DI115" s="56">
        <v>0</v>
      </c>
      <c r="DJ115" s="56">
        <v>0</v>
      </c>
      <c r="DK115" s="56">
        <v>0</v>
      </c>
      <c r="DL115" s="56">
        <v>0</v>
      </c>
      <c r="DM115" s="56">
        <v>0</v>
      </c>
      <c r="DN115" s="56">
        <v>0</v>
      </c>
      <c r="DO115" s="56">
        <v>0</v>
      </c>
      <c r="DP115" s="56">
        <v>0</v>
      </c>
      <c r="DQ115" s="56">
        <v>0</v>
      </c>
      <c r="DR115" s="56">
        <v>0</v>
      </c>
      <c r="DS115" s="56">
        <v>0</v>
      </c>
      <c r="DT115" s="56">
        <v>0</v>
      </c>
      <c r="DU115" s="56">
        <v>0</v>
      </c>
      <c r="DV115" s="56">
        <v>0</v>
      </c>
      <c r="DW115" s="56">
        <v>0</v>
      </c>
      <c r="DX115" s="56">
        <v>0</v>
      </c>
      <c r="DY115" s="56">
        <v>0</v>
      </c>
      <c r="DZ115" s="56">
        <v>0</v>
      </c>
      <c r="EA115" s="56">
        <v>0</v>
      </c>
      <c r="EB115" s="56">
        <v>0</v>
      </c>
      <c r="EC115" s="56">
        <v>190.04</v>
      </c>
      <c r="ED115" s="56">
        <v>0</v>
      </c>
      <c r="EE115" s="56">
        <v>0</v>
      </c>
      <c r="EF115" s="56">
        <v>0</v>
      </c>
      <c r="EG115" s="56">
        <v>0</v>
      </c>
      <c r="EH115" s="56">
        <v>190.04</v>
      </c>
      <c r="EI115" s="56">
        <v>0</v>
      </c>
      <c r="EJ115" s="56">
        <v>0</v>
      </c>
      <c r="EK115" s="56">
        <v>0</v>
      </c>
      <c r="EL115" s="56">
        <v>0</v>
      </c>
      <c r="EM115" s="56">
        <v>0</v>
      </c>
      <c r="EN115" s="56">
        <v>0</v>
      </c>
      <c r="EO115" s="56">
        <v>0</v>
      </c>
      <c r="EP115" s="56">
        <v>1583.68</v>
      </c>
      <c r="EQ115" s="56">
        <v>0</v>
      </c>
      <c r="ER115" s="56">
        <v>0</v>
      </c>
      <c r="ES115" s="56">
        <v>101</v>
      </c>
      <c r="ET115" s="56">
        <v>0</v>
      </c>
      <c r="EU115" s="56">
        <v>0</v>
      </c>
      <c r="EV115" s="56">
        <v>0</v>
      </c>
      <c r="EW115" s="56">
        <v>0</v>
      </c>
      <c r="EX115" s="56">
        <v>0</v>
      </c>
      <c r="EY115" s="56">
        <v>0</v>
      </c>
      <c r="EZ115" s="56">
        <v>0</v>
      </c>
      <c r="FA115" s="56">
        <v>0</v>
      </c>
      <c r="FB115" s="56">
        <v>0</v>
      </c>
      <c r="FC115" s="58">
        <v>0</v>
      </c>
      <c r="FD115" s="56">
        <v>0</v>
      </c>
      <c r="FE115" s="56">
        <v>0</v>
      </c>
      <c r="FF115" s="56">
        <v>0</v>
      </c>
      <c r="FG115" s="56">
        <v>0</v>
      </c>
      <c r="FH115" s="56">
        <v>0</v>
      </c>
      <c r="FI115" s="56">
        <v>0</v>
      </c>
      <c r="FJ115" s="56">
        <v>0</v>
      </c>
      <c r="FK115" s="56">
        <v>0</v>
      </c>
      <c r="FL115" s="56">
        <v>0</v>
      </c>
      <c r="FM115" s="56">
        <v>0</v>
      </c>
      <c r="FN115" s="56">
        <v>0</v>
      </c>
      <c r="FO115" s="56">
        <v>0</v>
      </c>
      <c r="FP115" s="56">
        <v>0</v>
      </c>
      <c r="FQ115" s="56">
        <v>0</v>
      </c>
      <c r="FR115" s="56">
        <v>0</v>
      </c>
      <c r="FS115" s="58">
        <v>0</v>
      </c>
      <c r="FT115" s="56">
        <v>0</v>
      </c>
      <c r="FU115" s="56">
        <v>0</v>
      </c>
      <c r="FV115" s="56">
        <v>0</v>
      </c>
      <c r="FW115" s="56">
        <v>0</v>
      </c>
      <c r="FX115" s="56">
        <v>0</v>
      </c>
      <c r="FY115" s="56">
        <v>0</v>
      </c>
      <c r="FZ115" s="54" t="s">
        <v>1083</v>
      </c>
      <c r="GA115" s="54" t="s">
        <v>1084</v>
      </c>
      <c r="GB115" s="54" t="s">
        <v>1072</v>
      </c>
      <c r="GC115" s="54" t="s">
        <v>1073</v>
      </c>
      <c r="GD115" s="54"/>
      <c r="GE115" s="54"/>
      <c r="GF115" s="54" t="s">
        <v>1241</v>
      </c>
      <c r="GG115" s="55">
        <v>46205</v>
      </c>
      <c r="GH115" s="54"/>
      <c r="GI115" s="54"/>
      <c r="GJ115" s="54" t="s">
        <v>1076</v>
      </c>
      <c r="GK115" s="54" t="s">
        <v>1077</v>
      </c>
      <c r="GL115" s="54"/>
      <c r="GM115" s="54"/>
      <c r="GN115" s="54" t="s">
        <v>1208</v>
      </c>
      <c r="GO115" s="54" t="s">
        <v>1209</v>
      </c>
      <c r="GP115" s="54"/>
      <c r="GQ115" s="56">
        <v>0</v>
      </c>
      <c r="GR115" s="54" t="s">
        <v>1210</v>
      </c>
      <c r="GS115" s="54" t="s">
        <v>1101</v>
      </c>
    </row>
    <row r="116" spans="1:201" x14ac:dyDescent="0.25">
      <c r="A116" s="54" t="s">
        <v>1032</v>
      </c>
      <c r="B116" s="54" t="s">
        <v>1033</v>
      </c>
      <c r="C116" s="54" t="s">
        <v>1242</v>
      </c>
      <c r="D116" s="54" t="s">
        <v>1035</v>
      </c>
      <c r="E116" s="54" t="s">
        <v>1036</v>
      </c>
      <c r="F116" s="55">
        <v>46185</v>
      </c>
      <c r="G116" s="55">
        <v>46185</v>
      </c>
      <c r="H116" s="54" t="s">
        <v>1037</v>
      </c>
      <c r="I116" s="54" t="s">
        <v>1038</v>
      </c>
      <c r="J116" s="54" t="s">
        <v>1039</v>
      </c>
      <c r="K116" s="55"/>
      <c r="L116" s="54" t="s">
        <v>1040</v>
      </c>
      <c r="M116" s="54"/>
      <c r="N116" s="54" t="s">
        <v>1243</v>
      </c>
      <c r="O116" s="54" t="s">
        <v>1042</v>
      </c>
      <c r="P116" s="54" t="s">
        <v>171</v>
      </c>
      <c r="Q116" s="54" t="s">
        <v>2</v>
      </c>
      <c r="R116" s="54" t="s">
        <v>1043</v>
      </c>
      <c r="S116" s="56">
        <v>394.2</v>
      </c>
      <c r="T116" s="56">
        <v>394.2</v>
      </c>
      <c r="U116" s="56">
        <v>0</v>
      </c>
      <c r="V116" s="56">
        <v>0</v>
      </c>
      <c r="W116" s="56">
        <v>0</v>
      </c>
      <c r="X116" s="56">
        <v>0</v>
      </c>
      <c r="Y116" s="56">
        <v>0</v>
      </c>
      <c r="Z116" s="56">
        <v>60</v>
      </c>
      <c r="AA116" s="56">
        <v>60</v>
      </c>
      <c r="AB116" s="59">
        <v>0</v>
      </c>
      <c r="AC116" s="56">
        <v>0</v>
      </c>
      <c r="AD116" s="56">
        <v>0</v>
      </c>
      <c r="AE116" s="56">
        <v>0</v>
      </c>
      <c r="AF116" s="54" t="s">
        <v>1199</v>
      </c>
      <c r="AG116" s="57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 t="s">
        <v>1045</v>
      </c>
      <c r="AS116" s="54" t="s">
        <v>1081</v>
      </c>
      <c r="AT116" s="54" t="s">
        <v>1082</v>
      </c>
      <c r="AU116" s="54" t="s">
        <v>1048</v>
      </c>
      <c r="AV116" s="54"/>
      <c r="AW116" s="55">
        <v>46198</v>
      </c>
      <c r="AX116" s="55">
        <v>46185</v>
      </c>
      <c r="AY116" s="55">
        <v>46185</v>
      </c>
      <c r="AZ116" s="55">
        <v>46188</v>
      </c>
      <c r="BA116" s="55">
        <v>46198</v>
      </c>
      <c r="BB116" s="56">
        <v>0</v>
      </c>
      <c r="BC116" s="56">
        <v>0</v>
      </c>
      <c r="BD116" s="56">
        <v>0</v>
      </c>
      <c r="BE116" s="56">
        <v>0</v>
      </c>
      <c r="BF116" s="56">
        <v>0</v>
      </c>
      <c r="BG116" s="56">
        <v>0</v>
      </c>
      <c r="BH116" s="56">
        <v>0</v>
      </c>
      <c r="BI116" s="56">
        <v>0</v>
      </c>
      <c r="BJ116" s="56">
        <v>0</v>
      </c>
      <c r="BK116" s="56">
        <v>0</v>
      </c>
      <c r="BL116" s="56">
        <v>0</v>
      </c>
      <c r="BM116" s="56">
        <v>0</v>
      </c>
      <c r="BN116" s="56">
        <v>0</v>
      </c>
      <c r="BO116" s="56">
        <v>0</v>
      </c>
      <c r="BP116" s="54" t="s">
        <v>1049</v>
      </c>
      <c r="BQ116" s="54" t="s">
        <v>1050</v>
      </c>
      <c r="BR116" s="54" t="s">
        <v>1049</v>
      </c>
      <c r="BS116" s="54" t="s">
        <v>1050</v>
      </c>
      <c r="BT116" s="54" t="s">
        <v>1051</v>
      </c>
      <c r="BU116" s="54" t="s">
        <v>1043</v>
      </c>
      <c r="BV116" s="58">
        <v>60</v>
      </c>
      <c r="BW116" s="54" t="s">
        <v>1052</v>
      </c>
      <c r="BX116" s="54" t="s">
        <v>1053</v>
      </c>
      <c r="BY116" s="54" t="s">
        <v>1054</v>
      </c>
      <c r="BZ116" s="54" t="s">
        <v>1055</v>
      </c>
      <c r="CA116" s="55"/>
      <c r="CB116" s="54" t="s">
        <v>1056</v>
      </c>
      <c r="CC116" s="54" t="s">
        <v>1057</v>
      </c>
      <c r="CD116" s="54" t="s">
        <v>1058</v>
      </c>
      <c r="CE116" s="54" t="s">
        <v>1059</v>
      </c>
      <c r="CF116" s="54" t="s">
        <v>1060</v>
      </c>
      <c r="CG116" s="54" t="s">
        <v>1061</v>
      </c>
      <c r="CH116" s="54" t="s">
        <v>1062</v>
      </c>
      <c r="CI116" s="54" t="s">
        <v>1063</v>
      </c>
      <c r="CJ116" s="54" t="s">
        <v>1064</v>
      </c>
      <c r="CK116" s="54" t="s">
        <v>1065</v>
      </c>
      <c r="CL116" s="54" t="s">
        <v>1066</v>
      </c>
      <c r="CM116" s="54" t="s">
        <v>1067</v>
      </c>
      <c r="CN116" s="54" t="s">
        <v>1068</v>
      </c>
      <c r="CO116" s="54" t="s">
        <v>1069</v>
      </c>
      <c r="CP116" s="56">
        <v>0</v>
      </c>
      <c r="CQ116" s="56">
        <v>0</v>
      </c>
      <c r="CR116" s="56">
        <v>0</v>
      </c>
      <c r="CS116" s="56">
        <v>0</v>
      </c>
      <c r="CT116" s="56">
        <v>0</v>
      </c>
      <c r="CU116" s="56">
        <v>0</v>
      </c>
      <c r="CV116" s="56">
        <v>0</v>
      </c>
      <c r="CW116" s="56">
        <v>0</v>
      </c>
      <c r="CX116" s="56">
        <v>0</v>
      </c>
      <c r="CY116" s="56">
        <v>0</v>
      </c>
      <c r="CZ116" s="56">
        <v>0</v>
      </c>
      <c r="DA116" s="56">
        <v>0</v>
      </c>
      <c r="DB116" s="56">
        <v>0</v>
      </c>
      <c r="DC116" s="56">
        <v>0</v>
      </c>
      <c r="DD116" s="56">
        <v>0</v>
      </c>
      <c r="DE116" s="56">
        <v>0</v>
      </c>
      <c r="DF116" s="56">
        <v>0</v>
      </c>
      <c r="DG116" s="56">
        <v>0</v>
      </c>
      <c r="DH116" s="56">
        <v>0</v>
      </c>
      <c r="DI116" s="56">
        <v>0</v>
      </c>
      <c r="DJ116" s="56">
        <v>0</v>
      </c>
      <c r="DK116" s="56">
        <v>0</v>
      </c>
      <c r="DL116" s="56">
        <v>0</v>
      </c>
      <c r="DM116" s="56">
        <v>0</v>
      </c>
      <c r="DN116" s="56">
        <v>0</v>
      </c>
      <c r="DO116" s="56">
        <v>0</v>
      </c>
      <c r="DP116" s="56">
        <v>0</v>
      </c>
      <c r="DQ116" s="56">
        <v>0</v>
      </c>
      <c r="DR116" s="56">
        <v>0</v>
      </c>
      <c r="DS116" s="56">
        <v>0</v>
      </c>
      <c r="DT116" s="56">
        <v>0</v>
      </c>
      <c r="DU116" s="56">
        <v>0</v>
      </c>
      <c r="DV116" s="56">
        <v>0</v>
      </c>
      <c r="DW116" s="56">
        <v>0</v>
      </c>
      <c r="DX116" s="56">
        <v>0</v>
      </c>
      <c r="DY116" s="56">
        <v>0</v>
      </c>
      <c r="DZ116" s="56">
        <v>0</v>
      </c>
      <c r="EA116" s="56">
        <v>0</v>
      </c>
      <c r="EB116" s="56">
        <v>0</v>
      </c>
      <c r="EC116" s="56">
        <v>0</v>
      </c>
      <c r="ED116" s="56">
        <v>0</v>
      </c>
      <c r="EE116" s="56">
        <v>0</v>
      </c>
      <c r="EF116" s="56">
        <v>0</v>
      </c>
      <c r="EG116" s="56">
        <v>0</v>
      </c>
      <c r="EH116" s="56">
        <v>47.3</v>
      </c>
      <c r="EI116" s="56">
        <v>0</v>
      </c>
      <c r="EJ116" s="56">
        <v>0</v>
      </c>
      <c r="EK116" s="56">
        <v>0</v>
      </c>
      <c r="EL116" s="56">
        <v>0</v>
      </c>
      <c r="EM116" s="56">
        <v>0</v>
      </c>
      <c r="EN116" s="56">
        <v>0</v>
      </c>
      <c r="EO116" s="56">
        <v>0</v>
      </c>
      <c r="EP116" s="56">
        <v>0</v>
      </c>
      <c r="EQ116" s="56">
        <v>0</v>
      </c>
      <c r="ER116" s="56">
        <v>0</v>
      </c>
      <c r="ES116" s="56">
        <v>0</v>
      </c>
      <c r="ET116" s="56">
        <v>0</v>
      </c>
      <c r="EU116" s="56">
        <v>0</v>
      </c>
      <c r="EV116" s="56">
        <v>0</v>
      </c>
      <c r="EW116" s="56">
        <v>0</v>
      </c>
      <c r="EX116" s="56">
        <v>0</v>
      </c>
      <c r="EY116" s="56">
        <v>0</v>
      </c>
      <c r="EZ116" s="56">
        <v>0</v>
      </c>
      <c r="FA116" s="56">
        <v>0</v>
      </c>
      <c r="FB116" s="56">
        <v>0</v>
      </c>
      <c r="FC116" s="58">
        <v>0</v>
      </c>
      <c r="FD116" s="56">
        <v>0</v>
      </c>
      <c r="FE116" s="56">
        <v>0</v>
      </c>
      <c r="FF116" s="56">
        <v>0</v>
      </c>
      <c r="FG116" s="56">
        <v>0</v>
      </c>
      <c r="FH116" s="56">
        <v>0</v>
      </c>
      <c r="FI116" s="56">
        <v>0</v>
      </c>
      <c r="FJ116" s="56">
        <v>0</v>
      </c>
      <c r="FK116" s="56">
        <v>0</v>
      </c>
      <c r="FL116" s="56">
        <v>0</v>
      </c>
      <c r="FM116" s="56">
        <v>0</v>
      </c>
      <c r="FN116" s="56">
        <v>0</v>
      </c>
      <c r="FO116" s="56">
        <v>0</v>
      </c>
      <c r="FP116" s="56">
        <v>0</v>
      </c>
      <c r="FQ116" s="56">
        <v>0</v>
      </c>
      <c r="FR116" s="56">
        <v>0</v>
      </c>
      <c r="FS116" s="58">
        <v>0</v>
      </c>
      <c r="FT116" s="56">
        <v>0</v>
      </c>
      <c r="FU116" s="56">
        <v>0</v>
      </c>
      <c r="FV116" s="56">
        <v>0</v>
      </c>
      <c r="FW116" s="56">
        <v>0</v>
      </c>
      <c r="FX116" s="56">
        <v>0</v>
      </c>
      <c r="FY116" s="56">
        <v>0</v>
      </c>
      <c r="FZ116" s="54" t="s">
        <v>1083</v>
      </c>
      <c r="GA116" s="54" t="s">
        <v>1084</v>
      </c>
      <c r="GB116" s="54" t="s">
        <v>1072</v>
      </c>
      <c r="GC116" s="54" t="s">
        <v>1073</v>
      </c>
      <c r="GD116" s="54" t="s">
        <v>1244</v>
      </c>
      <c r="GE116" s="54" t="s">
        <v>1075</v>
      </c>
      <c r="GF116" s="54"/>
      <c r="GG116" s="55"/>
      <c r="GH116" s="54"/>
      <c r="GI116" s="54"/>
      <c r="GJ116" s="54" t="s">
        <v>1076</v>
      </c>
      <c r="GK116" s="54" t="s">
        <v>1077</v>
      </c>
      <c r="GL116" s="54"/>
      <c r="GM116" s="54"/>
      <c r="GN116" s="54" t="s">
        <v>1078</v>
      </c>
      <c r="GO116" s="54" t="s">
        <v>1059</v>
      </c>
      <c r="GP116" s="54"/>
      <c r="GQ116" s="56">
        <v>0</v>
      </c>
      <c r="GR116" s="54" t="s">
        <v>1210</v>
      </c>
      <c r="GS116" s="54"/>
    </row>
    <row r="117" spans="1:201" x14ac:dyDescent="0.25">
      <c r="A117" s="54" t="s">
        <v>1032</v>
      </c>
      <c r="B117" s="54" t="s">
        <v>1033</v>
      </c>
      <c r="C117" s="54" t="s">
        <v>1242</v>
      </c>
      <c r="D117" s="54" t="s">
        <v>1035</v>
      </c>
      <c r="E117" s="54" t="s">
        <v>1036</v>
      </c>
      <c r="F117" s="55">
        <v>46185</v>
      </c>
      <c r="G117" s="55">
        <v>46185</v>
      </c>
      <c r="H117" s="54" t="s">
        <v>1037</v>
      </c>
      <c r="I117" s="54" t="s">
        <v>1038</v>
      </c>
      <c r="J117" s="54" t="s">
        <v>1039</v>
      </c>
      <c r="K117" s="55"/>
      <c r="L117" s="54" t="s">
        <v>1040</v>
      </c>
      <c r="M117" s="54"/>
      <c r="N117" s="54" t="s">
        <v>1243</v>
      </c>
      <c r="O117" s="54" t="s">
        <v>1080</v>
      </c>
      <c r="P117" s="54" t="s">
        <v>423</v>
      </c>
      <c r="Q117" s="54" t="s">
        <v>424</v>
      </c>
      <c r="R117" s="54" t="s">
        <v>1043</v>
      </c>
      <c r="S117" s="56">
        <v>927.84</v>
      </c>
      <c r="T117" s="56">
        <v>0</v>
      </c>
      <c r="U117" s="56">
        <v>927.84</v>
      </c>
      <c r="V117" s="56">
        <v>0</v>
      </c>
      <c r="W117" s="56">
        <v>0</v>
      </c>
      <c r="X117" s="56">
        <v>0</v>
      </c>
      <c r="Y117" s="56">
        <v>0</v>
      </c>
      <c r="Z117" s="56">
        <v>48</v>
      </c>
      <c r="AA117" s="56">
        <v>0</v>
      </c>
      <c r="AB117" s="59">
        <v>48</v>
      </c>
      <c r="AC117" s="56">
        <v>0</v>
      </c>
      <c r="AD117" s="56">
        <v>0</v>
      </c>
      <c r="AE117" s="56">
        <v>0</v>
      </c>
      <c r="AF117" s="54" t="s">
        <v>1199</v>
      </c>
      <c r="AG117" s="57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 t="s">
        <v>1045</v>
      </c>
      <c r="AS117" s="54" t="s">
        <v>1081</v>
      </c>
      <c r="AT117" s="54" t="s">
        <v>1082</v>
      </c>
      <c r="AU117" s="54" t="s">
        <v>1048</v>
      </c>
      <c r="AV117" s="54"/>
      <c r="AW117" s="55">
        <v>46198</v>
      </c>
      <c r="AX117" s="55">
        <v>46185</v>
      </c>
      <c r="AY117" s="55">
        <v>46185</v>
      </c>
      <c r="AZ117" s="55"/>
      <c r="BA117" s="55">
        <v>46198</v>
      </c>
      <c r="BB117" s="56">
        <v>0</v>
      </c>
      <c r="BC117" s="56">
        <v>0</v>
      </c>
      <c r="BD117" s="56">
        <v>0</v>
      </c>
      <c r="BE117" s="56">
        <v>0</v>
      </c>
      <c r="BF117" s="56">
        <v>0</v>
      </c>
      <c r="BG117" s="56">
        <v>0</v>
      </c>
      <c r="BH117" s="56">
        <v>0</v>
      </c>
      <c r="BI117" s="56">
        <v>0</v>
      </c>
      <c r="BJ117" s="56">
        <v>0</v>
      </c>
      <c r="BK117" s="56">
        <v>0</v>
      </c>
      <c r="BL117" s="56">
        <v>0</v>
      </c>
      <c r="BM117" s="56">
        <v>0</v>
      </c>
      <c r="BN117" s="56">
        <v>0</v>
      </c>
      <c r="BO117" s="56">
        <v>0</v>
      </c>
      <c r="BP117" s="54" t="s">
        <v>1049</v>
      </c>
      <c r="BQ117" s="54" t="s">
        <v>1050</v>
      </c>
      <c r="BR117" s="54" t="s">
        <v>1049</v>
      </c>
      <c r="BS117" s="54" t="s">
        <v>1050</v>
      </c>
      <c r="BT117" s="54" t="s">
        <v>1051</v>
      </c>
      <c r="BU117" s="54" t="s">
        <v>1043</v>
      </c>
      <c r="BV117" s="58">
        <v>0</v>
      </c>
      <c r="BW117" s="54" t="s">
        <v>1052</v>
      </c>
      <c r="BX117" s="54" t="s">
        <v>1053</v>
      </c>
      <c r="BY117" s="54" t="s">
        <v>1054</v>
      </c>
      <c r="BZ117" s="54" t="s">
        <v>1055</v>
      </c>
      <c r="CA117" s="55"/>
      <c r="CB117" s="54" t="s">
        <v>1056</v>
      </c>
      <c r="CC117" s="54" t="s">
        <v>1057</v>
      </c>
      <c r="CD117" s="54" t="s">
        <v>1058</v>
      </c>
      <c r="CE117" s="54" t="s">
        <v>1059</v>
      </c>
      <c r="CF117" s="54" t="s">
        <v>1060</v>
      </c>
      <c r="CG117" s="54" t="s">
        <v>1061</v>
      </c>
      <c r="CH117" s="54" t="s">
        <v>1062</v>
      </c>
      <c r="CI117" s="54" t="s">
        <v>1063</v>
      </c>
      <c r="CJ117" s="54" t="s">
        <v>1064</v>
      </c>
      <c r="CK117" s="54" t="s">
        <v>1065</v>
      </c>
      <c r="CL117" s="54" t="s">
        <v>1066</v>
      </c>
      <c r="CM117" s="54" t="s">
        <v>1067</v>
      </c>
      <c r="CN117" s="54" t="s">
        <v>1068</v>
      </c>
      <c r="CO117" s="54" t="s">
        <v>1069</v>
      </c>
      <c r="CP117" s="56">
        <v>0</v>
      </c>
      <c r="CQ117" s="56">
        <v>0</v>
      </c>
      <c r="CR117" s="56">
        <v>0</v>
      </c>
      <c r="CS117" s="56">
        <v>0</v>
      </c>
      <c r="CT117" s="56">
        <v>0</v>
      </c>
      <c r="CU117" s="56">
        <v>0</v>
      </c>
      <c r="CV117" s="56">
        <v>0</v>
      </c>
      <c r="CW117" s="56">
        <v>0</v>
      </c>
      <c r="CX117" s="56">
        <v>0</v>
      </c>
      <c r="CY117" s="56">
        <v>0</v>
      </c>
      <c r="CZ117" s="56">
        <v>0</v>
      </c>
      <c r="DA117" s="56">
        <v>0</v>
      </c>
      <c r="DB117" s="56">
        <v>0</v>
      </c>
      <c r="DC117" s="56">
        <v>0</v>
      </c>
      <c r="DD117" s="56">
        <v>0</v>
      </c>
      <c r="DE117" s="56">
        <v>0</v>
      </c>
      <c r="DF117" s="56">
        <v>0</v>
      </c>
      <c r="DG117" s="56">
        <v>0</v>
      </c>
      <c r="DH117" s="56">
        <v>0</v>
      </c>
      <c r="DI117" s="56">
        <v>0</v>
      </c>
      <c r="DJ117" s="56">
        <v>0</v>
      </c>
      <c r="DK117" s="56">
        <v>0</v>
      </c>
      <c r="DL117" s="56">
        <v>0</v>
      </c>
      <c r="DM117" s="56">
        <v>0</v>
      </c>
      <c r="DN117" s="56">
        <v>0</v>
      </c>
      <c r="DO117" s="56">
        <v>0</v>
      </c>
      <c r="DP117" s="56">
        <v>0</v>
      </c>
      <c r="DQ117" s="56">
        <v>0</v>
      </c>
      <c r="DR117" s="56">
        <v>0</v>
      </c>
      <c r="DS117" s="56">
        <v>0</v>
      </c>
      <c r="DT117" s="56">
        <v>0</v>
      </c>
      <c r="DU117" s="56">
        <v>0</v>
      </c>
      <c r="DV117" s="56">
        <v>0</v>
      </c>
      <c r="DW117" s="56">
        <v>0</v>
      </c>
      <c r="DX117" s="56">
        <v>0</v>
      </c>
      <c r="DY117" s="56">
        <v>0</v>
      </c>
      <c r="DZ117" s="56">
        <v>0</v>
      </c>
      <c r="EA117" s="56">
        <v>0</v>
      </c>
      <c r="EB117" s="56">
        <v>0</v>
      </c>
      <c r="EC117" s="56">
        <v>111.34</v>
      </c>
      <c r="ED117" s="56">
        <v>0</v>
      </c>
      <c r="EE117" s="56">
        <v>0</v>
      </c>
      <c r="EF117" s="56">
        <v>0</v>
      </c>
      <c r="EG117" s="56">
        <v>0</v>
      </c>
      <c r="EH117" s="56">
        <v>111.34</v>
      </c>
      <c r="EI117" s="56">
        <v>0</v>
      </c>
      <c r="EJ117" s="56">
        <v>0</v>
      </c>
      <c r="EK117" s="56">
        <v>0</v>
      </c>
      <c r="EL117" s="56">
        <v>0</v>
      </c>
      <c r="EM117" s="56">
        <v>0</v>
      </c>
      <c r="EN117" s="56">
        <v>0</v>
      </c>
      <c r="EO117" s="56">
        <v>0</v>
      </c>
      <c r="EP117" s="56">
        <v>927.84</v>
      </c>
      <c r="EQ117" s="56">
        <v>0</v>
      </c>
      <c r="ER117" s="56">
        <v>0</v>
      </c>
      <c r="ES117" s="56">
        <v>48</v>
      </c>
      <c r="ET117" s="56">
        <v>0</v>
      </c>
      <c r="EU117" s="56">
        <v>0</v>
      </c>
      <c r="EV117" s="56">
        <v>0</v>
      </c>
      <c r="EW117" s="56">
        <v>0</v>
      </c>
      <c r="EX117" s="56">
        <v>0</v>
      </c>
      <c r="EY117" s="56">
        <v>0</v>
      </c>
      <c r="EZ117" s="56">
        <v>0</v>
      </c>
      <c r="FA117" s="56">
        <v>0</v>
      </c>
      <c r="FB117" s="56">
        <v>0</v>
      </c>
      <c r="FC117" s="58">
        <v>0</v>
      </c>
      <c r="FD117" s="56">
        <v>0</v>
      </c>
      <c r="FE117" s="56">
        <v>0</v>
      </c>
      <c r="FF117" s="56">
        <v>0</v>
      </c>
      <c r="FG117" s="56">
        <v>0</v>
      </c>
      <c r="FH117" s="56">
        <v>0</v>
      </c>
      <c r="FI117" s="56">
        <v>0</v>
      </c>
      <c r="FJ117" s="56">
        <v>0</v>
      </c>
      <c r="FK117" s="56">
        <v>0</v>
      </c>
      <c r="FL117" s="56">
        <v>0</v>
      </c>
      <c r="FM117" s="56">
        <v>0</v>
      </c>
      <c r="FN117" s="56">
        <v>0</v>
      </c>
      <c r="FO117" s="56">
        <v>0</v>
      </c>
      <c r="FP117" s="56">
        <v>0</v>
      </c>
      <c r="FQ117" s="56">
        <v>0</v>
      </c>
      <c r="FR117" s="56">
        <v>0</v>
      </c>
      <c r="FS117" s="58">
        <v>0</v>
      </c>
      <c r="FT117" s="56">
        <v>0</v>
      </c>
      <c r="FU117" s="56">
        <v>0</v>
      </c>
      <c r="FV117" s="56">
        <v>0</v>
      </c>
      <c r="FW117" s="56">
        <v>0</v>
      </c>
      <c r="FX117" s="56">
        <v>0</v>
      </c>
      <c r="FY117" s="56">
        <v>0</v>
      </c>
      <c r="FZ117" s="54" t="s">
        <v>1083</v>
      </c>
      <c r="GA117" s="54" t="s">
        <v>1084</v>
      </c>
      <c r="GB117" s="54" t="s">
        <v>1072</v>
      </c>
      <c r="GC117" s="54" t="s">
        <v>1073</v>
      </c>
      <c r="GD117" s="54"/>
      <c r="GE117" s="54"/>
      <c r="GF117" s="54" t="s">
        <v>1245</v>
      </c>
      <c r="GG117" s="55">
        <v>46205</v>
      </c>
      <c r="GH117" s="54"/>
      <c r="GI117" s="54"/>
      <c r="GJ117" s="54" t="s">
        <v>1076</v>
      </c>
      <c r="GK117" s="54" t="s">
        <v>1077</v>
      </c>
      <c r="GL117" s="54"/>
      <c r="GM117" s="54"/>
      <c r="GN117" s="54" t="s">
        <v>1078</v>
      </c>
      <c r="GO117" s="54" t="s">
        <v>1059</v>
      </c>
      <c r="GP117" s="54"/>
      <c r="GQ117" s="56">
        <v>0</v>
      </c>
      <c r="GR117" s="54" t="s">
        <v>1210</v>
      </c>
      <c r="GS117" s="54" t="s">
        <v>1101</v>
      </c>
    </row>
    <row r="118" spans="1:201" x14ac:dyDescent="0.25">
      <c r="A118" s="54" t="s">
        <v>1032</v>
      </c>
      <c r="B118" s="54" t="s">
        <v>1033</v>
      </c>
      <c r="C118" s="54" t="s">
        <v>1242</v>
      </c>
      <c r="D118" s="54" t="s">
        <v>1035</v>
      </c>
      <c r="E118" s="54" t="s">
        <v>1036</v>
      </c>
      <c r="F118" s="55">
        <v>46185</v>
      </c>
      <c r="G118" s="55">
        <v>46185</v>
      </c>
      <c r="H118" s="54" t="s">
        <v>1037</v>
      </c>
      <c r="I118" s="54" t="s">
        <v>1038</v>
      </c>
      <c r="J118" s="54" t="s">
        <v>1039</v>
      </c>
      <c r="K118" s="55"/>
      <c r="L118" s="54" t="s">
        <v>1040</v>
      </c>
      <c r="M118" s="54"/>
      <c r="N118" s="54" t="s">
        <v>1243</v>
      </c>
      <c r="O118" s="54" t="s">
        <v>1086</v>
      </c>
      <c r="P118" s="54" t="s">
        <v>425</v>
      </c>
      <c r="Q118" s="54" t="s">
        <v>426</v>
      </c>
      <c r="R118" s="54" t="s">
        <v>1043</v>
      </c>
      <c r="S118" s="56">
        <v>669.12</v>
      </c>
      <c r="T118" s="56">
        <v>0</v>
      </c>
      <c r="U118" s="56">
        <v>669.12</v>
      </c>
      <c r="V118" s="56">
        <v>0</v>
      </c>
      <c r="W118" s="56">
        <v>0</v>
      </c>
      <c r="X118" s="56">
        <v>0</v>
      </c>
      <c r="Y118" s="56">
        <v>0</v>
      </c>
      <c r="Z118" s="56">
        <v>48</v>
      </c>
      <c r="AA118" s="56">
        <v>0</v>
      </c>
      <c r="AB118" s="59">
        <v>48</v>
      </c>
      <c r="AC118" s="56">
        <v>0</v>
      </c>
      <c r="AD118" s="56">
        <v>0</v>
      </c>
      <c r="AE118" s="56">
        <v>0</v>
      </c>
      <c r="AF118" s="54" t="s">
        <v>1199</v>
      </c>
      <c r="AG118" s="57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 t="s">
        <v>1045</v>
      </c>
      <c r="AS118" s="54" t="s">
        <v>1081</v>
      </c>
      <c r="AT118" s="54" t="s">
        <v>1082</v>
      </c>
      <c r="AU118" s="54" t="s">
        <v>1048</v>
      </c>
      <c r="AV118" s="54"/>
      <c r="AW118" s="55">
        <v>46198</v>
      </c>
      <c r="AX118" s="55">
        <v>46185</v>
      </c>
      <c r="AY118" s="55">
        <v>46185</v>
      </c>
      <c r="AZ118" s="55"/>
      <c r="BA118" s="55">
        <v>46198</v>
      </c>
      <c r="BB118" s="56">
        <v>0</v>
      </c>
      <c r="BC118" s="56">
        <v>0</v>
      </c>
      <c r="BD118" s="56">
        <v>0</v>
      </c>
      <c r="BE118" s="56">
        <v>0</v>
      </c>
      <c r="BF118" s="56">
        <v>0</v>
      </c>
      <c r="BG118" s="56">
        <v>0</v>
      </c>
      <c r="BH118" s="56">
        <v>0</v>
      </c>
      <c r="BI118" s="56">
        <v>0</v>
      </c>
      <c r="BJ118" s="56">
        <v>0</v>
      </c>
      <c r="BK118" s="56">
        <v>0</v>
      </c>
      <c r="BL118" s="56">
        <v>0</v>
      </c>
      <c r="BM118" s="56">
        <v>0</v>
      </c>
      <c r="BN118" s="56">
        <v>0</v>
      </c>
      <c r="BO118" s="56">
        <v>0</v>
      </c>
      <c r="BP118" s="54" t="s">
        <v>1049</v>
      </c>
      <c r="BQ118" s="54" t="s">
        <v>1050</v>
      </c>
      <c r="BR118" s="54" t="s">
        <v>1049</v>
      </c>
      <c r="BS118" s="54" t="s">
        <v>1050</v>
      </c>
      <c r="BT118" s="54" t="s">
        <v>1051</v>
      </c>
      <c r="BU118" s="54" t="s">
        <v>1043</v>
      </c>
      <c r="BV118" s="58">
        <v>0</v>
      </c>
      <c r="BW118" s="54" t="s">
        <v>1052</v>
      </c>
      <c r="BX118" s="54" t="s">
        <v>1053</v>
      </c>
      <c r="BY118" s="54" t="s">
        <v>1054</v>
      </c>
      <c r="BZ118" s="54" t="s">
        <v>1055</v>
      </c>
      <c r="CA118" s="55"/>
      <c r="CB118" s="54" t="s">
        <v>1056</v>
      </c>
      <c r="CC118" s="54" t="s">
        <v>1057</v>
      </c>
      <c r="CD118" s="54" t="s">
        <v>1058</v>
      </c>
      <c r="CE118" s="54" t="s">
        <v>1059</v>
      </c>
      <c r="CF118" s="54" t="s">
        <v>1060</v>
      </c>
      <c r="CG118" s="54" t="s">
        <v>1061</v>
      </c>
      <c r="CH118" s="54" t="s">
        <v>1062</v>
      </c>
      <c r="CI118" s="54" t="s">
        <v>1063</v>
      </c>
      <c r="CJ118" s="54" t="s">
        <v>1064</v>
      </c>
      <c r="CK118" s="54" t="s">
        <v>1065</v>
      </c>
      <c r="CL118" s="54" t="s">
        <v>1066</v>
      </c>
      <c r="CM118" s="54" t="s">
        <v>1067</v>
      </c>
      <c r="CN118" s="54" t="s">
        <v>1068</v>
      </c>
      <c r="CO118" s="54" t="s">
        <v>1069</v>
      </c>
      <c r="CP118" s="56">
        <v>0</v>
      </c>
      <c r="CQ118" s="56">
        <v>0</v>
      </c>
      <c r="CR118" s="56">
        <v>0</v>
      </c>
      <c r="CS118" s="56">
        <v>0</v>
      </c>
      <c r="CT118" s="56">
        <v>0</v>
      </c>
      <c r="CU118" s="56">
        <v>0</v>
      </c>
      <c r="CV118" s="56">
        <v>0</v>
      </c>
      <c r="CW118" s="56">
        <v>0</v>
      </c>
      <c r="CX118" s="56">
        <v>0</v>
      </c>
      <c r="CY118" s="56">
        <v>0</v>
      </c>
      <c r="CZ118" s="56">
        <v>0</v>
      </c>
      <c r="DA118" s="56">
        <v>0</v>
      </c>
      <c r="DB118" s="56">
        <v>0</v>
      </c>
      <c r="DC118" s="56">
        <v>0</v>
      </c>
      <c r="DD118" s="56">
        <v>0</v>
      </c>
      <c r="DE118" s="56">
        <v>0</v>
      </c>
      <c r="DF118" s="56">
        <v>0</v>
      </c>
      <c r="DG118" s="56">
        <v>0</v>
      </c>
      <c r="DH118" s="56">
        <v>0</v>
      </c>
      <c r="DI118" s="56">
        <v>0</v>
      </c>
      <c r="DJ118" s="56">
        <v>0</v>
      </c>
      <c r="DK118" s="56">
        <v>0</v>
      </c>
      <c r="DL118" s="56">
        <v>0</v>
      </c>
      <c r="DM118" s="56">
        <v>0</v>
      </c>
      <c r="DN118" s="56">
        <v>0</v>
      </c>
      <c r="DO118" s="56">
        <v>0</v>
      </c>
      <c r="DP118" s="56">
        <v>0</v>
      </c>
      <c r="DQ118" s="56">
        <v>0</v>
      </c>
      <c r="DR118" s="56">
        <v>0</v>
      </c>
      <c r="DS118" s="56">
        <v>0</v>
      </c>
      <c r="DT118" s="56">
        <v>0</v>
      </c>
      <c r="DU118" s="56">
        <v>0</v>
      </c>
      <c r="DV118" s="56">
        <v>0</v>
      </c>
      <c r="DW118" s="56">
        <v>0</v>
      </c>
      <c r="DX118" s="56">
        <v>0</v>
      </c>
      <c r="DY118" s="56">
        <v>0</v>
      </c>
      <c r="DZ118" s="56">
        <v>0</v>
      </c>
      <c r="EA118" s="56">
        <v>0</v>
      </c>
      <c r="EB118" s="56">
        <v>0</v>
      </c>
      <c r="EC118" s="56">
        <v>80.290000000000006</v>
      </c>
      <c r="ED118" s="56">
        <v>0</v>
      </c>
      <c r="EE118" s="56">
        <v>0</v>
      </c>
      <c r="EF118" s="56">
        <v>0</v>
      </c>
      <c r="EG118" s="56">
        <v>0</v>
      </c>
      <c r="EH118" s="56">
        <v>80.290000000000006</v>
      </c>
      <c r="EI118" s="56">
        <v>0</v>
      </c>
      <c r="EJ118" s="56">
        <v>0</v>
      </c>
      <c r="EK118" s="56">
        <v>0</v>
      </c>
      <c r="EL118" s="56">
        <v>0</v>
      </c>
      <c r="EM118" s="56">
        <v>0</v>
      </c>
      <c r="EN118" s="56">
        <v>0</v>
      </c>
      <c r="EO118" s="56">
        <v>0</v>
      </c>
      <c r="EP118" s="56">
        <v>669.12</v>
      </c>
      <c r="EQ118" s="56">
        <v>0</v>
      </c>
      <c r="ER118" s="56">
        <v>0</v>
      </c>
      <c r="ES118" s="56">
        <v>48</v>
      </c>
      <c r="ET118" s="56">
        <v>0</v>
      </c>
      <c r="EU118" s="56">
        <v>0</v>
      </c>
      <c r="EV118" s="56">
        <v>0</v>
      </c>
      <c r="EW118" s="56">
        <v>0</v>
      </c>
      <c r="EX118" s="56">
        <v>0</v>
      </c>
      <c r="EY118" s="56">
        <v>0</v>
      </c>
      <c r="EZ118" s="56">
        <v>0</v>
      </c>
      <c r="FA118" s="56">
        <v>0</v>
      </c>
      <c r="FB118" s="56">
        <v>0</v>
      </c>
      <c r="FC118" s="58">
        <v>0</v>
      </c>
      <c r="FD118" s="56">
        <v>0</v>
      </c>
      <c r="FE118" s="56">
        <v>0</v>
      </c>
      <c r="FF118" s="56">
        <v>0</v>
      </c>
      <c r="FG118" s="56">
        <v>0</v>
      </c>
      <c r="FH118" s="56">
        <v>0</v>
      </c>
      <c r="FI118" s="56">
        <v>0</v>
      </c>
      <c r="FJ118" s="56">
        <v>0</v>
      </c>
      <c r="FK118" s="56">
        <v>0</v>
      </c>
      <c r="FL118" s="56">
        <v>0</v>
      </c>
      <c r="FM118" s="56">
        <v>0</v>
      </c>
      <c r="FN118" s="56">
        <v>0</v>
      </c>
      <c r="FO118" s="56">
        <v>0</v>
      </c>
      <c r="FP118" s="56">
        <v>0</v>
      </c>
      <c r="FQ118" s="56">
        <v>0</v>
      </c>
      <c r="FR118" s="56">
        <v>0</v>
      </c>
      <c r="FS118" s="58">
        <v>0</v>
      </c>
      <c r="FT118" s="56">
        <v>0</v>
      </c>
      <c r="FU118" s="56">
        <v>0</v>
      </c>
      <c r="FV118" s="56">
        <v>0</v>
      </c>
      <c r="FW118" s="56">
        <v>0</v>
      </c>
      <c r="FX118" s="56">
        <v>0</v>
      </c>
      <c r="FY118" s="56">
        <v>0</v>
      </c>
      <c r="FZ118" s="54" t="s">
        <v>1083</v>
      </c>
      <c r="GA118" s="54" t="s">
        <v>1084</v>
      </c>
      <c r="GB118" s="54" t="s">
        <v>1072</v>
      </c>
      <c r="GC118" s="54" t="s">
        <v>1073</v>
      </c>
      <c r="GD118" s="54"/>
      <c r="GE118" s="54"/>
      <c r="GF118" s="54" t="s">
        <v>1246</v>
      </c>
      <c r="GG118" s="55">
        <v>46205</v>
      </c>
      <c r="GH118" s="54"/>
      <c r="GI118" s="54"/>
      <c r="GJ118" s="54" t="s">
        <v>1076</v>
      </c>
      <c r="GK118" s="54" t="s">
        <v>1077</v>
      </c>
      <c r="GL118" s="54"/>
      <c r="GM118" s="54"/>
      <c r="GN118" s="54" t="s">
        <v>1078</v>
      </c>
      <c r="GO118" s="54" t="s">
        <v>1059</v>
      </c>
      <c r="GP118" s="54"/>
      <c r="GQ118" s="56">
        <v>0</v>
      </c>
      <c r="GR118" s="54" t="s">
        <v>1210</v>
      </c>
      <c r="GS118" s="54" t="s">
        <v>1101</v>
      </c>
    </row>
    <row r="119" spans="1:201" x14ac:dyDescent="0.25">
      <c r="A119" s="54" t="s">
        <v>1032</v>
      </c>
      <c r="B119" s="54" t="s">
        <v>1033</v>
      </c>
      <c r="C119" s="54" t="s">
        <v>1242</v>
      </c>
      <c r="D119" s="54" t="s">
        <v>1035</v>
      </c>
      <c r="E119" s="54" t="s">
        <v>1036</v>
      </c>
      <c r="F119" s="55">
        <v>46185</v>
      </c>
      <c r="G119" s="55">
        <v>46185</v>
      </c>
      <c r="H119" s="54" t="s">
        <v>1037</v>
      </c>
      <c r="I119" s="54" t="s">
        <v>1038</v>
      </c>
      <c r="J119" s="54" t="s">
        <v>1039</v>
      </c>
      <c r="K119" s="55"/>
      <c r="L119" s="54" t="s">
        <v>1040</v>
      </c>
      <c r="M119" s="54"/>
      <c r="N119" s="54" t="s">
        <v>1243</v>
      </c>
      <c r="O119" s="54" t="s">
        <v>1088</v>
      </c>
      <c r="P119" s="54" t="s">
        <v>175</v>
      </c>
      <c r="Q119" s="54" t="s">
        <v>6</v>
      </c>
      <c r="R119" s="54" t="s">
        <v>1043</v>
      </c>
      <c r="S119" s="56">
        <v>753.36</v>
      </c>
      <c r="T119" s="56">
        <v>753.36</v>
      </c>
      <c r="U119" s="56">
        <v>0</v>
      </c>
      <c r="V119" s="56">
        <v>0</v>
      </c>
      <c r="W119" s="56">
        <v>0</v>
      </c>
      <c r="X119" s="56">
        <v>0</v>
      </c>
      <c r="Y119" s="56">
        <v>0</v>
      </c>
      <c r="Z119" s="56">
        <v>24</v>
      </c>
      <c r="AA119" s="56">
        <v>24</v>
      </c>
      <c r="AB119" s="59">
        <v>0</v>
      </c>
      <c r="AC119" s="56">
        <v>0</v>
      </c>
      <c r="AD119" s="56">
        <v>0</v>
      </c>
      <c r="AE119" s="56">
        <v>0</v>
      </c>
      <c r="AF119" s="54" t="s">
        <v>1199</v>
      </c>
      <c r="AG119" s="57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 t="s">
        <v>1045</v>
      </c>
      <c r="AS119" s="54" t="s">
        <v>1081</v>
      </c>
      <c r="AT119" s="54" t="s">
        <v>1082</v>
      </c>
      <c r="AU119" s="54" t="s">
        <v>1048</v>
      </c>
      <c r="AV119" s="54"/>
      <c r="AW119" s="55">
        <v>46198</v>
      </c>
      <c r="AX119" s="55">
        <v>46185</v>
      </c>
      <c r="AY119" s="55">
        <v>46185</v>
      </c>
      <c r="AZ119" s="55"/>
      <c r="BA119" s="55">
        <v>46198</v>
      </c>
      <c r="BB119" s="56">
        <v>0</v>
      </c>
      <c r="BC119" s="56">
        <v>0</v>
      </c>
      <c r="BD119" s="56">
        <v>0</v>
      </c>
      <c r="BE119" s="56">
        <v>0</v>
      </c>
      <c r="BF119" s="56">
        <v>0</v>
      </c>
      <c r="BG119" s="56">
        <v>0</v>
      </c>
      <c r="BH119" s="56">
        <v>0</v>
      </c>
      <c r="BI119" s="56">
        <v>0</v>
      </c>
      <c r="BJ119" s="56">
        <v>0</v>
      </c>
      <c r="BK119" s="56">
        <v>0</v>
      </c>
      <c r="BL119" s="56">
        <v>0</v>
      </c>
      <c r="BM119" s="56">
        <v>0</v>
      </c>
      <c r="BN119" s="56">
        <v>0</v>
      </c>
      <c r="BO119" s="56">
        <v>0</v>
      </c>
      <c r="BP119" s="54" t="s">
        <v>1049</v>
      </c>
      <c r="BQ119" s="54" t="s">
        <v>1050</v>
      </c>
      <c r="BR119" s="54" t="s">
        <v>1049</v>
      </c>
      <c r="BS119" s="54" t="s">
        <v>1050</v>
      </c>
      <c r="BT119" s="54" t="s">
        <v>1051</v>
      </c>
      <c r="BU119" s="54" t="s">
        <v>1043</v>
      </c>
      <c r="BV119" s="58">
        <v>24</v>
      </c>
      <c r="BW119" s="54" t="s">
        <v>1052</v>
      </c>
      <c r="BX119" s="54" t="s">
        <v>1053</v>
      </c>
      <c r="BY119" s="54" t="s">
        <v>1054</v>
      </c>
      <c r="BZ119" s="54" t="s">
        <v>1055</v>
      </c>
      <c r="CA119" s="55"/>
      <c r="CB119" s="54" t="s">
        <v>1056</v>
      </c>
      <c r="CC119" s="54" t="s">
        <v>1057</v>
      </c>
      <c r="CD119" s="54" t="s">
        <v>1058</v>
      </c>
      <c r="CE119" s="54" t="s">
        <v>1059</v>
      </c>
      <c r="CF119" s="54" t="s">
        <v>1060</v>
      </c>
      <c r="CG119" s="54" t="s">
        <v>1061</v>
      </c>
      <c r="CH119" s="54" t="s">
        <v>1062</v>
      </c>
      <c r="CI119" s="54" t="s">
        <v>1063</v>
      </c>
      <c r="CJ119" s="54" t="s">
        <v>1064</v>
      </c>
      <c r="CK119" s="54" t="s">
        <v>1065</v>
      </c>
      <c r="CL119" s="54" t="s">
        <v>1066</v>
      </c>
      <c r="CM119" s="54" t="s">
        <v>1067</v>
      </c>
      <c r="CN119" s="54" t="s">
        <v>1068</v>
      </c>
      <c r="CO119" s="54" t="s">
        <v>1069</v>
      </c>
      <c r="CP119" s="56">
        <v>0</v>
      </c>
      <c r="CQ119" s="56">
        <v>0</v>
      </c>
      <c r="CR119" s="56">
        <v>0</v>
      </c>
      <c r="CS119" s="56">
        <v>0</v>
      </c>
      <c r="CT119" s="56">
        <v>0</v>
      </c>
      <c r="CU119" s="56">
        <v>0</v>
      </c>
      <c r="CV119" s="56">
        <v>0</v>
      </c>
      <c r="CW119" s="56">
        <v>0</v>
      </c>
      <c r="CX119" s="56">
        <v>0</v>
      </c>
      <c r="CY119" s="56">
        <v>0</v>
      </c>
      <c r="CZ119" s="56">
        <v>0</v>
      </c>
      <c r="DA119" s="56">
        <v>0</v>
      </c>
      <c r="DB119" s="56">
        <v>0</v>
      </c>
      <c r="DC119" s="56">
        <v>0</v>
      </c>
      <c r="DD119" s="56">
        <v>0</v>
      </c>
      <c r="DE119" s="56">
        <v>0</v>
      </c>
      <c r="DF119" s="56">
        <v>0</v>
      </c>
      <c r="DG119" s="56">
        <v>0</v>
      </c>
      <c r="DH119" s="56">
        <v>0</v>
      </c>
      <c r="DI119" s="56">
        <v>0</v>
      </c>
      <c r="DJ119" s="56">
        <v>0</v>
      </c>
      <c r="DK119" s="56">
        <v>0</v>
      </c>
      <c r="DL119" s="56">
        <v>0</v>
      </c>
      <c r="DM119" s="56">
        <v>0</v>
      </c>
      <c r="DN119" s="56">
        <v>0</v>
      </c>
      <c r="DO119" s="56">
        <v>0</v>
      </c>
      <c r="DP119" s="56">
        <v>0</v>
      </c>
      <c r="DQ119" s="56">
        <v>0</v>
      </c>
      <c r="DR119" s="56">
        <v>0</v>
      </c>
      <c r="DS119" s="56">
        <v>0</v>
      </c>
      <c r="DT119" s="56">
        <v>0</v>
      </c>
      <c r="DU119" s="56">
        <v>0</v>
      </c>
      <c r="DV119" s="56">
        <v>0</v>
      </c>
      <c r="DW119" s="56">
        <v>0</v>
      </c>
      <c r="DX119" s="56">
        <v>0</v>
      </c>
      <c r="DY119" s="56">
        <v>0</v>
      </c>
      <c r="DZ119" s="56">
        <v>0</v>
      </c>
      <c r="EA119" s="56">
        <v>0</v>
      </c>
      <c r="EB119" s="56">
        <v>0</v>
      </c>
      <c r="EC119" s="56">
        <v>0</v>
      </c>
      <c r="ED119" s="56">
        <v>0</v>
      </c>
      <c r="EE119" s="56">
        <v>0</v>
      </c>
      <c r="EF119" s="56">
        <v>0</v>
      </c>
      <c r="EG119" s="56">
        <v>0</v>
      </c>
      <c r="EH119" s="56">
        <v>90.4</v>
      </c>
      <c r="EI119" s="56">
        <v>0</v>
      </c>
      <c r="EJ119" s="56">
        <v>0</v>
      </c>
      <c r="EK119" s="56">
        <v>0</v>
      </c>
      <c r="EL119" s="56">
        <v>0</v>
      </c>
      <c r="EM119" s="56">
        <v>0</v>
      </c>
      <c r="EN119" s="56">
        <v>0</v>
      </c>
      <c r="EO119" s="56">
        <v>0</v>
      </c>
      <c r="EP119" s="56">
        <v>0</v>
      </c>
      <c r="EQ119" s="56">
        <v>0</v>
      </c>
      <c r="ER119" s="56">
        <v>0</v>
      </c>
      <c r="ES119" s="56">
        <v>0</v>
      </c>
      <c r="ET119" s="56">
        <v>0</v>
      </c>
      <c r="EU119" s="56">
        <v>0</v>
      </c>
      <c r="EV119" s="56">
        <v>0</v>
      </c>
      <c r="EW119" s="56">
        <v>0</v>
      </c>
      <c r="EX119" s="56">
        <v>0</v>
      </c>
      <c r="EY119" s="56">
        <v>0</v>
      </c>
      <c r="EZ119" s="56">
        <v>0</v>
      </c>
      <c r="FA119" s="56">
        <v>0</v>
      </c>
      <c r="FB119" s="56">
        <v>0</v>
      </c>
      <c r="FC119" s="58">
        <v>0</v>
      </c>
      <c r="FD119" s="56">
        <v>0</v>
      </c>
      <c r="FE119" s="56">
        <v>0</v>
      </c>
      <c r="FF119" s="56">
        <v>0</v>
      </c>
      <c r="FG119" s="56">
        <v>0</v>
      </c>
      <c r="FH119" s="56">
        <v>0</v>
      </c>
      <c r="FI119" s="56">
        <v>0</v>
      </c>
      <c r="FJ119" s="56">
        <v>0</v>
      </c>
      <c r="FK119" s="56">
        <v>0</v>
      </c>
      <c r="FL119" s="56">
        <v>0</v>
      </c>
      <c r="FM119" s="56">
        <v>0</v>
      </c>
      <c r="FN119" s="56">
        <v>0</v>
      </c>
      <c r="FO119" s="56">
        <v>0</v>
      </c>
      <c r="FP119" s="56">
        <v>0</v>
      </c>
      <c r="FQ119" s="56">
        <v>0</v>
      </c>
      <c r="FR119" s="56">
        <v>0</v>
      </c>
      <c r="FS119" s="58">
        <v>0</v>
      </c>
      <c r="FT119" s="56">
        <v>0</v>
      </c>
      <c r="FU119" s="56">
        <v>0</v>
      </c>
      <c r="FV119" s="56">
        <v>0</v>
      </c>
      <c r="FW119" s="56">
        <v>0</v>
      </c>
      <c r="FX119" s="56">
        <v>0</v>
      </c>
      <c r="FY119" s="56">
        <v>0</v>
      </c>
      <c r="FZ119" s="54" t="s">
        <v>1083</v>
      </c>
      <c r="GA119" s="54" t="s">
        <v>1084</v>
      </c>
      <c r="GB119" s="54" t="s">
        <v>1072</v>
      </c>
      <c r="GC119" s="54" t="s">
        <v>1073</v>
      </c>
      <c r="GD119" s="54" t="s">
        <v>1247</v>
      </c>
      <c r="GE119" s="54" t="s">
        <v>1075</v>
      </c>
      <c r="GF119" s="54"/>
      <c r="GG119" s="55"/>
      <c r="GH119" s="54"/>
      <c r="GI119" s="54"/>
      <c r="GJ119" s="54" t="s">
        <v>1076</v>
      </c>
      <c r="GK119" s="54" t="s">
        <v>1077</v>
      </c>
      <c r="GL119" s="54"/>
      <c r="GM119" s="54"/>
      <c r="GN119" s="54" t="s">
        <v>1078</v>
      </c>
      <c r="GO119" s="54" t="s">
        <v>1059</v>
      </c>
      <c r="GP119" s="54"/>
      <c r="GQ119" s="56">
        <v>0</v>
      </c>
      <c r="GR119" s="54" t="s">
        <v>1210</v>
      </c>
      <c r="GS119" s="54"/>
    </row>
    <row r="120" spans="1:201" x14ac:dyDescent="0.25">
      <c r="A120" s="54" t="s">
        <v>1032</v>
      </c>
      <c r="B120" s="54" t="s">
        <v>1033</v>
      </c>
      <c r="C120" s="54" t="s">
        <v>1242</v>
      </c>
      <c r="D120" s="54" t="s">
        <v>1035</v>
      </c>
      <c r="E120" s="54" t="s">
        <v>1036</v>
      </c>
      <c r="F120" s="55">
        <v>46185</v>
      </c>
      <c r="G120" s="55">
        <v>46185</v>
      </c>
      <c r="H120" s="54" t="s">
        <v>1037</v>
      </c>
      <c r="I120" s="54" t="s">
        <v>1038</v>
      </c>
      <c r="J120" s="54" t="s">
        <v>1039</v>
      </c>
      <c r="K120" s="55"/>
      <c r="L120" s="54" t="s">
        <v>1040</v>
      </c>
      <c r="M120" s="54"/>
      <c r="N120" s="54" t="s">
        <v>1243</v>
      </c>
      <c r="O120" s="54" t="s">
        <v>1089</v>
      </c>
      <c r="P120" s="54" t="s">
        <v>559</v>
      </c>
      <c r="Q120" s="54" t="s">
        <v>561</v>
      </c>
      <c r="R120" s="54" t="s">
        <v>1043</v>
      </c>
      <c r="S120" s="56">
        <v>1995.75</v>
      </c>
      <c r="T120" s="56">
        <v>0</v>
      </c>
      <c r="U120" s="56">
        <v>0</v>
      </c>
      <c r="V120" s="56">
        <v>0</v>
      </c>
      <c r="W120" s="56">
        <v>0</v>
      </c>
      <c r="X120" s="56">
        <v>0</v>
      </c>
      <c r="Y120" s="56">
        <v>0</v>
      </c>
      <c r="Z120" s="56">
        <v>75</v>
      </c>
      <c r="AA120" s="56">
        <v>0</v>
      </c>
      <c r="AB120" s="59">
        <v>0</v>
      </c>
      <c r="AC120" s="56">
        <v>0</v>
      </c>
      <c r="AD120" s="56">
        <v>0</v>
      </c>
      <c r="AE120" s="56">
        <v>0</v>
      </c>
      <c r="AF120" s="54" t="s">
        <v>1199</v>
      </c>
      <c r="AG120" s="57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 t="s">
        <v>1045</v>
      </c>
      <c r="AS120" s="54" t="s">
        <v>1094</v>
      </c>
      <c r="AT120" s="54" t="s">
        <v>1095</v>
      </c>
      <c r="AU120" s="54" t="s">
        <v>1048</v>
      </c>
      <c r="AV120" s="54"/>
      <c r="AW120" s="55">
        <v>46198</v>
      </c>
      <c r="AX120" s="55">
        <v>46185</v>
      </c>
      <c r="AY120" s="55">
        <v>46185</v>
      </c>
      <c r="AZ120" s="55"/>
      <c r="BA120" s="55">
        <v>46198</v>
      </c>
      <c r="BB120" s="56">
        <v>0</v>
      </c>
      <c r="BC120" s="56">
        <v>0</v>
      </c>
      <c r="BD120" s="56">
        <v>0</v>
      </c>
      <c r="BE120" s="56">
        <v>0</v>
      </c>
      <c r="BF120" s="56">
        <v>0</v>
      </c>
      <c r="BG120" s="56">
        <v>0</v>
      </c>
      <c r="BH120" s="56">
        <v>0</v>
      </c>
      <c r="BI120" s="56">
        <v>0</v>
      </c>
      <c r="BJ120" s="56">
        <v>0</v>
      </c>
      <c r="BK120" s="56">
        <v>0</v>
      </c>
      <c r="BL120" s="56">
        <v>0</v>
      </c>
      <c r="BM120" s="56">
        <v>0</v>
      </c>
      <c r="BN120" s="56">
        <v>0</v>
      </c>
      <c r="BO120" s="56">
        <v>0</v>
      </c>
      <c r="BP120" s="54" t="s">
        <v>1049</v>
      </c>
      <c r="BQ120" s="54" t="s">
        <v>1050</v>
      </c>
      <c r="BR120" s="54" t="s">
        <v>1049</v>
      </c>
      <c r="BS120" s="54" t="s">
        <v>1050</v>
      </c>
      <c r="BT120" s="54" t="s">
        <v>1096</v>
      </c>
      <c r="BU120" s="54" t="s">
        <v>1043</v>
      </c>
      <c r="BV120" s="58">
        <v>0</v>
      </c>
      <c r="BW120" s="54" t="s">
        <v>1052</v>
      </c>
      <c r="BX120" s="54" t="s">
        <v>1053</v>
      </c>
      <c r="BY120" s="54" t="s">
        <v>1054</v>
      </c>
      <c r="BZ120" s="54" t="s">
        <v>1055</v>
      </c>
      <c r="CA120" s="55"/>
      <c r="CB120" s="54" t="s">
        <v>1056</v>
      </c>
      <c r="CC120" s="54" t="s">
        <v>1057</v>
      </c>
      <c r="CD120" s="54" t="s">
        <v>1058</v>
      </c>
      <c r="CE120" s="54" t="s">
        <v>1059</v>
      </c>
      <c r="CF120" s="54" t="s">
        <v>1060</v>
      </c>
      <c r="CG120" s="54" t="s">
        <v>1061</v>
      </c>
      <c r="CH120" s="54" t="s">
        <v>1062</v>
      </c>
      <c r="CI120" s="54" t="s">
        <v>1063</v>
      </c>
      <c r="CJ120" s="54" t="s">
        <v>1064</v>
      </c>
      <c r="CK120" s="54" t="s">
        <v>1065</v>
      </c>
      <c r="CL120" s="54" t="s">
        <v>1066</v>
      </c>
      <c r="CM120" s="54" t="s">
        <v>1067</v>
      </c>
      <c r="CN120" s="54" t="s">
        <v>1068</v>
      </c>
      <c r="CO120" s="54" t="s">
        <v>1069</v>
      </c>
      <c r="CP120" s="56">
        <v>0</v>
      </c>
      <c r="CQ120" s="56">
        <v>0</v>
      </c>
      <c r="CR120" s="56">
        <v>0</v>
      </c>
      <c r="CS120" s="56">
        <v>0</v>
      </c>
      <c r="CT120" s="56">
        <v>0</v>
      </c>
      <c r="CU120" s="56">
        <v>0</v>
      </c>
      <c r="CV120" s="56">
        <v>0</v>
      </c>
      <c r="CW120" s="56">
        <v>0</v>
      </c>
      <c r="CX120" s="56">
        <v>0</v>
      </c>
      <c r="CY120" s="56">
        <v>0</v>
      </c>
      <c r="CZ120" s="56">
        <v>0</v>
      </c>
      <c r="DA120" s="56">
        <v>0</v>
      </c>
      <c r="DB120" s="56">
        <v>0</v>
      </c>
      <c r="DC120" s="56">
        <v>0</v>
      </c>
      <c r="DD120" s="56">
        <v>0</v>
      </c>
      <c r="DE120" s="56">
        <v>0</v>
      </c>
      <c r="DF120" s="56">
        <v>0</v>
      </c>
      <c r="DG120" s="56">
        <v>0</v>
      </c>
      <c r="DH120" s="56">
        <v>0</v>
      </c>
      <c r="DI120" s="56">
        <v>0</v>
      </c>
      <c r="DJ120" s="56">
        <v>0</v>
      </c>
      <c r="DK120" s="56">
        <v>0</v>
      </c>
      <c r="DL120" s="56">
        <v>0</v>
      </c>
      <c r="DM120" s="56">
        <v>0</v>
      </c>
      <c r="DN120" s="56">
        <v>0</v>
      </c>
      <c r="DO120" s="56">
        <v>0</v>
      </c>
      <c r="DP120" s="56">
        <v>0</v>
      </c>
      <c r="DQ120" s="56">
        <v>0</v>
      </c>
      <c r="DR120" s="56">
        <v>0</v>
      </c>
      <c r="DS120" s="56">
        <v>0</v>
      </c>
      <c r="DT120" s="56">
        <v>0</v>
      </c>
      <c r="DU120" s="56">
        <v>0</v>
      </c>
      <c r="DV120" s="56">
        <v>0</v>
      </c>
      <c r="DW120" s="56">
        <v>0</v>
      </c>
      <c r="DX120" s="56">
        <v>0</v>
      </c>
      <c r="DY120" s="56">
        <v>0</v>
      </c>
      <c r="DZ120" s="56">
        <v>0</v>
      </c>
      <c r="EA120" s="56">
        <v>0</v>
      </c>
      <c r="EB120" s="56">
        <v>0</v>
      </c>
      <c r="EC120" s="56">
        <v>0</v>
      </c>
      <c r="ED120" s="56">
        <v>0</v>
      </c>
      <c r="EE120" s="56">
        <v>0</v>
      </c>
      <c r="EF120" s="56">
        <v>0</v>
      </c>
      <c r="EG120" s="56">
        <v>0</v>
      </c>
      <c r="EH120" s="56">
        <v>239.49</v>
      </c>
      <c r="EI120" s="56">
        <v>0</v>
      </c>
      <c r="EJ120" s="56">
        <v>0</v>
      </c>
      <c r="EK120" s="56">
        <v>0</v>
      </c>
      <c r="EL120" s="56">
        <v>0</v>
      </c>
      <c r="EM120" s="56">
        <v>0</v>
      </c>
      <c r="EN120" s="56">
        <v>0</v>
      </c>
      <c r="EO120" s="56">
        <v>0</v>
      </c>
      <c r="EP120" s="56">
        <v>0</v>
      </c>
      <c r="EQ120" s="56">
        <v>0</v>
      </c>
      <c r="ER120" s="56">
        <v>0</v>
      </c>
      <c r="ES120" s="56">
        <v>0</v>
      </c>
      <c r="ET120" s="56">
        <v>0</v>
      </c>
      <c r="EU120" s="56">
        <v>0</v>
      </c>
      <c r="EV120" s="56">
        <v>0</v>
      </c>
      <c r="EW120" s="56">
        <v>0</v>
      </c>
      <c r="EX120" s="56">
        <v>0</v>
      </c>
      <c r="EY120" s="56">
        <v>0</v>
      </c>
      <c r="EZ120" s="56">
        <v>0</v>
      </c>
      <c r="FA120" s="56">
        <v>0</v>
      </c>
      <c r="FB120" s="56">
        <v>0</v>
      </c>
      <c r="FC120" s="58">
        <v>0</v>
      </c>
      <c r="FD120" s="56">
        <v>0</v>
      </c>
      <c r="FE120" s="56">
        <v>0</v>
      </c>
      <c r="FF120" s="56">
        <v>0</v>
      </c>
      <c r="FG120" s="56">
        <v>0</v>
      </c>
      <c r="FH120" s="56">
        <v>0</v>
      </c>
      <c r="FI120" s="56">
        <v>0</v>
      </c>
      <c r="FJ120" s="56">
        <v>0</v>
      </c>
      <c r="FK120" s="56">
        <v>0</v>
      </c>
      <c r="FL120" s="56">
        <v>0</v>
      </c>
      <c r="FM120" s="56">
        <v>0</v>
      </c>
      <c r="FN120" s="56">
        <v>0</v>
      </c>
      <c r="FO120" s="56">
        <v>0</v>
      </c>
      <c r="FP120" s="56">
        <v>0</v>
      </c>
      <c r="FQ120" s="56">
        <v>0</v>
      </c>
      <c r="FR120" s="56">
        <v>0</v>
      </c>
      <c r="FS120" s="58">
        <v>0</v>
      </c>
      <c r="FT120" s="56">
        <v>0</v>
      </c>
      <c r="FU120" s="56">
        <v>0</v>
      </c>
      <c r="FV120" s="56">
        <v>0</v>
      </c>
      <c r="FW120" s="56">
        <v>0</v>
      </c>
      <c r="FX120" s="56">
        <v>0</v>
      </c>
      <c r="FY120" s="56">
        <v>0</v>
      </c>
      <c r="FZ120" s="54" t="s">
        <v>1097</v>
      </c>
      <c r="GA120" s="54" t="s">
        <v>1098</v>
      </c>
      <c r="GB120" s="54" t="s">
        <v>1072</v>
      </c>
      <c r="GC120" s="54" t="s">
        <v>1073</v>
      </c>
      <c r="GD120" s="54" t="s">
        <v>1092</v>
      </c>
      <c r="GE120" s="54" t="s">
        <v>1075</v>
      </c>
      <c r="GF120" s="54"/>
      <c r="GG120" s="55"/>
      <c r="GH120" s="54"/>
      <c r="GI120" s="54"/>
      <c r="GJ120" s="54" t="s">
        <v>1076</v>
      </c>
      <c r="GK120" s="54" t="s">
        <v>1077</v>
      </c>
      <c r="GL120" s="54"/>
      <c r="GM120" s="54"/>
      <c r="GN120" s="54" t="s">
        <v>1078</v>
      </c>
      <c r="GO120" s="54" t="s">
        <v>1059</v>
      </c>
      <c r="GP120" s="54"/>
      <c r="GQ120" s="56">
        <v>0</v>
      </c>
      <c r="GR120" s="54" t="s">
        <v>1210</v>
      </c>
      <c r="GS120" s="54"/>
    </row>
    <row r="121" spans="1:201" x14ac:dyDescent="0.25">
      <c r="A121" s="54" t="s">
        <v>1032</v>
      </c>
      <c r="B121" s="54" t="s">
        <v>1033</v>
      </c>
      <c r="C121" s="54" t="s">
        <v>1242</v>
      </c>
      <c r="D121" s="54" t="s">
        <v>1035</v>
      </c>
      <c r="E121" s="54" t="s">
        <v>1036</v>
      </c>
      <c r="F121" s="55">
        <v>46185</v>
      </c>
      <c r="G121" s="55">
        <v>46185</v>
      </c>
      <c r="H121" s="54" t="s">
        <v>1037</v>
      </c>
      <c r="I121" s="54" t="s">
        <v>1038</v>
      </c>
      <c r="J121" s="54" t="s">
        <v>1039</v>
      </c>
      <c r="K121" s="55"/>
      <c r="L121" s="54" t="s">
        <v>1040</v>
      </c>
      <c r="M121" s="54"/>
      <c r="N121" s="54" t="s">
        <v>1243</v>
      </c>
      <c r="O121" s="54" t="s">
        <v>1090</v>
      </c>
      <c r="P121" s="54" t="s">
        <v>620</v>
      </c>
      <c r="Q121" s="54" t="s">
        <v>625</v>
      </c>
      <c r="R121" s="54" t="s">
        <v>1043</v>
      </c>
      <c r="S121" s="56">
        <v>6048</v>
      </c>
      <c r="T121" s="56">
        <v>0</v>
      </c>
      <c r="U121" s="56">
        <v>6048</v>
      </c>
      <c r="V121" s="56">
        <v>0</v>
      </c>
      <c r="W121" s="56">
        <v>0</v>
      </c>
      <c r="X121" s="56">
        <v>0</v>
      </c>
      <c r="Y121" s="56">
        <v>0</v>
      </c>
      <c r="Z121" s="56">
        <v>90</v>
      </c>
      <c r="AA121" s="56">
        <v>0</v>
      </c>
      <c r="AB121" s="59">
        <v>90</v>
      </c>
      <c r="AC121" s="56">
        <v>0</v>
      </c>
      <c r="AD121" s="56">
        <v>0</v>
      </c>
      <c r="AE121" s="56">
        <v>0</v>
      </c>
      <c r="AF121" s="54" t="s">
        <v>1199</v>
      </c>
      <c r="AG121" s="57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 t="s">
        <v>1045</v>
      </c>
      <c r="AS121" s="54" t="s">
        <v>1046</v>
      </c>
      <c r="AT121" s="54" t="s">
        <v>1047</v>
      </c>
      <c r="AU121" s="54" t="s">
        <v>1048</v>
      </c>
      <c r="AV121" s="54"/>
      <c r="AW121" s="55">
        <v>46198</v>
      </c>
      <c r="AX121" s="55">
        <v>46185</v>
      </c>
      <c r="AY121" s="55">
        <v>46185</v>
      </c>
      <c r="AZ121" s="55"/>
      <c r="BA121" s="55">
        <v>46198</v>
      </c>
      <c r="BB121" s="56">
        <v>0</v>
      </c>
      <c r="BC121" s="56">
        <v>0</v>
      </c>
      <c r="BD121" s="56">
        <v>0</v>
      </c>
      <c r="BE121" s="56">
        <v>0</v>
      </c>
      <c r="BF121" s="56">
        <v>0</v>
      </c>
      <c r="BG121" s="56">
        <v>0</v>
      </c>
      <c r="BH121" s="56">
        <v>0</v>
      </c>
      <c r="BI121" s="56">
        <v>0</v>
      </c>
      <c r="BJ121" s="56">
        <v>0</v>
      </c>
      <c r="BK121" s="56">
        <v>0</v>
      </c>
      <c r="BL121" s="56">
        <v>0</v>
      </c>
      <c r="BM121" s="56">
        <v>0</v>
      </c>
      <c r="BN121" s="56">
        <v>0</v>
      </c>
      <c r="BO121" s="56">
        <v>0</v>
      </c>
      <c r="BP121" s="54" t="s">
        <v>1049</v>
      </c>
      <c r="BQ121" s="54" t="s">
        <v>1050</v>
      </c>
      <c r="BR121" s="54" t="s">
        <v>1049</v>
      </c>
      <c r="BS121" s="54" t="s">
        <v>1050</v>
      </c>
      <c r="BT121" s="54" t="s">
        <v>1051</v>
      </c>
      <c r="BU121" s="54" t="s">
        <v>1043</v>
      </c>
      <c r="BV121" s="58">
        <v>0</v>
      </c>
      <c r="BW121" s="54" t="s">
        <v>1052</v>
      </c>
      <c r="BX121" s="54" t="s">
        <v>1053</v>
      </c>
      <c r="BY121" s="54" t="s">
        <v>1054</v>
      </c>
      <c r="BZ121" s="54" t="s">
        <v>1055</v>
      </c>
      <c r="CA121" s="55"/>
      <c r="CB121" s="54" t="s">
        <v>1056</v>
      </c>
      <c r="CC121" s="54" t="s">
        <v>1057</v>
      </c>
      <c r="CD121" s="54" t="s">
        <v>1058</v>
      </c>
      <c r="CE121" s="54" t="s">
        <v>1059</v>
      </c>
      <c r="CF121" s="54" t="s">
        <v>1060</v>
      </c>
      <c r="CG121" s="54" t="s">
        <v>1061</v>
      </c>
      <c r="CH121" s="54" t="s">
        <v>1062</v>
      </c>
      <c r="CI121" s="54" t="s">
        <v>1063</v>
      </c>
      <c r="CJ121" s="54" t="s">
        <v>1064</v>
      </c>
      <c r="CK121" s="54" t="s">
        <v>1065</v>
      </c>
      <c r="CL121" s="54" t="s">
        <v>1066</v>
      </c>
      <c r="CM121" s="54" t="s">
        <v>1067</v>
      </c>
      <c r="CN121" s="54" t="s">
        <v>1068</v>
      </c>
      <c r="CO121" s="54" t="s">
        <v>1069</v>
      </c>
      <c r="CP121" s="56">
        <v>0</v>
      </c>
      <c r="CQ121" s="56">
        <v>0</v>
      </c>
      <c r="CR121" s="56">
        <v>0</v>
      </c>
      <c r="CS121" s="56">
        <v>0</v>
      </c>
      <c r="CT121" s="56">
        <v>0</v>
      </c>
      <c r="CU121" s="56">
        <v>0</v>
      </c>
      <c r="CV121" s="56">
        <v>0</v>
      </c>
      <c r="CW121" s="56">
        <v>0</v>
      </c>
      <c r="CX121" s="56">
        <v>0</v>
      </c>
      <c r="CY121" s="56">
        <v>0</v>
      </c>
      <c r="CZ121" s="56">
        <v>0</v>
      </c>
      <c r="DA121" s="56">
        <v>0</v>
      </c>
      <c r="DB121" s="56">
        <v>0</v>
      </c>
      <c r="DC121" s="56">
        <v>0</v>
      </c>
      <c r="DD121" s="56">
        <v>0</v>
      </c>
      <c r="DE121" s="56">
        <v>0</v>
      </c>
      <c r="DF121" s="56">
        <v>0</v>
      </c>
      <c r="DG121" s="56">
        <v>0</v>
      </c>
      <c r="DH121" s="56">
        <v>0</v>
      </c>
      <c r="DI121" s="56">
        <v>0</v>
      </c>
      <c r="DJ121" s="56">
        <v>0</v>
      </c>
      <c r="DK121" s="56">
        <v>0</v>
      </c>
      <c r="DL121" s="56">
        <v>0</v>
      </c>
      <c r="DM121" s="56">
        <v>0</v>
      </c>
      <c r="DN121" s="56">
        <v>0</v>
      </c>
      <c r="DO121" s="56">
        <v>0</v>
      </c>
      <c r="DP121" s="56">
        <v>0</v>
      </c>
      <c r="DQ121" s="56">
        <v>0</v>
      </c>
      <c r="DR121" s="56">
        <v>0</v>
      </c>
      <c r="DS121" s="56">
        <v>0</v>
      </c>
      <c r="DT121" s="56">
        <v>0</v>
      </c>
      <c r="DU121" s="56">
        <v>0</v>
      </c>
      <c r="DV121" s="56">
        <v>0</v>
      </c>
      <c r="DW121" s="56">
        <v>0</v>
      </c>
      <c r="DX121" s="56">
        <v>0</v>
      </c>
      <c r="DY121" s="56">
        <v>0</v>
      </c>
      <c r="DZ121" s="56">
        <v>0</v>
      </c>
      <c r="EA121" s="56">
        <v>0</v>
      </c>
      <c r="EB121" s="56">
        <v>0</v>
      </c>
      <c r="EC121" s="56">
        <v>725.76</v>
      </c>
      <c r="ED121" s="56">
        <v>0</v>
      </c>
      <c r="EE121" s="56">
        <v>0</v>
      </c>
      <c r="EF121" s="56">
        <v>0</v>
      </c>
      <c r="EG121" s="56">
        <v>0</v>
      </c>
      <c r="EH121" s="56">
        <v>725.76</v>
      </c>
      <c r="EI121" s="56">
        <v>0</v>
      </c>
      <c r="EJ121" s="56">
        <v>0</v>
      </c>
      <c r="EK121" s="56">
        <v>0</v>
      </c>
      <c r="EL121" s="56">
        <v>0</v>
      </c>
      <c r="EM121" s="56">
        <v>0</v>
      </c>
      <c r="EN121" s="56">
        <v>0</v>
      </c>
      <c r="EO121" s="56">
        <v>0</v>
      </c>
      <c r="EP121" s="56">
        <v>6048</v>
      </c>
      <c r="EQ121" s="56">
        <v>0</v>
      </c>
      <c r="ER121" s="56">
        <v>0</v>
      </c>
      <c r="ES121" s="56">
        <v>90</v>
      </c>
      <c r="ET121" s="56">
        <v>0</v>
      </c>
      <c r="EU121" s="56">
        <v>0</v>
      </c>
      <c r="EV121" s="56">
        <v>0</v>
      </c>
      <c r="EW121" s="56">
        <v>0</v>
      </c>
      <c r="EX121" s="56">
        <v>0</v>
      </c>
      <c r="EY121" s="56">
        <v>0</v>
      </c>
      <c r="EZ121" s="56">
        <v>0</v>
      </c>
      <c r="FA121" s="56">
        <v>0</v>
      </c>
      <c r="FB121" s="56">
        <v>0</v>
      </c>
      <c r="FC121" s="58">
        <v>0</v>
      </c>
      <c r="FD121" s="56">
        <v>0</v>
      </c>
      <c r="FE121" s="56">
        <v>0</v>
      </c>
      <c r="FF121" s="56">
        <v>0</v>
      </c>
      <c r="FG121" s="56">
        <v>0</v>
      </c>
      <c r="FH121" s="56">
        <v>0</v>
      </c>
      <c r="FI121" s="56">
        <v>0</v>
      </c>
      <c r="FJ121" s="56">
        <v>0</v>
      </c>
      <c r="FK121" s="56">
        <v>0</v>
      </c>
      <c r="FL121" s="56">
        <v>0</v>
      </c>
      <c r="FM121" s="56">
        <v>0</v>
      </c>
      <c r="FN121" s="56">
        <v>0</v>
      </c>
      <c r="FO121" s="56">
        <v>0</v>
      </c>
      <c r="FP121" s="56">
        <v>0</v>
      </c>
      <c r="FQ121" s="56">
        <v>0</v>
      </c>
      <c r="FR121" s="56">
        <v>0</v>
      </c>
      <c r="FS121" s="58">
        <v>0</v>
      </c>
      <c r="FT121" s="56">
        <v>0</v>
      </c>
      <c r="FU121" s="56">
        <v>0</v>
      </c>
      <c r="FV121" s="56">
        <v>0</v>
      </c>
      <c r="FW121" s="56">
        <v>0</v>
      </c>
      <c r="FX121" s="56">
        <v>0</v>
      </c>
      <c r="FY121" s="56">
        <v>0</v>
      </c>
      <c r="FZ121" s="54" t="s">
        <v>1083</v>
      </c>
      <c r="GA121" s="54" t="s">
        <v>1084</v>
      </c>
      <c r="GB121" s="54" t="s">
        <v>1072</v>
      </c>
      <c r="GC121" s="54" t="s">
        <v>1073</v>
      </c>
      <c r="GD121" s="54"/>
      <c r="GE121" s="54"/>
      <c r="GF121" s="54" t="s">
        <v>1248</v>
      </c>
      <c r="GG121" s="55">
        <v>46205</v>
      </c>
      <c r="GH121" s="54"/>
      <c r="GI121" s="54"/>
      <c r="GJ121" s="54" t="s">
        <v>1076</v>
      </c>
      <c r="GK121" s="54" t="s">
        <v>1077</v>
      </c>
      <c r="GL121" s="54"/>
      <c r="GM121" s="54"/>
      <c r="GN121" s="54" t="s">
        <v>1078</v>
      </c>
      <c r="GO121" s="54" t="s">
        <v>1059</v>
      </c>
      <c r="GP121" s="54"/>
      <c r="GQ121" s="56">
        <v>0</v>
      </c>
      <c r="GR121" s="54" t="s">
        <v>1210</v>
      </c>
      <c r="GS121" s="54" t="s">
        <v>1101</v>
      </c>
    </row>
    <row r="122" spans="1:201" x14ac:dyDescent="0.25">
      <c r="A122" s="54" t="s">
        <v>1032</v>
      </c>
      <c r="B122" s="54" t="s">
        <v>1033</v>
      </c>
      <c r="C122" s="54" t="s">
        <v>1242</v>
      </c>
      <c r="D122" s="54" t="s">
        <v>1035</v>
      </c>
      <c r="E122" s="54" t="s">
        <v>1036</v>
      </c>
      <c r="F122" s="55">
        <v>46185</v>
      </c>
      <c r="G122" s="55">
        <v>46185</v>
      </c>
      <c r="H122" s="54" t="s">
        <v>1037</v>
      </c>
      <c r="I122" s="54" t="s">
        <v>1038</v>
      </c>
      <c r="J122" s="54" t="s">
        <v>1039</v>
      </c>
      <c r="K122" s="55"/>
      <c r="L122" s="54" t="s">
        <v>1040</v>
      </c>
      <c r="M122" s="54"/>
      <c r="N122" s="54" t="s">
        <v>1243</v>
      </c>
      <c r="O122" s="54" t="s">
        <v>1081</v>
      </c>
      <c r="P122" s="54" t="s">
        <v>619</v>
      </c>
      <c r="Q122" s="54" t="s">
        <v>624</v>
      </c>
      <c r="R122" s="54" t="s">
        <v>1043</v>
      </c>
      <c r="S122" s="56">
        <v>4106.3999999999996</v>
      </c>
      <c r="T122" s="56">
        <v>0</v>
      </c>
      <c r="U122" s="56">
        <v>4106.3999999999996</v>
      </c>
      <c r="V122" s="56">
        <v>0</v>
      </c>
      <c r="W122" s="56">
        <v>0</v>
      </c>
      <c r="X122" s="56">
        <v>0</v>
      </c>
      <c r="Y122" s="56">
        <v>0</v>
      </c>
      <c r="Z122" s="56">
        <v>120</v>
      </c>
      <c r="AA122" s="56">
        <v>0</v>
      </c>
      <c r="AB122" s="59">
        <v>120</v>
      </c>
      <c r="AC122" s="56">
        <v>0</v>
      </c>
      <c r="AD122" s="56">
        <v>0</v>
      </c>
      <c r="AE122" s="56">
        <v>0</v>
      </c>
      <c r="AF122" s="54" t="s">
        <v>1199</v>
      </c>
      <c r="AG122" s="57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 t="s">
        <v>1045</v>
      </c>
      <c r="AS122" s="54" t="s">
        <v>1046</v>
      </c>
      <c r="AT122" s="54" t="s">
        <v>1047</v>
      </c>
      <c r="AU122" s="54" t="s">
        <v>1048</v>
      </c>
      <c r="AV122" s="54"/>
      <c r="AW122" s="55">
        <v>46198</v>
      </c>
      <c r="AX122" s="55">
        <v>46185</v>
      </c>
      <c r="AY122" s="55">
        <v>46185</v>
      </c>
      <c r="AZ122" s="55"/>
      <c r="BA122" s="55">
        <v>46198</v>
      </c>
      <c r="BB122" s="56">
        <v>0</v>
      </c>
      <c r="BC122" s="56">
        <v>0</v>
      </c>
      <c r="BD122" s="56">
        <v>0</v>
      </c>
      <c r="BE122" s="56">
        <v>0</v>
      </c>
      <c r="BF122" s="56">
        <v>0</v>
      </c>
      <c r="BG122" s="56">
        <v>0</v>
      </c>
      <c r="BH122" s="56">
        <v>0</v>
      </c>
      <c r="BI122" s="56">
        <v>0</v>
      </c>
      <c r="BJ122" s="56">
        <v>0</v>
      </c>
      <c r="BK122" s="56">
        <v>0</v>
      </c>
      <c r="BL122" s="56">
        <v>0</v>
      </c>
      <c r="BM122" s="56">
        <v>0</v>
      </c>
      <c r="BN122" s="56">
        <v>0</v>
      </c>
      <c r="BO122" s="56">
        <v>0</v>
      </c>
      <c r="BP122" s="54" t="s">
        <v>1049</v>
      </c>
      <c r="BQ122" s="54" t="s">
        <v>1050</v>
      </c>
      <c r="BR122" s="54" t="s">
        <v>1049</v>
      </c>
      <c r="BS122" s="54" t="s">
        <v>1050</v>
      </c>
      <c r="BT122" s="54" t="s">
        <v>1051</v>
      </c>
      <c r="BU122" s="54" t="s">
        <v>1043</v>
      </c>
      <c r="BV122" s="58">
        <v>0</v>
      </c>
      <c r="BW122" s="54" t="s">
        <v>1052</v>
      </c>
      <c r="BX122" s="54" t="s">
        <v>1053</v>
      </c>
      <c r="BY122" s="54" t="s">
        <v>1054</v>
      </c>
      <c r="BZ122" s="54" t="s">
        <v>1055</v>
      </c>
      <c r="CA122" s="55"/>
      <c r="CB122" s="54" t="s">
        <v>1056</v>
      </c>
      <c r="CC122" s="54" t="s">
        <v>1057</v>
      </c>
      <c r="CD122" s="54" t="s">
        <v>1058</v>
      </c>
      <c r="CE122" s="54" t="s">
        <v>1059</v>
      </c>
      <c r="CF122" s="54" t="s">
        <v>1060</v>
      </c>
      <c r="CG122" s="54" t="s">
        <v>1061</v>
      </c>
      <c r="CH122" s="54" t="s">
        <v>1062</v>
      </c>
      <c r="CI122" s="54" t="s">
        <v>1063</v>
      </c>
      <c r="CJ122" s="54" t="s">
        <v>1064</v>
      </c>
      <c r="CK122" s="54" t="s">
        <v>1065</v>
      </c>
      <c r="CL122" s="54" t="s">
        <v>1066</v>
      </c>
      <c r="CM122" s="54" t="s">
        <v>1067</v>
      </c>
      <c r="CN122" s="54" t="s">
        <v>1068</v>
      </c>
      <c r="CO122" s="54" t="s">
        <v>1069</v>
      </c>
      <c r="CP122" s="56">
        <v>0</v>
      </c>
      <c r="CQ122" s="56">
        <v>0</v>
      </c>
      <c r="CR122" s="56">
        <v>0</v>
      </c>
      <c r="CS122" s="56">
        <v>0</v>
      </c>
      <c r="CT122" s="56">
        <v>0</v>
      </c>
      <c r="CU122" s="56">
        <v>0</v>
      </c>
      <c r="CV122" s="56">
        <v>0</v>
      </c>
      <c r="CW122" s="56">
        <v>0</v>
      </c>
      <c r="CX122" s="56">
        <v>0</v>
      </c>
      <c r="CY122" s="56">
        <v>0</v>
      </c>
      <c r="CZ122" s="56">
        <v>0</v>
      </c>
      <c r="DA122" s="56">
        <v>0</v>
      </c>
      <c r="DB122" s="56">
        <v>0</v>
      </c>
      <c r="DC122" s="56">
        <v>0</v>
      </c>
      <c r="DD122" s="56">
        <v>0</v>
      </c>
      <c r="DE122" s="56">
        <v>0</v>
      </c>
      <c r="DF122" s="56">
        <v>0</v>
      </c>
      <c r="DG122" s="56">
        <v>0</v>
      </c>
      <c r="DH122" s="56">
        <v>0</v>
      </c>
      <c r="DI122" s="56">
        <v>0</v>
      </c>
      <c r="DJ122" s="56">
        <v>0</v>
      </c>
      <c r="DK122" s="56">
        <v>0</v>
      </c>
      <c r="DL122" s="56">
        <v>0</v>
      </c>
      <c r="DM122" s="56">
        <v>0</v>
      </c>
      <c r="DN122" s="56">
        <v>0</v>
      </c>
      <c r="DO122" s="56">
        <v>0</v>
      </c>
      <c r="DP122" s="56">
        <v>0</v>
      </c>
      <c r="DQ122" s="56">
        <v>0</v>
      </c>
      <c r="DR122" s="56">
        <v>0</v>
      </c>
      <c r="DS122" s="56">
        <v>0</v>
      </c>
      <c r="DT122" s="56">
        <v>0</v>
      </c>
      <c r="DU122" s="56">
        <v>0</v>
      </c>
      <c r="DV122" s="56">
        <v>0</v>
      </c>
      <c r="DW122" s="56">
        <v>0</v>
      </c>
      <c r="DX122" s="56">
        <v>0</v>
      </c>
      <c r="DY122" s="56">
        <v>0</v>
      </c>
      <c r="DZ122" s="56">
        <v>0</v>
      </c>
      <c r="EA122" s="56">
        <v>0</v>
      </c>
      <c r="EB122" s="56">
        <v>0</v>
      </c>
      <c r="EC122" s="56">
        <v>492.77</v>
      </c>
      <c r="ED122" s="56">
        <v>0</v>
      </c>
      <c r="EE122" s="56">
        <v>0</v>
      </c>
      <c r="EF122" s="56">
        <v>0</v>
      </c>
      <c r="EG122" s="56">
        <v>0</v>
      </c>
      <c r="EH122" s="56">
        <v>492.77</v>
      </c>
      <c r="EI122" s="56">
        <v>0</v>
      </c>
      <c r="EJ122" s="56">
        <v>0</v>
      </c>
      <c r="EK122" s="56">
        <v>0</v>
      </c>
      <c r="EL122" s="56">
        <v>0</v>
      </c>
      <c r="EM122" s="56">
        <v>0</v>
      </c>
      <c r="EN122" s="56">
        <v>0</v>
      </c>
      <c r="EO122" s="56">
        <v>0</v>
      </c>
      <c r="EP122" s="56">
        <v>4106.3999999999996</v>
      </c>
      <c r="EQ122" s="56">
        <v>0</v>
      </c>
      <c r="ER122" s="56">
        <v>0</v>
      </c>
      <c r="ES122" s="56">
        <v>120</v>
      </c>
      <c r="ET122" s="56">
        <v>0</v>
      </c>
      <c r="EU122" s="56">
        <v>0</v>
      </c>
      <c r="EV122" s="56">
        <v>0</v>
      </c>
      <c r="EW122" s="56">
        <v>0</v>
      </c>
      <c r="EX122" s="56">
        <v>0</v>
      </c>
      <c r="EY122" s="56">
        <v>0</v>
      </c>
      <c r="EZ122" s="56">
        <v>0</v>
      </c>
      <c r="FA122" s="56">
        <v>0</v>
      </c>
      <c r="FB122" s="56">
        <v>0</v>
      </c>
      <c r="FC122" s="58">
        <v>0</v>
      </c>
      <c r="FD122" s="56">
        <v>0</v>
      </c>
      <c r="FE122" s="56">
        <v>0</v>
      </c>
      <c r="FF122" s="56">
        <v>0</v>
      </c>
      <c r="FG122" s="56">
        <v>0</v>
      </c>
      <c r="FH122" s="56">
        <v>0</v>
      </c>
      <c r="FI122" s="56">
        <v>0</v>
      </c>
      <c r="FJ122" s="56">
        <v>0</v>
      </c>
      <c r="FK122" s="56">
        <v>0</v>
      </c>
      <c r="FL122" s="56">
        <v>0</v>
      </c>
      <c r="FM122" s="56">
        <v>0</v>
      </c>
      <c r="FN122" s="56">
        <v>0</v>
      </c>
      <c r="FO122" s="56">
        <v>0</v>
      </c>
      <c r="FP122" s="56">
        <v>0</v>
      </c>
      <c r="FQ122" s="56">
        <v>0</v>
      </c>
      <c r="FR122" s="56">
        <v>0</v>
      </c>
      <c r="FS122" s="58">
        <v>0</v>
      </c>
      <c r="FT122" s="56">
        <v>0</v>
      </c>
      <c r="FU122" s="56">
        <v>0</v>
      </c>
      <c r="FV122" s="56">
        <v>0</v>
      </c>
      <c r="FW122" s="56">
        <v>0</v>
      </c>
      <c r="FX122" s="56">
        <v>0</v>
      </c>
      <c r="FY122" s="56">
        <v>0</v>
      </c>
      <c r="FZ122" s="54" t="s">
        <v>1083</v>
      </c>
      <c r="GA122" s="54" t="s">
        <v>1084</v>
      </c>
      <c r="GB122" s="54" t="s">
        <v>1072</v>
      </c>
      <c r="GC122" s="54" t="s">
        <v>1073</v>
      </c>
      <c r="GD122" s="54"/>
      <c r="GE122" s="54"/>
      <c r="GF122" s="54" t="s">
        <v>1100</v>
      </c>
      <c r="GG122" s="55">
        <v>46205</v>
      </c>
      <c r="GH122" s="54"/>
      <c r="GI122" s="54"/>
      <c r="GJ122" s="54" t="s">
        <v>1076</v>
      </c>
      <c r="GK122" s="54" t="s">
        <v>1077</v>
      </c>
      <c r="GL122" s="54"/>
      <c r="GM122" s="54"/>
      <c r="GN122" s="54" t="s">
        <v>1078</v>
      </c>
      <c r="GO122" s="54" t="s">
        <v>1059</v>
      </c>
      <c r="GP122" s="54"/>
      <c r="GQ122" s="56">
        <v>0</v>
      </c>
      <c r="GR122" s="54" t="s">
        <v>1210</v>
      </c>
      <c r="GS122" s="54" t="s">
        <v>1101</v>
      </c>
    </row>
    <row r="123" spans="1:201" x14ac:dyDescent="0.25">
      <c r="A123" s="54" t="s">
        <v>1032</v>
      </c>
      <c r="B123" s="54" t="s">
        <v>1033</v>
      </c>
      <c r="C123" s="54" t="s">
        <v>1242</v>
      </c>
      <c r="D123" s="54" t="s">
        <v>1035</v>
      </c>
      <c r="E123" s="54" t="s">
        <v>1036</v>
      </c>
      <c r="F123" s="55">
        <v>46185</v>
      </c>
      <c r="G123" s="55">
        <v>46185</v>
      </c>
      <c r="H123" s="54" t="s">
        <v>1037</v>
      </c>
      <c r="I123" s="54" t="s">
        <v>1038</v>
      </c>
      <c r="J123" s="54" t="s">
        <v>1039</v>
      </c>
      <c r="K123" s="55"/>
      <c r="L123" s="54" t="s">
        <v>1040</v>
      </c>
      <c r="M123" s="54"/>
      <c r="N123" s="54" t="s">
        <v>1243</v>
      </c>
      <c r="O123" s="54" t="s">
        <v>1046</v>
      </c>
      <c r="P123" s="54" t="s">
        <v>714</v>
      </c>
      <c r="Q123" s="54" t="s">
        <v>594</v>
      </c>
      <c r="R123" s="54" t="s">
        <v>1043</v>
      </c>
      <c r="S123" s="56">
        <v>1364.4</v>
      </c>
      <c r="T123" s="56">
        <v>1364.4</v>
      </c>
      <c r="U123" s="56">
        <v>0</v>
      </c>
      <c r="V123" s="56">
        <v>0</v>
      </c>
      <c r="W123" s="56">
        <v>0</v>
      </c>
      <c r="X123" s="56">
        <v>0</v>
      </c>
      <c r="Y123" s="56">
        <v>0</v>
      </c>
      <c r="Z123" s="56">
        <v>120</v>
      </c>
      <c r="AA123" s="56">
        <v>120</v>
      </c>
      <c r="AB123" s="59">
        <v>0</v>
      </c>
      <c r="AC123" s="56">
        <v>0</v>
      </c>
      <c r="AD123" s="56">
        <v>0</v>
      </c>
      <c r="AE123" s="56">
        <v>0</v>
      </c>
      <c r="AF123" s="54" t="s">
        <v>1199</v>
      </c>
      <c r="AG123" s="57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 t="s">
        <v>1045</v>
      </c>
      <c r="AS123" s="54" t="s">
        <v>1081</v>
      </c>
      <c r="AT123" s="54" t="s">
        <v>1082</v>
      </c>
      <c r="AU123" s="54" t="s">
        <v>1048</v>
      </c>
      <c r="AV123" s="54"/>
      <c r="AW123" s="55">
        <v>46198</v>
      </c>
      <c r="AX123" s="55">
        <v>46185</v>
      </c>
      <c r="AY123" s="55">
        <v>46185</v>
      </c>
      <c r="AZ123" s="55">
        <v>46188</v>
      </c>
      <c r="BA123" s="55">
        <v>46198</v>
      </c>
      <c r="BB123" s="56">
        <v>0</v>
      </c>
      <c r="BC123" s="56">
        <v>0</v>
      </c>
      <c r="BD123" s="56">
        <v>0</v>
      </c>
      <c r="BE123" s="56">
        <v>0</v>
      </c>
      <c r="BF123" s="56">
        <v>0</v>
      </c>
      <c r="BG123" s="56">
        <v>0</v>
      </c>
      <c r="BH123" s="56">
        <v>0</v>
      </c>
      <c r="BI123" s="56">
        <v>0</v>
      </c>
      <c r="BJ123" s="56">
        <v>0</v>
      </c>
      <c r="BK123" s="56">
        <v>0</v>
      </c>
      <c r="BL123" s="56">
        <v>0</v>
      </c>
      <c r="BM123" s="56">
        <v>0</v>
      </c>
      <c r="BN123" s="56">
        <v>0</v>
      </c>
      <c r="BO123" s="56">
        <v>0</v>
      </c>
      <c r="BP123" s="54" t="s">
        <v>1049</v>
      </c>
      <c r="BQ123" s="54" t="s">
        <v>1050</v>
      </c>
      <c r="BR123" s="54" t="s">
        <v>1049</v>
      </c>
      <c r="BS123" s="54" t="s">
        <v>1050</v>
      </c>
      <c r="BT123" s="54" t="s">
        <v>1051</v>
      </c>
      <c r="BU123" s="54" t="s">
        <v>1043</v>
      </c>
      <c r="BV123" s="58">
        <v>120</v>
      </c>
      <c r="BW123" s="54" t="s">
        <v>1052</v>
      </c>
      <c r="BX123" s="54" t="s">
        <v>1053</v>
      </c>
      <c r="BY123" s="54" t="s">
        <v>1054</v>
      </c>
      <c r="BZ123" s="54" t="s">
        <v>1055</v>
      </c>
      <c r="CA123" s="55"/>
      <c r="CB123" s="54" t="s">
        <v>1056</v>
      </c>
      <c r="CC123" s="54" t="s">
        <v>1057</v>
      </c>
      <c r="CD123" s="54" t="s">
        <v>1058</v>
      </c>
      <c r="CE123" s="54" t="s">
        <v>1059</v>
      </c>
      <c r="CF123" s="54" t="s">
        <v>1060</v>
      </c>
      <c r="CG123" s="54" t="s">
        <v>1061</v>
      </c>
      <c r="CH123" s="54" t="s">
        <v>1062</v>
      </c>
      <c r="CI123" s="54" t="s">
        <v>1063</v>
      </c>
      <c r="CJ123" s="54" t="s">
        <v>1064</v>
      </c>
      <c r="CK123" s="54" t="s">
        <v>1065</v>
      </c>
      <c r="CL123" s="54" t="s">
        <v>1066</v>
      </c>
      <c r="CM123" s="54" t="s">
        <v>1067</v>
      </c>
      <c r="CN123" s="54" t="s">
        <v>1068</v>
      </c>
      <c r="CO123" s="54" t="s">
        <v>1069</v>
      </c>
      <c r="CP123" s="56">
        <v>0</v>
      </c>
      <c r="CQ123" s="56">
        <v>0</v>
      </c>
      <c r="CR123" s="56">
        <v>0</v>
      </c>
      <c r="CS123" s="56">
        <v>0</v>
      </c>
      <c r="CT123" s="56">
        <v>0</v>
      </c>
      <c r="CU123" s="56">
        <v>0</v>
      </c>
      <c r="CV123" s="56">
        <v>0</v>
      </c>
      <c r="CW123" s="56">
        <v>0</v>
      </c>
      <c r="CX123" s="56">
        <v>0</v>
      </c>
      <c r="CY123" s="56">
        <v>0</v>
      </c>
      <c r="CZ123" s="56">
        <v>0</v>
      </c>
      <c r="DA123" s="56">
        <v>0</v>
      </c>
      <c r="DB123" s="56">
        <v>0</v>
      </c>
      <c r="DC123" s="56">
        <v>0</v>
      </c>
      <c r="DD123" s="56">
        <v>0</v>
      </c>
      <c r="DE123" s="56">
        <v>0</v>
      </c>
      <c r="DF123" s="56">
        <v>0</v>
      </c>
      <c r="DG123" s="56">
        <v>0</v>
      </c>
      <c r="DH123" s="56">
        <v>0</v>
      </c>
      <c r="DI123" s="56">
        <v>0</v>
      </c>
      <c r="DJ123" s="56">
        <v>0</v>
      </c>
      <c r="DK123" s="56">
        <v>0</v>
      </c>
      <c r="DL123" s="56">
        <v>0</v>
      </c>
      <c r="DM123" s="56">
        <v>0</v>
      </c>
      <c r="DN123" s="56">
        <v>0</v>
      </c>
      <c r="DO123" s="56">
        <v>0</v>
      </c>
      <c r="DP123" s="56">
        <v>0</v>
      </c>
      <c r="DQ123" s="56">
        <v>0</v>
      </c>
      <c r="DR123" s="56">
        <v>0</v>
      </c>
      <c r="DS123" s="56">
        <v>0</v>
      </c>
      <c r="DT123" s="56">
        <v>0</v>
      </c>
      <c r="DU123" s="56">
        <v>0</v>
      </c>
      <c r="DV123" s="56">
        <v>0</v>
      </c>
      <c r="DW123" s="56">
        <v>0</v>
      </c>
      <c r="DX123" s="56">
        <v>0</v>
      </c>
      <c r="DY123" s="56">
        <v>0</v>
      </c>
      <c r="DZ123" s="56">
        <v>0</v>
      </c>
      <c r="EA123" s="56">
        <v>0</v>
      </c>
      <c r="EB123" s="56">
        <v>0</v>
      </c>
      <c r="EC123" s="56">
        <v>0</v>
      </c>
      <c r="ED123" s="56">
        <v>0</v>
      </c>
      <c r="EE123" s="56">
        <v>0</v>
      </c>
      <c r="EF123" s="56">
        <v>0</v>
      </c>
      <c r="EG123" s="56">
        <v>0</v>
      </c>
      <c r="EH123" s="56">
        <v>163.72999999999999</v>
      </c>
      <c r="EI123" s="56">
        <v>0</v>
      </c>
      <c r="EJ123" s="56">
        <v>0</v>
      </c>
      <c r="EK123" s="56">
        <v>0</v>
      </c>
      <c r="EL123" s="56">
        <v>0</v>
      </c>
      <c r="EM123" s="56">
        <v>0</v>
      </c>
      <c r="EN123" s="56">
        <v>0</v>
      </c>
      <c r="EO123" s="56">
        <v>0</v>
      </c>
      <c r="EP123" s="56">
        <v>0</v>
      </c>
      <c r="EQ123" s="56">
        <v>0</v>
      </c>
      <c r="ER123" s="56">
        <v>0</v>
      </c>
      <c r="ES123" s="56">
        <v>0</v>
      </c>
      <c r="ET123" s="56">
        <v>0</v>
      </c>
      <c r="EU123" s="56">
        <v>0</v>
      </c>
      <c r="EV123" s="56">
        <v>0</v>
      </c>
      <c r="EW123" s="56">
        <v>0</v>
      </c>
      <c r="EX123" s="56">
        <v>0</v>
      </c>
      <c r="EY123" s="56">
        <v>0</v>
      </c>
      <c r="EZ123" s="56">
        <v>0</v>
      </c>
      <c r="FA123" s="56">
        <v>0</v>
      </c>
      <c r="FB123" s="56">
        <v>0</v>
      </c>
      <c r="FC123" s="58">
        <v>0</v>
      </c>
      <c r="FD123" s="56">
        <v>0</v>
      </c>
      <c r="FE123" s="56">
        <v>0</v>
      </c>
      <c r="FF123" s="56">
        <v>0</v>
      </c>
      <c r="FG123" s="56">
        <v>0</v>
      </c>
      <c r="FH123" s="56">
        <v>0</v>
      </c>
      <c r="FI123" s="56">
        <v>0</v>
      </c>
      <c r="FJ123" s="56">
        <v>0</v>
      </c>
      <c r="FK123" s="56">
        <v>0</v>
      </c>
      <c r="FL123" s="56">
        <v>0</v>
      </c>
      <c r="FM123" s="56">
        <v>0</v>
      </c>
      <c r="FN123" s="56">
        <v>0</v>
      </c>
      <c r="FO123" s="56">
        <v>0</v>
      </c>
      <c r="FP123" s="56">
        <v>0</v>
      </c>
      <c r="FQ123" s="56">
        <v>0</v>
      </c>
      <c r="FR123" s="56">
        <v>0</v>
      </c>
      <c r="FS123" s="58">
        <v>0</v>
      </c>
      <c r="FT123" s="56">
        <v>0</v>
      </c>
      <c r="FU123" s="56">
        <v>0</v>
      </c>
      <c r="FV123" s="56">
        <v>0</v>
      </c>
      <c r="FW123" s="56">
        <v>0</v>
      </c>
      <c r="FX123" s="56">
        <v>0</v>
      </c>
      <c r="FY123" s="56">
        <v>0</v>
      </c>
      <c r="FZ123" s="54" t="s">
        <v>1083</v>
      </c>
      <c r="GA123" s="54" t="s">
        <v>1084</v>
      </c>
      <c r="GB123" s="54" t="s">
        <v>1072</v>
      </c>
      <c r="GC123" s="54" t="s">
        <v>1073</v>
      </c>
      <c r="GD123" s="54"/>
      <c r="GE123" s="54"/>
      <c r="GF123" s="54"/>
      <c r="GG123" s="55"/>
      <c r="GH123" s="54"/>
      <c r="GI123" s="54"/>
      <c r="GJ123" s="54" t="s">
        <v>1076</v>
      </c>
      <c r="GK123" s="54" t="s">
        <v>1077</v>
      </c>
      <c r="GL123" s="54"/>
      <c r="GM123" s="54"/>
      <c r="GN123" s="54" t="s">
        <v>1078</v>
      </c>
      <c r="GO123" s="54" t="s">
        <v>1059</v>
      </c>
      <c r="GP123" s="54"/>
      <c r="GQ123" s="56">
        <v>0</v>
      </c>
      <c r="GR123" s="54" t="s">
        <v>1210</v>
      </c>
      <c r="GS123" s="54"/>
    </row>
    <row r="124" spans="1:201" x14ac:dyDescent="0.25">
      <c r="A124" s="54" t="s">
        <v>1032</v>
      </c>
      <c r="B124" s="54" t="s">
        <v>1033</v>
      </c>
      <c r="C124" s="54" t="s">
        <v>1242</v>
      </c>
      <c r="D124" s="54" t="s">
        <v>1035</v>
      </c>
      <c r="E124" s="54" t="s">
        <v>1036</v>
      </c>
      <c r="F124" s="55">
        <v>46185</v>
      </c>
      <c r="G124" s="55">
        <v>46185</v>
      </c>
      <c r="H124" s="54" t="s">
        <v>1037</v>
      </c>
      <c r="I124" s="54" t="s">
        <v>1038</v>
      </c>
      <c r="J124" s="54" t="s">
        <v>1039</v>
      </c>
      <c r="K124" s="55"/>
      <c r="L124" s="54" t="s">
        <v>1040</v>
      </c>
      <c r="M124" s="54"/>
      <c r="N124" s="54" t="s">
        <v>1243</v>
      </c>
      <c r="O124" s="54" t="s">
        <v>1091</v>
      </c>
      <c r="P124" s="54" t="s">
        <v>821</v>
      </c>
      <c r="Q124" s="54" t="s">
        <v>824</v>
      </c>
      <c r="R124" s="54" t="s">
        <v>1043</v>
      </c>
      <c r="S124" s="56">
        <v>124.32</v>
      </c>
      <c r="T124" s="56">
        <v>124.32</v>
      </c>
      <c r="U124" s="56">
        <v>0</v>
      </c>
      <c r="V124" s="56">
        <v>0</v>
      </c>
      <c r="W124" s="56">
        <v>0</v>
      </c>
      <c r="X124" s="56">
        <v>0</v>
      </c>
      <c r="Y124" s="56">
        <v>0</v>
      </c>
      <c r="Z124" s="56">
        <v>24</v>
      </c>
      <c r="AA124" s="56">
        <v>24</v>
      </c>
      <c r="AB124" s="59">
        <v>0</v>
      </c>
      <c r="AC124" s="56">
        <v>0</v>
      </c>
      <c r="AD124" s="56">
        <v>0</v>
      </c>
      <c r="AE124" s="56">
        <v>0</v>
      </c>
      <c r="AF124" s="54" t="s">
        <v>1199</v>
      </c>
      <c r="AG124" s="57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 t="s">
        <v>1045</v>
      </c>
      <c r="AS124" s="54" t="s">
        <v>1081</v>
      </c>
      <c r="AT124" s="54" t="s">
        <v>1082</v>
      </c>
      <c r="AU124" s="54" t="s">
        <v>1048</v>
      </c>
      <c r="AV124" s="54"/>
      <c r="AW124" s="55">
        <v>46198</v>
      </c>
      <c r="AX124" s="55">
        <v>46185</v>
      </c>
      <c r="AY124" s="55">
        <v>46185</v>
      </c>
      <c r="AZ124" s="55">
        <v>46188</v>
      </c>
      <c r="BA124" s="55">
        <v>46198</v>
      </c>
      <c r="BB124" s="56">
        <v>0</v>
      </c>
      <c r="BC124" s="56">
        <v>0</v>
      </c>
      <c r="BD124" s="56">
        <v>0</v>
      </c>
      <c r="BE124" s="56">
        <v>0</v>
      </c>
      <c r="BF124" s="56">
        <v>0</v>
      </c>
      <c r="BG124" s="56">
        <v>0</v>
      </c>
      <c r="BH124" s="56">
        <v>0</v>
      </c>
      <c r="BI124" s="56">
        <v>0</v>
      </c>
      <c r="BJ124" s="56">
        <v>0</v>
      </c>
      <c r="BK124" s="56">
        <v>0</v>
      </c>
      <c r="BL124" s="56">
        <v>0</v>
      </c>
      <c r="BM124" s="56">
        <v>0</v>
      </c>
      <c r="BN124" s="56">
        <v>0</v>
      </c>
      <c r="BO124" s="56">
        <v>0</v>
      </c>
      <c r="BP124" s="54" t="s">
        <v>1049</v>
      </c>
      <c r="BQ124" s="54" t="s">
        <v>1050</v>
      </c>
      <c r="BR124" s="54" t="s">
        <v>1049</v>
      </c>
      <c r="BS124" s="54" t="s">
        <v>1050</v>
      </c>
      <c r="BT124" s="54" t="s">
        <v>1051</v>
      </c>
      <c r="BU124" s="54" t="s">
        <v>1043</v>
      </c>
      <c r="BV124" s="58">
        <v>24</v>
      </c>
      <c r="BW124" s="54" t="s">
        <v>1052</v>
      </c>
      <c r="BX124" s="54" t="s">
        <v>1053</v>
      </c>
      <c r="BY124" s="54" t="s">
        <v>1054</v>
      </c>
      <c r="BZ124" s="54" t="s">
        <v>1055</v>
      </c>
      <c r="CA124" s="55"/>
      <c r="CB124" s="54" t="s">
        <v>1056</v>
      </c>
      <c r="CC124" s="54" t="s">
        <v>1057</v>
      </c>
      <c r="CD124" s="54" t="s">
        <v>1058</v>
      </c>
      <c r="CE124" s="54" t="s">
        <v>1059</v>
      </c>
      <c r="CF124" s="54" t="s">
        <v>1060</v>
      </c>
      <c r="CG124" s="54" t="s">
        <v>1061</v>
      </c>
      <c r="CH124" s="54" t="s">
        <v>1062</v>
      </c>
      <c r="CI124" s="54" t="s">
        <v>1063</v>
      </c>
      <c r="CJ124" s="54" t="s">
        <v>1064</v>
      </c>
      <c r="CK124" s="54" t="s">
        <v>1065</v>
      </c>
      <c r="CL124" s="54" t="s">
        <v>1066</v>
      </c>
      <c r="CM124" s="54" t="s">
        <v>1067</v>
      </c>
      <c r="CN124" s="54" t="s">
        <v>1068</v>
      </c>
      <c r="CO124" s="54" t="s">
        <v>1069</v>
      </c>
      <c r="CP124" s="56">
        <v>0</v>
      </c>
      <c r="CQ124" s="56">
        <v>0</v>
      </c>
      <c r="CR124" s="56">
        <v>0</v>
      </c>
      <c r="CS124" s="56">
        <v>0</v>
      </c>
      <c r="CT124" s="56">
        <v>0</v>
      </c>
      <c r="CU124" s="56">
        <v>0</v>
      </c>
      <c r="CV124" s="56">
        <v>0</v>
      </c>
      <c r="CW124" s="56">
        <v>0</v>
      </c>
      <c r="CX124" s="56">
        <v>0</v>
      </c>
      <c r="CY124" s="56">
        <v>0</v>
      </c>
      <c r="CZ124" s="56">
        <v>0</v>
      </c>
      <c r="DA124" s="56">
        <v>0</v>
      </c>
      <c r="DB124" s="56">
        <v>0</v>
      </c>
      <c r="DC124" s="56">
        <v>0</v>
      </c>
      <c r="DD124" s="56">
        <v>0</v>
      </c>
      <c r="DE124" s="56">
        <v>0</v>
      </c>
      <c r="DF124" s="56">
        <v>0</v>
      </c>
      <c r="DG124" s="56">
        <v>0</v>
      </c>
      <c r="DH124" s="56">
        <v>0</v>
      </c>
      <c r="DI124" s="56">
        <v>0</v>
      </c>
      <c r="DJ124" s="56">
        <v>0</v>
      </c>
      <c r="DK124" s="56">
        <v>0</v>
      </c>
      <c r="DL124" s="56">
        <v>0</v>
      </c>
      <c r="DM124" s="56">
        <v>0</v>
      </c>
      <c r="DN124" s="56">
        <v>0</v>
      </c>
      <c r="DO124" s="56">
        <v>0</v>
      </c>
      <c r="DP124" s="56">
        <v>0</v>
      </c>
      <c r="DQ124" s="56">
        <v>0</v>
      </c>
      <c r="DR124" s="56">
        <v>0</v>
      </c>
      <c r="DS124" s="56">
        <v>0</v>
      </c>
      <c r="DT124" s="56">
        <v>0</v>
      </c>
      <c r="DU124" s="56">
        <v>0</v>
      </c>
      <c r="DV124" s="56">
        <v>0</v>
      </c>
      <c r="DW124" s="56">
        <v>0</v>
      </c>
      <c r="DX124" s="56">
        <v>0</v>
      </c>
      <c r="DY124" s="56">
        <v>0</v>
      </c>
      <c r="DZ124" s="56">
        <v>0</v>
      </c>
      <c r="EA124" s="56">
        <v>0</v>
      </c>
      <c r="EB124" s="56">
        <v>0</v>
      </c>
      <c r="EC124" s="56">
        <v>0</v>
      </c>
      <c r="ED124" s="56">
        <v>0</v>
      </c>
      <c r="EE124" s="56">
        <v>0</v>
      </c>
      <c r="EF124" s="56">
        <v>0</v>
      </c>
      <c r="EG124" s="56">
        <v>0</v>
      </c>
      <c r="EH124" s="56">
        <v>14.92</v>
      </c>
      <c r="EI124" s="56">
        <v>0</v>
      </c>
      <c r="EJ124" s="56">
        <v>0</v>
      </c>
      <c r="EK124" s="56">
        <v>0</v>
      </c>
      <c r="EL124" s="56">
        <v>0</v>
      </c>
      <c r="EM124" s="56">
        <v>0</v>
      </c>
      <c r="EN124" s="56">
        <v>0</v>
      </c>
      <c r="EO124" s="56">
        <v>0</v>
      </c>
      <c r="EP124" s="56">
        <v>0</v>
      </c>
      <c r="EQ124" s="56">
        <v>0</v>
      </c>
      <c r="ER124" s="56">
        <v>0</v>
      </c>
      <c r="ES124" s="56">
        <v>0</v>
      </c>
      <c r="ET124" s="56">
        <v>0</v>
      </c>
      <c r="EU124" s="56">
        <v>0</v>
      </c>
      <c r="EV124" s="56">
        <v>0</v>
      </c>
      <c r="EW124" s="56">
        <v>0</v>
      </c>
      <c r="EX124" s="56">
        <v>0</v>
      </c>
      <c r="EY124" s="56">
        <v>0</v>
      </c>
      <c r="EZ124" s="56">
        <v>0</v>
      </c>
      <c r="FA124" s="56">
        <v>0</v>
      </c>
      <c r="FB124" s="56">
        <v>0</v>
      </c>
      <c r="FC124" s="58">
        <v>0</v>
      </c>
      <c r="FD124" s="56">
        <v>0</v>
      </c>
      <c r="FE124" s="56">
        <v>0</v>
      </c>
      <c r="FF124" s="56">
        <v>0</v>
      </c>
      <c r="FG124" s="56">
        <v>0</v>
      </c>
      <c r="FH124" s="56">
        <v>0</v>
      </c>
      <c r="FI124" s="56">
        <v>0</v>
      </c>
      <c r="FJ124" s="56">
        <v>0</v>
      </c>
      <c r="FK124" s="56">
        <v>0</v>
      </c>
      <c r="FL124" s="56">
        <v>0</v>
      </c>
      <c r="FM124" s="56">
        <v>0</v>
      </c>
      <c r="FN124" s="56">
        <v>0</v>
      </c>
      <c r="FO124" s="56">
        <v>0</v>
      </c>
      <c r="FP124" s="56">
        <v>0</v>
      </c>
      <c r="FQ124" s="56">
        <v>0</v>
      </c>
      <c r="FR124" s="56">
        <v>0</v>
      </c>
      <c r="FS124" s="58">
        <v>0</v>
      </c>
      <c r="FT124" s="56">
        <v>0</v>
      </c>
      <c r="FU124" s="56">
        <v>0</v>
      </c>
      <c r="FV124" s="56">
        <v>0</v>
      </c>
      <c r="FW124" s="56">
        <v>0</v>
      </c>
      <c r="FX124" s="56">
        <v>0</v>
      </c>
      <c r="FY124" s="56">
        <v>0</v>
      </c>
      <c r="FZ124" s="54" t="s">
        <v>1083</v>
      </c>
      <c r="GA124" s="54" t="s">
        <v>1084</v>
      </c>
      <c r="GB124" s="54" t="s">
        <v>1072</v>
      </c>
      <c r="GC124" s="54" t="s">
        <v>1073</v>
      </c>
      <c r="GD124" s="54"/>
      <c r="GE124" s="54"/>
      <c r="GF124" s="54"/>
      <c r="GG124" s="55"/>
      <c r="GH124" s="54"/>
      <c r="GI124" s="54"/>
      <c r="GJ124" s="54" t="s">
        <v>1076</v>
      </c>
      <c r="GK124" s="54" t="s">
        <v>1077</v>
      </c>
      <c r="GL124" s="54"/>
      <c r="GM124" s="54"/>
      <c r="GN124" s="54" t="s">
        <v>1078</v>
      </c>
      <c r="GO124" s="54" t="s">
        <v>1059</v>
      </c>
      <c r="GP124" s="54"/>
      <c r="GQ124" s="56">
        <v>0</v>
      </c>
      <c r="GR124" s="54" t="s">
        <v>1210</v>
      </c>
      <c r="GS124" s="54"/>
    </row>
    <row r="125" spans="1:201" x14ac:dyDescent="0.25">
      <c r="A125" s="54" t="s">
        <v>1032</v>
      </c>
      <c r="B125" s="54" t="s">
        <v>1033</v>
      </c>
      <c r="C125" s="54" t="s">
        <v>1242</v>
      </c>
      <c r="D125" s="54" t="s">
        <v>1035</v>
      </c>
      <c r="E125" s="54" t="s">
        <v>1036</v>
      </c>
      <c r="F125" s="55">
        <v>46185</v>
      </c>
      <c r="G125" s="55">
        <v>46185</v>
      </c>
      <c r="H125" s="54" t="s">
        <v>1037</v>
      </c>
      <c r="I125" s="54" t="s">
        <v>1038</v>
      </c>
      <c r="J125" s="54" t="s">
        <v>1039</v>
      </c>
      <c r="K125" s="55"/>
      <c r="L125" s="54" t="s">
        <v>1040</v>
      </c>
      <c r="M125" s="54"/>
      <c r="N125" s="54" t="s">
        <v>1243</v>
      </c>
      <c r="O125" s="54" t="s">
        <v>1093</v>
      </c>
      <c r="P125" s="54" t="s">
        <v>684</v>
      </c>
      <c r="Q125" s="54" t="s">
        <v>393</v>
      </c>
      <c r="R125" s="54" t="s">
        <v>1043</v>
      </c>
      <c r="S125" s="56">
        <v>8370</v>
      </c>
      <c r="T125" s="56">
        <v>8370</v>
      </c>
      <c r="U125" s="56">
        <v>0</v>
      </c>
      <c r="V125" s="56">
        <v>0</v>
      </c>
      <c r="W125" s="56">
        <v>0</v>
      </c>
      <c r="X125" s="56">
        <v>0</v>
      </c>
      <c r="Y125" s="56">
        <v>0</v>
      </c>
      <c r="Z125" s="56">
        <v>1500</v>
      </c>
      <c r="AA125" s="56">
        <v>1500</v>
      </c>
      <c r="AB125" s="59">
        <v>0</v>
      </c>
      <c r="AC125" s="56">
        <v>0</v>
      </c>
      <c r="AD125" s="56">
        <v>0</v>
      </c>
      <c r="AE125" s="56">
        <v>0</v>
      </c>
      <c r="AF125" s="54" t="s">
        <v>1199</v>
      </c>
      <c r="AG125" s="57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 t="s">
        <v>1045</v>
      </c>
      <c r="AS125" s="54" t="s">
        <v>1081</v>
      </c>
      <c r="AT125" s="54" t="s">
        <v>1082</v>
      </c>
      <c r="AU125" s="54" t="s">
        <v>1048</v>
      </c>
      <c r="AV125" s="54"/>
      <c r="AW125" s="55">
        <v>46198</v>
      </c>
      <c r="AX125" s="55">
        <v>46185</v>
      </c>
      <c r="AY125" s="55">
        <v>46185</v>
      </c>
      <c r="AZ125" s="55">
        <v>46188</v>
      </c>
      <c r="BA125" s="55">
        <v>46198</v>
      </c>
      <c r="BB125" s="56">
        <v>0</v>
      </c>
      <c r="BC125" s="56">
        <v>0</v>
      </c>
      <c r="BD125" s="56">
        <v>0</v>
      </c>
      <c r="BE125" s="56">
        <v>0</v>
      </c>
      <c r="BF125" s="56">
        <v>0</v>
      </c>
      <c r="BG125" s="56">
        <v>0</v>
      </c>
      <c r="BH125" s="56">
        <v>0</v>
      </c>
      <c r="BI125" s="56">
        <v>0</v>
      </c>
      <c r="BJ125" s="56">
        <v>0</v>
      </c>
      <c r="BK125" s="56">
        <v>0</v>
      </c>
      <c r="BL125" s="56">
        <v>0</v>
      </c>
      <c r="BM125" s="56">
        <v>0</v>
      </c>
      <c r="BN125" s="56">
        <v>0</v>
      </c>
      <c r="BO125" s="56">
        <v>0</v>
      </c>
      <c r="BP125" s="54" t="s">
        <v>1049</v>
      </c>
      <c r="BQ125" s="54" t="s">
        <v>1050</v>
      </c>
      <c r="BR125" s="54" t="s">
        <v>1049</v>
      </c>
      <c r="BS125" s="54" t="s">
        <v>1050</v>
      </c>
      <c r="BT125" s="54" t="s">
        <v>1051</v>
      </c>
      <c r="BU125" s="54" t="s">
        <v>1043</v>
      </c>
      <c r="BV125" s="58">
        <v>1500</v>
      </c>
      <c r="BW125" s="54" t="s">
        <v>1052</v>
      </c>
      <c r="BX125" s="54" t="s">
        <v>1053</v>
      </c>
      <c r="BY125" s="54" t="s">
        <v>1054</v>
      </c>
      <c r="BZ125" s="54" t="s">
        <v>1055</v>
      </c>
      <c r="CA125" s="55"/>
      <c r="CB125" s="54" t="s">
        <v>1056</v>
      </c>
      <c r="CC125" s="54" t="s">
        <v>1057</v>
      </c>
      <c r="CD125" s="54" t="s">
        <v>1058</v>
      </c>
      <c r="CE125" s="54" t="s">
        <v>1059</v>
      </c>
      <c r="CF125" s="54" t="s">
        <v>1060</v>
      </c>
      <c r="CG125" s="54" t="s">
        <v>1061</v>
      </c>
      <c r="CH125" s="54" t="s">
        <v>1062</v>
      </c>
      <c r="CI125" s="54" t="s">
        <v>1063</v>
      </c>
      <c r="CJ125" s="54" t="s">
        <v>1064</v>
      </c>
      <c r="CK125" s="54" t="s">
        <v>1065</v>
      </c>
      <c r="CL125" s="54" t="s">
        <v>1066</v>
      </c>
      <c r="CM125" s="54" t="s">
        <v>1067</v>
      </c>
      <c r="CN125" s="54" t="s">
        <v>1068</v>
      </c>
      <c r="CO125" s="54" t="s">
        <v>1069</v>
      </c>
      <c r="CP125" s="56">
        <v>0</v>
      </c>
      <c r="CQ125" s="56">
        <v>0</v>
      </c>
      <c r="CR125" s="56">
        <v>0</v>
      </c>
      <c r="CS125" s="56">
        <v>0</v>
      </c>
      <c r="CT125" s="56">
        <v>0</v>
      </c>
      <c r="CU125" s="56">
        <v>0</v>
      </c>
      <c r="CV125" s="56">
        <v>0</v>
      </c>
      <c r="CW125" s="56">
        <v>0</v>
      </c>
      <c r="CX125" s="56">
        <v>0</v>
      </c>
      <c r="CY125" s="56">
        <v>0</v>
      </c>
      <c r="CZ125" s="56">
        <v>0</v>
      </c>
      <c r="DA125" s="56">
        <v>0</v>
      </c>
      <c r="DB125" s="56">
        <v>0</v>
      </c>
      <c r="DC125" s="56">
        <v>0</v>
      </c>
      <c r="DD125" s="56">
        <v>0</v>
      </c>
      <c r="DE125" s="56">
        <v>0</v>
      </c>
      <c r="DF125" s="56">
        <v>0</v>
      </c>
      <c r="DG125" s="56">
        <v>0</v>
      </c>
      <c r="DH125" s="56">
        <v>0</v>
      </c>
      <c r="DI125" s="56">
        <v>0</v>
      </c>
      <c r="DJ125" s="56">
        <v>0</v>
      </c>
      <c r="DK125" s="56">
        <v>0</v>
      </c>
      <c r="DL125" s="56">
        <v>0</v>
      </c>
      <c r="DM125" s="56">
        <v>0</v>
      </c>
      <c r="DN125" s="56">
        <v>0</v>
      </c>
      <c r="DO125" s="56">
        <v>0</v>
      </c>
      <c r="DP125" s="56">
        <v>0</v>
      </c>
      <c r="DQ125" s="56">
        <v>0</v>
      </c>
      <c r="DR125" s="56">
        <v>0</v>
      </c>
      <c r="DS125" s="56">
        <v>0</v>
      </c>
      <c r="DT125" s="56">
        <v>0</v>
      </c>
      <c r="DU125" s="56">
        <v>0</v>
      </c>
      <c r="DV125" s="56">
        <v>0</v>
      </c>
      <c r="DW125" s="56">
        <v>0</v>
      </c>
      <c r="DX125" s="56">
        <v>0</v>
      </c>
      <c r="DY125" s="56">
        <v>0</v>
      </c>
      <c r="DZ125" s="56">
        <v>0</v>
      </c>
      <c r="EA125" s="56">
        <v>0</v>
      </c>
      <c r="EB125" s="56">
        <v>0</v>
      </c>
      <c r="EC125" s="56">
        <v>0</v>
      </c>
      <c r="ED125" s="56">
        <v>0</v>
      </c>
      <c r="EE125" s="56">
        <v>0</v>
      </c>
      <c r="EF125" s="56">
        <v>0</v>
      </c>
      <c r="EG125" s="56">
        <v>0</v>
      </c>
      <c r="EH125" s="56">
        <v>1004.4</v>
      </c>
      <c r="EI125" s="56">
        <v>0</v>
      </c>
      <c r="EJ125" s="56">
        <v>0</v>
      </c>
      <c r="EK125" s="56">
        <v>0</v>
      </c>
      <c r="EL125" s="56">
        <v>0</v>
      </c>
      <c r="EM125" s="56">
        <v>0</v>
      </c>
      <c r="EN125" s="56">
        <v>0</v>
      </c>
      <c r="EO125" s="56">
        <v>0</v>
      </c>
      <c r="EP125" s="56">
        <v>0</v>
      </c>
      <c r="EQ125" s="56">
        <v>0</v>
      </c>
      <c r="ER125" s="56">
        <v>0</v>
      </c>
      <c r="ES125" s="56">
        <v>0</v>
      </c>
      <c r="ET125" s="56">
        <v>0</v>
      </c>
      <c r="EU125" s="56">
        <v>0</v>
      </c>
      <c r="EV125" s="56">
        <v>0</v>
      </c>
      <c r="EW125" s="56">
        <v>0</v>
      </c>
      <c r="EX125" s="56">
        <v>0</v>
      </c>
      <c r="EY125" s="56">
        <v>0</v>
      </c>
      <c r="EZ125" s="56">
        <v>0</v>
      </c>
      <c r="FA125" s="56">
        <v>0</v>
      </c>
      <c r="FB125" s="56">
        <v>0</v>
      </c>
      <c r="FC125" s="58">
        <v>0</v>
      </c>
      <c r="FD125" s="56">
        <v>0</v>
      </c>
      <c r="FE125" s="56">
        <v>0</v>
      </c>
      <c r="FF125" s="56">
        <v>0</v>
      </c>
      <c r="FG125" s="56">
        <v>0</v>
      </c>
      <c r="FH125" s="56">
        <v>0</v>
      </c>
      <c r="FI125" s="56">
        <v>0</v>
      </c>
      <c r="FJ125" s="56">
        <v>0</v>
      </c>
      <c r="FK125" s="56">
        <v>0</v>
      </c>
      <c r="FL125" s="56">
        <v>0</v>
      </c>
      <c r="FM125" s="56">
        <v>0</v>
      </c>
      <c r="FN125" s="56">
        <v>0</v>
      </c>
      <c r="FO125" s="56">
        <v>0</v>
      </c>
      <c r="FP125" s="56">
        <v>0</v>
      </c>
      <c r="FQ125" s="56">
        <v>0</v>
      </c>
      <c r="FR125" s="56">
        <v>0</v>
      </c>
      <c r="FS125" s="58">
        <v>0</v>
      </c>
      <c r="FT125" s="56">
        <v>0</v>
      </c>
      <c r="FU125" s="56">
        <v>0</v>
      </c>
      <c r="FV125" s="56">
        <v>0</v>
      </c>
      <c r="FW125" s="56">
        <v>0</v>
      </c>
      <c r="FX125" s="56">
        <v>0</v>
      </c>
      <c r="FY125" s="56">
        <v>0</v>
      </c>
      <c r="FZ125" s="54" t="s">
        <v>1083</v>
      </c>
      <c r="GA125" s="54" t="s">
        <v>1084</v>
      </c>
      <c r="GB125" s="54" t="s">
        <v>1072</v>
      </c>
      <c r="GC125" s="54" t="s">
        <v>1073</v>
      </c>
      <c r="GD125" s="54"/>
      <c r="GE125" s="54"/>
      <c r="GF125" s="54"/>
      <c r="GG125" s="55"/>
      <c r="GH125" s="54"/>
      <c r="GI125" s="54"/>
      <c r="GJ125" s="54" t="s">
        <v>1076</v>
      </c>
      <c r="GK125" s="54" t="s">
        <v>1077</v>
      </c>
      <c r="GL125" s="54"/>
      <c r="GM125" s="54"/>
      <c r="GN125" s="54" t="s">
        <v>1078</v>
      </c>
      <c r="GO125" s="54" t="s">
        <v>1059</v>
      </c>
      <c r="GP125" s="54"/>
      <c r="GQ125" s="56">
        <v>0</v>
      </c>
      <c r="GR125" s="54" t="s">
        <v>1210</v>
      </c>
      <c r="GS125" s="54"/>
    </row>
    <row r="126" spans="1:201" x14ac:dyDescent="0.25">
      <c r="A126" s="54" t="s">
        <v>1032</v>
      </c>
      <c r="B126" s="54" t="s">
        <v>1033</v>
      </c>
      <c r="C126" s="54" t="s">
        <v>1242</v>
      </c>
      <c r="D126" s="54" t="s">
        <v>1035</v>
      </c>
      <c r="E126" s="54" t="s">
        <v>1036</v>
      </c>
      <c r="F126" s="55">
        <v>46185</v>
      </c>
      <c r="G126" s="55">
        <v>46185</v>
      </c>
      <c r="H126" s="54" t="s">
        <v>1037</v>
      </c>
      <c r="I126" s="54" t="s">
        <v>1038</v>
      </c>
      <c r="J126" s="54" t="s">
        <v>1039</v>
      </c>
      <c r="K126" s="55"/>
      <c r="L126" s="54" t="s">
        <v>1040</v>
      </c>
      <c r="M126" s="54"/>
      <c r="N126" s="54" t="s">
        <v>1243</v>
      </c>
      <c r="O126" s="54" t="s">
        <v>1099</v>
      </c>
      <c r="P126" s="54" t="s">
        <v>199</v>
      </c>
      <c r="Q126" s="54" t="s">
        <v>31</v>
      </c>
      <c r="R126" s="54" t="s">
        <v>1043</v>
      </c>
      <c r="S126" s="56">
        <v>477.16</v>
      </c>
      <c r="T126" s="56">
        <v>477.16</v>
      </c>
      <c r="U126" s="56">
        <v>0</v>
      </c>
      <c r="V126" s="56">
        <v>0</v>
      </c>
      <c r="W126" s="56">
        <v>0</v>
      </c>
      <c r="X126" s="56">
        <v>0</v>
      </c>
      <c r="Y126" s="56">
        <v>0</v>
      </c>
      <c r="Z126" s="56">
        <v>79</v>
      </c>
      <c r="AA126" s="56">
        <v>79</v>
      </c>
      <c r="AB126" s="59">
        <v>0</v>
      </c>
      <c r="AC126" s="56">
        <v>0</v>
      </c>
      <c r="AD126" s="56">
        <v>0</v>
      </c>
      <c r="AE126" s="56">
        <v>0</v>
      </c>
      <c r="AF126" s="54" t="s">
        <v>1199</v>
      </c>
      <c r="AG126" s="57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 t="s">
        <v>1045</v>
      </c>
      <c r="AS126" s="54" t="s">
        <v>1081</v>
      </c>
      <c r="AT126" s="54" t="s">
        <v>1082</v>
      </c>
      <c r="AU126" s="54" t="s">
        <v>1048</v>
      </c>
      <c r="AV126" s="54"/>
      <c r="AW126" s="55">
        <v>46198</v>
      </c>
      <c r="AX126" s="55">
        <v>46185</v>
      </c>
      <c r="AY126" s="55">
        <v>46185</v>
      </c>
      <c r="AZ126" s="55">
        <v>46188</v>
      </c>
      <c r="BA126" s="55">
        <v>46198</v>
      </c>
      <c r="BB126" s="56">
        <v>0</v>
      </c>
      <c r="BC126" s="56">
        <v>0</v>
      </c>
      <c r="BD126" s="56">
        <v>0</v>
      </c>
      <c r="BE126" s="56">
        <v>0</v>
      </c>
      <c r="BF126" s="56">
        <v>0</v>
      </c>
      <c r="BG126" s="56">
        <v>0</v>
      </c>
      <c r="BH126" s="56">
        <v>0</v>
      </c>
      <c r="BI126" s="56">
        <v>0</v>
      </c>
      <c r="BJ126" s="56">
        <v>0</v>
      </c>
      <c r="BK126" s="56">
        <v>0</v>
      </c>
      <c r="BL126" s="56">
        <v>0</v>
      </c>
      <c r="BM126" s="56">
        <v>0</v>
      </c>
      <c r="BN126" s="56">
        <v>0</v>
      </c>
      <c r="BO126" s="56">
        <v>0</v>
      </c>
      <c r="BP126" s="54" t="s">
        <v>1049</v>
      </c>
      <c r="BQ126" s="54" t="s">
        <v>1050</v>
      </c>
      <c r="BR126" s="54" t="s">
        <v>1049</v>
      </c>
      <c r="BS126" s="54" t="s">
        <v>1050</v>
      </c>
      <c r="BT126" s="54" t="s">
        <v>1051</v>
      </c>
      <c r="BU126" s="54" t="s">
        <v>1043</v>
      </c>
      <c r="BV126" s="58">
        <v>79</v>
      </c>
      <c r="BW126" s="54" t="s">
        <v>1052</v>
      </c>
      <c r="BX126" s="54" t="s">
        <v>1053</v>
      </c>
      <c r="BY126" s="54" t="s">
        <v>1054</v>
      </c>
      <c r="BZ126" s="54" t="s">
        <v>1055</v>
      </c>
      <c r="CA126" s="55"/>
      <c r="CB126" s="54" t="s">
        <v>1056</v>
      </c>
      <c r="CC126" s="54" t="s">
        <v>1057</v>
      </c>
      <c r="CD126" s="54" t="s">
        <v>1058</v>
      </c>
      <c r="CE126" s="54" t="s">
        <v>1059</v>
      </c>
      <c r="CF126" s="54" t="s">
        <v>1060</v>
      </c>
      <c r="CG126" s="54" t="s">
        <v>1061</v>
      </c>
      <c r="CH126" s="54" t="s">
        <v>1062</v>
      </c>
      <c r="CI126" s="54" t="s">
        <v>1063</v>
      </c>
      <c r="CJ126" s="54" t="s">
        <v>1064</v>
      </c>
      <c r="CK126" s="54" t="s">
        <v>1065</v>
      </c>
      <c r="CL126" s="54" t="s">
        <v>1066</v>
      </c>
      <c r="CM126" s="54" t="s">
        <v>1067</v>
      </c>
      <c r="CN126" s="54" t="s">
        <v>1068</v>
      </c>
      <c r="CO126" s="54" t="s">
        <v>1069</v>
      </c>
      <c r="CP126" s="56">
        <v>0</v>
      </c>
      <c r="CQ126" s="56">
        <v>0</v>
      </c>
      <c r="CR126" s="56">
        <v>0</v>
      </c>
      <c r="CS126" s="56">
        <v>0</v>
      </c>
      <c r="CT126" s="56">
        <v>0</v>
      </c>
      <c r="CU126" s="56">
        <v>0</v>
      </c>
      <c r="CV126" s="56">
        <v>0</v>
      </c>
      <c r="CW126" s="56">
        <v>0</v>
      </c>
      <c r="CX126" s="56">
        <v>0</v>
      </c>
      <c r="CY126" s="56">
        <v>0</v>
      </c>
      <c r="CZ126" s="56">
        <v>0</v>
      </c>
      <c r="DA126" s="56">
        <v>0</v>
      </c>
      <c r="DB126" s="56">
        <v>0</v>
      </c>
      <c r="DC126" s="56">
        <v>0</v>
      </c>
      <c r="DD126" s="56">
        <v>0</v>
      </c>
      <c r="DE126" s="56">
        <v>0</v>
      </c>
      <c r="DF126" s="56">
        <v>0</v>
      </c>
      <c r="DG126" s="56">
        <v>0</v>
      </c>
      <c r="DH126" s="56">
        <v>0</v>
      </c>
      <c r="DI126" s="56">
        <v>0</v>
      </c>
      <c r="DJ126" s="56">
        <v>0</v>
      </c>
      <c r="DK126" s="56">
        <v>0</v>
      </c>
      <c r="DL126" s="56">
        <v>0</v>
      </c>
      <c r="DM126" s="56">
        <v>0</v>
      </c>
      <c r="DN126" s="56">
        <v>0</v>
      </c>
      <c r="DO126" s="56">
        <v>0</v>
      </c>
      <c r="DP126" s="56">
        <v>0</v>
      </c>
      <c r="DQ126" s="56">
        <v>0</v>
      </c>
      <c r="DR126" s="56">
        <v>0</v>
      </c>
      <c r="DS126" s="56">
        <v>0</v>
      </c>
      <c r="DT126" s="56">
        <v>0</v>
      </c>
      <c r="DU126" s="56">
        <v>0</v>
      </c>
      <c r="DV126" s="56">
        <v>0</v>
      </c>
      <c r="DW126" s="56">
        <v>0</v>
      </c>
      <c r="DX126" s="56">
        <v>0</v>
      </c>
      <c r="DY126" s="56">
        <v>0</v>
      </c>
      <c r="DZ126" s="56">
        <v>0</v>
      </c>
      <c r="EA126" s="56">
        <v>0</v>
      </c>
      <c r="EB126" s="56">
        <v>0</v>
      </c>
      <c r="EC126" s="56">
        <v>0</v>
      </c>
      <c r="ED126" s="56">
        <v>0</v>
      </c>
      <c r="EE126" s="56">
        <v>0</v>
      </c>
      <c r="EF126" s="56">
        <v>0</v>
      </c>
      <c r="EG126" s="56">
        <v>0</v>
      </c>
      <c r="EH126" s="56">
        <v>57.26</v>
      </c>
      <c r="EI126" s="56">
        <v>0</v>
      </c>
      <c r="EJ126" s="56">
        <v>0</v>
      </c>
      <c r="EK126" s="56">
        <v>0</v>
      </c>
      <c r="EL126" s="56">
        <v>0</v>
      </c>
      <c r="EM126" s="56">
        <v>0</v>
      </c>
      <c r="EN126" s="56">
        <v>0</v>
      </c>
      <c r="EO126" s="56">
        <v>0</v>
      </c>
      <c r="EP126" s="56">
        <v>0</v>
      </c>
      <c r="EQ126" s="56">
        <v>0</v>
      </c>
      <c r="ER126" s="56">
        <v>0</v>
      </c>
      <c r="ES126" s="56">
        <v>0</v>
      </c>
      <c r="ET126" s="56">
        <v>0</v>
      </c>
      <c r="EU126" s="56">
        <v>0</v>
      </c>
      <c r="EV126" s="56">
        <v>0</v>
      </c>
      <c r="EW126" s="56">
        <v>0</v>
      </c>
      <c r="EX126" s="56">
        <v>0</v>
      </c>
      <c r="EY126" s="56">
        <v>0</v>
      </c>
      <c r="EZ126" s="56">
        <v>0</v>
      </c>
      <c r="FA126" s="56">
        <v>0</v>
      </c>
      <c r="FB126" s="56">
        <v>0</v>
      </c>
      <c r="FC126" s="58">
        <v>0</v>
      </c>
      <c r="FD126" s="56">
        <v>0</v>
      </c>
      <c r="FE126" s="56">
        <v>0</v>
      </c>
      <c r="FF126" s="56">
        <v>0</v>
      </c>
      <c r="FG126" s="56">
        <v>0</v>
      </c>
      <c r="FH126" s="56">
        <v>0</v>
      </c>
      <c r="FI126" s="56">
        <v>0</v>
      </c>
      <c r="FJ126" s="56">
        <v>0</v>
      </c>
      <c r="FK126" s="56">
        <v>0</v>
      </c>
      <c r="FL126" s="56">
        <v>0</v>
      </c>
      <c r="FM126" s="56">
        <v>0</v>
      </c>
      <c r="FN126" s="56">
        <v>0</v>
      </c>
      <c r="FO126" s="56">
        <v>0</v>
      </c>
      <c r="FP126" s="56">
        <v>0</v>
      </c>
      <c r="FQ126" s="56">
        <v>0</v>
      </c>
      <c r="FR126" s="56">
        <v>0</v>
      </c>
      <c r="FS126" s="58">
        <v>0</v>
      </c>
      <c r="FT126" s="56">
        <v>0</v>
      </c>
      <c r="FU126" s="56">
        <v>0</v>
      </c>
      <c r="FV126" s="56">
        <v>0</v>
      </c>
      <c r="FW126" s="56">
        <v>0</v>
      </c>
      <c r="FX126" s="56">
        <v>0</v>
      </c>
      <c r="FY126" s="56">
        <v>0</v>
      </c>
      <c r="FZ126" s="54" t="s">
        <v>1083</v>
      </c>
      <c r="GA126" s="54" t="s">
        <v>1084</v>
      </c>
      <c r="GB126" s="54" t="s">
        <v>1072</v>
      </c>
      <c r="GC126" s="54" t="s">
        <v>1073</v>
      </c>
      <c r="GD126" s="54" t="s">
        <v>1147</v>
      </c>
      <c r="GE126" s="54" t="s">
        <v>1075</v>
      </c>
      <c r="GF126" s="54"/>
      <c r="GG126" s="55"/>
      <c r="GH126" s="54"/>
      <c r="GI126" s="54"/>
      <c r="GJ126" s="54" t="s">
        <v>1076</v>
      </c>
      <c r="GK126" s="54" t="s">
        <v>1077</v>
      </c>
      <c r="GL126" s="54"/>
      <c r="GM126" s="54"/>
      <c r="GN126" s="54" t="s">
        <v>1078</v>
      </c>
      <c r="GO126" s="54" t="s">
        <v>1059</v>
      </c>
      <c r="GP126" s="54"/>
      <c r="GQ126" s="56">
        <v>0</v>
      </c>
      <c r="GR126" s="54" t="s">
        <v>1210</v>
      </c>
      <c r="GS126" s="54"/>
    </row>
    <row r="127" spans="1:201" x14ac:dyDescent="0.25">
      <c r="A127" s="54" t="s">
        <v>1032</v>
      </c>
      <c r="B127" s="54" t="s">
        <v>1033</v>
      </c>
      <c r="C127" s="54" t="s">
        <v>1242</v>
      </c>
      <c r="D127" s="54" t="s">
        <v>1035</v>
      </c>
      <c r="E127" s="54" t="s">
        <v>1036</v>
      </c>
      <c r="F127" s="55">
        <v>46185</v>
      </c>
      <c r="G127" s="55">
        <v>46185</v>
      </c>
      <c r="H127" s="54" t="s">
        <v>1037</v>
      </c>
      <c r="I127" s="54" t="s">
        <v>1038</v>
      </c>
      <c r="J127" s="54" t="s">
        <v>1039</v>
      </c>
      <c r="K127" s="55"/>
      <c r="L127" s="54" t="s">
        <v>1040</v>
      </c>
      <c r="M127" s="54"/>
      <c r="N127" s="54" t="s">
        <v>1243</v>
      </c>
      <c r="O127" s="54" t="s">
        <v>1102</v>
      </c>
      <c r="P127" s="54" t="s">
        <v>202</v>
      </c>
      <c r="Q127" s="54" t="s">
        <v>36</v>
      </c>
      <c r="R127" s="54" t="s">
        <v>1043</v>
      </c>
      <c r="S127" s="56">
        <v>804</v>
      </c>
      <c r="T127" s="56">
        <v>804</v>
      </c>
      <c r="U127" s="56">
        <v>0</v>
      </c>
      <c r="V127" s="56">
        <v>0</v>
      </c>
      <c r="W127" s="56">
        <v>0</v>
      </c>
      <c r="X127" s="56">
        <v>0</v>
      </c>
      <c r="Y127" s="56">
        <v>0</v>
      </c>
      <c r="Z127" s="56">
        <v>120</v>
      </c>
      <c r="AA127" s="56">
        <v>120</v>
      </c>
      <c r="AB127" s="59">
        <v>0</v>
      </c>
      <c r="AC127" s="56">
        <v>0</v>
      </c>
      <c r="AD127" s="56">
        <v>0</v>
      </c>
      <c r="AE127" s="56">
        <v>0</v>
      </c>
      <c r="AF127" s="54" t="s">
        <v>1199</v>
      </c>
      <c r="AG127" s="57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 t="s">
        <v>1045</v>
      </c>
      <c r="AS127" s="54" t="s">
        <v>1081</v>
      </c>
      <c r="AT127" s="54" t="s">
        <v>1082</v>
      </c>
      <c r="AU127" s="54" t="s">
        <v>1048</v>
      </c>
      <c r="AV127" s="54"/>
      <c r="AW127" s="55">
        <v>46198</v>
      </c>
      <c r="AX127" s="55">
        <v>46185</v>
      </c>
      <c r="AY127" s="55">
        <v>46185</v>
      </c>
      <c r="AZ127" s="55">
        <v>46188</v>
      </c>
      <c r="BA127" s="55">
        <v>46198</v>
      </c>
      <c r="BB127" s="56">
        <v>0</v>
      </c>
      <c r="BC127" s="56">
        <v>0</v>
      </c>
      <c r="BD127" s="56">
        <v>0</v>
      </c>
      <c r="BE127" s="56">
        <v>0</v>
      </c>
      <c r="BF127" s="56">
        <v>0</v>
      </c>
      <c r="BG127" s="56">
        <v>0</v>
      </c>
      <c r="BH127" s="56">
        <v>0</v>
      </c>
      <c r="BI127" s="56">
        <v>0</v>
      </c>
      <c r="BJ127" s="56">
        <v>0</v>
      </c>
      <c r="BK127" s="56">
        <v>0</v>
      </c>
      <c r="BL127" s="56">
        <v>0</v>
      </c>
      <c r="BM127" s="56">
        <v>0</v>
      </c>
      <c r="BN127" s="56">
        <v>0</v>
      </c>
      <c r="BO127" s="56">
        <v>0</v>
      </c>
      <c r="BP127" s="54" t="s">
        <v>1049</v>
      </c>
      <c r="BQ127" s="54" t="s">
        <v>1050</v>
      </c>
      <c r="BR127" s="54" t="s">
        <v>1049</v>
      </c>
      <c r="BS127" s="54" t="s">
        <v>1050</v>
      </c>
      <c r="BT127" s="54" t="s">
        <v>1051</v>
      </c>
      <c r="BU127" s="54" t="s">
        <v>1043</v>
      </c>
      <c r="BV127" s="58">
        <v>120</v>
      </c>
      <c r="BW127" s="54" t="s">
        <v>1052</v>
      </c>
      <c r="BX127" s="54" t="s">
        <v>1053</v>
      </c>
      <c r="BY127" s="54" t="s">
        <v>1054</v>
      </c>
      <c r="BZ127" s="54" t="s">
        <v>1055</v>
      </c>
      <c r="CA127" s="55"/>
      <c r="CB127" s="54" t="s">
        <v>1056</v>
      </c>
      <c r="CC127" s="54" t="s">
        <v>1057</v>
      </c>
      <c r="CD127" s="54" t="s">
        <v>1058</v>
      </c>
      <c r="CE127" s="54" t="s">
        <v>1059</v>
      </c>
      <c r="CF127" s="54" t="s">
        <v>1060</v>
      </c>
      <c r="CG127" s="54" t="s">
        <v>1061</v>
      </c>
      <c r="CH127" s="54" t="s">
        <v>1062</v>
      </c>
      <c r="CI127" s="54" t="s">
        <v>1063</v>
      </c>
      <c r="CJ127" s="54" t="s">
        <v>1064</v>
      </c>
      <c r="CK127" s="54" t="s">
        <v>1065</v>
      </c>
      <c r="CL127" s="54" t="s">
        <v>1066</v>
      </c>
      <c r="CM127" s="54" t="s">
        <v>1067</v>
      </c>
      <c r="CN127" s="54" t="s">
        <v>1068</v>
      </c>
      <c r="CO127" s="54" t="s">
        <v>1069</v>
      </c>
      <c r="CP127" s="56">
        <v>0</v>
      </c>
      <c r="CQ127" s="56">
        <v>0</v>
      </c>
      <c r="CR127" s="56">
        <v>0</v>
      </c>
      <c r="CS127" s="56">
        <v>0</v>
      </c>
      <c r="CT127" s="56">
        <v>0</v>
      </c>
      <c r="CU127" s="56">
        <v>0</v>
      </c>
      <c r="CV127" s="56">
        <v>0</v>
      </c>
      <c r="CW127" s="56">
        <v>0</v>
      </c>
      <c r="CX127" s="56">
        <v>0</v>
      </c>
      <c r="CY127" s="56">
        <v>0</v>
      </c>
      <c r="CZ127" s="56">
        <v>0</v>
      </c>
      <c r="DA127" s="56">
        <v>0</v>
      </c>
      <c r="DB127" s="56">
        <v>0</v>
      </c>
      <c r="DC127" s="56">
        <v>0</v>
      </c>
      <c r="DD127" s="56">
        <v>0</v>
      </c>
      <c r="DE127" s="56">
        <v>0</v>
      </c>
      <c r="DF127" s="56">
        <v>0</v>
      </c>
      <c r="DG127" s="56">
        <v>0</v>
      </c>
      <c r="DH127" s="56">
        <v>0</v>
      </c>
      <c r="DI127" s="56">
        <v>0</v>
      </c>
      <c r="DJ127" s="56">
        <v>0</v>
      </c>
      <c r="DK127" s="56">
        <v>0</v>
      </c>
      <c r="DL127" s="56">
        <v>0</v>
      </c>
      <c r="DM127" s="56">
        <v>0</v>
      </c>
      <c r="DN127" s="56">
        <v>0</v>
      </c>
      <c r="DO127" s="56">
        <v>0</v>
      </c>
      <c r="DP127" s="56">
        <v>0</v>
      </c>
      <c r="DQ127" s="56">
        <v>0</v>
      </c>
      <c r="DR127" s="56">
        <v>0</v>
      </c>
      <c r="DS127" s="56">
        <v>0</v>
      </c>
      <c r="DT127" s="56">
        <v>0</v>
      </c>
      <c r="DU127" s="56">
        <v>0</v>
      </c>
      <c r="DV127" s="56">
        <v>0</v>
      </c>
      <c r="DW127" s="56">
        <v>0</v>
      </c>
      <c r="DX127" s="56">
        <v>0</v>
      </c>
      <c r="DY127" s="56">
        <v>0</v>
      </c>
      <c r="DZ127" s="56">
        <v>0</v>
      </c>
      <c r="EA127" s="56">
        <v>0</v>
      </c>
      <c r="EB127" s="56">
        <v>0</v>
      </c>
      <c r="EC127" s="56">
        <v>0</v>
      </c>
      <c r="ED127" s="56">
        <v>0</v>
      </c>
      <c r="EE127" s="56">
        <v>0</v>
      </c>
      <c r="EF127" s="56">
        <v>0</v>
      </c>
      <c r="EG127" s="56">
        <v>0</v>
      </c>
      <c r="EH127" s="56">
        <v>96.48</v>
      </c>
      <c r="EI127" s="56">
        <v>0</v>
      </c>
      <c r="EJ127" s="56">
        <v>0</v>
      </c>
      <c r="EK127" s="56">
        <v>0</v>
      </c>
      <c r="EL127" s="56">
        <v>0</v>
      </c>
      <c r="EM127" s="56">
        <v>0</v>
      </c>
      <c r="EN127" s="56">
        <v>0</v>
      </c>
      <c r="EO127" s="56">
        <v>0</v>
      </c>
      <c r="EP127" s="56">
        <v>0</v>
      </c>
      <c r="EQ127" s="56">
        <v>0</v>
      </c>
      <c r="ER127" s="56">
        <v>0</v>
      </c>
      <c r="ES127" s="56">
        <v>0</v>
      </c>
      <c r="ET127" s="56">
        <v>0</v>
      </c>
      <c r="EU127" s="56">
        <v>0</v>
      </c>
      <c r="EV127" s="56">
        <v>0</v>
      </c>
      <c r="EW127" s="56">
        <v>0</v>
      </c>
      <c r="EX127" s="56">
        <v>0</v>
      </c>
      <c r="EY127" s="56">
        <v>0</v>
      </c>
      <c r="EZ127" s="56">
        <v>0</v>
      </c>
      <c r="FA127" s="56">
        <v>0</v>
      </c>
      <c r="FB127" s="56">
        <v>0</v>
      </c>
      <c r="FC127" s="58">
        <v>0</v>
      </c>
      <c r="FD127" s="56">
        <v>0</v>
      </c>
      <c r="FE127" s="56">
        <v>0</v>
      </c>
      <c r="FF127" s="56">
        <v>0</v>
      </c>
      <c r="FG127" s="56">
        <v>0</v>
      </c>
      <c r="FH127" s="56">
        <v>0</v>
      </c>
      <c r="FI127" s="56">
        <v>0</v>
      </c>
      <c r="FJ127" s="56">
        <v>0</v>
      </c>
      <c r="FK127" s="56">
        <v>0</v>
      </c>
      <c r="FL127" s="56">
        <v>0</v>
      </c>
      <c r="FM127" s="56">
        <v>0</v>
      </c>
      <c r="FN127" s="56">
        <v>0</v>
      </c>
      <c r="FO127" s="56">
        <v>0</v>
      </c>
      <c r="FP127" s="56">
        <v>0</v>
      </c>
      <c r="FQ127" s="56">
        <v>0</v>
      </c>
      <c r="FR127" s="56">
        <v>0</v>
      </c>
      <c r="FS127" s="58">
        <v>0</v>
      </c>
      <c r="FT127" s="56">
        <v>0</v>
      </c>
      <c r="FU127" s="56">
        <v>0</v>
      </c>
      <c r="FV127" s="56">
        <v>0</v>
      </c>
      <c r="FW127" s="56">
        <v>0</v>
      </c>
      <c r="FX127" s="56">
        <v>0</v>
      </c>
      <c r="FY127" s="56">
        <v>0</v>
      </c>
      <c r="FZ127" s="54" t="s">
        <v>1083</v>
      </c>
      <c r="GA127" s="54" t="s">
        <v>1084</v>
      </c>
      <c r="GB127" s="54" t="s">
        <v>1072</v>
      </c>
      <c r="GC127" s="54" t="s">
        <v>1073</v>
      </c>
      <c r="GD127" s="54" t="s">
        <v>1150</v>
      </c>
      <c r="GE127" s="54" t="s">
        <v>1075</v>
      </c>
      <c r="GF127" s="54"/>
      <c r="GG127" s="55"/>
      <c r="GH127" s="54"/>
      <c r="GI127" s="54"/>
      <c r="GJ127" s="54" t="s">
        <v>1076</v>
      </c>
      <c r="GK127" s="54" t="s">
        <v>1077</v>
      </c>
      <c r="GL127" s="54"/>
      <c r="GM127" s="54"/>
      <c r="GN127" s="54" t="s">
        <v>1078</v>
      </c>
      <c r="GO127" s="54" t="s">
        <v>1059</v>
      </c>
      <c r="GP127" s="54"/>
      <c r="GQ127" s="56">
        <v>0</v>
      </c>
      <c r="GR127" s="54" t="s">
        <v>1210</v>
      </c>
      <c r="GS127" s="54"/>
    </row>
    <row r="128" spans="1:201" x14ac:dyDescent="0.25">
      <c r="A128" s="54" t="s">
        <v>1032</v>
      </c>
      <c r="B128" s="54" t="s">
        <v>1033</v>
      </c>
      <c r="C128" s="54" t="s">
        <v>1242</v>
      </c>
      <c r="D128" s="54" t="s">
        <v>1035</v>
      </c>
      <c r="E128" s="54" t="s">
        <v>1036</v>
      </c>
      <c r="F128" s="55">
        <v>46185</v>
      </c>
      <c r="G128" s="55">
        <v>46185</v>
      </c>
      <c r="H128" s="54" t="s">
        <v>1037</v>
      </c>
      <c r="I128" s="54" t="s">
        <v>1038</v>
      </c>
      <c r="J128" s="54" t="s">
        <v>1039</v>
      </c>
      <c r="K128" s="55"/>
      <c r="L128" s="54" t="s">
        <v>1040</v>
      </c>
      <c r="M128" s="54"/>
      <c r="N128" s="54" t="s">
        <v>1243</v>
      </c>
      <c r="O128" s="54" t="s">
        <v>1107</v>
      </c>
      <c r="P128" s="54" t="s">
        <v>631</v>
      </c>
      <c r="Q128" s="54" t="s">
        <v>632</v>
      </c>
      <c r="R128" s="54" t="s">
        <v>1043</v>
      </c>
      <c r="S128" s="56">
        <v>649.20000000000005</v>
      </c>
      <c r="T128" s="56">
        <v>0</v>
      </c>
      <c r="U128" s="56">
        <v>0</v>
      </c>
      <c r="V128" s="56">
        <v>649.20000000000005</v>
      </c>
      <c r="W128" s="56">
        <v>0</v>
      </c>
      <c r="X128" s="56">
        <v>0</v>
      </c>
      <c r="Y128" s="56">
        <v>0</v>
      </c>
      <c r="Z128" s="56">
        <v>120</v>
      </c>
      <c r="AA128" s="56">
        <v>0</v>
      </c>
      <c r="AB128" s="59">
        <v>0</v>
      </c>
      <c r="AC128" s="56">
        <v>120</v>
      </c>
      <c r="AD128" s="56">
        <v>0</v>
      </c>
      <c r="AE128" s="56">
        <v>0</v>
      </c>
      <c r="AF128" s="54" t="s">
        <v>1199</v>
      </c>
      <c r="AG128" s="57"/>
      <c r="AH128" s="54" t="s">
        <v>1123</v>
      </c>
      <c r="AI128" s="54" t="s">
        <v>1124</v>
      </c>
      <c r="AJ128" s="54"/>
      <c r="AK128" s="54"/>
      <c r="AL128" s="54"/>
      <c r="AM128" s="54"/>
      <c r="AN128" s="54"/>
      <c r="AO128" s="54"/>
      <c r="AP128" s="54"/>
      <c r="AQ128" s="54"/>
      <c r="AR128" s="54" t="s">
        <v>1154</v>
      </c>
      <c r="AS128" s="54" t="s">
        <v>1094</v>
      </c>
      <c r="AT128" s="54" t="s">
        <v>1095</v>
      </c>
      <c r="AU128" s="54" t="s">
        <v>1048</v>
      </c>
      <c r="AV128" s="54"/>
      <c r="AW128" s="55">
        <v>46192</v>
      </c>
      <c r="AX128" s="55">
        <v>46185</v>
      </c>
      <c r="AY128" s="55">
        <v>46185</v>
      </c>
      <c r="AZ128" s="55"/>
      <c r="BA128" s="55">
        <v>46192</v>
      </c>
      <c r="BB128" s="56">
        <v>0</v>
      </c>
      <c r="BC128" s="56">
        <v>0</v>
      </c>
      <c r="BD128" s="56">
        <v>0</v>
      </c>
      <c r="BE128" s="56">
        <v>0</v>
      </c>
      <c r="BF128" s="56">
        <v>0</v>
      </c>
      <c r="BG128" s="56">
        <v>0</v>
      </c>
      <c r="BH128" s="56">
        <v>0</v>
      </c>
      <c r="BI128" s="56">
        <v>0</v>
      </c>
      <c r="BJ128" s="56">
        <v>0</v>
      </c>
      <c r="BK128" s="56">
        <v>0</v>
      </c>
      <c r="BL128" s="56">
        <v>0</v>
      </c>
      <c r="BM128" s="56">
        <v>0</v>
      </c>
      <c r="BN128" s="56">
        <v>0</v>
      </c>
      <c r="BO128" s="56">
        <v>0</v>
      </c>
      <c r="BP128" s="54" t="s">
        <v>1049</v>
      </c>
      <c r="BQ128" s="54" t="s">
        <v>1050</v>
      </c>
      <c r="BR128" s="54" t="s">
        <v>1049</v>
      </c>
      <c r="BS128" s="54" t="s">
        <v>1050</v>
      </c>
      <c r="BT128" s="54" t="s">
        <v>1155</v>
      </c>
      <c r="BU128" s="54" t="s">
        <v>1043</v>
      </c>
      <c r="BV128" s="58">
        <v>0</v>
      </c>
      <c r="BW128" s="54" t="s">
        <v>1052</v>
      </c>
      <c r="BX128" s="54" t="s">
        <v>1053</v>
      </c>
      <c r="BY128" s="54" t="s">
        <v>1054</v>
      </c>
      <c r="BZ128" s="54" t="s">
        <v>1055</v>
      </c>
      <c r="CA128" s="55"/>
      <c r="CB128" s="54" t="s">
        <v>1056</v>
      </c>
      <c r="CC128" s="54" t="s">
        <v>1057</v>
      </c>
      <c r="CD128" s="54" t="s">
        <v>1058</v>
      </c>
      <c r="CE128" s="54" t="s">
        <v>1059</v>
      </c>
      <c r="CF128" s="54" t="s">
        <v>1060</v>
      </c>
      <c r="CG128" s="54" t="s">
        <v>1061</v>
      </c>
      <c r="CH128" s="54" t="s">
        <v>1062</v>
      </c>
      <c r="CI128" s="54" t="s">
        <v>1063</v>
      </c>
      <c r="CJ128" s="54" t="s">
        <v>1064</v>
      </c>
      <c r="CK128" s="54" t="s">
        <v>1065</v>
      </c>
      <c r="CL128" s="54" t="s">
        <v>1066</v>
      </c>
      <c r="CM128" s="54" t="s">
        <v>1067</v>
      </c>
      <c r="CN128" s="54" t="s">
        <v>1156</v>
      </c>
      <c r="CO128" s="54" t="s">
        <v>1157</v>
      </c>
      <c r="CP128" s="56">
        <v>0</v>
      </c>
      <c r="CQ128" s="56">
        <v>0</v>
      </c>
      <c r="CR128" s="56">
        <v>0</v>
      </c>
      <c r="CS128" s="56">
        <v>0</v>
      </c>
      <c r="CT128" s="56">
        <v>0</v>
      </c>
      <c r="CU128" s="56">
        <v>0</v>
      </c>
      <c r="CV128" s="56">
        <v>0</v>
      </c>
      <c r="CW128" s="56">
        <v>0</v>
      </c>
      <c r="CX128" s="56">
        <v>0</v>
      </c>
      <c r="CY128" s="56">
        <v>0</v>
      </c>
      <c r="CZ128" s="56">
        <v>0</v>
      </c>
      <c r="DA128" s="56">
        <v>0</v>
      </c>
      <c r="DB128" s="56">
        <v>0</v>
      </c>
      <c r="DC128" s="56">
        <v>0</v>
      </c>
      <c r="DD128" s="56">
        <v>0</v>
      </c>
      <c r="DE128" s="56">
        <v>0</v>
      </c>
      <c r="DF128" s="56">
        <v>0</v>
      </c>
      <c r="DG128" s="56">
        <v>0</v>
      </c>
      <c r="DH128" s="56">
        <v>0</v>
      </c>
      <c r="DI128" s="56">
        <v>0</v>
      </c>
      <c r="DJ128" s="56">
        <v>0</v>
      </c>
      <c r="DK128" s="56">
        <v>0</v>
      </c>
      <c r="DL128" s="56">
        <v>0</v>
      </c>
      <c r="DM128" s="56">
        <v>0</v>
      </c>
      <c r="DN128" s="56">
        <v>0</v>
      </c>
      <c r="DO128" s="56">
        <v>0</v>
      </c>
      <c r="DP128" s="56">
        <v>0</v>
      </c>
      <c r="DQ128" s="56">
        <v>0</v>
      </c>
      <c r="DR128" s="56">
        <v>0</v>
      </c>
      <c r="DS128" s="56">
        <v>0</v>
      </c>
      <c r="DT128" s="56">
        <v>0</v>
      </c>
      <c r="DU128" s="56">
        <v>0</v>
      </c>
      <c r="DV128" s="56">
        <v>0</v>
      </c>
      <c r="DW128" s="56">
        <v>0</v>
      </c>
      <c r="DX128" s="56">
        <v>0</v>
      </c>
      <c r="DY128" s="56">
        <v>0</v>
      </c>
      <c r="DZ128" s="56">
        <v>0</v>
      </c>
      <c r="EA128" s="56">
        <v>0</v>
      </c>
      <c r="EB128" s="56">
        <v>0</v>
      </c>
      <c r="EC128" s="56">
        <v>0</v>
      </c>
      <c r="ED128" s="56">
        <v>0</v>
      </c>
      <c r="EE128" s="56">
        <v>0</v>
      </c>
      <c r="EF128" s="56">
        <v>0</v>
      </c>
      <c r="EG128" s="56">
        <v>0</v>
      </c>
      <c r="EH128" s="56">
        <v>77.900000000000006</v>
      </c>
      <c r="EI128" s="56">
        <v>0</v>
      </c>
      <c r="EJ128" s="56">
        <v>0</v>
      </c>
      <c r="EK128" s="56">
        <v>0</v>
      </c>
      <c r="EL128" s="56">
        <v>0</v>
      </c>
      <c r="EM128" s="56">
        <v>0</v>
      </c>
      <c r="EN128" s="56">
        <v>0</v>
      </c>
      <c r="EO128" s="56">
        <v>0</v>
      </c>
      <c r="EP128" s="56">
        <v>0</v>
      </c>
      <c r="EQ128" s="56">
        <v>0</v>
      </c>
      <c r="ER128" s="56">
        <v>0</v>
      </c>
      <c r="ES128" s="56">
        <v>0</v>
      </c>
      <c r="ET128" s="56">
        <v>0</v>
      </c>
      <c r="EU128" s="56">
        <v>0</v>
      </c>
      <c r="EV128" s="56">
        <v>0</v>
      </c>
      <c r="EW128" s="56">
        <v>0</v>
      </c>
      <c r="EX128" s="56">
        <v>0</v>
      </c>
      <c r="EY128" s="56">
        <v>0</v>
      </c>
      <c r="EZ128" s="56">
        <v>0</v>
      </c>
      <c r="FA128" s="56">
        <v>0</v>
      </c>
      <c r="FB128" s="56">
        <v>0</v>
      </c>
      <c r="FC128" s="58">
        <v>0</v>
      </c>
      <c r="FD128" s="56">
        <v>0</v>
      </c>
      <c r="FE128" s="56">
        <v>0</v>
      </c>
      <c r="FF128" s="56">
        <v>0</v>
      </c>
      <c r="FG128" s="56">
        <v>0</v>
      </c>
      <c r="FH128" s="56">
        <v>0</v>
      </c>
      <c r="FI128" s="56">
        <v>0</v>
      </c>
      <c r="FJ128" s="56">
        <v>0</v>
      </c>
      <c r="FK128" s="56">
        <v>0</v>
      </c>
      <c r="FL128" s="56">
        <v>0</v>
      </c>
      <c r="FM128" s="56">
        <v>0</v>
      </c>
      <c r="FN128" s="56">
        <v>0</v>
      </c>
      <c r="FO128" s="56">
        <v>0</v>
      </c>
      <c r="FP128" s="56">
        <v>0</v>
      </c>
      <c r="FQ128" s="56">
        <v>0</v>
      </c>
      <c r="FR128" s="56">
        <v>0</v>
      </c>
      <c r="FS128" s="58">
        <v>0</v>
      </c>
      <c r="FT128" s="56">
        <v>0</v>
      </c>
      <c r="FU128" s="56">
        <v>0</v>
      </c>
      <c r="FV128" s="56">
        <v>0</v>
      </c>
      <c r="FW128" s="56">
        <v>0</v>
      </c>
      <c r="FX128" s="56">
        <v>0</v>
      </c>
      <c r="FY128" s="56">
        <v>0</v>
      </c>
      <c r="FZ128" s="54" t="s">
        <v>1097</v>
      </c>
      <c r="GA128" s="54" t="s">
        <v>1098</v>
      </c>
      <c r="GB128" s="54" t="s">
        <v>1072</v>
      </c>
      <c r="GC128" s="54" t="s">
        <v>1073</v>
      </c>
      <c r="GD128" s="54"/>
      <c r="GE128" s="54"/>
      <c r="GF128" s="54"/>
      <c r="GG128" s="55"/>
      <c r="GH128" s="54"/>
      <c r="GI128" s="54"/>
      <c r="GJ128" s="54" t="s">
        <v>1076</v>
      </c>
      <c r="GK128" s="54" t="s">
        <v>1077</v>
      </c>
      <c r="GL128" s="54"/>
      <c r="GM128" s="54"/>
      <c r="GN128" s="54" t="s">
        <v>1078</v>
      </c>
      <c r="GO128" s="54" t="s">
        <v>1059</v>
      </c>
      <c r="GP128" s="54"/>
      <c r="GQ128" s="56">
        <v>0</v>
      </c>
      <c r="GR128" s="54" t="s">
        <v>1210</v>
      </c>
      <c r="GS128" s="54"/>
    </row>
    <row r="129" spans="1:201" x14ac:dyDescent="0.25">
      <c r="A129" s="54" t="s">
        <v>1032</v>
      </c>
      <c r="B129" s="54" t="s">
        <v>1033</v>
      </c>
      <c r="C129" s="54" t="s">
        <v>1242</v>
      </c>
      <c r="D129" s="54" t="s">
        <v>1035</v>
      </c>
      <c r="E129" s="54" t="s">
        <v>1036</v>
      </c>
      <c r="F129" s="55">
        <v>46185</v>
      </c>
      <c r="G129" s="55">
        <v>46185</v>
      </c>
      <c r="H129" s="54" t="s">
        <v>1037</v>
      </c>
      <c r="I129" s="54" t="s">
        <v>1038</v>
      </c>
      <c r="J129" s="54" t="s">
        <v>1039</v>
      </c>
      <c r="K129" s="55"/>
      <c r="L129" s="54" t="s">
        <v>1040</v>
      </c>
      <c r="M129" s="54"/>
      <c r="N129" s="54" t="s">
        <v>1243</v>
      </c>
      <c r="O129" s="54" t="s">
        <v>1109</v>
      </c>
      <c r="P129" s="54" t="s">
        <v>204</v>
      </c>
      <c r="Q129" s="54" t="s">
        <v>38</v>
      </c>
      <c r="R129" s="54" t="s">
        <v>1043</v>
      </c>
      <c r="S129" s="56">
        <v>1132.8</v>
      </c>
      <c r="T129" s="56">
        <v>1132.8</v>
      </c>
      <c r="U129" s="56">
        <v>0</v>
      </c>
      <c r="V129" s="56">
        <v>0</v>
      </c>
      <c r="W129" s="56">
        <v>0</v>
      </c>
      <c r="X129" s="56">
        <v>0</v>
      </c>
      <c r="Y129" s="56">
        <v>0</v>
      </c>
      <c r="Z129" s="56">
        <v>120</v>
      </c>
      <c r="AA129" s="56">
        <v>120</v>
      </c>
      <c r="AB129" s="59">
        <v>0</v>
      </c>
      <c r="AC129" s="56">
        <v>0</v>
      </c>
      <c r="AD129" s="56">
        <v>0</v>
      </c>
      <c r="AE129" s="56">
        <v>0</v>
      </c>
      <c r="AF129" s="54" t="s">
        <v>1199</v>
      </c>
      <c r="AG129" s="57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 t="s">
        <v>1045</v>
      </c>
      <c r="AS129" s="54" t="s">
        <v>1081</v>
      </c>
      <c r="AT129" s="54" t="s">
        <v>1082</v>
      </c>
      <c r="AU129" s="54" t="s">
        <v>1048</v>
      </c>
      <c r="AV129" s="54"/>
      <c r="AW129" s="55">
        <v>46198</v>
      </c>
      <c r="AX129" s="55">
        <v>46185</v>
      </c>
      <c r="AY129" s="55">
        <v>46185</v>
      </c>
      <c r="AZ129" s="55"/>
      <c r="BA129" s="55">
        <v>46198</v>
      </c>
      <c r="BB129" s="56">
        <v>0</v>
      </c>
      <c r="BC129" s="56">
        <v>0</v>
      </c>
      <c r="BD129" s="56">
        <v>0</v>
      </c>
      <c r="BE129" s="56">
        <v>0</v>
      </c>
      <c r="BF129" s="56">
        <v>0</v>
      </c>
      <c r="BG129" s="56">
        <v>0</v>
      </c>
      <c r="BH129" s="56">
        <v>0</v>
      </c>
      <c r="BI129" s="56">
        <v>0</v>
      </c>
      <c r="BJ129" s="56">
        <v>0</v>
      </c>
      <c r="BK129" s="56">
        <v>0</v>
      </c>
      <c r="BL129" s="56">
        <v>0</v>
      </c>
      <c r="BM129" s="56">
        <v>0</v>
      </c>
      <c r="BN129" s="56">
        <v>0</v>
      </c>
      <c r="BO129" s="56">
        <v>0</v>
      </c>
      <c r="BP129" s="54" t="s">
        <v>1049</v>
      </c>
      <c r="BQ129" s="54" t="s">
        <v>1050</v>
      </c>
      <c r="BR129" s="54" t="s">
        <v>1049</v>
      </c>
      <c r="BS129" s="54" t="s">
        <v>1050</v>
      </c>
      <c r="BT129" s="54" t="s">
        <v>1051</v>
      </c>
      <c r="BU129" s="54" t="s">
        <v>1043</v>
      </c>
      <c r="BV129" s="58">
        <v>120</v>
      </c>
      <c r="BW129" s="54" t="s">
        <v>1052</v>
      </c>
      <c r="BX129" s="54" t="s">
        <v>1053</v>
      </c>
      <c r="BY129" s="54" t="s">
        <v>1054</v>
      </c>
      <c r="BZ129" s="54" t="s">
        <v>1055</v>
      </c>
      <c r="CA129" s="55"/>
      <c r="CB129" s="54" t="s">
        <v>1056</v>
      </c>
      <c r="CC129" s="54" t="s">
        <v>1057</v>
      </c>
      <c r="CD129" s="54" t="s">
        <v>1058</v>
      </c>
      <c r="CE129" s="54" t="s">
        <v>1059</v>
      </c>
      <c r="CF129" s="54" t="s">
        <v>1060</v>
      </c>
      <c r="CG129" s="54" t="s">
        <v>1061</v>
      </c>
      <c r="CH129" s="54" t="s">
        <v>1062</v>
      </c>
      <c r="CI129" s="54" t="s">
        <v>1063</v>
      </c>
      <c r="CJ129" s="54" t="s">
        <v>1064</v>
      </c>
      <c r="CK129" s="54" t="s">
        <v>1065</v>
      </c>
      <c r="CL129" s="54" t="s">
        <v>1066</v>
      </c>
      <c r="CM129" s="54" t="s">
        <v>1067</v>
      </c>
      <c r="CN129" s="54" t="s">
        <v>1068</v>
      </c>
      <c r="CO129" s="54" t="s">
        <v>1069</v>
      </c>
      <c r="CP129" s="56">
        <v>0</v>
      </c>
      <c r="CQ129" s="56">
        <v>0</v>
      </c>
      <c r="CR129" s="56">
        <v>0</v>
      </c>
      <c r="CS129" s="56">
        <v>0</v>
      </c>
      <c r="CT129" s="56">
        <v>0</v>
      </c>
      <c r="CU129" s="56">
        <v>0</v>
      </c>
      <c r="CV129" s="56">
        <v>0</v>
      </c>
      <c r="CW129" s="56">
        <v>0</v>
      </c>
      <c r="CX129" s="56">
        <v>0</v>
      </c>
      <c r="CY129" s="56">
        <v>0</v>
      </c>
      <c r="CZ129" s="56">
        <v>0</v>
      </c>
      <c r="DA129" s="56">
        <v>0</v>
      </c>
      <c r="DB129" s="56">
        <v>0</v>
      </c>
      <c r="DC129" s="56">
        <v>0</v>
      </c>
      <c r="DD129" s="56">
        <v>0</v>
      </c>
      <c r="DE129" s="56">
        <v>0</v>
      </c>
      <c r="DF129" s="56">
        <v>0</v>
      </c>
      <c r="DG129" s="56">
        <v>0</v>
      </c>
      <c r="DH129" s="56">
        <v>0</v>
      </c>
      <c r="DI129" s="56">
        <v>0</v>
      </c>
      <c r="DJ129" s="56">
        <v>0</v>
      </c>
      <c r="DK129" s="56">
        <v>0</v>
      </c>
      <c r="DL129" s="56">
        <v>0</v>
      </c>
      <c r="DM129" s="56">
        <v>0</v>
      </c>
      <c r="DN129" s="56">
        <v>0</v>
      </c>
      <c r="DO129" s="56">
        <v>0</v>
      </c>
      <c r="DP129" s="56">
        <v>0</v>
      </c>
      <c r="DQ129" s="56">
        <v>0</v>
      </c>
      <c r="DR129" s="56">
        <v>0</v>
      </c>
      <c r="DS129" s="56">
        <v>0</v>
      </c>
      <c r="DT129" s="56">
        <v>0</v>
      </c>
      <c r="DU129" s="56">
        <v>0</v>
      </c>
      <c r="DV129" s="56">
        <v>0</v>
      </c>
      <c r="DW129" s="56">
        <v>0</v>
      </c>
      <c r="DX129" s="56">
        <v>0</v>
      </c>
      <c r="DY129" s="56">
        <v>0</v>
      </c>
      <c r="DZ129" s="56">
        <v>0</v>
      </c>
      <c r="EA129" s="56">
        <v>0</v>
      </c>
      <c r="EB129" s="56">
        <v>0</v>
      </c>
      <c r="EC129" s="56">
        <v>0</v>
      </c>
      <c r="ED129" s="56">
        <v>0</v>
      </c>
      <c r="EE129" s="56">
        <v>0</v>
      </c>
      <c r="EF129" s="56">
        <v>0</v>
      </c>
      <c r="EG129" s="56">
        <v>0</v>
      </c>
      <c r="EH129" s="56">
        <v>135.94</v>
      </c>
      <c r="EI129" s="56">
        <v>0</v>
      </c>
      <c r="EJ129" s="56">
        <v>0</v>
      </c>
      <c r="EK129" s="56">
        <v>0</v>
      </c>
      <c r="EL129" s="56">
        <v>0</v>
      </c>
      <c r="EM129" s="56">
        <v>0</v>
      </c>
      <c r="EN129" s="56">
        <v>0</v>
      </c>
      <c r="EO129" s="56">
        <v>0</v>
      </c>
      <c r="EP129" s="56">
        <v>0</v>
      </c>
      <c r="EQ129" s="56">
        <v>0</v>
      </c>
      <c r="ER129" s="56">
        <v>0</v>
      </c>
      <c r="ES129" s="56">
        <v>0</v>
      </c>
      <c r="ET129" s="56">
        <v>0</v>
      </c>
      <c r="EU129" s="56">
        <v>0</v>
      </c>
      <c r="EV129" s="56">
        <v>0</v>
      </c>
      <c r="EW129" s="56">
        <v>0</v>
      </c>
      <c r="EX129" s="56">
        <v>0</v>
      </c>
      <c r="EY129" s="56">
        <v>0</v>
      </c>
      <c r="EZ129" s="56">
        <v>0</v>
      </c>
      <c r="FA129" s="56">
        <v>0</v>
      </c>
      <c r="FB129" s="56">
        <v>0</v>
      </c>
      <c r="FC129" s="58">
        <v>0</v>
      </c>
      <c r="FD129" s="56">
        <v>0</v>
      </c>
      <c r="FE129" s="56">
        <v>0</v>
      </c>
      <c r="FF129" s="56">
        <v>0</v>
      </c>
      <c r="FG129" s="56">
        <v>0</v>
      </c>
      <c r="FH129" s="56">
        <v>0</v>
      </c>
      <c r="FI129" s="56">
        <v>0</v>
      </c>
      <c r="FJ129" s="56">
        <v>0</v>
      </c>
      <c r="FK129" s="56">
        <v>0</v>
      </c>
      <c r="FL129" s="56">
        <v>0</v>
      </c>
      <c r="FM129" s="56">
        <v>0</v>
      </c>
      <c r="FN129" s="56">
        <v>0</v>
      </c>
      <c r="FO129" s="56">
        <v>0</v>
      </c>
      <c r="FP129" s="56">
        <v>0</v>
      </c>
      <c r="FQ129" s="56">
        <v>0</v>
      </c>
      <c r="FR129" s="56">
        <v>0</v>
      </c>
      <c r="FS129" s="58">
        <v>0</v>
      </c>
      <c r="FT129" s="56">
        <v>0</v>
      </c>
      <c r="FU129" s="56">
        <v>0</v>
      </c>
      <c r="FV129" s="56">
        <v>0</v>
      </c>
      <c r="FW129" s="56">
        <v>0</v>
      </c>
      <c r="FX129" s="56">
        <v>0</v>
      </c>
      <c r="FY129" s="56">
        <v>0</v>
      </c>
      <c r="FZ129" s="54" t="s">
        <v>1083</v>
      </c>
      <c r="GA129" s="54" t="s">
        <v>1084</v>
      </c>
      <c r="GB129" s="54" t="s">
        <v>1072</v>
      </c>
      <c r="GC129" s="54" t="s">
        <v>1073</v>
      </c>
      <c r="GD129" s="54" t="s">
        <v>1160</v>
      </c>
      <c r="GE129" s="54" t="s">
        <v>1075</v>
      </c>
      <c r="GF129" s="54"/>
      <c r="GG129" s="55"/>
      <c r="GH129" s="54"/>
      <c r="GI129" s="54"/>
      <c r="GJ129" s="54" t="s">
        <v>1076</v>
      </c>
      <c r="GK129" s="54" t="s">
        <v>1077</v>
      </c>
      <c r="GL129" s="54"/>
      <c r="GM129" s="54"/>
      <c r="GN129" s="54" t="s">
        <v>1078</v>
      </c>
      <c r="GO129" s="54" t="s">
        <v>1059</v>
      </c>
      <c r="GP129" s="54"/>
      <c r="GQ129" s="56">
        <v>0</v>
      </c>
      <c r="GR129" s="54" t="s">
        <v>1210</v>
      </c>
      <c r="GS129" s="54"/>
    </row>
    <row r="130" spans="1:201" x14ac:dyDescent="0.25">
      <c r="A130" s="54" t="s">
        <v>1032</v>
      </c>
      <c r="B130" s="54" t="s">
        <v>1033</v>
      </c>
      <c r="C130" s="54" t="s">
        <v>1242</v>
      </c>
      <c r="D130" s="54" t="s">
        <v>1035</v>
      </c>
      <c r="E130" s="54" t="s">
        <v>1036</v>
      </c>
      <c r="F130" s="55">
        <v>46185</v>
      </c>
      <c r="G130" s="55">
        <v>46185</v>
      </c>
      <c r="H130" s="54" t="s">
        <v>1037</v>
      </c>
      <c r="I130" s="54" t="s">
        <v>1038</v>
      </c>
      <c r="J130" s="54" t="s">
        <v>1039</v>
      </c>
      <c r="K130" s="55"/>
      <c r="L130" s="54" t="s">
        <v>1040</v>
      </c>
      <c r="M130" s="54"/>
      <c r="N130" s="54" t="s">
        <v>1243</v>
      </c>
      <c r="O130" s="54" t="s">
        <v>1111</v>
      </c>
      <c r="P130" s="54" t="s">
        <v>494</v>
      </c>
      <c r="Q130" s="54" t="s">
        <v>493</v>
      </c>
      <c r="R130" s="54" t="s">
        <v>1043</v>
      </c>
      <c r="S130" s="56">
        <v>1066.8</v>
      </c>
      <c r="T130" s="56">
        <v>1066.8</v>
      </c>
      <c r="U130" s="56">
        <v>0</v>
      </c>
      <c r="V130" s="56">
        <v>0</v>
      </c>
      <c r="W130" s="56">
        <v>0</v>
      </c>
      <c r="X130" s="56">
        <v>0</v>
      </c>
      <c r="Y130" s="56">
        <v>0</v>
      </c>
      <c r="Z130" s="56">
        <v>84</v>
      </c>
      <c r="AA130" s="56">
        <v>84</v>
      </c>
      <c r="AB130" s="59">
        <v>0</v>
      </c>
      <c r="AC130" s="56">
        <v>0</v>
      </c>
      <c r="AD130" s="56">
        <v>0</v>
      </c>
      <c r="AE130" s="56">
        <v>0</v>
      </c>
      <c r="AF130" s="54" t="s">
        <v>1199</v>
      </c>
      <c r="AG130" s="57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 t="s">
        <v>1045</v>
      </c>
      <c r="AS130" s="54" t="s">
        <v>1103</v>
      </c>
      <c r="AT130" s="54" t="s">
        <v>1104</v>
      </c>
      <c r="AU130" s="54" t="s">
        <v>1048</v>
      </c>
      <c r="AV130" s="54"/>
      <c r="AW130" s="55">
        <v>46198</v>
      </c>
      <c r="AX130" s="55">
        <v>46185</v>
      </c>
      <c r="AY130" s="55">
        <v>46185</v>
      </c>
      <c r="AZ130" s="55">
        <v>46188</v>
      </c>
      <c r="BA130" s="55">
        <v>46198</v>
      </c>
      <c r="BB130" s="56">
        <v>0</v>
      </c>
      <c r="BC130" s="56">
        <v>0</v>
      </c>
      <c r="BD130" s="56">
        <v>0</v>
      </c>
      <c r="BE130" s="56">
        <v>0</v>
      </c>
      <c r="BF130" s="56">
        <v>0</v>
      </c>
      <c r="BG130" s="56">
        <v>0</v>
      </c>
      <c r="BH130" s="56">
        <v>0</v>
      </c>
      <c r="BI130" s="56">
        <v>0</v>
      </c>
      <c r="BJ130" s="56">
        <v>0</v>
      </c>
      <c r="BK130" s="56">
        <v>0</v>
      </c>
      <c r="BL130" s="56">
        <v>0</v>
      </c>
      <c r="BM130" s="56">
        <v>0</v>
      </c>
      <c r="BN130" s="56">
        <v>0</v>
      </c>
      <c r="BO130" s="56">
        <v>0</v>
      </c>
      <c r="BP130" s="54" t="s">
        <v>1049</v>
      </c>
      <c r="BQ130" s="54" t="s">
        <v>1050</v>
      </c>
      <c r="BR130" s="54" t="s">
        <v>1049</v>
      </c>
      <c r="BS130" s="54" t="s">
        <v>1050</v>
      </c>
      <c r="BT130" s="54" t="s">
        <v>1051</v>
      </c>
      <c r="BU130" s="54" t="s">
        <v>1043</v>
      </c>
      <c r="BV130" s="58">
        <v>84</v>
      </c>
      <c r="BW130" s="54" t="s">
        <v>1052</v>
      </c>
      <c r="BX130" s="54" t="s">
        <v>1053</v>
      </c>
      <c r="BY130" s="54" t="s">
        <v>1054</v>
      </c>
      <c r="BZ130" s="54" t="s">
        <v>1055</v>
      </c>
      <c r="CA130" s="55"/>
      <c r="CB130" s="54" t="s">
        <v>1056</v>
      </c>
      <c r="CC130" s="54" t="s">
        <v>1057</v>
      </c>
      <c r="CD130" s="54" t="s">
        <v>1058</v>
      </c>
      <c r="CE130" s="54" t="s">
        <v>1059</v>
      </c>
      <c r="CF130" s="54" t="s">
        <v>1060</v>
      </c>
      <c r="CG130" s="54" t="s">
        <v>1061</v>
      </c>
      <c r="CH130" s="54" t="s">
        <v>1062</v>
      </c>
      <c r="CI130" s="54" t="s">
        <v>1063</v>
      </c>
      <c r="CJ130" s="54" t="s">
        <v>1064</v>
      </c>
      <c r="CK130" s="54" t="s">
        <v>1065</v>
      </c>
      <c r="CL130" s="54" t="s">
        <v>1066</v>
      </c>
      <c r="CM130" s="54" t="s">
        <v>1067</v>
      </c>
      <c r="CN130" s="54" t="s">
        <v>1068</v>
      </c>
      <c r="CO130" s="54" t="s">
        <v>1069</v>
      </c>
      <c r="CP130" s="56">
        <v>0</v>
      </c>
      <c r="CQ130" s="56">
        <v>0</v>
      </c>
      <c r="CR130" s="56">
        <v>0</v>
      </c>
      <c r="CS130" s="56">
        <v>0</v>
      </c>
      <c r="CT130" s="56">
        <v>0</v>
      </c>
      <c r="CU130" s="56">
        <v>0</v>
      </c>
      <c r="CV130" s="56">
        <v>0</v>
      </c>
      <c r="CW130" s="56">
        <v>0</v>
      </c>
      <c r="CX130" s="56">
        <v>0</v>
      </c>
      <c r="CY130" s="56">
        <v>0</v>
      </c>
      <c r="CZ130" s="56">
        <v>0</v>
      </c>
      <c r="DA130" s="56">
        <v>0</v>
      </c>
      <c r="DB130" s="56">
        <v>0</v>
      </c>
      <c r="DC130" s="56">
        <v>0</v>
      </c>
      <c r="DD130" s="56">
        <v>0</v>
      </c>
      <c r="DE130" s="56">
        <v>0</v>
      </c>
      <c r="DF130" s="56">
        <v>0</v>
      </c>
      <c r="DG130" s="56">
        <v>0</v>
      </c>
      <c r="DH130" s="56">
        <v>0</v>
      </c>
      <c r="DI130" s="56">
        <v>0</v>
      </c>
      <c r="DJ130" s="56">
        <v>0</v>
      </c>
      <c r="DK130" s="56">
        <v>0</v>
      </c>
      <c r="DL130" s="56">
        <v>0</v>
      </c>
      <c r="DM130" s="56">
        <v>0</v>
      </c>
      <c r="DN130" s="56">
        <v>0</v>
      </c>
      <c r="DO130" s="56">
        <v>0</v>
      </c>
      <c r="DP130" s="56">
        <v>0</v>
      </c>
      <c r="DQ130" s="56">
        <v>0</v>
      </c>
      <c r="DR130" s="56">
        <v>0</v>
      </c>
      <c r="DS130" s="56">
        <v>0</v>
      </c>
      <c r="DT130" s="56">
        <v>0</v>
      </c>
      <c r="DU130" s="56">
        <v>0</v>
      </c>
      <c r="DV130" s="56">
        <v>0</v>
      </c>
      <c r="DW130" s="56">
        <v>0</v>
      </c>
      <c r="DX130" s="56">
        <v>0</v>
      </c>
      <c r="DY130" s="56">
        <v>0</v>
      </c>
      <c r="DZ130" s="56">
        <v>0</v>
      </c>
      <c r="EA130" s="56">
        <v>0</v>
      </c>
      <c r="EB130" s="56">
        <v>0</v>
      </c>
      <c r="EC130" s="56">
        <v>0</v>
      </c>
      <c r="ED130" s="56">
        <v>0</v>
      </c>
      <c r="EE130" s="56">
        <v>0</v>
      </c>
      <c r="EF130" s="56">
        <v>81.08</v>
      </c>
      <c r="EG130" s="56">
        <v>17.600000000000001</v>
      </c>
      <c r="EH130" s="56">
        <v>128.02000000000001</v>
      </c>
      <c r="EI130" s="56">
        <v>0</v>
      </c>
      <c r="EJ130" s="56">
        <v>0</v>
      </c>
      <c r="EK130" s="56">
        <v>0</v>
      </c>
      <c r="EL130" s="56">
        <v>0</v>
      </c>
      <c r="EM130" s="56">
        <v>0</v>
      </c>
      <c r="EN130" s="56">
        <v>0</v>
      </c>
      <c r="EO130" s="56">
        <v>0</v>
      </c>
      <c r="EP130" s="56">
        <v>0</v>
      </c>
      <c r="EQ130" s="56">
        <v>0</v>
      </c>
      <c r="ER130" s="56">
        <v>0</v>
      </c>
      <c r="ES130" s="56">
        <v>0</v>
      </c>
      <c r="ET130" s="56">
        <v>0</v>
      </c>
      <c r="EU130" s="56">
        <v>0</v>
      </c>
      <c r="EV130" s="56">
        <v>0</v>
      </c>
      <c r="EW130" s="56">
        <v>0</v>
      </c>
      <c r="EX130" s="56">
        <v>0</v>
      </c>
      <c r="EY130" s="56">
        <v>0</v>
      </c>
      <c r="EZ130" s="56">
        <v>0</v>
      </c>
      <c r="FA130" s="56">
        <v>0</v>
      </c>
      <c r="FB130" s="56">
        <v>0</v>
      </c>
      <c r="FC130" s="58">
        <v>0</v>
      </c>
      <c r="FD130" s="56">
        <v>0</v>
      </c>
      <c r="FE130" s="56">
        <v>0</v>
      </c>
      <c r="FF130" s="56">
        <v>0</v>
      </c>
      <c r="FG130" s="56">
        <v>0</v>
      </c>
      <c r="FH130" s="56">
        <v>0</v>
      </c>
      <c r="FI130" s="56">
        <v>0</v>
      </c>
      <c r="FJ130" s="56">
        <v>0</v>
      </c>
      <c r="FK130" s="56">
        <v>0</v>
      </c>
      <c r="FL130" s="56">
        <v>0</v>
      </c>
      <c r="FM130" s="56">
        <v>0</v>
      </c>
      <c r="FN130" s="56">
        <v>0</v>
      </c>
      <c r="FO130" s="56">
        <v>0</v>
      </c>
      <c r="FP130" s="56">
        <v>0</v>
      </c>
      <c r="FQ130" s="56">
        <v>0</v>
      </c>
      <c r="FR130" s="56">
        <v>0</v>
      </c>
      <c r="FS130" s="58">
        <v>0</v>
      </c>
      <c r="FT130" s="56">
        <v>0</v>
      </c>
      <c r="FU130" s="56">
        <v>0</v>
      </c>
      <c r="FV130" s="56">
        <v>0</v>
      </c>
      <c r="FW130" s="56">
        <v>0</v>
      </c>
      <c r="FX130" s="56">
        <v>0</v>
      </c>
      <c r="FY130" s="56">
        <v>0</v>
      </c>
      <c r="FZ130" s="54" t="s">
        <v>1105</v>
      </c>
      <c r="GA130" s="54" t="s">
        <v>1106</v>
      </c>
      <c r="GB130" s="54" t="s">
        <v>1072</v>
      </c>
      <c r="GC130" s="54" t="s">
        <v>1073</v>
      </c>
      <c r="GD130" s="54"/>
      <c r="GE130" s="54"/>
      <c r="GF130" s="54"/>
      <c r="GG130" s="55"/>
      <c r="GH130" s="54"/>
      <c r="GI130" s="54"/>
      <c r="GJ130" s="54" t="s">
        <v>1076</v>
      </c>
      <c r="GK130" s="54" t="s">
        <v>1077</v>
      </c>
      <c r="GL130" s="54"/>
      <c r="GM130" s="54"/>
      <c r="GN130" s="54" t="s">
        <v>1078</v>
      </c>
      <c r="GO130" s="54" t="s">
        <v>1059</v>
      </c>
      <c r="GP130" s="54"/>
      <c r="GQ130" s="56">
        <v>0</v>
      </c>
      <c r="GR130" s="54" t="s">
        <v>1210</v>
      </c>
      <c r="GS130" s="54"/>
    </row>
    <row r="131" spans="1:201" x14ac:dyDescent="0.25">
      <c r="A131" s="54" t="s">
        <v>1032</v>
      </c>
      <c r="B131" s="54" t="s">
        <v>1033</v>
      </c>
      <c r="C131" s="54" t="s">
        <v>1242</v>
      </c>
      <c r="D131" s="54" t="s">
        <v>1035</v>
      </c>
      <c r="E131" s="54" t="s">
        <v>1036</v>
      </c>
      <c r="F131" s="55">
        <v>46185</v>
      </c>
      <c r="G131" s="55">
        <v>46185</v>
      </c>
      <c r="H131" s="54" t="s">
        <v>1037</v>
      </c>
      <c r="I131" s="54" t="s">
        <v>1038</v>
      </c>
      <c r="J131" s="54" t="s">
        <v>1039</v>
      </c>
      <c r="K131" s="55"/>
      <c r="L131" s="54" t="s">
        <v>1040</v>
      </c>
      <c r="M131" s="54"/>
      <c r="N131" s="54" t="s">
        <v>1243</v>
      </c>
      <c r="O131" s="54" t="s">
        <v>1113</v>
      </c>
      <c r="P131" s="54" t="s">
        <v>482</v>
      </c>
      <c r="Q131" s="54" t="s">
        <v>483</v>
      </c>
      <c r="R131" s="54" t="s">
        <v>1043</v>
      </c>
      <c r="S131" s="56">
        <v>1684.48</v>
      </c>
      <c r="T131" s="56">
        <v>1684.48</v>
      </c>
      <c r="U131" s="56">
        <v>0</v>
      </c>
      <c r="V131" s="56">
        <v>0</v>
      </c>
      <c r="W131" s="56">
        <v>0</v>
      </c>
      <c r="X131" s="56">
        <v>0</v>
      </c>
      <c r="Y131" s="56">
        <v>0</v>
      </c>
      <c r="Z131" s="56">
        <v>224</v>
      </c>
      <c r="AA131" s="56">
        <v>224</v>
      </c>
      <c r="AB131" s="59">
        <v>0</v>
      </c>
      <c r="AC131" s="56">
        <v>0</v>
      </c>
      <c r="AD131" s="56">
        <v>0</v>
      </c>
      <c r="AE131" s="56">
        <v>0</v>
      </c>
      <c r="AF131" s="54" t="s">
        <v>1199</v>
      </c>
      <c r="AG131" s="57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 t="s">
        <v>1045</v>
      </c>
      <c r="AS131" s="54" t="s">
        <v>1103</v>
      </c>
      <c r="AT131" s="54" t="s">
        <v>1104</v>
      </c>
      <c r="AU131" s="54" t="s">
        <v>1048</v>
      </c>
      <c r="AV131" s="54"/>
      <c r="AW131" s="55">
        <v>46198</v>
      </c>
      <c r="AX131" s="55">
        <v>46185</v>
      </c>
      <c r="AY131" s="55">
        <v>46185</v>
      </c>
      <c r="AZ131" s="55">
        <v>46188</v>
      </c>
      <c r="BA131" s="55">
        <v>46198</v>
      </c>
      <c r="BB131" s="56">
        <v>0</v>
      </c>
      <c r="BC131" s="56">
        <v>0</v>
      </c>
      <c r="BD131" s="56">
        <v>0</v>
      </c>
      <c r="BE131" s="56">
        <v>0</v>
      </c>
      <c r="BF131" s="56">
        <v>0</v>
      </c>
      <c r="BG131" s="56">
        <v>0</v>
      </c>
      <c r="BH131" s="56">
        <v>0</v>
      </c>
      <c r="BI131" s="56">
        <v>0</v>
      </c>
      <c r="BJ131" s="56">
        <v>0</v>
      </c>
      <c r="BK131" s="56">
        <v>0</v>
      </c>
      <c r="BL131" s="56">
        <v>0</v>
      </c>
      <c r="BM131" s="56">
        <v>0</v>
      </c>
      <c r="BN131" s="56">
        <v>0</v>
      </c>
      <c r="BO131" s="56">
        <v>0</v>
      </c>
      <c r="BP131" s="54" t="s">
        <v>1049</v>
      </c>
      <c r="BQ131" s="54" t="s">
        <v>1050</v>
      </c>
      <c r="BR131" s="54" t="s">
        <v>1049</v>
      </c>
      <c r="BS131" s="54" t="s">
        <v>1050</v>
      </c>
      <c r="BT131" s="54" t="s">
        <v>1051</v>
      </c>
      <c r="BU131" s="54" t="s">
        <v>1043</v>
      </c>
      <c r="BV131" s="58">
        <v>224</v>
      </c>
      <c r="BW131" s="54" t="s">
        <v>1052</v>
      </c>
      <c r="BX131" s="54" t="s">
        <v>1053</v>
      </c>
      <c r="BY131" s="54" t="s">
        <v>1054</v>
      </c>
      <c r="BZ131" s="54" t="s">
        <v>1055</v>
      </c>
      <c r="CA131" s="55"/>
      <c r="CB131" s="54" t="s">
        <v>1056</v>
      </c>
      <c r="CC131" s="54" t="s">
        <v>1057</v>
      </c>
      <c r="CD131" s="54" t="s">
        <v>1058</v>
      </c>
      <c r="CE131" s="54" t="s">
        <v>1059</v>
      </c>
      <c r="CF131" s="54" t="s">
        <v>1060</v>
      </c>
      <c r="CG131" s="54" t="s">
        <v>1061</v>
      </c>
      <c r="CH131" s="54" t="s">
        <v>1062</v>
      </c>
      <c r="CI131" s="54" t="s">
        <v>1063</v>
      </c>
      <c r="CJ131" s="54" t="s">
        <v>1064</v>
      </c>
      <c r="CK131" s="54" t="s">
        <v>1065</v>
      </c>
      <c r="CL131" s="54" t="s">
        <v>1066</v>
      </c>
      <c r="CM131" s="54" t="s">
        <v>1067</v>
      </c>
      <c r="CN131" s="54" t="s">
        <v>1068</v>
      </c>
      <c r="CO131" s="54" t="s">
        <v>1069</v>
      </c>
      <c r="CP131" s="56">
        <v>0</v>
      </c>
      <c r="CQ131" s="56">
        <v>0</v>
      </c>
      <c r="CR131" s="56">
        <v>0</v>
      </c>
      <c r="CS131" s="56">
        <v>0</v>
      </c>
      <c r="CT131" s="56">
        <v>0</v>
      </c>
      <c r="CU131" s="56">
        <v>0</v>
      </c>
      <c r="CV131" s="56">
        <v>0</v>
      </c>
      <c r="CW131" s="56">
        <v>0</v>
      </c>
      <c r="CX131" s="56">
        <v>0</v>
      </c>
      <c r="CY131" s="56">
        <v>0</v>
      </c>
      <c r="CZ131" s="56">
        <v>0</v>
      </c>
      <c r="DA131" s="56">
        <v>0</v>
      </c>
      <c r="DB131" s="56">
        <v>0</v>
      </c>
      <c r="DC131" s="56">
        <v>0</v>
      </c>
      <c r="DD131" s="56">
        <v>0</v>
      </c>
      <c r="DE131" s="56">
        <v>0</v>
      </c>
      <c r="DF131" s="56">
        <v>0</v>
      </c>
      <c r="DG131" s="56">
        <v>0</v>
      </c>
      <c r="DH131" s="56">
        <v>0</v>
      </c>
      <c r="DI131" s="56">
        <v>0</v>
      </c>
      <c r="DJ131" s="56">
        <v>0</v>
      </c>
      <c r="DK131" s="56">
        <v>0</v>
      </c>
      <c r="DL131" s="56">
        <v>0</v>
      </c>
      <c r="DM131" s="56">
        <v>0</v>
      </c>
      <c r="DN131" s="56">
        <v>0</v>
      </c>
      <c r="DO131" s="56">
        <v>0</v>
      </c>
      <c r="DP131" s="56">
        <v>0</v>
      </c>
      <c r="DQ131" s="56">
        <v>0</v>
      </c>
      <c r="DR131" s="56">
        <v>0</v>
      </c>
      <c r="DS131" s="56">
        <v>0</v>
      </c>
      <c r="DT131" s="56">
        <v>0</v>
      </c>
      <c r="DU131" s="56">
        <v>0</v>
      </c>
      <c r="DV131" s="56">
        <v>0</v>
      </c>
      <c r="DW131" s="56">
        <v>0</v>
      </c>
      <c r="DX131" s="56">
        <v>0</v>
      </c>
      <c r="DY131" s="56">
        <v>0</v>
      </c>
      <c r="DZ131" s="56">
        <v>0</v>
      </c>
      <c r="EA131" s="56">
        <v>0</v>
      </c>
      <c r="EB131" s="56">
        <v>0</v>
      </c>
      <c r="EC131" s="56">
        <v>0</v>
      </c>
      <c r="ED131" s="56">
        <v>0</v>
      </c>
      <c r="EE131" s="56">
        <v>0</v>
      </c>
      <c r="EF131" s="56">
        <v>128.02000000000001</v>
      </c>
      <c r="EG131" s="56">
        <v>27.79</v>
      </c>
      <c r="EH131" s="56">
        <v>202.14</v>
      </c>
      <c r="EI131" s="56">
        <v>0</v>
      </c>
      <c r="EJ131" s="56">
        <v>0</v>
      </c>
      <c r="EK131" s="56">
        <v>0</v>
      </c>
      <c r="EL131" s="56">
        <v>0</v>
      </c>
      <c r="EM131" s="56">
        <v>0</v>
      </c>
      <c r="EN131" s="56">
        <v>0</v>
      </c>
      <c r="EO131" s="56">
        <v>0</v>
      </c>
      <c r="EP131" s="56">
        <v>0</v>
      </c>
      <c r="EQ131" s="56">
        <v>0</v>
      </c>
      <c r="ER131" s="56">
        <v>0</v>
      </c>
      <c r="ES131" s="56">
        <v>0</v>
      </c>
      <c r="ET131" s="56">
        <v>0</v>
      </c>
      <c r="EU131" s="56">
        <v>0</v>
      </c>
      <c r="EV131" s="56">
        <v>0</v>
      </c>
      <c r="EW131" s="56">
        <v>0</v>
      </c>
      <c r="EX131" s="56">
        <v>0</v>
      </c>
      <c r="EY131" s="56">
        <v>0</v>
      </c>
      <c r="EZ131" s="56">
        <v>0</v>
      </c>
      <c r="FA131" s="56">
        <v>0</v>
      </c>
      <c r="FB131" s="56">
        <v>0</v>
      </c>
      <c r="FC131" s="58">
        <v>0</v>
      </c>
      <c r="FD131" s="56">
        <v>0</v>
      </c>
      <c r="FE131" s="56">
        <v>0</v>
      </c>
      <c r="FF131" s="56">
        <v>0</v>
      </c>
      <c r="FG131" s="56">
        <v>0</v>
      </c>
      <c r="FH131" s="56">
        <v>0</v>
      </c>
      <c r="FI131" s="56">
        <v>0</v>
      </c>
      <c r="FJ131" s="56">
        <v>0</v>
      </c>
      <c r="FK131" s="56">
        <v>0</v>
      </c>
      <c r="FL131" s="56">
        <v>0</v>
      </c>
      <c r="FM131" s="56">
        <v>0</v>
      </c>
      <c r="FN131" s="56">
        <v>0</v>
      </c>
      <c r="FO131" s="56">
        <v>0</v>
      </c>
      <c r="FP131" s="56">
        <v>0</v>
      </c>
      <c r="FQ131" s="56">
        <v>0</v>
      </c>
      <c r="FR131" s="56">
        <v>0</v>
      </c>
      <c r="FS131" s="58">
        <v>0</v>
      </c>
      <c r="FT131" s="56">
        <v>0</v>
      </c>
      <c r="FU131" s="56">
        <v>0</v>
      </c>
      <c r="FV131" s="56">
        <v>0</v>
      </c>
      <c r="FW131" s="56">
        <v>0</v>
      </c>
      <c r="FX131" s="56">
        <v>0</v>
      </c>
      <c r="FY131" s="56">
        <v>0</v>
      </c>
      <c r="FZ131" s="54" t="s">
        <v>1105</v>
      </c>
      <c r="GA131" s="54" t="s">
        <v>1106</v>
      </c>
      <c r="GB131" s="54" t="s">
        <v>1072</v>
      </c>
      <c r="GC131" s="54" t="s">
        <v>1073</v>
      </c>
      <c r="GD131" s="54"/>
      <c r="GE131" s="54"/>
      <c r="GF131" s="54"/>
      <c r="GG131" s="55"/>
      <c r="GH131" s="54"/>
      <c r="GI131" s="54"/>
      <c r="GJ131" s="54" t="s">
        <v>1076</v>
      </c>
      <c r="GK131" s="54" t="s">
        <v>1077</v>
      </c>
      <c r="GL131" s="54"/>
      <c r="GM131" s="54"/>
      <c r="GN131" s="54" t="s">
        <v>1078</v>
      </c>
      <c r="GO131" s="54" t="s">
        <v>1059</v>
      </c>
      <c r="GP131" s="54"/>
      <c r="GQ131" s="56">
        <v>0</v>
      </c>
      <c r="GR131" s="54" t="s">
        <v>1210</v>
      </c>
      <c r="GS131" s="54"/>
    </row>
    <row r="132" spans="1:201" x14ac:dyDescent="0.25">
      <c r="A132" s="54" t="s">
        <v>1032</v>
      </c>
      <c r="B132" s="54" t="s">
        <v>1033</v>
      </c>
      <c r="C132" s="54" t="s">
        <v>1242</v>
      </c>
      <c r="D132" s="54" t="s">
        <v>1035</v>
      </c>
      <c r="E132" s="54" t="s">
        <v>1036</v>
      </c>
      <c r="F132" s="55">
        <v>46185</v>
      </c>
      <c r="G132" s="55">
        <v>46185</v>
      </c>
      <c r="H132" s="54" t="s">
        <v>1037</v>
      </c>
      <c r="I132" s="54" t="s">
        <v>1038</v>
      </c>
      <c r="J132" s="54" t="s">
        <v>1039</v>
      </c>
      <c r="K132" s="55"/>
      <c r="L132" s="54" t="s">
        <v>1040</v>
      </c>
      <c r="M132" s="54"/>
      <c r="N132" s="54" t="s">
        <v>1243</v>
      </c>
      <c r="O132" s="54" t="s">
        <v>1114</v>
      </c>
      <c r="P132" s="54" t="s">
        <v>738</v>
      </c>
      <c r="Q132" s="54" t="s">
        <v>749</v>
      </c>
      <c r="R132" s="54" t="s">
        <v>1043</v>
      </c>
      <c r="S132" s="56">
        <v>1275.5999999999999</v>
      </c>
      <c r="T132" s="56">
        <v>1275.5999999999999</v>
      </c>
      <c r="U132" s="56">
        <v>0</v>
      </c>
      <c r="V132" s="56">
        <v>0</v>
      </c>
      <c r="W132" s="56">
        <v>0</v>
      </c>
      <c r="X132" s="56">
        <v>0</v>
      </c>
      <c r="Y132" s="56">
        <v>0</v>
      </c>
      <c r="Z132" s="56">
        <v>120</v>
      </c>
      <c r="AA132" s="56">
        <v>120</v>
      </c>
      <c r="AB132" s="59">
        <v>0</v>
      </c>
      <c r="AC132" s="56">
        <v>0</v>
      </c>
      <c r="AD132" s="56">
        <v>0</v>
      </c>
      <c r="AE132" s="56">
        <v>0</v>
      </c>
      <c r="AF132" s="54" t="s">
        <v>1199</v>
      </c>
      <c r="AG132" s="57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 t="s">
        <v>1045</v>
      </c>
      <c r="AS132" s="54" t="s">
        <v>1103</v>
      </c>
      <c r="AT132" s="54" t="s">
        <v>1104</v>
      </c>
      <c r="AU132" s="54" t="s">
        <v>1048</v>
      </c>
      <c r="AV132" s="54"/>
      <c r="AW132" s="55">
        <v>46198</v>
      </c>
      <c r="AX132" s="55">
        <v>46185</v>
      </c>
      <c r="AY132" s="55">
        <v>46185</v>
      </c>
      <c r="AZ132" s="55">
        <v>46188</v>
      </c>
      <c r="BA132" s="55">
        <v>46198</v>
      </c>
      <c r="BB132" s="56">
        <v>0</v>
      </c>
      <c r="BC132" s="56">
        <v>0</v>
      </c>
      <c r="BD132" s="56">
        <v>0</v>
      </c>
      <c r="BE132" s="56">
        <v>0</v>
      </c>
      <c r="BF132" s="56">
        <v>0</v>
      </c>
      <c r="BG132" s="56">
        <v>0</v>
      </c>
      <c r="BH132" s="56">
        <v>0</v>
      </c>
      <c r="BI132" s="56">
        <v>0</v>
      </c>
      <c r="BJ132" s="56">
        <v>0</v>
      </c>
      <c r="BK132" s="56">
        <v>0</v>
      </c>
      <c r="BL132" s="56">
        <v>0</v>
      </c>
      <c r="BM132" s="56">
        <v>0</v>
      </c>
      <c r="BN132" s="56">
        <v>0</v>
      </c>
      <c r="BO132" s="56">
        <v>0</v>
      </c>
      <c r="BP132" s="54" t="s">
        <v>1049</v>
      </c>
      <c r="BQ132" s="54" t="s">
        <v>1050</v>
      </c>
      <c r="BR132" s="54" t="s">
        <v>1049</v>
      </c>
      <c r="BS132" s="54" t="s">
        <v>1050</v>
      </c>
      <c r="BT132" s="54" t="s">
        <v>1051</v>
      </c>
      <c r="BU132" s="54" t="s">
        <v>1043</v>
      </c>
      <c r="BV132" s="58">
        <v>120</v>
      </c>
      <c r="BW132" s="54" t="s">
        <v>1052</v>
      </c>
      <c r="BX132" s="54" t="s">
        <v>1053</v>
      </c>
      <c r="BY132" s="54" t="s">
        <v>1054</v>
      </c>
      <c r="BZ132" s="54" t="s">
        <v>1055</v>
      </c>
      <c r="CA132" s="55"/>
      <c r="CB132" s="54" t="s">
        <v>1056</v>
      </c>
      <c r="CC132" s="54" t="s">
        <v>1057</v>
      </c>
      <c r="CD132" s="54" t="s">
        <v>1058</v>
      </c>
      <c r="CE132" s="54" t="s">
        <v>1059</v>
      </c>
      <c r="CF132" s="54" t="s">
        <v>1060</v>
      </c>
      <c r="CG132" s="54" t="s">
        <v>1061</v>
      </c>
      <c r="CH132" s="54" t="s">
        <v>1062</v>
      </c>
      <c r="CI132" s="54" t="s">
        <v>1063</v>
      </c>
      <c r="CJ132" s="54" t="s">
        <v>1064</v>
      </c>
      <c r="CK132" s="54" t="s">
        <v>1065</v>
      </c>
      <c r="CL132" s="54" t="s">
        <v>1066</v>
      </c>
      <c r="CM132" s="54" t="s">
        <v>1067</v>
      </c>
      <c r="CN132" s="54" t="s">
        <v>1068</v>
      </c>
      <c r="CO132" s="54" t="s">
        <v>1069</v>
      </c>
      <c r="CP132" s="56">
        <v>0</v>
      </c>
      <c r="CQ132" s="56">
        <v>0</v>
      </c>
      <c r="CR132" s="56">
        <v>0</v>
      </c>
      <c r="CS132" s="56">
        <v>0</v>
      </c>
      <c r="CT132" s="56">
        <v>0</v>
      </c>
      <c r="CU132" s="56">
        <v>0</v>
      </c>
      <c r="CV132" s="56">
        <v>0</v>
      </c>
      <c r="CW132" s="56">
        <v>0</v>
      </c>
      <c r="CX132" s="56">
        <v>0</v>
      </c>
      <c r="CY132" s="56">
        <v>0</v>
      </c>
      <c r="CZ132" s="56">
        <v>0</v>
      </c>
      <c r="DA132" s="56">
        <v>0</v>
      </c>
      <c r="DB132" s="56">
        <v>0</v>
      </c>
      <c r="DC132" s="56">
        <v>0</v>
      </c>
      <c r="DD132" s="56">
        <v>0</v>
      </c>
      <c r="DE132" s="56">
        <v>0</v>
      </c>
      <c r="DF132" s="56">
        <v>0</v>
      </c>
      <c r="DG132" s="56">
        <v>0</v>
      </c>
      <c r="DH132" s="56">
        <v>0</v>
      </c>
      <c r="DI132" s="56">
        <v>0</v>
      </c>
      <c r="DJ132" s="56">
        <v>0</v>
      </c>
      <c r="DK132" s="56">
        <v>0</v>
      </c>
      <c r="DL132" s="56">
        <v>0</v>
      </c>
      <c r="DM132" s="56">
        <v>0</v>
      </c>
      <c r="DN132" s="56">
        <v>0</v>
      </c>
      <c r="DO132" s="56">
        <v>0</v>
      </c>
      <c r="DP132" s="56">
        <v>0</v>
      </c>
      <c r="DQ132" s="56">
        <v>0</v>
      </c>
      <c r="DR132" s="56">
        <v>0</v>
      </c>
      <c r="DS132" s="56">
        <v>0</v>
      </c>
      <c r="DT132" s="56">
        <v>0</v>
      </c>
      <c r="DU132" s="56">
        <v>0</v>
      </c>
      <c r="DV132" s="56">
        <v>0</v>
      </c>
      <c r="DW132" s="56">
        <v>0</v>
      </c>
      <c r="DX132" s="56">
        <v>0</v>
      </c>
      <c r="DY132" s="56">
        <v>0</v>
      </c>
      <c r="DZ132" s="56">
        <v>0</v>
      </c>
      <c r="EA132" s="56">
        <v>0</v>
      </c>
      <c r="EB132" s="56">
        <v>0</v>
      </c>
      <c r="EC132" s="56">
        <v>0</v>
      </c>
      <c r="ED132" s="56">
        <v>0</v>
      </c>
      <c r="EE132" s="56">
        <v>0</v>
      </c>
      <c r="EF132" s="56">
        <v>96.95</v>
      </c>
      <c r="EG132" s="56">
        <v>21.05</v>
      </c>
      <c r="EH132" s="56">
        <v>153.07</v>
      </c>
      <c r="EI132" s="56">
        <v>0</v>
      </c>
      <c r="EJ132" s="56">
        <v>0</v>
      </c>
      <c r="EK132" s="56">
        <v>0</v>
      </c>
      <c r="EL132" s="56">
        <v>0</v>
      </c>
      <c r="EM132" s="56">
        <v>0</v>
      </c>
      <c r="EN132" s="56">
        <v>0</v>
      </c>
      <c r="EO132" s="56">
        <v>0</v>
      </c>
      <c r="EP132" s="56">
        <v>0</v>
      </c>
      <c r="EQ132" s="56">
        <v>0</v>
      </c>
      <c r="ER132" s="56">
        <v>0</v>
      </c>
      <c r="ES132" s="56">
        <v>0</v>
      </c>
      <c r="ET132" s="56">
        <v>0</v>
      </c>
      <c r="EU132" s="56">
        <v>0</v>
      </c>
      <c r="EV132" s="56">
        <v>0</v>
      </c>
      <c r="EW132" s="56">
        <v>0</v>
      </c>
      <c r="EX132" s="56">
        <v>0</v>
      </c>
      <c r="EY132" s="56">
        <v>0</v>
      </c>
      <c r="EZ132" s="56">
        <v>0</v>
      </c>
      <c r="FA132" s="56">
        <v>0</v>
      </c>
      <c r="FB132" s="56">
        <v>0</v>
      </c>
      <c r="FC132" s="58">
        <v>0</v>
      </c>
      <c r="FD132" s="56">
        <v>0</v>
      </c>
      <c r="FE132" s="56">
        <v>0</v>
      </c>
      <c r="FF132" s="56">
        <v>0</v>
      </c>
      <c r="FG132" s="56">
        <v>0</v>
      </c>
      <c r="FH132" s="56">
        <v>0</v>
      </c>
      <c r="FI132" s="56">
        <v>0</v>
      </c>
      <c r="FJ132" s="56">
        <v>0</v>
      </c>
      <c r="FK132" s="56">
        <v>0</v>
      </c>
      <c r="FL132" s="56">
        <v>0</v>
      </c>
      <c r="FM132" s="56">
        <v>0</v>
      </c>
      <c r="FN132" s="56">
        <v>0</v>
      </c>
      <c r="FO132" s="56">
        <v>0</v>
      </c>
      <c r="FP132" s="56">
        <v>0</v>
      </c>
      <c r="FQ132" s="56">
        <v>0</v>
      </c>
      <c r="FR132" s="56">
        <v>0</v>
      </c>
      <c r="FS132" s="58">
        <v>0</v>
      </c>
      <c r="FT132" s="56">
        <v>0</v>
      </c>
      <c r="FU132" s="56">
        <v>0</v>
      </c>
      <c r="FV132" s="56">
        <v>0</v>
      </c>
      <c r="FW132" s="56">
        <v>0</v>
      </c>
      <c r="FX132" s="56">
        <v>0</v>
      </c>
      <c r="FY132" s="56">
        <v>0</v>
      </c>
      <c r="FZ132" s="54" t="s">
        <v>1105</v>
      </c>
      <c r="GA132" s="54" t="s">
        <v>1106</v>
      </c>
      <c r="GB132" s="54" t="s">
        <v>1072</v>
      </c>
      <c r="GC132" s="54" t="s">
        <v>1073</v>
      </c>
      <c r="GD132" s="54"/>
      <c r="GE132" s="54"/>
      <c r="GF132" s="54"/>
      <c r="GG132" s="55"/>
      <c r="GH132" s="54"/>
      <c r="GI132" s="54"/>
      <c r="GJ132" s="54" t="s">
        <v>1076</v>
      </c>
      <c r="GK132" s="54" t="s">
        <v>1077</v>
      </c>
      <c r="GL132" s="54"/>
      <c r="GM132" s="54"/>
      <c r="GN132" s="54" t="s">
        <v>1078</v>
      </c>
      <c r="GO132" s="54" t="s">
        <v>1059</v>
      </c>
      <c r="GP132" s="54"/>
      <c r="GQ132" s="56">
        <v>0</v>
      </c>
      <c r="GR132" s="54" t="s">
        <v>1210</v>
      </c>
      <c r="GS132" s="54"/>
    </row>
    <row r="133" spans="1:201" x14ac:dyDescent="0.25">
      <c r="A133" s="54" t="s">
        <v>1032</v>
      </c>
      <c r="B133" s="54" t="s">
        <v>1033</v>
      </c>
      <c r="C133" s="54" t="s">
        <v>1242</v>
      </c>
      <c r="D133" s="54" t="s">
        <v>1035</v>
      </c>
      <c r="E133" s="54" t="s">
        <v>1036</v>
      </c>
      <c r="F133" s="55">
        <v>46185</v>
      </c>
      <c r="G133" s="55">
        <v>46185</v>
      </c>
      <c r="H133" s="54" t="s">
        <v>1037</v>
      </c>
      <c r="I133" s="54" t="s">
        <v>1038</v>
      </c>
      <c r="J133" s="54" t="s">
        <v>1039</v>
      </c>
      <c r="K133" s="55"/>
      <c r="L133" s="54" t="s">
        <v>1040</v>
      </c>
      <c r="M133" s="54"/>
      <c r="N133" s="54" t="s">
        <v>1243</v>
      </c>
      <c r="O133" s="54" t="s">
        <v>1115</v>
      </c>
      <c r="P133" s="54" t="s">
        <v>427</v>
      </c>
      <c r="Q133" s="54" t="s">
        <v>428</v>
      </c>
      <c r="R133" s="54" t="s">
        <v>1043</v>
      </c>
      <c r="S133" s="56">
        <v>334.56</v>
      </c>
      <c r="T133" s="56">
        <v>334.56</v>
      </c>
      <c r="U133" s="56">
        <v>0</v>
      </c>
      <c r="V133" s="56">
        <v>0</v>
      </c>
      <c r="W133" s="56">
        <v>0</v>
      </c>
      <c r="X133" s="56">
        <v>0</v>
      </c>
      <c r="Y133" s="56">
        <v>0</v>
      </c>
      <c r="Z133" s="56">
        <v>48</v>
      </c>
      <c r="AA133" s="56">
        <v>48</v>
      </c>
      <c r="AB133" s="59">
        <v>0</v>
      </c>
      <c r="AC133" s="56">
        <v>0</v>
      </c>
      <c r="AD133" s="56">
        <v>0</v>
      </c>
      <c r="AE133" s="56">
        <v>0</v>
      </c>
      <c r="AF133" s="54" t="s">
        <v>1199</v>
      </c>
      <c r="AG133" s="57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 t="s">
        <v>1045</v>
      </c>
      <c r="AS133" s="54" t="s">
        <v>1081</v>
      </c>
      <c r="AT133" s="54" t="s">
        <v>1082</v>
      </c>
      <c r="AU133" s="54" t="s">
        <v>1048</v>
      </c>
      <c r="AV133" s="54"/>
      <c r="AW133" s="55">
        <v>46198</v>
      </c>
      <c r="AX133" s="55">
        <v>46185</v>
      </c>
      <c r="AY133" s="55">
        <v>46185</v>
      </c>
      <c r="AZ133" s="55">
        <v>46188</v>
      </c>
      <c r="BA133" s="55">
        <v>46198</v>
      </c>
      <c r="BB133" s="56">
        <v>0</v>
      </c>
      <c r="BC133" s="56">
        <v>0</v>
      </c>
      <c r="BD133" s="56">
        <v>0</v>
      </c>
      <c r="BE133" s="56">
        <v>0</v>
      </c>
      <c r="BF133" s="56">
        <v>0</v>
      </c>
      <c r="BG133" s="56">
        <v>0</v>
      </c>
      <c r="BH133" s="56">
        <v>0</v>
      </c>
      <c r="BI133" s="56">
        <v>0</v>
      </c>
      <c r="BJ133" s="56">
        <v>0</v>
      </c>
      <c r="BK133" s="56">
        <v>0</v>
      </c>
      <c r="BL133" s="56">
        <v>0</v>
      </c>
      <c r="BM133" s="56">
        <v>0</v>
      </c>
      <c r="BN133" s="56">
        <v>0</v>
      </c>
      <c r="BO133" s="56">
        <v>0</v>
      </c>
      <c r="BP133" s="54" t="s">
        <v>1049</v>
      </c>
      <c r="BQ133" s="54" t="s">
        <v>1050</v>
      </c>
      <c r="BR133" s="54" t="s">
        <v>1049</v>
      </c>
      <c r="BS133" s="54" t="s">
        <v>1050</v>
      </c>
      <c r="BT133" s="54" t="s">
        <v>1051</v>
      </c>
      <c r="BU133" s="54" t="s">
        <v>1043</v>
      </c>
      <c r="BV133" s="58">
        <v>48</v>
      </c>
      <c r="BW133" s="54" t="s">
        <v>1052</v>
      </c>
      <c r="BX133" s="54" t="s">
        <v>1053</v>
      </c>
      <c r="BY133" s="54" t="s">
        <v>1054</v>
      </c>
      <c r="BZ133" s="54" t="s">
        <v>1055</v>
      </c>
      <c r="CA133" s="55"/>
      <c r="CB133" s="54" t="s">
        <v>1056</v>
      </c>
      <c r="CC133" s="54" t="s">
        <v>1057</v>
      </c>
      <c r="CD133" s="54" t="s">
        <v>1058</v>
      </c>
      <c r="CE133" s="54" t="s">
        <v>1059</v>
      </c>
      <c r="CF133" s="54" t="s">
        <v>1060</v>
      </c>
      <c r="CG133" s="54" t="s">
        <v>1061</v>
      </c>
      <c r="CH133" s="54" t="s">
        <v>1062</v>
      </c>
      <c r="CI133" s="54" t="s">
        <v>1063</v>
      </c>
      <c r="CJ133" s="54" t="s">
        <v>1064</v>
      </c>
      <c r="CK133" s="54" t="s">
        <v>1065</v>
      </c>
      <c r="CL133" s="54" t="s">
        <v>1066</v>
      </c>
      <c r="CM133" s="54" t="s">
        <v>1067</v>
      </c>
      <c r="CN133" s="54" t="s">
        <v>1068</v>
      </c>
      <c r="CO133" s="54" t="s">
        <v>1069</v>
      </c>
      <c r="CP133" s="56">
        <v>0</v>
      </c>
      <c r="CQ133" s="56">
        <v>0</v>
      </c>
      <c r="CR133" s="56">
        <v>0</v>
      </c>
      <c r="CS133" s="56">
        <v>0</v>
      </c>
      <c r="CT133" s="56">
        <v>0</v>
      </c>
      <c r="CU133" s="56">
        <v>0</v>
      </c>
      <c r="CV133" s="56">
        <v>0</v>
      </c>
      <c r="CW133" s="56">
        <v>0</v>
      </c>
      <c r="CX133" s="56">
        <v>0</v>
      </c>
      <c r="CY133" s="56">
        <v>0</v>
      </c>
      <c r="CZ133" s="56">
        <v>0</v>
      </c>
      <c r="DA133" s="56">
        <v>0</v>
      </c>
      <c r="DB133" s="56">
        <v>0</v>
      </c>
      <c r="DC133" s="56">
        <v>0</v>
      </c>
      <c r="DD133" s="56">
        <v>0</v>
      </c>
      <c r="DE133" s="56">
        <v>0</v>
      </c>
      <c r="DF133" s="56">
        <v>0</v>
      </c>
      <c r="DG133" s="56">
        <v>0</v>
      </c>
      <c r="DH133" s="56">
        <v>0</v>
      </c>
      <c r="DI133" s="56">
        <v>0</v>
      </c>
      <c r="DJ133" s="56">
        <v>0</v>
      </c>
      <c r="DK133" s="56">
        <v>0</v>
      </c>
      <c r="DL133" s="56">
        <v>0</v>
      </c>
      <c r="DM133" s="56">
        <v>0</v>
      </c>
      <c r="DN133" s="56">
        <v>0</v>
      </c>
      <c r="DO133" s="56">
        <v>0</v>
      </c>
      <c r="DP133" s="56">
        <v>0</v>
      </c>
      <c r="DQ133" s="56">
        <v>0</v>
      </c>
      <c r="DR133" s="56">
        <v>0</v>
      </c>
      <c r="DS133" s="56">
        <v>0</v>
      </c>
      <c r="DT133" s="56">
        <v>0</v>
      </c>
      <c r="DU133" s="56">
        <v>0</v>
      </c>
      <c r="DV133" s="56">
        <v>0</v>
      </c>
      <c r="DW133" s="56">
        <v>0</v>
      </c>
      <c r="DX133" s="56">
        <v>0</v>
      </c>
      <c r="DY133" s="56">
        <v>0</v>
      </c>
      <c r="DZ133" s="56">
        <v>0</v>
      </c>
      <c r="EA133" s="56">
        <v>0</v>
      </c>
      <c r="EB133" s="56">
        <v>0</v>
      </c>
      <c r="EC133" s="56">
        <v>0</v>
      </c>
      <c r="ED133" s="56">
        <v>0</v>
      </c>
      <c r="EE133" s="56">
        <v>0</v>
      </c>
      <c r="EF133" s="56">
        <v>0</v>
      </c>
      <c r="EG133" s="56">
        <v>0</v>
      </c>
      <c r="EH133" s="56">
        <v>13.38</v>
      </c>
      <c r="EI133" s="56">
        <v>0</v>
      </c>
      <c r="EJ133" s="56">
        <v>0</v>
      </c>
      <c r="EK133" s="56">
        <v>0</v>
      </c>
      <c r="EL133" s="56">
        <v>0</v>
      </c>
      <c r="EM133" s="56">
        <v>0</v>
      </c>
      <c r="EN133" s="56">
        <v>0</v>
      </c>
      <c r="EO133" s="56">
        <v>0</v>
      </c>
      <c r="EP133" s="56">
        <v>0</v>
      </c>
      <c r="EQ133" s="56">
        <v>0</v>
      </c>
      <c r="ER133" s="56">
        <v>0</v>
      </c>
      <c r="ES133" s="56">
        <v>0</v>
      </c>
      <c r="ET133" s="56">
        <v>0</v>
      </c>
      <c r="EU133" s="56">
        <v>0</v>
      </c>
      <c r="EV133" s="56">
        <v>0</v>
      </c>
      <c r="EW133" s="56">
        <v>0</v>
      </c>
      <c r="EX133" s="56">
        <v>0</v>
      </c>
      <c r="EY133" s="56">
        <v>0</v>
      </c>
      <c r="EZ133" s="56">
        <v>0</v>
      </c>
      <c r="FA133" s="56">
        <v>0</v>
      </c>
      <c r="FB133" s="56">
        <v>0</v>
      </c>
      <c r="FC133" s="58">
        <v>0</v>
      </c>
      <c r="FD133" s="56">
        <v>0</v>
      </c>
      <c r="FE133" s="56">
        <v>0</v>
      </c>
      <c r="FF133" s="56">
        <v>0</v>
      </c>
      <c r="FG133" s="56">
        <v>0</v>
      </c>
      <c r="FH133" s="56">
        <v>0</v>
      </c>
      <c r="FI133" s="56">
        <v>0</v>
      </c>
      <c r="FJ133" s="56">
        <v>0</v>
      </c>
      <c r="FK133" s="56">
        <v>0</v>
      </c>
      <c r="FL133" s="56">
        <v>0</v>
      </c>
      <c r="FM133" s="56">
        <v>0</v>
      </c>
      <c r="FN133" s="56">
        <v>0</v>
      </c>
      <c r="FO133" s="56">
        <v>0</v>
      </c>
      <c r="FP133" s="56">
        <v>0</v>
      </c>
      <c r="FQ133" s="56">
        <v>0</v>
      </c>
      <c r="FR133" s="56">
        <v>0</v>
      </c>
      <c r="FS133" s="58">
        <v>0</v>
      </c>
      <c r="FT133" s="56">
        <v>0</v>
      </c>
      <c r="FU133" s="56">
        <v>0</v>
      </c>
      <c r="FV133" s="56">
        <v>0</v>
      </c>
      <c r="FW133" s="56">
        <v>0</v>
      </c>
      <c r="FX133" s="56">
        <v>0</v>
      </c>
      <c r="FY133" s="56">
        <v>0</v>
      </c>
      <c r="FZ133" s="54" t="s">
        <v>1083</v>
      </c>
      <c r="GA133" s="54" t="s">
        <v>1084</v>
      </c>
      <c r="GB133" s="54" t="s">
        <v>1072</v>
      </c>
      <c r="GC133" s="54" t="s">
        <v>1073</v>
      </c>
      <c r="GD133" s="54"/>
      <c r="GE133" s="54"/>
      <c r="GF133" s="54"/>
      <c r="GG133" s="55"/>
      <c r="GH133" s="54"/>
      <c r="GI133" s="54"/>
      <c r="GJ133" s="54" t="s">
        <v>1076</v>
      </c>
      <c r="GK133" s="54" t="s">
        <v>1077</v>
      </c>
      <c r="GL133" s="54"/>
      <c r="GM133" s="54"/>
      <c r="GN133" s="54" t="s">
        <v>1078</v>
      </c>
      <c r="GO133" s="54" t="s">
        <v>1059</v>
      </c>
      <c r="GP133" s="54"/>
      <c r="GQ133" s="56">
        <v>0</v>
      </c>
      <c r="GR133" s="54" t="s">
        <v>1210</v>
      </c>
      <c r="GS133" s="54"/>
    </row>
    <row r="134" spans="1:201" x14ac:dyDescent="0.25">
      <c r="A134" s="54" t="s">
        <v>1032</v>
      </c>
      <c r="B134" s="54" t="s">
        <v>1033</v>
      </c>
      <c r="C134" s="54" t="s">
        <v>1242</v>
      </c>
      <c r="D134" s="54" t="s">
        <v>1035</v>
      </c>
      <c r="E134" s="54" t="s">
        <v>1036</v>
      </c>
      <c r="F134" s="55">
        <v>46185</v>
      </c>
      <c r="G134" s="55">
        <v>46185</v>
      </c>
      <c r="H134" s="54" t="s">
        <v>1037</v>
      </c>
      <c r="I134" s="54" t="s">
        <v>1038</v>
      </c>
      <c r="J134" s="54" t="s">
        <v>1039</v>
      </c>
      <c r="K134" s="55"/>
      <c r="L134" s="54" t="s">
        <v>1040</v>
      </c>
      <c r="M134" s="54"/>
      <c r="N134" s="54" t="s">
        <v>1243</v>
      </c>
      <c r="O134" s="54" t="s">
        <v>1116</v>
      </c>
      <c r="P134" s="54" t="s">
        <v>676</v>
      </c>
      <c r="Q134" s="54" t="s">
        <v>677</v>
      </c>
      <c r="R134" s="54" t="s">
        <v>1043</v>
      </c>
      <c r="S134" s="56">
        <v>597</v>
      </c>
      <c r="T134" s="56">
        <v>0</v>
      </c>
      <c r="U134" s="56">
        <v>597</v>
      </c>
      <c r="V134" s="56">
        <v>0</v>
      </c>
      <c r="W134" s="56">
        <v>0</v>
      </c>
      <c r="X134" s="56">
        <v>0</v>
      </c>
      <c r="Y134" s="56">
        <v>0</v>
      </c>
      <c r="Z134" s="56">
        <v>60</v>
      </c>
      <c r="AA134" s="56">
        <v>0</v>
      </c>
      <c r="AB134" s="59">
        <v>60</v>
      </c>
      <c r="AC134" s="56">
        <v>0</v>
      </c>
      <c r="AD134" s="56">
        <v>0</v>
      </c>
      <c r="AE134" s="56">
        <v>0</v>
      </c>
      <c r="AF134" s="54" t="s">
        <v>1199</v>
      </c>
      <c r="AG134" s="57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 t="s">
        <v>1045</v>
      </c>
      <c r="AS134" s="54" t="s">
        <v>1081</v>
      </c>
      <c r="AT134" s="54" t="s">
        <v>1082</v>
      </c>
      <c r="AU134" s="54" t="s">
        <v>1048</v>
      </c>
      <c r="AV134" s="54"/>
      <c r="AW134" s="55">
        <v>46198</v>
      </c>
      <c r="AX134" s="55">
        <v>46185</v>
      </c>
      <c r="AY134" s="55">
        <v>46185</v>
      </c>
      <c r="AZ134" s="55"/>
      <c r="BA134" s="55">
        <v>46198</v>
      </c>
      <c r="BB134" s="56">
        <v>0</v>
      </c>
      <c r="BC134" s="56">
        <v>0</v>
      </c>
      <c r="BD134" s="56">
        <v>0</v>
      </c>
      <c r="BE134" s="56">
        <v>0</v>
      </c>
      <c r="BF134" s="56">
        <v>0</v>
      </c>
      <c r="BG134" s="56">
        <v>0</v>
      </c>
      <c r="BH134" s="56">
        <v>0</v>
      </c>
      <c r="BI134" s="56">
        <v>0</v>
      </c>
      <c r="BJ134" s="56">
        <v>0</v>
      </c>
      <c r="BK134" s="56">
        <v>0</v>
      </c>
      <c r="BL134" s="56">
        <v>0</v>
      </c>
      <c r="BM134" s="56">
        <v>0</v>
      </c>
      <c r="BN134" s="56">
        <v>0</v>
      </c>
      <c r="BO134" s="56">
        <v>0</v>
      </c>
      <c r="BP134" s="54" t="s">
        <v>1049</v>
      </c>
      <c r="BQ134" s="54" t="s">
        <v>1050</v>
      </c>
      <c r="BR134" s="54" t="s">
        <v>1049</v>
      </c>
      <c r="BS134" s="54" t="s">
        <v>1050</v>
      </c>
      <c r="BT134" s="54" t="s">
        <v>1051</v>
      </c>
      <c r="BU134" s="54" t="s">
        <v>1043</v>
      </c>
      <c r="BV134" s="58">
        <v>0</v>
      </c>
      <c r="BW134" s="54" t="s">
        <v>1052</v>
      </c>
      <c r="BX134" s="54" t="s">
        <v>1053</v>
      </c>
      <c r="BY134" s="54" t="s">
        <v>1054</v>
      </c>
      <c r="BZ134" s="54" t="s">
        <v>1055</v>
      </c>
      <c r="CA134" s="55"/>
      <c r="CB134" s="54" t="s">
        <v>1056</v>
      </c>
      <c r="CC134" s="54" t="s">
        <v>1057</v>
      </c>
      <c r="CD134" s="54" t="s">
        <v>1058</v>
      </c>
      <c r="CE134" s="54" t="s">
        <v>1059</v>
      </c>
      <c r="CF134" s="54" t="s">
        <v>1060</v>
      </c>
      <c r="CG134" s="54" t="s">
        <v>1061</v>
      </c>
      <c r="CH134" s="54" t="s">
        <v>1062</v>
      </c>
      <c r="CI134" s="54" t="s">
        <v>1063</v>
      </c>
      <c r="CJ134" s="54" t="s">
        <v>1064</v>
      </c>
      <c r="CK134" s="54" t="s">
        <v>1065</v>
      </c>
      <c r="CL134" s="54" t="s">
        <v>1066</v>
      </c>
      <c r="CM134" s="54" t="s">
        <v>1067</v>
      </c>
      <c r="CN134" s="54" t="s">
        <v>1068</v>
      </c>
      <c r="CO134" s="54" t="s">
        <v>1069</v>
      </c>
      <c r="CP134" s="56">
        <v>0</v>
      </c>
      <c r="CQ134" s="56">
        <v>0</v>
      </c>
      <c r="CR134" s="56">
        <v>0</v>
      </c>
      <c r="CS134" s="56">
        <v>0</v>
      </c>
      <c r="CT134" s="56">
        <v>0</v>
      </c>
      <c r="CU134" s="56">
        <v>0</v>
      </c>
      <c r="CV134" s="56">
        <v>0</v>
      </c>
      <c r="CW134" s="56">
        <v>0</v>
      </c>
      <c r="CX134" s="56">
        <v>0</v>
      </c>
      <c r="CY134" s="56">
        <v>0</v>
      </c>
      <c r="CZ134" s="56">
        <v>0</v>
      </c>
      <c r="DA134" s="56">
        <v>0</v>
      </c>
      <c r="DB134" s="56">
        <v>0</v>
      </c>
      <c r="DC134" s="56">
        <v>0</v>
      </c>
      <c r="DD134" s="56">
        <v>0</v>
      </c>
      <c r="DE134" s="56">
        <v>0</v>
      </c>
      <c r="DF134" s="56">
        <v>0</v>
      </c>
      <c r="DG134" s="56">
        <v>0</v>
      </c>
      <c r="DH134" s="56">
        <v>0</v>
      </c>
      <c r="DI134" s="56">
        <v>0</v>
      </c>
      <c r="DJ134" s="56">
        <v>0</v>
      </c>
      <c r="DK134" s="56">
        <v>0</v>
      </c>
      <c r="DL134" s="56">
        <v>0</v>
      </c>
      <c r="DM134" s="56">
        <v>0</v>
      </c>
      <c r="DN134" s="56">
        <v>0</v>
      </c>
      <c r="DO134" s="56">
        <v>0</v>
      </c>
      <c r="DP134" s="56">
        <v>0</v>
      </c>
      <c r="DQ134" s="56">
        <v>0</v>
      </c>
      <c r="DR134" s="56">
        <v>0</v>
      </c>
      <c r="DS134" s="56">
        <v>0</v>
      </c>
      <c r="DT134" s="56">
        <v>0</v>
      </c>
      <c r="DU134" s="56">
        <v>0</v>
      </c>
      <c r="DV134" s="56">
        <v>0</v>
      </c>
      <c r="DW134" s="56">
        <v>0</v>
      </c>
      <c r="DX134" s="56">
        <v>0</v>
      </c>
      <c r="DY134" s="56">
        <v>0</v>
      </c>
      <c r="DZ134" s="56">
        <v>0</v>
      </c>
      <c r="EA134" s="56">
        <v>0</v>
      </c>
      <c r="EB134" s="56">
        <v>0</v>
      </c>
      <c r="EC134" s="56">
        <v>71.64</v>
      </c>
      <c r="ED134" s="56">
        <v>0</v>
      </c>
      <c r="EE134" s="56">
        <v>0</v>
      </c>
      <c r="EF134" s="56">
        <v>0</v>
      </c>
      <c r="EG134" s="56">
        <v>0</v>
      </c>
      <c r="EH134" s="56">
        <v>71.64</v>
      </c>
      <c r="EI134" s="56">
        <v>0</v>
      </c>
      <c r="EJ134" s="56">
        <v>0</v>
      </c>
      <c r="EK134" s="56">
        <v>0</v>
      </c>
      <c r="EL134" s="56">
        <v>0</v>
      </c>
      <c r="EM134" s="56">
        <v>0</v>
      </c>
      <c r="EN134" s="56">
        <v>0</v>
      </c>
      <c r="EO134" s="56">
        <v>0</v>
      </c>
      <c r="EP134" s="56">
        <v>597</v>
      </c>
      <c r="EQ134" s="56">
        <v>0</v>
      </c>
      <c r="ER134" s="56">
        <v>0</v>
      </c>
      <c r="ES134" s="56">
        <v>60</v>
      </c>
      <c r="ET134" s="56">
        <v>0</v>
      </c>
      <c r="EU134" s="56">
        <v>0</v>
      </c>
      <c r="EV134" s="56">
        <v>0</v>
      </c>
      <c r="EW134" s="56">
        <v>0</v>
      </c>
      <c r="EX134" s="56">
        <v>0</v>
      </c>
      <c r="EY134" s="56">
        <v>0</v>
      </c>
      <c r="EZ134" s="56">
        <v>0</v>
      </c>
      <c r="FA134" s="56">
        <v>0</v>
      </c>
      <c r="FB134" s="56">
        <v>0</v>
      </c>
      <c r="FC134" s="58">
        <v>0</v>
      </c>
      <c r="FD134" s="56">
        <v>0</v>
      </c>
      <c r="FE134" s="56">
        <v>0</v>
      </c>
      <c r="FF134" s="56">
        <v>0</v>
      </c>
      <c r="FG134" s="56">
        <v>0</v>
      </c>
      <c r="FH134" s="56">
        <v>0</v>
      </c>
      <c r="FI134" s="56">
        <v>0</v>
      </c>
      <c r="FJ134" s="56">
        <v>0</v>
      </c>
      <c r="FK134" s="56">
        <v>0</v>
      </c>
      <c r="FL134" s="56">
        <v>0</v>
      </c>
      <c r="FM134" s="56">
        <v>0</v>
      </c>
      <c r="FN134" s="56">
        <v>0</v>
      </c>
      <c r="FO134" s="56">
        <v>0</v>
      </c>
      <c r="FP134" s="56">
        <v>0</v>
      </c>
      <c r="FQ134" s="56">
        <v>0</v>
      </c>
      <c r="FR134" s="56">
        <v>0</v>
      </c>
      <c r="FS134" s="58">
        <v>0</v>
      </c>
      <c r="FT134" s="56">
        <v>0</v>
      </c>
      <c r="FU134" s="56">
        <v>0</v>
      </c>
      <c r="FV134" s="56">
        <v>0</v>
      </c>
      <c r="FW134" s="56">
        <v>0</v>
      </c>
      <c r="FX134" s="56">
        <v>0</v>
      </c>
      <c r="FY134" s="56">
        <v>0</v>
      </c>
      <c r="FZ134" s="54" t="s">
        <v>1083</v>
      </c>
      <c r="GA134" s="54" t="s">
        <v>1084</v>
      </c>
      <c r="GB134" s="54" t="s">
        <v>1072</v>
      </c>
      <c r="GC134" s="54" t="s">
        <v>1073</v>
      </c>
      <c r="GD134" s="54"/>
      <c r="GE134" s="54"/>
      <c r="GF134" s="54" t="s">
        <v>1169</v>
      </c>
      <c r="GG134" s="55">
        <v>46205</v>
      </c>
      <c r="GH134" s="54"/>
      <c r="GI134" s="54"/>
      <c r="GJ134" s="54" t="s">
        <v>1076</v>
      </c>
      <c r="GK134" s="54" t="s">
        <v>1077</v>
      </c>
      <c r="GL134" s="54"/>
      <c r="GM134" s="54"/>
      <c r="GN134" s="54" t="s">
        <v>1078</v>
      </c>
      <c r="GO134" s="54" t="s">
        <v>1059</v>
      </c>
      <c r="GP134" s="54"/>
      <c r="GQ134" s="56">
        <v>0</v>
      </c>
      <c r="GR134" s="54" t="s">
        <v>1210</v>
      </c>
      <c r="GS134" s="54" t="s">
        <v>1101</v>
      </c>
    </row>
    <row r="135" spans="1:201" x14ac:dyDescent="0.25">
      <c r="A135" s="54" t="s">
        <v>1032</v>
      </c>
      <c r="B135" s="54" t="s">
        <v>1033</v>
      </c>
      <c r="C135" s="54" t="s">
        <v>1242</v>
      </c>
      <c r="D135" s="54" t="s">
        <v>1035</v>
      </c>
      <c r="E135" s="54" t="s">
        <v>1036</v>
      </c>
      <c r="F135" s="55">
        <v>46185</v>
      </c>
      <c r="G135" s="55">
        <v>46185</v>
      </c>
      <c r="H135" s="54" t="s">
        <v>1037</v>
      </c>
      <c r="I135" s="54" t="s">
        <v>1038</v>
      </c>
      <c r="J135" s="54" t="s">
        <v>1039</v>
      </c>
      <c r="K135" s="55"/>
      <c r="L135" s="54" t="s">
        <v>1040</v>
      </c>
      <c r="M135" s="54"/>
      <c r="N135" s="54" t="s">
        <v>1243</v>
      </c>
      <c r="O135" s="54" t="s">
        <v>1117</v>
      </c>
      <c r="P135" s="54" t="s">
        <v>208</v>
      </c>
      <c r="Q135" s="54" t="s">
        <v>42</v>
      </c>
      <c r="R135" s="54" t="s">
        <v>1043</v>
      </c>
      <c r="S135" s="56">
        <v>561</v>
      </c>
      <c r="T135" s="56">
        <v>561</v>
      </c>
      <c r="U135" s="56">
        <v>0</v>
      </c>
      <c r="V135" s="56">
        <v>0</v>
      </c>
      <c r="W135" s="56">
        <v>0</v>
      </c>
      <c r="X135" s="56">
        <v>0</v>
      </c>
      <c r="Y135" s="56">
        <v>0</v>
      </c>
      <c r="Z135" s="56">
        <v>60</v>
      </c>
      <c r="AA135" s="56">
        <v>60</v>
      </c>
      <c r="AB135" s="59">
        <v>0</v>
      </c>
      <c r="AC135" s="56">
        <v>0</v>
      </c>
      <c r="AD135" s="56">
        <v>0</v>
      </c>
      <c r="AE135" s="56">
        <v>0</v>
      </c>
      <c r="AF135" s="54" t="s">
        <v>1199</v>
      </c>
      <c r="AG135" s="57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 t="s">
        <v>1045</v>
      </c>
      <c r="AS135" s="54" t="s">
        <v>1081</v>
      </c>
      <c r="AT135" s="54" t="s">
        <v>1082</v>
      </c>
      <c r="AU135" s="54" t="s">
        <v>1048</v>
      </c>
      <c r="AV135" s="54"/>
      <c r="AW135" s="55">
        <v>46198</v>
      </c>
      <c r="AX135" s="55">
        <v>46185</v>
      </c>
      <c r="AY135" s="55">
        <v>46185</v>
      </c>
      <c r="AZ135" s="55">
        <v>46188</v>
      </c>
      <c r="BA135" s="55">
        <v>46198</v>
      </c>
      <c r="BB135" s="56">
        <v>0</v>
      </c>
      <c r="BC135" s="56">
        <v>0</v>
      </c>
      <c r="BD135" s="56">
        <v>0</v>
      </c>
      <c r="BE135" s="56">
        <v>0</v>
      </c>
      <c r="BF135" s="56">
        <v>0</v>
      </c>
      <c r="BG135" s="56">
        <v>0</v>
      </c>
      <c r="BH135" s="56">
        <v>0</v>
      </c>
      <c r="BI135" s="56">
        <v>0</v>
      </c>
      <c r="BJ135" s="56">
        <v>0</v>
      </c>
      <c r="BK135" s="56">
        <v>0</v>
      </c>
      <c r="BL135" s="56">
        <v>0</v>
      </c>
      <c r="BM135" s="56">
        <v>0</v>
      </c>
      <c r="BN135" s="56">
        <v>0</v>
      </c>
      <c r="BO135" s="56">
        <v>0</v>
      </c>
      <c r="BP135" s="54" t="s">
        <v>1049</v>
      </c>
      <c r="BQ135" s="54" t="s">
        <v>1050</v>
      </c>
      <c r="BR135" s="54" t="s">
        <v>1049</v>
      </c>
      <c r="BS135" s="54" t="s">
        <v>1050</v>
      </c>
      <c r="BT135" s="54" t="s">
        <v>1051</v>
      </c>
      <c r="BU135" s="54" t="s">
        <v>1043</v>
      </c>
      <c r="BV135" s="58">
        <v>60</v>
      </c>
      <c r="BW135" s="54" t="s">
        <v>1052</v>
      </c>
      <c r="BX135" s="54" t="s">
        <v>1053</v>
      </c>
      <c r="BY135" s="54" t="s">
        <v>1054</v>
      </c>
      <c r="BZ135" s="54" t="s">
        <v>1055</v>
      </c>
      <c r="CA135" s="55"/>
      <c r="CB135" s="54" t="s">
        <v>1056</v>
      </c>
      <c r="CC135" s="54" t="s">
        <v>1057</v>
      </c>
      <c r="CD135" s="54" t="s">
        <v>1058</v>
      </c>
      <c r="CE135" s="54" t="s">
        <v>1059</v>
      </c>
      <c r="CF135" s="54" t="s">
        <v>1060</v>
      </c>
      <c r="CG135" s="54" t="s">
        <v>1061</v>
      </c>
      <c r="CH135" s="54" t="s">
        <v>1062</v>
      </c>
      <c r="CI135" s="54" t="s">
        <v>1063</v>
      </c>
      <c r="CJ135" s="54" t="s">
        <v>1064</v>
      </c>
      <c r="CK135" s="54" t="s">
        <v>1065</v>
      </c>
      <c r="CL135" s="54" t="s">
        <v>1066</v>
      </c>
      <c r="CM135" s="54" t="s">
        <v>1067</v>
      </c>
      <c r="CN135" s="54" t="s">
        <v>1068</v>
      </c>
      <c r="CO135" s="54" t="s">
        <v>1069</v>
      </c>
      <c r="CP135" s="56">
        <v>0</v>
      </c>
      <c r="CQ135" s="56">
        <v>0</v>
      </c>
      <c r="CR135" s="56">
        <v>0</v>
      </c>
      <c r="CS135" s="56">
        <v>0</v>
      </c>
      <c r="CT135" s="56">
        <v>0</v>
      </c>
      <c r="CU135" s="56">
        <v>0</v>
      </c>
      <c r="CV135" s="56">
        <v>0</v>
      </c>
      <c r="CW135" s="56">
        <v>0</v>
      </c>
      <c r="CX135" s="56">
        <v>0</v>
      </c>
      <c r="CY135" s="56">
        <v>0</v>
      </c>
      <c r="CZ135" s="56">
        <v>0</v>
      </c>
      <c r="DA135" s="56">
        <v>0</v>
      </c>
      <c r="DB135" s="56">
        <v>0</v>
      </c>
      <c r="DC135" s="56">
        <v>0</v>
      </c>
      <c r="DD135" s="56">
        <v>0</v>
      </c>
      <c r="DE135" s="56">
        <v>0</v>
      </c>
      <c r="DF135" s="56">
        <v>0</v>
      </c>
      <c r="DG135" s="56">
        <v>0</v>
      </c>
      <c r="DH135" s="56">
        <v>0</v>
      </c>
      <c r="DI135" s="56">
        <v>0</v>
      </c>
      <c r="DJ135" s="56">
        <v>0</v>
      </c>
      <c r="DK135" s="56">
        <v>0</v>
      </c>
      <c r="DL135" s="56">
        <v>0</v>
      </c>
      <c r="DM135" s="56">
        <v>0</v>
      </c>
      <c r="DN135" s="56">
        <v>0</v>
      </c>
      <c r="DO135" s="56">
        <v>0</v>
      </c>
      <c r="DP135" s="56">
        <v>0</v>
      </c>
      <c r="DQ135" s="56">
        <v>0</v>
      </c>
      <c r="DR135" s="56">
        <v>0</v>
      </c>
      <c r="DS135" s="56">
        <v>0</v>
      </c>
      <c r="DT135" s="56">
        <v>0</v>
      </c>
      <c r="DU135" s="56">
        <v>0</v>
      </c>
      <c r="DV135" s="56">
        <v>0</v>
      </c>
      <c r="DW135" s="56">
        <v>0</v>
      </c>
      <c r="DX135" s="56">
        <v>0</v>
      </c>
      <c r="DY135" s="56">
        <v>0</v>
      </c>
      <c r="DZ135" s="56">
        <v>0</v>
      </c>
      <c r="EA135" s="56">
        <v>0</v>
      </c>
      <c r="EB135" s="56">
        <v>0</v>
      </c>
      <c r="EC135" s="56">
        <v>0</v>
      </c>
      <c r="ED135" s="56">
        <v>0</v>
      </c>
      <c r="EE135" s="56">
        <v>0</v>
      </c>
      <c r="EF135" s="56">
        <v>0</v>
      </c>
      <c r="EG135" s="56">
        <v>0</v>
      </c>
      <c r="EH135" s="56">
        <v>67.319999999999993</v>
      </c>
      <c r="EI135" s="56">
        <v>0</v>
      </c>
      <c r="EJ135" s="56">
        <v>0</v>
      </c>
      <c r="EK135" s="56">
        <v>0</v>
      </c>
      <c r="EL135" s="56">
        <v>0</v>
      </c>
      <c r="EM135" s="56">
        <v>0</v>
      </c>
      <c r="EN135" s="56">
        <v>0</v>
      </c>
      <c r="EO135" s="56">
        <v>0</v>
      </c>
      <c r="EP135" s="56">
        <v>0</v>
      </c>
      <c r="EQ135" s="56">
        <v>0</v>
      </c>
      <c r="ER135" s="56">
        <v>0</v>
      </c>
      <c r="ES135" s="56">
        <v>0</v>
      </c>
      <c r="ET135" s="56">
        <v>0</v>
      </c>
      <c r="EU135" s="56">
        <v>0</v>
      </c>
      <c r="EV135" s="56">
        <v>0</v>
      </c>
      <c r="EW135" s="56">
        <v>0</v>
      </c>
      <c r="EX135" s="56">
        <v>0</v>
      </c>
      <c r="EY135" s="56">
        <v>0</v>
      </c>
      <c r="EZ135" s="56">
        <v>0</v>
      </c>
      <c r="FA135" s="56">
        <v>0</v>
      </c>
      <c r="FB135" s="56">
        <v>0</v>
      </c>
      <c r="FC135" s="58">
        <v>0</v>
      </c>
      <c r="FD135" s="56">
        <v>0</v>
      </c>
      <c r="FE135" s="56">
        <v>0</v>
      </c>
      <c r="FF135" s="56">
        <v>0</v>
      </c>
      <c r="FG135" s="56">
        <v>0</v>
      </c>
      <c r="FH135" s="56">
        <v>0</v>
      </c>
      <c r="FI135" s="56">
        <v>0</v>
      </c>
      <c r="FJ135" s="56">
        <v>0</v>
      </c>
      <c r="FK135" s="56">
        <v>0</v>
      </c>
      <c r="FL135" s="56">
        <v>0</v>
      </c>
      <c r="FM135" s="56">
        <v>0</v>
      </c>
      <c r="FN135" s="56">
        <v>0</v>
      </c>
      <c r="FO135" s="56">
        <v>0</v>
      </c>
      <c r="FP135" s="56">
        <v>0</v>
      </c>
      <c r="FQ135" s="56">
        <v>0</v>
      </c>
      <c r="FR135" s="56">
        <v>0</v>
      </c>
      <c r="FS135" s="58">
        <v>0</v>
      </c>
      <c r="FT135" s="56">
        <v>0</v>
      </c>
      <c r="FU135" s="56">
        <v>0</v>
      </c>
      <c r="FV135" s="56">
        <v>0</v>
      </c>
      <c r="FW135" s="56">
        <v>0</v>
      </c>
      <c r="FX135" s="56">
        <v>0</v>
      </c>
      <c r="FY135" s="56">
        <v>0</v>
      </c>
      <c r="FZ135" s="54" t="s">
        <v>1083</v>
      </c>
      <c r="GA135" s="54" t="s">
        <v>1084</v>
      </c>
      <c r="GB135" s="54" t="s">
        <v>1072</v>
      </c>
      <c r="GC135" s="54" t="s">
        <v>1073</v>
      </c>
      <c r="GD135" s="54" t="s">
        <v>1171</v>
      </c>
      <c r="GE135" s="54" t="s">
        <v>1075</v>
      </c>
      <c r="GF135" s="54"/>
      <c r="GG135" s="55"/>
      <c r="GH135" s="54"/>
      <c r="GI135" s="54"/>
      <c r="GJ135" s="54" t="s">
        <v>1076</v>
      </c>
      <c r="GK135" s="54" t="s">
        <v>1077</v>
      </c>
      <c r="GL135" s="54"/>
      <c r="GM135" s="54"/>
      <c r="GN135" s="54" t="s">
        <v>1078</v>
      </c>
      <c r="GO135" s="54" t="s">
        <v>1059</v>
      </c>
      <c r="GP135" s="54"/>
      <c r="GQ135" s="56">
        <v>0</v>
      </c>
      <c r="GR135" s="54" t="s">
        <v>1210</v>
      </c>
      <c r="GS135" s="54"/>
    </row>
    <row r="136" spans="1:201" x14ac:dyDescent="0.25">
      <c r="A136" s="54" t="s">
        <v>1032</v>
      </c>
      <c r="B136" s="54" t="s">
        <v>1033</v>
      </c>
      <c r="C136" s="54" t="s">
        <v>1242</v>
      </c>
      <c r="D136" s="54" t="s">
        <v>1035</v>
      </c>
      <c r="E136" s="54" t="s">
        <v>1036</v>
      </c>
      <c r="F136" s="55">
        <v>46185</v>
      </c>
      <c r="G136" s="55">
        <v>46185</v>
      </c>
      <c r="H136" s="54" t="s">
        <v>1037</v>
      </c>
      <c r="I136" s="54" t="s">
        <v>1038</v>
      </c>
      <c r="J136" s="54" t="s">
        <v>1039</v>
      </c>
      <c r="K136" s="55"/>
      <c r="L136" s="54" t="s">
        <v>1040</v>
      </c>
      <c r="M136" s="54"/>
      <c r="N136" s="54" t="s">
        <v>1243</v>
      </c>
      <c r="O136" s="54" t="s">
        <v>1118</v>
      </c>
      <c r="P136" s="54" t="s">
        <v>207</v>
      </c>
      <c r="Q136" s="54" t="s">
        <v>41</v>
      </c>
      <c r="R136" s="54" t="s">
        <v>1043</v>
      </c>
      <c r="S136" s="56">
        <v>520.20000000000005</v>
      </c>
      <c r="T136" s="56">
        <v>520.20000000000005</v>
      </c>
      <c r="U136" s="56">
        <v>0</v>
      </c>
      <c r="V136" s="56">
        <v>0</v>
      </c>
      <c r="W136" s="56">
        <v>0</v>
      </c>
      <c r="X136" s="56">
        <v>0</v>
      </c>
      <c r="Y136" s="56">
        <v>0</v>
      </c>
      <c r="Z136" s="56">
        <v>60</v>
      </c>
      <c r="AA136" s="56">
        <v>60</v>
      </c>
      <c r="AB136" s="59">
        <v>0</v>
      </c>
      <c r="AC136" s="56">
        <v>0</v>
      </c>
      <c r="AD136" s="56">
        <v>0</v>
      </c>
      <c r="AE136" s="56">
        <v>0</v>
      </c>
      <c r="AF136" s="54" t="s">
        <v>1199</v>
      </c>
      <c r="AG136" s="57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 t="s">
        <v>1045</v>
      </c>
      <c r="AS136" s="54" t="s">
        <v>1081</v>
      </c>
      <c r="AT136" s="54" t="s">
        <v>1082</v>
      </c>
      <c r="AU136" s="54" t="s">
        <v>1048</v>
      </c>
      <c r="AV136" s="54"/>
      <c r="AW136" s="55">
        <v>46198</v>
      </c>
      <c r="AX136" s="55">
        <v>46185</v>
      </c>
      <c r="AY136" s="55">
        <v>46185</v>
      </c>
      <c r="AZ136" s="55">
        <v>46188</v>
      </c>
      <c r="BA136" s="55">
        <v>46198</v>
      </c>
      <c r="BB136" s="56">
        <v>0</v>
      </c>
      <c r="BC136" s="56">
        <v>0</v>
      </c>
      <c r="BD136" s="56">
        <v>0</v>
      </c>
      <c r="BE136" s="56">
        <v>0</v>
      </c>
      <c r="BF136" s="56">
        <v>0</v>
      </c>
      <c r="BG136" s="56">
        <v>0</v>
      </c>
      <c r="BH136" s="56">
        <v>0</v>
      </c>
      <c r="BI136" s="56">
        <v>0</v>
      </c>
      <c r="BJ136" s="56">
        <v>0</v>
      </c>
      <c r="BK136" s="56">
        <v>0</v>
      </c>
      <c r="BL136" s="56">
        <v>0</v>
      </c>
      <c r="BM136" s="56">
        <v>0</v>
      </c>
      <c r="BN136" s="56">
        <v>0</v>
      </c>
      <c r="BO136" s="56">
        <v>0</v>
      </c>
      <c r="BP136" s="54" t="s">
        <v>1049</v>
      </c>
      <c r="BQ136" s="54" t="s">
        <v>1050</v>
      </c>
      <c r="BR136" s="54" t="s">
        <v>1049</v>
      </c>
      <c r="BS136" s="54" t="s">
        <v>1050</v>
      </c>
      <c r="BT136" s="54" t="s">
        <v>1051</v>
      </c>
      <c r="BU136" s="54" t="s">
        <v>1043</v>
      </c>
      <c r="BV136" s="58">
        <v>60</v>
      </c>
      <c r="BW136" s="54" t="s">
        <v>1052</v>
      </c>
      <c r="BX136" s="54" t="s">
        <v>1053</v>
      </c>
      <c r="BY136" s="54" t="s">
        <v>1054</v>
      </c>
      <c r="BZ136" s="54" t="s">
        <v>1055</v>
      </c>
      <c r="CA136" s="55"/>
      <c r="CB136" s="54" t="s">
        <v>1056</v>
      </c>
      <c r="CC136" s="54" t="s">
        <v>1057</v>
      </c>
      <c r="CD136" s="54" t="s">
        <v>1058</v>
      </c>
      <c r="CE136" s="54" t="s">
        <v>1059</v>
      </c>
      <c r="CF136" s="54" t="s">
        <v>1060</v>
      </c>
      <c r="CG136" s="54" t="s">
        <v>1061</v>
      </c>
      <c r="CH136" s="54" t="s">
        <v>1062</v>
      </c>
      <c r="CI136" s="54" t="s">
        <v>1063</v>
      </c>
      <c r="CJ136" s="54" t="s">
        <v>1064</v>
      </c>
      <c r="CK136" s="54" t="s">
        <v>1065</v>
      </c>
      <c r="CL136" s="54" t="s">
        <v>1066</v>
      </c>
      <c r="CM136" s="54" t="s">
        <v>1067</v>
      </c>
      <c r="CN136" s="54" t="s">
        <v>1068</v>
      </c>
      <c r="CO136" s="54" t="s">
        <v>1069</v>
      </c>
      <c r="CP136" s="56">
        <v>0</v>
      </c>
      <c r="CQ136" s="56">
        <v>0</v>
      </c>
      <c r="CR136" s="56">
        <v>0</v>
      </c>
      <c r="CS136" s="56">
        <v>0</v>
      </c>
      <c r="CT136" s="56">
        <v>0</v>
      </c>
      <c r="CU136" s="56">
        <v>0</v>
      </c>
      <c r="CV136" s="56">
        <v>0</v>
      </c>
      <c r="CW136" s="56">
        <v>0</v>
      </c>
      <c r="CX136" s="56">
        <v>0</v>
      </c>
      <c r="CY136" s="56">
        <v>0</v>
      </c>
      <c r="CZ136" s="56">
        <v>0</v>
      </c>
      <c r="DA136" s="56">
        <v>0</v>
      </c>
      <c r="DB136" s="56">
        <v>0</v>
      </c>
      <c r="DC136" s="56">
        <v>0</v>
      </c>
      <c r="DD136" s="56">
        <v>0</v>
      </c>
      <c r="DE136" s="56">
        <v>0</v>
      </c>
      <c r="DF136" s="56">
        <v>0</v>
      </c>
      <c r="DG136" s="56">
        <v>0</v>
      </c>
      <c r="DH136" s="56">
        <v>0</v>
      </c>
      <c r="DI136" s="56">
        <v>0</v>
      </c>
      <c r="DJ136" s="56">
        <v>0</v>
      </c>
      <c r="DK136" s="56">
        <v>0</v>
      </c>
      <c r="DL136" s="56">
        <v>0</v>
      </c>
      <c r="DM136" s="56">
        <v>0</v>
      </c>
      <c r="DN136" s="56">
        <v>0</v>
      </c>
      <c r="DO136" s="56">
        <v>0</v>
      </c>
      <c r="DP136" s="56">
        <v>0</v>
      </c>
      <c r="DQ136" s="56">
        <v>0</v>
      </c>
      <c r="DR136" s="56">
        <v>0</v>
      </c>
      <c r="DS136" s="56">
        <v>0</v>
      </c>
      <c r="DT136" s="56">
        <v>0</v>
      </c>
      <c r="DU136" s="56">
        <v>0</v>
      </c>
      <c r="DV136" s="56">
        <v>0</v>
      </c>
      <c r="DW136" s="56">
        <v>0</v>
      </c>
      <c r="DX136" s="56">
        <v>0</v>
      </c>
      <c r="DY136" s="56">
        <v>0</v>
      </c>
      <c r="DZ136" s="56">
        <v>0</v>
      </c>
      <c r="EA136" s="56">
        <v>0</v>
      </c>
      <c r="EB136" s="56">
        <v>0</v>
      </c>
      <c r="EC136" s="56">
        <v>0</v>
      </c>
      <c r="ED136" s="56">
        <v>0</v>
      </c>
      <c r="EE136" s="56">
        <v>0</v>
      </c>
      <c r="EF136" s="56">
        <v>0</v>
      </c>
      <c r="EG136" s="56">
        <v>0</v>
      </c>
      <c r="EH136" s="56">
        <v>62.42</v>
      </c>
      <c r="EI136" s="56">
        <v>0</v>
      </c>
      <c r="EJ136" s="56">
        <v>0</v>
      </c>
      <c r="EK136" s="56">
        <v>0</v>
      </c>
      <c r="EL136" s="56">
        <v>0</v>
      </c>
      <c r="EM136" s="56">
        <v>0</v>
      </c>
      <c r="EN136" s="56">
        <v>0</v>
      </c>
      <c r="EO136" s="56">
        <v>0</v>
      </c>
      <c r="EP136" s="56">
        <v>0</v>
      </c>
      <c r="EQ136" s="56">
        <v>0</v>
      </c>
      <c r="ER136" s="56">
        <v>0</v>
      </c>
      <c r="ES136" s="56">
        <v>0</v>
      </c>
      <c r="ET136" s="56">
        <v>0</v>
      </c>
      <c r="EU136" s="56">
        <v>0</v>
      </c>
      <c r="EV136" s="56">
        <v>0</v>
      </c>
      <c r="EW136" s="56">
        <v>0</v>
      </c>
      <c r="EX136" s="56">
        <v>0</v>
      </c>
      <c r="EY136" s="56">
        <v>0</v>
      </c>
      <c r="EZ136" s="56">
        <v>0</v>
      </c>
      <c r="FA136" s="56">
        <v>0</v>
      </c>
      <c r="FB136" s="56">
        <v>0</v>
      </c>
      <c r="FC136" s="58">
        <v>0</v>
      </c>
      <c r="FD136" s="56">
        <v>0</v>
      </c>
      <c r="FE136" s="56">
        <v>0</v>
      </c>
      <c r="FF136" s="56">
        <v>0</v>
      </c>
      <c r="FG136" s="56">
        <v>0</v>
      </c>
      <c r="FH136" s="56">
        <v>0</v>
      </c>
      <c r="FI136" s="56">
        <v>0</v>
      </c>
      <c r="FJ136" s="56">
        <v>0</v>
      </c>
      <c r="FK136" s="56">
        <v>0</v>
      </c>
      <c r="FL136" s="56">
        <v>0</v>
      </c>
      <c r="FM136" s="56">
        <v>0</v>
      </c>
      <c r="FN136" s="56">
        <v>0</v>
      </c>
      <c r="FO136" s="56">
        <v>0</v>
      </c>
      <c r="FP136" s="56">
        <v>0</v>
      </c>
      <c r="FQ136" s="56">
        <v>0</v>
      </c>
      <c r="FR136" s="56">
        <v>0</v>
      </c>
      <c r="FS136" s="58">
        <v>0</v>
      </c>
      <c r="FT136" s="56">
        <v>0</v>
      </c>
      <c r="FU136" s="56">
        <v>0</v>
      </c>
      <c r="FV136" s="56">
        <v>0</v>
      </c>
      <c r="FW136" s="56">
        <v>0</v>
      </c>
      <c r="FX136" s="56">
        <v>0</v>
      </c>
      <c r="FY136" s="56">
        <v>0</v>
      </c>
      <c r="FZ136" s="54" t="s">
        <v>1083</v>
      </c>
      <c r="GA136" s="54" t="s">
        <v>1084</v>
      </c>
      <c r="GB136" s="54" t="s">
        <v>1072</v>
      </c>
      <c r="GC136" s="54" t="s">
        <v>1073</v>
      </c>
      <c r="GD136" s="54" t="s">
        <v>1171</v>
      </c>
      <c r="GE136" s="54" t="s">
        <v>1075</v>
      </c>
      <c r="GF136" s="54"/>
      <c r="GG136" s="55"/>
      <c r="GH136" s="54"/>
      <c r="GI136" s="54"/>
      <c r="GJ136" s="54" t="s">
        <v>1076</v>
      </c>
      <c r="GK136" s="54" t="s">
        <v>1077</v>
      </c>
      <c r="GL136" s="54"/>
      <c r="GM136" s="54"/>
      <c r="GN136" s="54" t="s">
        <v>1078</v>
      </c>
      <c r="GO136" s="54" t="s">
        <v>1059</v>
      </c>
      <c r="GP136" s="54"/>
      <c r="GQ136" s="56">
        <v>0</v>
      </c>
      <c r="GR136" s="54" t="s">
        <v>1210</v>
      </c>
      <c r="GS136" s="54"/>
    </row>
    <row r="137" spans="1:201" x14ac:dyDescent="0.25">
      <c r="A137" s="54" t="s">
        <v>1032</v>
      </c>
      <c r="B137" s="54" t="s">
        <v>1033</v>
      </c>
      <c r="C137" s="54" t="s">
        <v>1242</v>
      </c>
      <c r="D137" s="54" t="s">
        <v>1035</v>
      </c>
      <c r="E137" s="54" t="s">
        <v>1036</v>
      </c>
      <c r="F137" s="55">
        <v>46185</v>
      </c>
      <c r="G137" s="55">
        <v>46185</v>
      </c>
      <c r="H137" s="54" t="s">
        <v>1037</v>
      </c>
      <c r="I137" s="54" t="s">
        <v>1038</v>
      </c>
      <c r="J137" s="54" t="s">
        <v>1039</v>
      </c>
      <c r="K137" s="55"/>
      <c r="L137" s="54" t="s">
        <v>1040</v>
      </c>
      <c r="M137" s="54"/>
      <c r="N137" s="54" t="s">
        <v>1243</v>
      </c>
      <c r="O137" s="54" t="s">
        <v>1120</v>
      </c>
      <c r="P137" s="54" t="s">
        <v>211</v>
      </c>
      <c r="Q137" s="54" t="s">
        <v>44</v>
      </c>
      <c r="R137" s="54" t="s">
        <v>1043</v>
      </c>
      <c r="S137" s="56">
        <v>741.6</v>
      </c>
      <c r="T137" s="56">
        <v>741.6</v>
      </c>
      <c r="U137" s="56">
        <v>0</v>
      </c>
      <c r="V137" s="56">
        <v>0</v>
      </c>
      <c r="W137" s="56">
        <v>0</v>
      </c>
      <c r="X137" s="56">
        <v>0</v>
      </c>
      <c r="Y137" s="56">
        <v>0</v>
      </c>
      <c r="Z137" s="56">
        <v>120</v>
      </c>
      <c r="AA137" s="56">
        <v>120</v>
      </c>
      <c r="AB137" s="59">
        <v>0</v>
      </c>
      <c r="AC137" s="56">
        <v>0</v>
      </c>
      <c r="AD137" s="56">
        <v>0</v>
      </c>
      <c r="AE137" s="56">
        <v>0</v>
      </c>
      <c r="AF137" s="54" t="s">
        <v>1199</v>
      </c>
      <c r="AG137" s="57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 t="s">
        <v>1045</v>
      </c>
      <c r="AS137" s="54" t="s">
        <v>1081</v>
      </c>
      <c r="AT137" s="54" t="s">
        <v>1082</v>
      </c>
      <c r="AU137" s="54" t="s">
        <v>1048</v>
      </c>
      <c r="AV137" s="54"/>
      <c r="AW137" s="55">
        <v>46198</v>
      </c>
      <c r="AX137" s="55">
        <v>46185</v>
      </c>
      <c r="AY137" s="55">
        <v>46185</v>
      </c>
      <c r="AZ137" s="55">
        <v>46190</v>
      </c>
      <c r="BA137" s="55">
        <v>46198</v>
      </c>
      <c r="BB137" s="56">
        <v>0</v>
      </c>
      <c r="BC137" s="56">
        <v>0</v>
      </c>
      <c r="BD137" s="56">
        <v>0</v>
      </c>
      <c r="BE137" s="56">
        <v>0</v>
      </c>
      <c r="BF137" s="56">
        <v>0</v>
      </c>
      <c r="BG137" s="56">
        <v>0</v>
      </c>
      <c r="BH137" s="56">
        <v>0</v>
      </c>
      <c r="BI137" s="56">
        <v>0</v>
      </c>
      <c r="BJ137" s="56">
        <v>0</v>
      </c>
      <c r="BK137" s="56">
        <v>0</v>
      </c>
      <c r="BL137" s="56">
        <v>0</v>
      </c>
      <c r="BM137" s="56">
        <v>0</v>
      </c>
      <c r="BN137" s="56">
        <v>0</v>
      </c>
      <c r="BO137" s="56">
        <v>0</v>
      </c>
      <c r="BP137" s="54" t="s">
        <v>1049</v>
      </c>
      <c r="BQ137" s="54" t="s">
        <v>1050</v>
      </c>
      <c r="BR137" s="54" t="s">
        <v>1049</v>
      </c>
      <c r="BS137" s="54" t="s">
        <v>1050</v>
      </c>
      <c r="BT137" s="54" t="s">
        <v>1051</v>
      </c>
      <c r="BU137" s="54" t="s">
        <v>1043</v>
      </c>
      <c r="BV137" s="58">
        <v>120</v>
      </c>
      <c r="BW137" s="54" t="s">
        <v>1052</v>
      </c>
      <c r="BX137" s="54" t="s">
        <v>1053</v>
      </c>
      <c r="BY137" s="54" t="s">
        <v>1054</v>
      </c>
      <c r="BZ137" s="54" t="s">
        <v>1055</v>
      </c>
      <c r="CA137" s="55"/>
      <c r="CB137" s="54" t="s">
        <v>1056</v>
      </c>
      <c r="CC137" s="54" t="s">
        <v>1057</v>
      </c>
      <c r="CD137" s="54" t="s">
        <v>1058</v>
      </c>
      <c r="CE137" s="54" t="s">
        <v>1059</v>
      </c>
      <c r="CF137" s="54" t="s">
        <v>1060</v>
      </c>
      <c r="CG137" s="54" t="s">
        <v>1061</v>
      </c>
      <c r="CH137" s="54" t="s">
        <v>1062</v>
      </c>
      <c r="CI137" s="54" t="s">
        <v>1063</v>
      </c>
      <c r="CJ137" s="54" t="s">
        <v>1064</v>
      </c>
      <c r="CK137" s="54" t="s">
        <v>1065</v>
      </c>
      <c r="CL137" s="54" t="s">
        <v>1066</v>
      </c>
      <c r="CM137" s="54" t="s">
        <v>1067</v>
      </c>
      <c r="CN137" s="54" t="s">
        <v>1068</v>
      </c>
      <c r="CO137" s="54" t="s">
        <v>1069</v>
      </c>
      <c r="CP137" s="56">
        <v>0</v>
      </c>
      <c r="CQ137" s="56">
        <v>0</v>
      </c>
      <c r="CR137" s="56">
        <v>0</v>
      </c>
      <c r="CS137" s="56">
        <v>0</v>
      </c>
      <c r="CT137" s="56">
        <v>0</v>
      </c>
      <c r="CU137" s="56">
        <v>0</v>
      </c>
      <c r="CV137" s="56">
        <v>0</v>
      </c>
      <c r="CW137" s="56">
        <v>0</v>
      </c>
      <c r="CX137" s="56">
        <v>0</v>
      </c>
      <c r="CY137" s="56">
        <v>0</v>
      </c>
      <c r="CZ137" s="56">
        <v>0</v>
      </c>
      <c r="DA137" s="56">
        <v>0</v>
      </c>
      <c r="DB137" s="56">
        <v>0</v>
      </c>
      <c r="DC137" s="56">
        <v>0</v>
      </c>
      <c r="DD137" s="56">
        <v>0</v>
      </c>
      <c r="DE137" s="56">
        <v>0</v>
      </c>
      <c r="DF137" s="56">
        <v>0</v>
      </c>
      <c r="DG137" s="56">
        <v>0</v>
      </c>
      <c r="DH137" s="56">
        <v>0</v>
      </c>
      <c r="DI137" s="56">
        <v>0</v>
      </c>
      <c r="DJ137" s="56">
        <v>0</v>
      </c>
      <c r="DK137" s="56">
        <v>0</v>
      </c>
      <c r="DL137" s="56">
        <v>0</v>
      </c>
      <c r="DM137" s="56">
        <v>0</v>
      </c>
      <c r="DN137" s="56">
        <v>0</v>
      </c>
      <c r="DO137" s="56">
        <v>0</v>
      </c>
      <c r="DP137" s="56">
        <v>0</v>
      </c>
      <c r="DQ137" s="56">
        <v>0</v>
      </c>
      <c r="DR137" s="56">
        <v>0</v>
      </c>
      <c r="DS137" s="56">
        <v>0</v>
      </c>
      <c r="DT137" s="56">
        <v>0</v>
      </c>
      <c r="DU137" s="56">
        <v>0</v>
      </c>
      <c r="DV137" s="56">
        <v>0</v>
      </c>
      <c r="DW137" s="56">
        <v>0</v>
      </c>
      <c r="DX137" s="56">
        <v>0</v>
      </c>
      <c r="DY137" s="56">
        <v>0</v>
      </c>
      <c r="DZ137" s="56">
        <v>0</v>
      </c>
      <c r="EA137" s="56">
        <v>0</v>
      </c>
      <c r="EB137" s="56">
        <v>0</v>
      </c>
      <c r="EC137" s="56">
        <v>0</v>
      </c>
      <c r="ED137" s="56">
        <v>0</v>
      </c>
      <c r="EE137" s="56">
        <v>0</v>
      </c>
      <c r="EF137" s="56">
        <v>0</v>
      </c>
      <c r="EG137" s="56">
        <v>0</v>
      </c>
      <c r="EH137" s="56">
        <v>88.99</v>
      </c>
      <c r="EI137" s="56">
        <v>0</v>
      </c>
      <c r="EJ137" s="56">
        <v>0</v>
      </c>
      <c r="EK137" s="56">
        <v>0</v>
      </c>
      <c r="EL137" s="56">
        <v>0</v>
      </c>
      <c r="EM137" s="56">
        <v>0</v>
      </c>
      <c r="EN137" s="56">
        <v>0</v>
      </c>
      <c r="EO137" s="56">
        <v>0</v>
      </c>
      <c r="EP137" s="56">
        <v>0</v>
      </c>
      <c r="EQ137" s="56">
        <v>0</v>
      </c>
      <c r="ER137" s="56">
        <v>0</v>
      </c>
      <c r="ES137" s="56">
        <v>0</v>
      </c>
      <c r="ET137" s="56">
        <v>0</v>
      </c>
      <c r="EU137" s="56">
        <v>0</v>
      </c>
      <c r="EV137" s="56">
        <v>0</v>
      </c>
      <c r="EW137" s="56">
        <v>0</v>
      </c>
      <c r="EX137" s="56">
        <v>0</v>
      </c>
      <c r="EY137" s="56">
        <v>0</v>
      </c>
      <c r="EZ137" s="56">
        <v>0</v>
      </c>
      <c r="FA137" s="56">
        <v>0</v>
      </c>
      <c r="FB137" s="56">
        <v>0</v>
      </c>
      <c r="FC137" s="58">
        <v>0</v>
      </c>
      <c r="FD137" s="56">
        <v>0</v>
      </c>
      <c r="FE137" s="56">
        <v>0</v>
      </c>
      <c r="FF137" s="56">
        <v>0</v>
      </c>
      <c r="FG137" s="56">
        <v>0</v>
      </c>
      <c r="FH137" s="56">
        <v>0</v>
      </c>
      <c r="FI137" s="56">
        <v>0</v>
      </c>
      <c r="FJ137" s="56">
        <v>0</v>
      </c>
      <c r="FK137" s="56">
        <v>0</v>
      </c>
      <c r="FL137" s="56">
        <v>0</v>
      </c>
      <c r="FM137" s="56">
        <v>0</v>
      </c>
      <c r="FN137" s="56">
        <v>0</v>
      </c>
      <c r="FO137" s="56">
        <v>0</v>
      </c>
      <c r="FP137" s="56">
        <v>0</v>
      </c>
      <c r="FQ137" s="56">
        <v>0</v>
      </c>
      <c r="FR137" s="56">
        <v>0</v>
      </c>
      <c r="FS137" s="58">
        <v>0</v>
      </c>
      <c r="FT137" s="56">
        <v>0</v>
      </c>
      <c r="FU137" s="56">
        <v>0</v>
      </c>
      <c r="FV137" s="56">
        <v>0</v>
      </c>
      <c r="FW137" s="56">
        <v>0</v>
      </c>
      <c r="FX137" s="56">
        <v>0</v>
      </c>
      <c r="FY137" s="56">
        <v>0</v>
      </c>
      <c r="FZ137" s="54" t="s">
        <v>1083</v>
      </c>
      <c r="GA137" s="54" t="s">
        <v>1084</v>
      </c>
      <c r="GB137" s="54" t="s">
        <v>1072</v>
      </c>
      <c r="GC137" s="54" t="s">
        <v>1073</v>
      </c>
      <c r="GD137" s="54" t="s">
        <v>1178</v>
      </c>
      <c r="GE137" s="54" t="s">
        <v>1075</v>
      </c>
      <c r="GF137" s="54"/>
      <c r="GG137" s="55"/>
      <c r="GH137" s="54"/>
      <c r="GI137" s="54"/>
      <c r="GJ137" s="54" t="s">
        <v>1076</v>
      </c>
      <c r="GK137" s="54" t="s">
        <v>1077</v>
      </c>
      <c r="GL137" s="54"/>
      <c r="GM137" s="54"/>
      <c r="GN137" s="54" t="s">
        <v>1078</v>
      </c>
      <c r="GO137" s="54" t="s">
        <v>1059</v>
      </c>
      <c r="GP137" s="54"/>
      <c r="GQ137" s="56">
        <v>0</v>
      </c>
      <c r="GR137" s="54" t="s">
        <v>1210</v>
      </c>
      <c r="GS137" s="54"/>
    </row>
    <row r="138" spans="1:201" x14ac:dyDescent="0.25">
      <c r="A138" s="54" t="s">
        <v>1032</v>
      </c>
      <c r="B138" s="54" t="s">
        <v>1033</v>
      </c>
      <c r="C138" s="54" t="s">
        <v>1242</v>
      </c>
      <c r="D138" s="54" t="s">
        <v>1035</v>
      </c>
      <c r="E138" s="54" t="s">
        <v>1036</v>
      </c>
      <c r="F138" s="55">
        <v>46185</v>
      </c>
      <c r="G138" s="55">
        <v>46185</v>
      </c>
      <c r="H138" s="54" t="s">
        <v>1037</v>
      </c>
      <c r="I138" s="54" t="s">
        <v>1038</v>
      </c>
      <c r="J138" s="54" t="s">
        <v>1039</v>
      </c>
      <c r="K138" s="55"/>
      <c r="L138" s="54" t="s">
        <v>1040</v>
      </c>
      <c r="M138" s="54"/>
      <c r="N138" s="54" t="s">
        <v>1243</v>
      </c>
      <c r="O138" s="54" t="s">
        <v>1121</v>
      </c>
      <c r="P138" s="54" t="s">
        <v>491</v>
      </c>
      <c r="Q138" s="54" t="s">
        <v>492</v>
      </c>
      <c r="R138" s="54" t="s">
        <v>1043</v>
      </c>
      <c r="S138" s="56">
        <v>943.6</v>
      </c>
      <c r="T138" s="56">
        <v>943.6</v>
      </c>
      <c r="U138" s="56">
        <v>0</v>
      </c>
      <c r="V138" s="56">
        <v>0</v>
      </c>
      <c r="W138" s="56">
        <v>0</v>
      </c>
      <c r="X138" s="56">
        <v>0</v>
      </c>
      <c r="Y138" s="56">
        <v>0</v>
      </c>
      <c r="Z138" s="56">
        <v>70</v>
      </c>
      <c r="AA138" s="56">
        <v>70</v>
      </c>
      <c r="AB138" s="59">
        <v>0</v>
      </c>
      <c r="AC138" s="56">
        <v>0</v>
      </c>
      <c r="AD138" s="56">
        <v>0</v>
      </c>
      <c r="AE138" s="56">
        <v>0</v>
      </c>
      <c r="AF138" s="54" t="s">
        <v>1199</v>
      </c>
      <c r="AG138" s="57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 t="s">
        <v>1045</v>
      </c>
      <c r="AS138" s="54" t="s">
        <v>1046</v>
      </c>
      <c r="AT138" s="54" t="s">
        <v>1047</v>
      </c>
      <c r="AU138" s="54" t="s">
        <v>1048</v>
      </c>
      <c r="AV138" s="54"/>
      <c r="AW138" s="55">
        <v>46198</v>
      </c>
      <c r="AX138" s="55">
        <v>46185</v>
      </c>
      <c r="AY138" s="55">
        <v>46185</v>
      </c>
      <c r="AZ138" s="55">
        <v>46188</v>
      </c>
      <c r="BA138" s="55">
        <v>46198</v>
      </c>
      <c r="BB138" s="56">
        <v>0</v>
      </c>
      <c r="BC138" s="56">
        <v>0</v>
      </c>
      <c r="BD138" s="56">
        <v>0</v>
      </c>
      <c r="BE138" s="56">
        <v>0</v>
      </c>
      <c r="BF138" s="56">
        <v>0</v>
      </c>
      <c r="BG138" s="56">
        <v>0</v>
      </c>
      <c r="BH138" s="56">
        <v>0</v>
      </c>
      <c r="BI138" s="56">
        <v>0</v>
      </c>
      <c r="BJ138" s="56">
        <v>0</v>
      </c>
      <c r="BK138" s="56">
        <v>0</v>
      </c>
      <c r="BL138" s="56">
        <v>0</v>
      </c>
      <c r="BM138" s="56">
        <v>0</v>
      </c>
      <c r="BN138" s="56">
        <v>0</v>
      </c>
      <c r="BO138" s="56">
        <v>0</v>
      </c>
      <c r="BP138" s="54" t="s">
        <v>1049</v>
      </c>
      <c r="BQ138" s="54" t="s">
        <v>1050</v>
      </c>
      <c r="BR138" s="54" t="s">
        <v>1049</v>
      </c>
      <c r="BS138" s="54" t="s">
        <v>1050</v>
      </c>
      <c r="BT138" s="54" t="s">
        <v>1051</v>
      </c>
      <c r="BU138" s="54" t="s">
        <v>1043</v>
      </c>
      <c r="BV138" s="58">
        <v>70</v>
      </c>
      <c r="BW138" s="54" t="s">
        <v>1052</v>
      </c>
      <c r="BX138" s="54" t="s">
        <v>1053</v>
      </c>
      <c r="BY138" s="54" t="s">
        <v>1054</v>
      </c>
      <c r="BZ138" s="54" t="s">
        <v>1055</v>
      </c>
      <c r="CA138" s="55"/>
      <c r="CB138" s="54" t="s">
        <v>1056</v>
      </c>
      <c r="CC138" s="54" t="s">
        <v>1057</v>
      </c>
      <c r="CD138" s="54" t="s">
        <v>1058</v>
      </c>
      <c r="CE138" s="54" t="s">
        <v>1059</v>
      </c>
      <c r="CF138" s="54" t="s">
        <v>1060</v>
      </c>
      <c r="CG138" s="54" t="s">
        <v>1061</v>
      </c>
      <c r="CH138" s="54" t="s">
        <v>1062</v>
      </c>
      <c r="CI138" s="54" t="s">
        <v>1063</v>
      </c>
      <c r="CJ138" s="54" t="s">
        <v>1064</v>
      </c>
      <c r="CK138" s="54" t="s">
        <v>1065</v>
      </c>
      <c r="CL138" s="54" t="s">
        <v>1066</v>
      </c>
      <c r="CM138" s="54" t="s">
        <v>1067</v>
      </c>
      <c r="CN138" s="54" t="s">
        <v>1068</v>
      </c>
      <c r="CO138" s="54" t="s">
        <v>1069</v>
      </c>
      <c r="CP138" s="56">
        <v>0</v>
      </c>
      <c r="CQ138" s="56">
        <v>0</v>
      </c>
      <c r="CR138" s="56">
        <v>0</v>
      </c>
      <c r="CS138" s="56">
        <v>0</v>
      </c>
      <c r="CT138" s="56">
        <v>0</v>
      </c>
      <c r="CU138" s="56">
        <v>0</v>
      </c>
      <c r="CV138" s="56">
        <v>0</v>
      </c>
      <c r="CW138" s="56">
        <v>0</v>
      </c>
      <c r="CX138" s="56">
        <v>0</v>
      </c>
      <c r="CY138" s="56">
        <v>0</v>
      </c>
      <c r="CZ138" s="56">
        <v>0</v>
      </c>
      <c r="DA138" s="56">
        <v>0</v>
      </c>
      <c r="DB138" s="56">
        <v>0</v>
      </c>
      <c r="DC138" s="56">
        <v>0</v>
      </c>
      <c r="DD138" s="56">
        <v>0</v>
      </c>
      <c r="DE138" s="56">
        <v>0</v>
      </c>
      <c r="DF138" s="56">
        <v>0</v>
      </c>
      <c r="DG138" s="56">
        <v>0</v>
      </c>
      <c r="DH138" s="56">
        <v>0</v>
      </c>
      <c r="DI138" s="56">
        <v>0</v>
      </c>
      <c r="DJ138" s="56">
        <v>0</v>
      </c>
      <c r="DK138" s="56">
        <v>0</v>
      </c>
      <c r="DL138" s="56">
        <v>0</v>
      </c>
      <c r="DM138" s="56">
        <v>0</v>
      </c>
      <c r="DN138" s="56">
        <v>0</v>
      </c>
      <c r="DO138" s="56">
        <v>0</v>
      </c>
      <c r="DP138" s="56">
        <v>0</v>
      </c>
      <c r="DQ138" s="56">
        <v>0</v>
      </c>
      <c r="DR138" s="56">
        <v>0</v>
      </c>
      <c r="DS138" s="56">
        <v>0</v>
      </c>
      <c r="DT138" s="56">
        <v>0</v>
      </c>
      <c r="DU138" s="56">
        <v>0</v>
      </c>
      <c r="DV138" s="56">
        <v>0</v>
      </c>
      <c r="DW138" s="56">
        <v>0</v>
      </c>
      <c r="DX138" s="56">
        <v>0</v>
      </c>
      <c r="DY138" s="56">
        <v>0</v>
      </c>
      <c r="DZ138" s="56">
        <v>0</v>
      </c>
      <c r="EA138" s="56">
        <v>0</v>
      </c>
      <c r="EB138" s="56">
        <v>0</v>
      </c>
      <c r="EC138" s="56">
        <v>0</v>
      </c>
      <c r="ED138" s="56">
        <v>0</v>
      </c>
      <c r="EE138" s="56">
        <v>0</v>
      </c>
      <c r="EF138" s="56">
        <v>0</v>
      </c>
      <c r="EG138" s="56">
        <v>0</v>
      </c>
      <c r="EH138" s="56">
        <v>113.23</v>
      </c>
      <c r="EI138" s="56">
        <v>0</v>
      </c>
      <c r="EJ138" s="56">
        <v>0</v>
      </c>
      <c r="EK138" s="56">
        <v>0</v>
      </c>
      <c r="EL138" s="56">
        <v>0</v>
      </c>
      <c r="EM138" s="56">
        <v>0</v>
      </c>
      <c r="EN138" s="56">
        <v>0</v>
      </c>
      <c r="EO138" s="56">
        <v>0</v>
      </c>
      <c r="EP138" s="56">
        <v>0</v>
      </c>
      <c r="EQ138" s="56">
        <v>0</v>
      </c>
      <c r="ER138" s="56">
        <v>0</v>
      </c>
      <c r="ES138" s="56">
        <v>0</v>
      </c>
      <c r="ET138" s="56">
        <v>0</v>
      </c>
      <c r="EU138" s="56">
        <v>0</v>
      </c>
      <c r="EV138" s="56">
        <v>0</v>
      </c>
      <c r="EW138" s="56">
        <v>0</v>
      </c>
      <c r="EX138" s="56">
        <v>0</v>
      </c>
      <c r="EY138" s="56">
        <v>0</v>
      </c>
      <c r="EZ138" s="56">
        <v>0</v>
      </c>
      <c r="FA138" s="56">
        <v>0</v>
      </c>
      <c r="FB138" s="56">
        <v>0</v>
      </c>
      <c r="FC138" s="58">
        <v>0</v>
      </c>
      <c r="FD138" s="56">
        <v>0</v>
      </c>
      <c r="FE138" s="56">
        <v>0</v>
      </c>
      <c r="FF138" s="56">
        <v>0</v>
      </c>
      <c r="FG138" s="56">
        <v>0</v>
      </c>
      <c r="FH138" s="56">
        <v>0</v>
      </c>
      <c r="FI138" s="56">
        <v>0</v>
      </c>
      <c r="FJ138" s="56">
        <v>0</v>
      </c>
      <c r="FK138" s="56">
        <v>0</v>
      </c>
      <c r="FL138" s="56">
        <v>0</v>
      </c>
      <c r="FM138" s="56">
        <v>0</v>
      </c>
      <c r="FN138" s="56">
        <v>0</v>
      </c>
      <c r="FO138" s="56">
        <v>0</v>
      </c>
      <c r="FP138" s="56">
        <v>0</v>
      </c>
      <c r="FQ138" s="56">
        <v>0</v>
      </c>
      <c r="FR138" s="56">
        <v>0</v>
      </c>
      <c r="FS138" s="58">
        <v>0</v>
      </c>
      <c r="FT138" s="56">
        <v>0</v>
      </c>
      <c r="FU138" s="56">
        <v>0</v>
      </c>
      <c r="FV138" s="56">
        <v>0</v>
      </c>
      <c r="FW138" s="56">
        <v>0</v>
      </c>
      <c r="FX138" s="56">
        <v>0</v>
      </c>
      <c r="FY138" s="56">
        <v>0</v>
      </c>
      <c r="FZ138" s="54" t="s">
        <v>1070</v>
      </c>
      <c r="GA138" s="54" t="s">
        <v>1071</v>
      </c>
      <c r="GB138" s="54" t="s">
        <v>1072</v>
      </c>
      <c r="GC138" s="54" t="s">
        <v>1073</v>
      </c>
      <c r="GD138" s="54"/>
      <c r="GE138" s="54"/>
      <c r="GF138" s="54"/>
      <c r="GG138" s="55"/>
      <c r="GH138" s="54"/>
      <c r="GI138" s="54"/>
      <c r="GJ138" s="54" t="s">
        <v>1076</v>
      </c>
      <c r="GK138" s="54" t="s">
        <v>1077</v>
      </c>
      <c r="GL138" s="54"/>
      <c r="GM138" s="54"/>
      <c r="GN138" s="54" t="s">
        <v>1078</v>
      </c>
      <c r="GO138" s="54" t="s">
        <v>1059</v>
      </c>
      <c r="GP138" s="54"/>
      <c r="GQ138" s="56">
        <v>0</v>
      </c>
      <c r="GR138" s="54" t="s">
        <v>1210</v>
      </c>
      <c r="GS138" s="54"/>
    </row>
    <row r="139" spans="1:201" x14ac:dyDescent="0.25">
      <c r="A139" s="54" t="s">
        <v>1032</v>
      </c>
      <c r="B139" s="54" t="s">
        <v>1033</v>
      </c>
      <c r="C139" s="54" t="s">
        <v>1242</v>
      </c>
      <c r="D139" s="54" t="s">
        <v>1035</v>
      </c>
      <c r="E139" s="54" t="s">
        <v>1036</v>
      </c>
      <c r="F139" s="55">
        <v>46185</v>
      </c>
      <c r="G139" s="55">
        <v>46185</v>
      </c>
      <c r="H139" s="54" t="s">
        <v>1037</v>
      </c>
      <c r="I139" s="54" t="s">
        <v>1038</v>
      </c>
      <c r="J139" s="54" t="s">
        <v>1039</v>
      </c>
      <c r="K139" s="55"/>
      <c r="L139" s="54" t="s">
        <v>1040</v>
      </c>
      <c r="M139" s="54"/>
      <c r="N139" s="54" t="s">
        <v>1243</v>
      </c>
      <c r="O139" s="54" t="s">
        <v>1122</v>
      </c>
      <c r="P139" s="54" t="s">
        <v>489</v>
      </c>
      <c r="Q139" s="54" t="s">
        <v>490</v>
      </c>
      <c r="R139" s="54" t="s">
        <v>1043</v>
      </c>
      <c r="S139" s="56">
        <v>527.79999999999995</v>
      </c>
      <c r="T139" s="56">
        <v>527.79999999999995</v>
      </c>
      <c r="U139" s="56">
        <v>0</v>
      </c>
      <c r="V139" s="56">
        <v>0</v>
      </c>
      <c r="W139" s="56">
        <v>0</v>
      </c>
      <c r="X139" s="56">
        <v>0</v>
      </c>
      <c r="Y139" s="56">
        <v>0</v>
      </c>
      <c r="Z139" s="56">
        <v>70</v>
      </c>
      <c r="AA139" s="56">
        <v>70</v>
      </c>
      <c r="AB139" s="59">
        <v>0</v>
      </c>
      <c r="AC139" s="56">
        <v>0</v>
      </c>
      <c r="AD139" s="56">
        <v>0</v>
      </c>
      <c r="AE139" s="56">
        <v>0</v>
      </c>
      <c r="AF139" s="54" t="s">
        <v>1199</v>
      </c>
      <c r="AG139" s="57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 t="s">
        <v>1045</v>
      </c>
      <c r="AS139" s="54" t="s">
        <v>1046</v>
      </c>
      <c r="AT139" s="54" t="s">
        <v>1047</v>
      </c>
      <c r="AU139" s="54" t="s">
        <v>1048</v>
      </c>
      <c r="AV139" s="54"/>
      <c r="AW139" s="55">
        <v>46198</v>
      </c>
      <c r="AX139" s="55">
        <v>46185</v>
      </c>
      <c r="AY139" s="55">
        <v>46185</v>
      </c>
      <c r="AZ139" s="55">
        <v>46188</v>
      </c>
      <c r="BA139" s="55">
        <v>46198</v>
      </c>
      <c r="BB139" s="56">
        <v>0</v>
      </c>
      <c r="BC139" s="56">
        <v>0</v>
      </c>
      <c r="BD139" s="56">
        <v>0</v>
      </c>
      <c r="BE139" s="56">
        <v>0</v>
      </c>
      <c r="BF139" s="56">
        <v>0</v>
      </c>
      <c r="BG139" s="56">
        <v>0</v>
      </c>
      <c r="BH139" s="56">
        <v>0</v>
      </c>
      <c r="BI139" s="56">
        <v>0</v>
      </c>
      <c r="BJ139" s="56">
        <v>0</v>
      </c>
      <c r="BK139" s="56">
        <v>0</v>
      </c>
      <c r="BL139" s="56">
        <v>0</v>
      </c>
      <c r="BM139" s="56">
        <v>0</v>
      </c>
      <c r="BN139" s="56">
        <v>0</v>
      </c>
      <c r="BO139" s="56">
        <v>0</v>
      </c>
      <c r="BP139" s="54" t="s">
        <v>1049</v>
      </c>
      <c r="BQ139" s="54" t="s">
        <v>1050</v>
      </c>
      <c r="BR139" s="54" t="s">
        <v>1049</v>
      </c>
      <c r="BS139" s="54" t="s">
        <v>1050</v>
      </c>
      <c r="BT139" s="54" t="s">
        <v>1051</v>
      </c>
      <c r="BU139" s="54" t="s">
        <v>1043</v>
      </c>
      <c r="BV139" s="58">
        <v>70</v>
      </c>
      <c r="BW139" s="54" t="s">
        <v>1052</v>
      </c>
      <c r="BX139" s="54" t="s">
        <v>1053</v>
      </c>
      <c r="BY139" s="54" t="s">
        <v>1054</v>
      </c>
      <c r="BZ139" s="54" t="s">
        <v>1055</v>
      </c>
      <c r="CA139" s="55"/>
      <c r="CB139" s="54" t="s">
        <v>1056</v>
      </c>
      <c r="CC139" s="54" t="s">
        <v>1057</v>
      </c>
      <c r="CD139" s="54" t="s">
        <v>1058</v>
      </c>
      <c r="CE139" s="54" t="s">
        <v>1059</v>
      </c>
      <c r="CF139" s="54" t="s">
        <v>1060</v>
      </c>
      <c r="CG139" s="54" t="s">
        <v>1061</v>
      </c>
      <c r="CH139" s="54" t="s">
        <v>1062</v>
      </c>
      <c r="CI139" s="54" t="s">
        <v>1063</v>
      </c>
      <c r="CJ139" s="54" t="s">
        <v>1064</v>
      </c>
      <c r="CK139" s="54" t="s">
        <v>1065</v>
      </c>
      <c r="CL139" s="54" t="s">
        <v>1066</v>
      </c>
      <c r="CM139" s="54" t="s">
        <v>1067</v>
      </c>
      <c r="CN139" s="54" t="s">
        <v>1068</v>
      </c>
      <c r="CO139" s="54" t="s">
        <v>1069</v>
      </c>
      <c r="CP139" s="56">
        <v>0</v>
      </c>
      <c r="CQ139" s="56">
        <v>0</v>
      </c>
      <c r="CR139" s="56">
        <v>0</v>
      </c>
      <c r="CS139" s="56">
        <v>0</v>
      </c>
      <c r="CT139" s="56">
        <v>0</v>
      </c>
      <c r="CU139" s="56">
        <v>0</v>
      </c>
      <c r="CV139" s="56">
        <v>0</v>
      </c>
      <c r="CW139" s="56">
        <v>0</v>
      </c>
      <c r="CX139" s="56">
        <v>0</v>
      </c>
      <c r="CY139" s="56">
        <v>0</v>
      </c>
      <c r="CZ139" s="56">
        <v>0</v>
      </c>
      <c r="DA139" s="56">
        <v>0</v>
      </c>
      <c r="DB139" s="56">
        <v>0</v>
      </c>
      <c r="DC139" s="56">
        <v>0</v>
      </c>
      <c r="DD139" s="56">
        <v>0</v>
      </c>
      <c r="DE139" s="56">
        <v>0</v>
      </c>
      <c r="DF139" s="56">
        <v>0</v>
      </c>
      <c r="DG139" s="56">
        <v>0</v>
      </c>
      <c r="DH139" s="56">
        <v>0</v>
      </c>
      <c r="DI139" s="56">
        <v>0</v>
      </c>
      <c r="DJ139" s="56">
        <v>0</v>
      </c>
      <c r="DK139" s="56">
        <v>0</v>
      </c>
      <c r="DL139" s="56">
        <v>0</v>
      </c>
      <c r="DM139" s="56">
        <v>0</v>
      </c>
      <c r="DN139" s="56">
        <v>0</v>
      </c>
      <c r="DO139" s="56">
        <v>0</v>
      </c>
      <c r="DP139" s="56">
        <v>0</v>
      </c>
      <c r="DQ139" s="56">
        <v>0</v>
      </c>
      <c r="DR139" s="56">
        <v>0</v>
      </c>
      <c r="DS139" s="56">
        <v>0</v>
      </c>
      <c r="DT139" s="56">
        <v>0</v>
      </c>
      <c r="DU139" s="56">
        <v>0</v>
      </c>
      <c r="DV139" s="56">
        <v>0</v>
      </c>
      <c r="DW139" s="56">
        <v>0</v>
      </c>
      <c r="DX139" s="56">
        <v>0</v>
      </c>
      <c r="DY139" s="56">
        <v>0</v>
      </c>
      <c r="DZ139" s="56">
        <v>0</v>
      </c>
      <c r="EA139" s="56">
        <v>0</v>
      </c>
      <c r="EB139" s="56">
        <v>0</v>
      </c>
      <c r="EC139" s="56">
        <v>0</v>
      </c>
      <c r="ED139" s="56">
        <v>0</v>
      </c>
      <c r="EE139" s="56">
        <v>0</v>
      </c>
      <c r="EF139" s="56">
        <v>0</v>
      </c>
      <c r="EG139" s="56">
        <v>0</v>
      </c>
      <c r="EH139" s="56">
        <v>63.34</v>
      </c>
      <c r="EI139" s="56">
        <v>0</v>
      </c>
      <c r="EJ139" s="56">
        <v>0</v>
      </c>
      <c r="EK139" s="56">
        <v>0</v>
      </c>
      <c r="EL139" s="56">
        <v>0</v>
      </c>
      <c r="EM139" s="56">
        <v>0</v>
      </c>
      <c r="EN139" s="56">
        <v>0</v>
      </c>
      <c r="EO139" s="56">
        <v>0</v>
      </c>
      <c r="EP139" s="56">
        <v>0</v>
      </c>
      <c r="EQ139" s="56">
        <v>0</v>
      </c>
      <c r="ER139" s="56">
        <v>0</v>
      </c>
      <c r="ES139" s="56">
        <v>0</v>
      </c>
      <c r="ET139" s="56">
        <v>0</v>
      </c>
      <c r="EU139" s="56">
        <v>0</v>
      </c>
      <c r="EV139" s="56">
        <v>0</v>
      </c>
      <c r="EW139" s="56">
        <v>0</v>
      </c>
      <c r="EX139" s="56">
        <v>0</v>
      </c>
      <c r="EY139" s="56">
        <v>0</v>
      </c>
      <c r="EZ139" s="56">
        <v>0</v>
      </c>
      <c r="FA139" s="56">
        <v>0</v>
      </c>
      <c r="FB139" s="56">
        <v>0</v>
      </c>
      <c r="FC139" s="58">
        <v>0</v>
      </c>
      <c r="FD139" s="56">
        <v>0</v>
      </c>
      <c r="FE139" s="56">
        <v>0</v>
      </c>
      <c r="FF139" s="56">
        <v>0</v>
      </c>
      <c r="FG139" s="56">
        <v>0</v>
      </c>
      <c r="FH139" s="56">
        <v>0</v>
      </c>
      <c r="FI139" s="56">
        <v>0</v>
      </c>
      <c r="FJ139" s="56">
        <v>0</v>
      </c>
      <c r="FK139" s="56">
        <v>0</v>
      </c>
      <c r="FL139" s="56">
        <v>0</v>
      </c>
      <c r="FM139" s="56">
        <v>0</v>
      </c>
      <c r="FN139" s="56">
        <v>0</v>
      </c>
      <c r="FO139" s="56">
        <v>0</v>
      </c>
      <c r="FP139" s="56">
        <v>0</v>
      </c>
      <c r="FQ139" s="56">
        <v>0</v>
      </c>
      <c r="FR139" s="56">
        <v>0</v>
      </c>
      <c r="FS139" s="58">
        <v>0</v>
      </c>
      <c r="FT139" s="56">
        <v>0</v>
      </c>
      <c r="FU139" s="56">
        <v>0</v>
      </c>
      <c r="FV139" s="56">
        <v>0</v>
      </c>
      <c r="FW139" s="56">
        <v>0</v>
      </c>
      <c r="FX139" s="56">
        <v>0</v>
      </c>
      <c r="FY139" s="56">
        <v>0</v>
      </c>
      <c r="FZ139" s="54" t="s">
        <v>1070</v>
      </c>
      <c r="GA139" s="54" t="s">
        <v>1071</v>
      </c>
      <c r="GB139" s="54" t="s">
        <v>1072</v>
      </c>
      <c r="GC139" s="54" t="s">
        <v>1073</v>
      </c>
      <c r="GD139" s="54"/>
      <c r="GE139" s="54"/>
      <c r="GF139" s="54"/>
      <c r="GG139" s="55"/>
      <c r="GH139" s="54"/>
      <c r="GI139" s="54"/>
      <c r="GJ139" s="54" t="s">
        <v>1076</v>
      </c>
      <c r="GK139" s="54" t="s">
        <v>1077</v>
      </c>
      <c r="GL139" s="54"/>
      <c r="GM139" s="54"/>
      <c r="GN139" s="54" t="s">
        <v>1078</v>
      </c>
      <c r="GO139" s="54" t="s">
        <v>1059</v>
      </c>
      <c r="GP139" s="54"/>
      <c r="GQ139" s="56">
        <v>0</v>
      </c>
      <c r="GR139" s="54" t="s">
        <v>1210</v>
      </c>
      <c r="GS139" s="54"/>
    </row>
    <row r="140" spans="1:201" x14ac:dyDescent="0.25">
      <c r="A140" s="54" t="s">
        <v>1032</v>
      </c>
      <c r="B140" s="54" t="s">
        <v>1033</v>
      </c>
      <c r="C140" s="54" t="s">
        <v>1242</v>
      </c>
      <c r="D140" s="54" t="s">
        <v>1035</v>
      </c>
      <c r="E140" s="54" t="s">
        <v>1036</v>
      </c>
      <c r="F140" s="55">
        <v>46185</v>
      </c>
      <c r="G140" s="55">
        <v>46185</v>
      </c>
      <c r="H140" s="54" t="s">
        <v>1037</v>
      </c>
      <c r="I140" s="54" t="s">
        <v>1038</v>
      </c>
      <c r="J140" s="54" t="s">
        <v>1039</v>
      </c>
      <c r="K140" s="55"/>
      <c r="L140" s="54" t="s">
        <v>1040</v>
      </c>
      <c r="M140" s="54"/>
      <c r="N140" s="54" t="s">
        <v>1243</v>
      </c>
      <c r="O140" s="54" t="s">
        <v>1126</v>
      </c>
      <c r="P140" s="54" t="s">
        <v>212</v>
      </c>
      <c r="Q140" s="54" t="s">
        <v>45</v>
      </c>
      <c r="R140" s="54" t="s">
        <v>1043</v>
      </c>
      <c r="S140" s="56">
        <v>240</v>
      </c>
      <c r="T140" s="56">
        <v>240</v>
      </c>
      <c r="U140" s="56">
        <v>0</v>
      </c>
      <c r="V140" s="56">
        <v>0</v>
      </c>
      <c r="W140" s="56">
        <v>0</v>
      </c>
      <c r="X140" s="56">
        <v>0</v>
      </c>
      <c r="Y140" s="56">
        <v>0</v>
      </c>
      <c r="Z140" s="56">
        <v>120</v>
      </c>
      <c r="AA140" s="56">
        <v>120</v>
      </c>
      <c r="AB140" s="59">
        <v>0</v>
      </c>
      <c r="AC140" s="56">
        <v>0</v>
      </c>
      <c r="AD140" s="56">
        <v>0</v>
      </c>
      <c r="AE140" s="56">
        <v>0</v>
      </c>
      <c r="AF140" s="54" t="s">
        <v>1199</v>
      </c>
      <c r="AG140" s="57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 t="s">
        <v>1045</v>
      </c>
      <c r="AS140" s="54" t="s">
        <v>1081</v>
      </c>
      <c r="AT140" s="54" t="s">
        <v>1082</v>
      </c>
      <c r="AU140" s="54" t="s">
        <v>1048</v>
      </c>
      <c r="AV140" s="54"/>
      <c r="AW140" s="55">
        <v>46198</v>
      </c>
      <c r="AX140" s="55">
        <v>46185</v>
      </c>
      <c r="AY140" s="55">
        <v>46185</v>
      </c>
      <c r="AZ140" s="55">
        <v>46188</v>
      </c>
      <c r="BA140" s="55">
        <v>46198</v>
      </c>
      <c r="BB140" s="56">
        <v>0</v>
      </c>
      <c r="BC140" s="56">
        <v>0</v>
      </c>
      <c r="BD140" s="56">
        <v>0</v>
      </c>
      <c r="BE140" s="56">
        <v>0</v>
      </c>
      <c r="BF140" s="56">
        <v>0</v>
      </c>
      <c r="BG140" s="56">
        <v>0</v>
      </c>
      <c r="BH140" s="56">
        <v>0</v>
      </c>
      <c r="BI140" s="56">
        <v>0</v>
      </c>
      <c r="BJ140" s="56">
        <v>0</v>
      </c>
      <c r="BK140" s="56">
        <v>0</v>
      </c>
      <c r="BL140" s="56">
        <v>0</v>
      </c>
      <c r="BM140" s="56">
        <v>0</v>
      </c>
      <c r="BN140" s="56">
        <v>0</v>
      </c>
      <c r="BO140" s="56">
        <v>0</v>
      </c>
      <c r="BP140" s="54" t="s">
        <v>1049</v>
      </c>
      <c r="BQ140" s="54" t="s">
        <v>1050</v>
      </c>
      <c r="BR140" s="54" t="s">
        <v>1049</v>
      </c>
      <c r="BS140" s="54" t="s">
        <v>1050</v>
      </c>
      <c r="BT140" s="54" t="s">
        <v>1051</v>
      </c>
      <c r="BU140" s="54" t="s">
        <v>1043</v>
      </c>
      <c r="BV140" s="58">
        <v>120</v>
      </c>
      <c r="BW140" s="54" t="s">
        <v>1052</v>
      </c>
      <c r="BX140" s="54" t="s">
        <v>1053</v>
      </c>
      <c r="BY140" s="54" t="s">
        <v>1054</v>
      </c>
      <c r="BZ140" s="54" t="s">
        <v>1055</v>
      </c>
      <c r="CA140" s="55"/>
      <c r="CB140" s="54" t="s">
        <v>1056</v>
      </c>
      <c r="CC140" s="54" t="s">
        <v>1057</v>
      </c>
      <c r="CD140" s="54" t="s">
        <v>1058</v>
      </c>
      <c r="CE140" s="54" t="s">
        <v>1059</v>
      </c>
      <c r="CF140" s="54" t="s">
        <v>1060</v>
      </c>
      <c r="CG140" s="54" t="s">
        <v>1061</v>
      </c>
      <c r="CH140" s="54" t="s">
        <v>1062</v>
      </c>
      <c r="CI140" s="54" t="s">
        <v>1063</v>
      </c>
      <c r="CJ140" s="54" t="s">
        <v>1064</v>
      </c>
      <c r="CK140" s="54" t="s">
        <v>1065</v>
      </c>
      <c r="CL140" s="54" t="s">
        <v>1066</v>
      </c>
      <c r="CM140" s="54" t="s">
        <v>1067</v>
      </c>
      <c r="CN140" s="54" t="s">
        <v>1068</v>
      </c>
      <c r="CO140" s="54" t="s">
        <v>1069</v>
      </c>
      <c r="CP140" s="56">
        <v>0</v>
      </c>
      <c r="CQ140" s="56">
        <v>0</v>
      </c>
      <c r="CR140" s="56">
        <v>0</v>
      </c>
      <c r="CS140" s="56">
        <v>0</v>
      </c>
      <c r="CT140" s="56">
        <v>0</v>
      </c>
      <c r="CU140" s="56">
        <v>0</v>
      </c>
      <c r="CV140" s="56">
        <v>0</v>
      </c>
      <c r="CW140" s="56">
        <v>0</v>
      </c>
      <c r="CX140" s="56">
        <v>0</v>
      </c>
      <c r="CY140" s="56">
        <v>0</v>
      </c>
      <c r="CZ140" s="56">
        <v>0</v>
      </c>
      <c r="DA140" s="56">
        <v>0</v>
      </c>
      <c r="DB140" s="56">
        <v>0</v>
      </c>
      <c r="DC140" s="56">
        <v>0</v>
      </c>
      <c r="DD140" s="56">
        <v>0</v>
      </c>
      <c r="DE140" s="56">
        <v>0</v>
      </c>
      <c r="DF140" s="56">
        <v>0</v>
      </c>
      <c r="DG140" s="56">
        <v>0</v>
      </c>
      <c r="DH140" s="56">
        <v>0</v>
      </c>
      <c r="DI140" s="56">
        <v>0</v>
      </c>
      <c r="DJ140" s="56">
        <v>0</v>
      </c>
      <c r="DK140" s="56">
        <v>0</v>
      </c>
      <c r="DL140" s="56">
        <v>0</v>
      </c>
      <c r="DM140" s="56">
        <v>0</v>
      </c>
      <c r="DN140" s="56">
        <v>0</v>
      </c>
      <c r="DO140" s="56">
        <v>0</v>
      </c>
      <c r="DP140" s="56">
        <v>0</v>
      </c>
      <c r="DQ140" s="56">
        <v>0</v>
      </c>
      <c r="DR140" s="56">
        <v>0</v>
      </c>
      <c r="DS140" s="56">
        <v>0</v>
      </c>
      <c r="DT140" s="56">
        <v>0</v>
      </c>
      <c r="DU140" s="56">
        <v>0</v>
      </c>
      <c r="DV140" s="56">
        <v>0</v>
      </c>
      <c r="DW140" s="56">
        <v>0</v>
      </c>
      <c r="DX140" s="56">
        <v>0</v>
      </c>
      <c r="DY140" s="56">
        <v>0</v>
      </c>
      <c r="DZ140" s="56">
        <v>0</v>
      </c>
      <c r="EA140" s="56">
        <v>0</v>
      </c>
      <c r="EB140" s="56">
        <v>0</v>
      </c>
      <c r="EC140" s="56">
        <v>0</v>
      </c>
      <c r="ED140" s="56">
        <v>0</v>
      </c>
      <c r="EE140" s="56">
        <v>0</v>
      </c>
      <c r="EF140" s="56">
        <v>0</v>
      </c>
      <c r="EG140" s="56">
        <v>0</v>
      </c>
      <c r="EH140" s="56">
        <v>28.8</v>
      </c>
      <c r="EI140" s="56">
        <v>0</v>
      </c>
      <c r="EJ140" s="56">
        <v>0</v>
      </c>
      <c r="EK140" s="56">
        <v>0</v>
      </c>
      <c r="EL140" s="56">
        <v>0</v>
      </c>
      <c r="EM140" s="56">
        <v>0</v>
      </c>
      <c r="EN140" s="56">
        <v>0</v>
      </c>
      <c r="EO140" s="56">
        <v>0</v>
      </c>
      <c r="EP140" s="56">
        <v>0</v>
      </c>
      <c r="EQ140" s="56">
        <v>0</v>
      </c>
      <c r="ER140" s="56">
        <v>0</v>
      </c>
      <c r="ES140" s="56">
        <v>0</v>
      </c>
      <c r="ET140" s="56">
        <v>0</v>
      </c>
      <c r="EU140" s="56">
        <v>0</v>
      </c>
      <c r="EV140" s="56">
        <v>0</v>
      </c>
      <c r="EW140" s="56">
        <v>0</v>
      </c>
      <c r="EX140" s="56">
        <v>0</v>
      </c>
      <c r="EY140" s="56">
        <v>0</v>
      </c>
      <c r="EZ140" s="56">
        <v>0</v>
      </c>
      <c r="FA140" s="56">
        <v>0</v>
      </c>
      <c r="FB140" s="56">
        <v>0</v>
      </c>
      <c r="FC140" s="58">
        <v>0</v>
      </c>
      <c r="FD140" s="56">
        <v>0</v>
      </c>
      <c r="FE140" s="56">
        <v>0</v>
      </c>
      <c r="FF140" s="56">
        <v>0</v>
      </c>
      <c r="FG140" s="56">
        <v>0</v>
      </c>
      <c r="FH140" s="56">
        <v>0</v>
      </c>
      <c r="FI140" s="56">
        <v>0</v>
      </c>
      <c r="FJ140" s="56">
        <v>0</v>
      </c>
      <c r="FK140" s="56">
        <v>0</v>
      </c>
      <c r="FL140" s="56">
        <v>0</v>
      </c>
      <c r="FM140" s="56">
        <v>0</v>
      </c>
      <c r="FN140" s="56">
        <v>0</v>
      </c>
      <c r="FO140" s="56">
        <v>0</v>
      </c>
      <c r="FP140" s="56">
        <v>0</v>
      </c>
      <c r="FQ140" s="56">
        <v>0</v>
      </c>
      <c r="FR140" s="56">
        <v>0</v>
      </c>
      <c r="FS140" s="58">
        <v>0</v>
      </c>
      <c r="FT140" s="56">
        <v>0</v>
      </c>
      <c r="FU140" s="56">
        <v>0</v>
      </c>
      <c r="FV140" s="56">
        <v>0</v>
      </c>
      <c r="FW140" s="56">
        <v>0</v>
      </c>
      <c r="FX140" s="56">
        <v>0</v>
      </c>
      <c r="FY140" s="56">
        <v>0</v>
      </c>
      <c r="FZ140" s="54" t="s">
        <v>1083</v>
      </c>
      <c r="GA140" s="54" t="s">
        <v>1084</v>
      </c>
      <c r="GB140" s="54" t="s">
        <v>1072</v>
      </c>
      <c r="GC140" s="54" t="s">
        <v>1073</v>
      </c>
      <c r="GD140" s="54" t="s">
        <v>1180</v>
      </c>
      <c r="GE140" s="54" t="s">
        <v>1075</v>
      </c>
      <c r="GF140" s="54"/>
      <c r="GG140" s="55"/>
      <c r="GH140" s="54"/>
      <c r="GI140" s="54"/>
      <c r="GJ140" s="54" t="s">
        <v>1076</v>
      </c>
      <c r="GK140" s="54" t="s">
        <v>1077</v>
      </c>
      <c r="GL140" s="54"/>
      <c r="GM140" s="54"/>
      <c r="GN140" s="54" t="s">
        <v>1078</v>
      </c>
      <c r="GO140" s="54" t="s">
        <v>1059</v>
      </c>
      <c r="GP140" s="54"/>
      <c r="GQ140" s="56">
        <v>0</v>
      </c>
      <c r="GR140" s="54" t="s">
        <v>1210</v>
      </c>
      <c r="GS140" s="54"/>
    </row>
    <row r="141" spans="1:201" x14ac:dyDescent="0.25">
      <c r="A141" s="54" t="s">
        <v>1032</v>
      </c>
      <c r="B141" s="54" t="s">
        <v>1033</v>
      </c>
      <c r="C141" s="54" t="s">
        <v>1242</v>
      </c>
      <c r="D141" s="54" t="s">
        <v>1035</v>
      </c>
      <c r="E141" s="54" t="s">
        <v>1036</v>
      </c>
      <c r="F141" s="55">
        <v>46185</v>
      </c>
      <c r="G141" s="55">
        <v>46185</v>
      </c>
      <c r="H141" s="54" t="s">
        <v>1037</v>
      </c>
      <c r="I141" s="54" t="s">
        <v>1038</v>
      </c>
      <c r="J141" s="54" t="s">
        <v>1039</v>
      </c>
      <c r="K141" s="55"/>
      <c r="L141" s="54" t="s">
        <v>1040</v>
      </c>
      <c r="M141" s="54"/>
      <c r="N141" s="54" t="s">
        <v>1243</v>
      </c>
      <c r="O141" s="54" t="s">
        <v>1128</v>
      </c>
      <c r="P141" s="54" t="s">
        <v>213</v>
      </c>
      <c r="Q141" s="54" t="s">
        <v>46</v>
      </c>
      <c r="R141" s="54" t="s">
        <v>1043</v>
      </c>
      <c r="S141" s="56">
        <v>2023</v>
      </c>
      <c r="T141" s="56">
        <v>2023</v>
      </c>
      <c r="U141" s="56">
        <v>0</v>
      </c>
      <c r="V141" s="56">
        <v>0</v>
      </c>
      <c r="W141" s="56">
        <v>0</v>
      </c>
      <c r="X141" s="56">
        <v>0</v>
      </c>
      <c r="Y141" s="56">
        <v>0</v>
      </c>
      <c r="Z141" s="56">
        <v>100</v>
      </c>
      <c r="AA141" s="56">
        <v>100</v>
      </c>
      <c r="AB141" s="59">
        <v>0</v>
      </c>
      <c r="AC141" s="56">
        <v>0</v>
      </c>
      <c r="AD141" s="56">
        <v>0</v>
      </c>
      <c r="AE141" s="56">
        <v>0</v>
      </c>
      <c r="AF141" s="54" t="s">
        <v>1199</v>
      </c>
      <c r="AG141" s="57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 t="s">
        <v>1045</v>
      </c>
      <c r="AS141" s="54" t="s">
        <v>1081</v>
      </c>
      <c r="AT141" s="54" t="s">
        <v>1082</v>
      </c>
      <c r="AU141" s="54" t="s">
        <v>1048</v>
      </c>
      <c r="AV141" s="54"/>
      <c r="AW141" s="55">
        <v>46198</v>
      </c>
      <c r="AX141" s="55">
        <v>46185</v>
      </c>
      <c r="AY141" s="55">
        <v>46185</v>
      </c>
      <c r="AZ141" s="55">
        <v>46188</v>
      </c>
      <c r="BA141" s="55">
        <v>46198</v>
      </c>
      <c r="BB141" s="56">
        <v>0</v>
      </c>
      <c r="BC141" s="56">
        <v>0</v>
      </c>
      <c r="BD141" s="56">
        <v>0</v>
      </c>
      <c r="BE141" s="56">
        <v>0</v>
      </c>
      <c r="BF141" s="56">
        <v>0</v>
      </c>
      <c r="BG141" s="56">
        <v>0</v>
      </c>
      <c r="BH141" s="56">
        <v>0</v>
      </c>
      <c r="BI141" s="56">
        <v>0</v>
      </c>
      <c r="BJ141" s="56">
        <v>0</v>
      </c>
      <c r="BK141" s="56">
        <v>0</v>
      </c>
      <c r="BL141" s="56">
        <v>0</v>
      </c>
      <c r="BM141" s="56">
        <v>0</v>
      </c>
      <c r="BN141" s="56">
        <v>0</v>
      </c>
      <c r="BO141" s="56">
        <v>0</v>
      </c>
      <c r="BP141" s="54" t="s">
        <v>1049</v>
      </c>
      <c r="BQ141" s="54" t="s">
        <v>1050</v>
      </c>
      <c r="BR141" s="54" t="s">
        <v>1049</v>
      </c>
      <c r="BS141" s="54" t="s">
        <v>1050</v>
      </c>
      <c r="BT141" s="54" t="s">
        <v>1051</v>
      </c>
      <c r="BU141" s="54" t="s">
        <v>1043</v>
      </c>
      <c r="BV141" s="58">
        <v>100</v>
      </c>
      <c r="BW141" s="54" t="s">
        <v>1052</v>
      </c>
      <c r="BX141" s="54" t="s">
        <v>1053</v>
      </c>
      <c r="BY141" s="54" t="s">
        <v>1054</v>
      </c>
      <c r="BZ141" s="54" t="s">
        <v>1055</v>
      </c>
      <c r="CA141" s="55"/>
      <c r="CB141" s="54" t="s">
        <v>1056</v>
      </c>
      <c r="CC141" s="54" t="s">
        <v>1057</v>
      </c>
      <c r="CD141" s="54" t="s">
        <v>1058</v>
      </c>
      <c r="CE141" s="54" t="s">
        <v>1059</v>
      </c>
      <c r="CF141" s="54" t="s">
        <v>1060</v>
      </c>
      <c r="CG141" s="54" t="s">
        <v>1061</v>
      </c>
      <c r="CH141" s="54" t="s">
        <v>1062</v>
      </c>
      <c r="CI141" s="54" t="s">
        <v>1063</v>
      </c>
      <c r="CJ141" s="54" t="s">
        <v>1064</v>
      </c>
      <c r="CK141" s="54" t="s">
        <v>1065</v>
      </c>
      <c r="CL141" s="54" t="s">
        <v>1066</v>
      </c>
      <c r="CM141" s="54" t="s">
        <v>1067</v>
      </c>
      <c r="CN141" s="54" t="s">
        <v>1068</v>
      </c>
      <c r="CO141" s="54" t="s">
        <v>1069</v>
      </c>
      <c r="CP141" s="56">
        <v>0</v>
      </c>
      <c r="CQ141" s="56">
        <v>0</v>
      </c>
      <c r="CR141" s="56">
        <v>0</v>
      </c>
      <c r="CS141" s="56">
        <v>0</v>
      </c>
      <c r="CT141" s="56">
        <v>0</v>
      </c>
      <c r="CU141" s="56">
        <v>0</v>
      </c>
      <c r="CV141" s="56">
        <v>0</v>
      </c>
      <c r="CW141" s="56">
        <v>0</v>
      </c>
      <c r="CX141" s="56">
        <v>0</v>
      </c>
      <c r="CY141" s="56">
        <v>0</v>
      </c>
      <c r="CZ141" s="56">
        <v>0</v>
      </c>
      <c r="DA141" s="56">
        <v>0</v>
      </c>
      <c r="DB141" s="56">
        <v>0</v>
      </c>
      <c r="DC141" s="56">
        <v>0</v>
      </c>
      <c r="DD141" s="56">
        <v>0</v>
      </c>
      <c r="DE141" s="56">
        <v>0</v>
      </c>
      <c r="DF141" s="56">
        <v>0</v>
      </c>
      <c r="DG141" s="56">
        <v>0</v>
      </c>
      <c r="DH141" s="56">
        <v>0</v>
      </c>
      <c r="DI141" s="56">
        <v>0</v>
      </c>
      <c r="DJ141" s="56">
        <v>0</v>
      </c>
      <c r="DK141" s="56">
        <v>0</v>
      </c>
      <c r="DL141" s="56">
        <v>0</v>
      </c>
      <c r="DM141" s="56">
        <v>0</v>
      </c>
      <c r="DN141" s="56">
        <v>0</v>
      </c>
      <c r="DO141" s="56">
        <v>0</v>
      </c>
      <c r="DP141" s="56">
        <v>0</v>
      </c>
      <c r="DQ141" s="56">
        <v>0</v>
      </c>
      <c r="DR141" s="56">
        <v>0</v>
      </c>
      <c r="DS141" s="56">
        <v>0</v>
      </c>
      <c r="DT141" s="56">
        <v>0</v>
      </c>
      <c r="DU141" s="56">
        <v>0</v>
      </c>
      <c r="DV141" s="56">
        <v>0</v>
      </c>
      <c r="DW141" s="56">
        <v>0</v>
      </c>
      <c r="DX141" s="56">
        <v>0</v>
      </c>
      <c r="DY141" s="56">
        <v>0</v>
      </c>
      <c r="DZ141" s="56">
        <v>0</v>
      </c>
      <c r="EA141" s="56">
        <v>0</v>
      </c>
      <c r="EB141" s="56">
        <v>0</v>
      </c>
      <c r="EC141" s="56">
        <v>0</v>
      </c>
      <c r="ED141" s="56">
        <v>0</v>
      </c>
      <c r="EE141" s="56">
        <v>0</v>
      </c>
      <c r="EF141" s="56">
        <v>0</v>
      </c>
      <c r="EG141" s="56">
        <v>0</v>
      </c>
      <c r="EH141" s="56">
        <v>242.76</v>
      </c>
      <c r="EI141" s="56">
        <v>0</v>
      </c>
      <c r="EJ141" s="56">
        <v>0</v>
      </c>
      <c r="EK141" s="56">
        <v>0</v>
      </c>
      <c r="EL141" s="56">
        <v>0</v>
      </c>
      <c r="EM141" s="56">
        <v>0</v>
      </c>
      <c r="EN141" s="56">
        <v>0</v>
      </c>
      <c r="EO141" s="56">
        <v>0</v>
      </c>
      <c r="EP141" s="56">
        <v>0</v>
      </c>
      <c r="EQ141" s="56">
        <v>0</v>
      </c>
      <c r="ER141" s="56">
        <v>0</v>
      </c>
      <c r="ES141" s="56">
        <v>0</v>
      </c>
      <c r="ET141" s="56">
        <v>0</v>
      </c>
      <c r="EU141" s="56">
        <v>0</v>
      </c>
      <c r="EV141" s="56">
        <v>0</v>
      </c>
      <c r="EW141" s="56">
        <v>0</v>
      </c>
      <c r="EX141" s="56">
        <v>0</v>
      </c>
      <c r="EY141" s="56">
        <v>0</v>
      </c>
      <c r="EZ141" s="56">
        <v>0</v>
      </c>
      <c r="FA141" s="56">
        <v>0</v>
      </c>
      <c r="FB141" s="56">
        <v>0</v>
      </c>
      <c r="FC141" s="58">
        <v>0</v>
      </c>
      <c r="FD141" s="56">
        <v>0</v>
      </c>
      <c r="FE141" s="56">
        <v>0</v>
      </c>
      <c r="FF141" s="56">
        <v>0</v>
      </c>
      <c r="FG141" s="56">
        <v>0</v>
      </c>
      <c r="FH141" s="56">
        <v>0</v>
      </c>
      <c r="FI141" s="56">
        <v>0</v>
      </c>
      <c r="FJ141" s="56">
        <v>0</v>
      </c>
      <c r="FK141" s="56">
        <v>0</v>
      </c>
      <c r="FL141" s="56">
        <v>0</v>
      </c>
      <c r="FM141" s="56">
        <v>0</v>
      </c>
      <c r="FN141" s="56">
        <v>0</v>
      </c>
      <c r="FO141" s="56">
        <v>0</v>
      </c>
      <c r="FP141" s="56">
        <v>0</v>
      </c>
      <c r="FQ141" s="56">
        <v>0</v>
      </c>
      <c r="FR141" s="56">
        <v>0</v>
      </c>
      <c r="FS141" s="58">
        <v>0</v>
      </c>
      <c r="FT141" s="56">
        <v>0</v>
      </c>
      <c r="FU141" s="56">
        <v>0</v>
      </c>
      <c r="FV141" s="56">
        <v>0</v>
      </c>
      <c r="FW141" s="56">
        <v>0</v>
      </c>
      <c r="FX141" s="56">
        <v>0</v>
      </c>
      <c r="FY141" s="56">
        <v>0</v>
      </c>
      <c r="FZ141" s="54" t="s">
        <v>1083</v>
      </c>
      <c r="GA141" s="54" t="s">
        <v>1084</v>
      </c>
      <c r="GB141" s="54" t="s">
        <v>1072</v>
      </c>
      <c r="GC141" s="54" t="s">
        <v>1073</v>
      </c>
      <c r="GD141" s="54" t="s">
        <v>1180</v>
      </c>
      <c r="GE141" s="54" t="s">
        <v>1075</v>
      </c>
      <c r="GF141" s="54"/>
      <c r="GG141" s="55"/>
      <c r="GH141" s="54"/>
      <c r="GI141" s="54"/>
      <c r="GJ141" s="54" t="s">
        <v>1076</v>
      </c>
      <c r="GK141" s="54" t="s">
        <v>1077</v>
      </c>
      <c r="GL141" s="54"/>
      <c r="GM141" s="54"/>
      <c r="GN141" s="54" t="s">
        <v>1078</v>
      </c>
      <c r="GO141" s="54" t="s">
        <v>1059</v>
      </c>
      <c r="GP141" s="54"/>
      <c r="GQ141" s="56">
        <v>0</v>
      </c>
      <c r="GR141" s="54" t="s">
        <v>1210</v>
      </c>
      <c r="GS141" s="54"/>
    </row>
    <row r="142" spans="1:201" x14ac:dyDescent="0.25">
      <c r="A142" s="54" t="s">
        <v>1032</v>
      </c>
      <c r="B142" s="54" t="s">
        <v>1033</v>
      </c>
      <c r="C142" s="54" t="s">
        <v>1242</v>
      </c>
      <c r="D142" s="54" t="s">
        <v>1035</v>
      </c>
      <c r="E142" s="54" t="s">
        <v>1036</v>
      </c>
      <c r="F142" s="55">
        <v>46185</v>
      </c>
      <c r="G142" s="55">
        <v>46185</v>
      </c>
      <c r="H142" s="54" t="s">
        <v>1037</v>
      </c>
      <c r="I142" s="54" t="s">
        <v>1038</v>
      </c>
      <c r="J142" s="54" t="s">
        <v>1039</v>
      </c>
      <c r="K142" s="55"/>
      <c r="L142" s="54" t="s">
        <v>1040</v>
      </c>
      <c r="M142" s="54"/>
      <c r="N142" s="54" t="s">
        <v>1243</v>
      </c>
      <c r="O142" s="54" t="s">
        <v>1130</v>
      </c>
      <c r="P142" s="54" t="s">
        <v>218</v>
      </c>
      <c r="Q142" s="54" t="s">
        <v>51</v>
      </c>
      <c r="R142" s="54" t="s">
        <v>1043</v>
      </c>
      <c r="S142" s="56">
        <v>313.8</v>
      </c>
      <c r="T142" s="56">
        <v>313.8</v>
      </c>
      <c r="U142" s="56">
        <v>0</v>
      </c>
      <c r="V142" s="56">
        <v>0</v>
      </c>
      <c r="W142" s="56">
        <v>0</v>
      </c>
      <c r="X142" s="56">
        <v>0</v>
      </c>
      <c r="Y142" s="56">
        <v>0</v>
      </c>
      <c r="Z142" s="56">
        <v>60</v>
      </c>
      <c r="AA142" s="56">
        <v>60</v>
      </c>
      <c r="AB142" s="59">
        <v>0</v>
      </c>
      <c r="AC142" s="56">
        <v>0</v>
      </c>
      <c r="AD142" s="56">
        <v>0</v>
      </c>
      <c r="AE142" s="56">
        <v>0</v>
      </c>
      <c r="AF142" s="54" t="s">
        <v>1199</v>
      </c>
      <c r="AG142" s="57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 t="s">
        <v>1045</v>
      </c>
      <c r="AS142" s="54" t="s">
        <v>1046</v>
      </c>
      <c r="AT142" s="54" t="s">
        <v>1047</v>
      </c>
      <c r="AU142" s="54" t="s">
        <v>1048</v>
      </c>
      <c r="AV142" s="54"/>
      <c r="AW142" s="55">
        <v>46198</v>
      </c>
      <c r="AX142" s="55">
        <v>46185</v>
      </c>
      <c r="AY142" s="55">
        <v>46185</v>
      </c>
      <c r="AZ142" s="55">
        <v>46188</v>
      </c>
      <c r="BA142" s="55">
        <v>46198</v>
      </c>
      <c r="BB142" s="56">
        <v>0</v>
      </c>
      <c r="BC142" s="56">
        <v>0</v>
      </c>
      <c r="BD142" s="56">
        <v>0</v>
      </c>
      <c r="BE142" s="56">
        <v>0</v>
      </c>
      <c r="BF142" s="56">
        <v>0</v>
      </c>
      <c r="BG142" s="56">
        <v>0</v>
      </c>
      <c r="BH142" s="56">
        <v>0</v>
      </c>
      <c r="BI142" s="56">
        <v>0</v>
      </c>
      <c r="BJ142" s="56">
        <v>0</v>
      </c>
      <c r="BK142" s="56">
        <v>0</v>
      </c>
      <c r="BL142" s="56">
        <v>0</v>
      </c>
      <c r="BM142" s="56">
        <v>0</v>
      </c>
      <c r="BN142" s="56">
        <v>0</v>
      </c>
      <c r="BO142" s="56">
        <v>0</v>
      </c>
      <c r="BP142" s="54" t="s">
        <v>1049</v>
      </c>
      <c r="BQ142" s="54" t="s">
        <v>1050</v>
      </c>
      <c r="BR142" s="54" t="s">
        <v>1049</v>
      </c>
      <c r="BS142" s="54" t="s">
        <v>1050</v>
      </c>
      <c r="BT142" s="54" t="s">
        <v>1051</v>
      </c>
      <c r="BU142" s="54" t="s">
        <v>1043</v>
      </c>
      <c r="BV142" s="58">
        <v>60</v>
      </c>
      <c r="BW142" s="54" t="s">
        <v>1052</v>
      </c>
      <c r="BX142" s="54" t="s">
        <v>1053</v>
      </c>
      <c r="BY142" s="54" t="s">
        <v>1054</v>
      </c>
      <c r="BZ142" s="54" t="s">
        <v>1055</v>
      </c>
      <c r="CA142" s="55"/>
      <c r="CB142" s="54" t="s">
        <v>1056</v>
      </c>
      <c r="CC142" s="54" t="s">
        <v>1057</v>
      </c>
      <c r="CD142" s="54" t="s">
        <v>1058</v>
      </c>
      <c r="CE142" s="54" t="s">
        <v>1059</v>
      </c>
      <c r="CF142" s="54" t="s">
        <v>1060</v>
      </c>
      <c r="CG142" s="54" t="s">
        <v>1061</v>
      </c>
      <c r="CH142" s="54" t="s">
        <v>1062</v>
      </c>
      <c r="CI142" s="54" t="s">
        <v>1063</v>
      </c>
      <c r="CJ142" s="54" t="s">
        <v>1064</v>
      </c>
      <c r="CK142" s="54" t="s">
        <v>1065</v>
      </c>
      <c r="CL142" s="54" t="s">
        <v>1066</v>
      </c>
      <c r="CM142" s="54" t="s">
        <v>1067</v>
      </c>
      <c r="CN142" s="54" t="s">
        <v>1068</v>
      </c>
      <c r="CO142" s="54" t="s">
        <v>1069</v>
      </c>
      <c r="CP142" s="56">
        <v>0</v>
      </c>
      <c r="CQ142" s="56">
        <v>0</v>
      </c>
      <c r="CR142" s="56">
        <v>0</v>
      </c>
      <c r="CS142" s="56">
        <v>0</v>
      </c>
      <c r="CT142" s="56">
        <v>0</v>
      </c>
      <c r="CU142" s="56">
        <v>0</v>
      </c>
      <c r="CV142" s="56">
        <v>0</v>
      </c>
      <c r="CW142" s="56">
        <v>0</v>
      </c>
      <c r="CX142" s="56">
        <v>0</v>
      </c>
      <c r="CY142" s="56">
        <v>0</v>
      </c>
      <c r="CZ142" s="56">
        <v>0</v>
      </c>
      <c r="DA142" s="56">
        <v>0</v>
      </c>
      <c r="DB142" s="56">
        <v>0</v>
      </c>
      <c r="DC142" s="56">
        <v>0</v>
      </c>
      <c r="DD142" s="56">
        <v>0</v>
      </c>
      <c r="DE142" s="56">
        <v>0</v>
      </c>
      <c r="DF142" s="56">
        <v>0</v>
      </c>
      <c r="DG142" s="56">
        <v>0</v>
      </c>
      <c r="DH142" s="56">
        <v>0</v>
      </c>
      <c r="DI142" s="56">
        <v>0</v>
      </c>
      <c r="DJ142" s="56">
        <v>0</v>
      </c>
      <c r="DK142" s="56">
        <v>0</v>
      </c>
      <c r="DL142" s="56">
        <v>0</v>
      </c>
      <c r="DM142" s="56">
        <v>0</v>
      </c>
      <c r="DN142" s="56">
        <v>0</v>
      </c>
      <c r="DO142" s="56">
        <v>0</v>
      </c>
      <c r="DP142" s="56">
        <v>0</v>
      </c>
      <c r="DQ142" s="56">
        <v>0</v>
      </c>
      <c r="DR142" s="56">
        <v>0</v>
      </c>
      <c r="DS142" s="56">
        <v>0</v>
      </c>
      <c r="DT142" s="56">
        <v>0</v>
      </c>
      <c r="DU142" s="56">
        <v>0</v>
      </c>
      <c r="DV142" s="56">
        <v>0</v>
      </c>
      <c r="DW142" s="56">
        <v>0</v>
      </c>
      <c r="DX142" s="56">
        <v>0</v>
      </c>
      <c r="DY142" s="56">
        <v>0</v>
      </c>
      <c r="DZ142" s="56">
        <v>0</v>
      </c>
      <c r="EA142" s="56">
        <v>0</v>
      </c>
      <c r="EB142" s="56">
        <v>0</v>
      </c>
      <c r="EC142" s="56">
        <v>0</v>
      </c>
      <c r="ED142" s="56">
        <v>0</v>
      </c>
      <c r="EE142" s="56">
        <v>0</v>
      </c>
      <c r="EF142" s="56">
        <v>0</v>
      </c>
      <c r="EG142" s="56">
        <v>0</v>
      </c>
      <c r="EH142" s="56">
        <v>37.659999999999997</v>
      </c>
      <c r="EI142" s="56">
        <v>0</v>
      </c>
      <c r="EJ142" s="56">
        <v>0</v>
      </c>
      <c r="EK142" s="56">
        <v>0</v>
      </c>
      <c r="EL142" s="56">
        <v>0</v>
      </c>
      <c r="EM142" s="56">
        <v>0</v>
      </c>
      <c r="EN142" s="56">
        <v>0</v>
      </c>
      <c r="EO142" s="56">
        <v>0</v>
      </c>
      <c r="EP142" s="56">
        <v>0</v>
      </c>
      <c r="EQ142" s="56">
        <v>0</v>
      </c>
      <c r="ER142" s="56">
        <v>0</v>
      </c>
      <c r="ES142" s="56">
        <v>0</v>
      </c>
      <c r="ET142" s="56">
        <v>0</v>
      </c>
      <c r="EU142" s="56">
        <v>0</v>
      </c>
      <c r="EV142" s="56">
        <v>0</v>
      </c>
      <c r="EW142" s="56">
        <v>0</v>
      </c>
      <c r="EX142" s="56">
        <v>0</v>
      </c>
      <c r="EY142" s="56">
        <v>0</v>
      </c>
      <c r="EZ142" s="56">
        <v>0</v>
      </c>
      <c r="FA142" s="56">
        <v>0</v>
      </c>
      <c r="FB142" s="56">
        <v>0</v>
      </c>
      <c r="FC142" s="58">
        <v>0</v>
      </c>
      <c r="FD142" s="56">
        <v>0</v>
      </c>
      <c r="FE142" s="56">
        <v>0</v>
      </c>
      <c r="FF142" s="56">
        <v>0</v>
      </c>
      <c r="FG142" s="56">
        <v>0</v>
      </c>
      <c r="FH142" s="56">
        <v>0</v>
      </c>
      <c r="FI142" s="56">
        <v>0</v>
      </c>
      <c r="FJ142" s="56">
        <v>0</v>
      </c>
      <c r="FK142" s="56">
        <v>0</v>
      </c>
      <c r="FL142" s="56">
        <v>0</v>
      </c>
      <c r="FM142" s="56">
        <v>0</v>
      </c>
      <c r="FN142" s="56">
        <v>0</v>
      </c>
      <c r="FO142" s="56">
        <v>0</v>
      </c>
      <c r="FP142" s="56">
        <v>0</v>
      </c>
      <c r="FQ142" s="56">
        <v>0</v>
      </c>
      <c r="FR142" s="56">
        <v>0</v>
      </c>
      <c r="FS142" s="58">
        <v>0</v>
      </c>
      <c r="FT142" s="56">
        <v>0</v>
      </c>
      <c r="FU142" s="56">
        <v>0</v>
      </c>
      <c r="FV142" s="56">
        <v>0</v>
      </c>
      <c r="FW142" s="56">
        <v>0</v>
      </c>
      <c r="FX142" s="56">
        <v>0</v>
      </c>
      <c r="FY142" s="56">
        <v>0</v>
      </c>
      <c r="FZ142" s="54" t="s">
        <v>1070</v>
      </c>
      <c r="GA142" s="54" t="s">
        <v>1071</v>
      </c>
      <c r="GB142" s="54" t="s">
        <v>1072</v>
      </c>
      <c r="GC142" s="54" t="s">
        <v>1073</v>
      </c>
      <c r="GD142" s="54" t="s">
        <v>1185</v>
      </c>
      <c r="GE142" s="54" t="s">
        <v>1075</v>
      </c>
      <c r="GF142" s="54"/>
      <c r="GG142" s="55"/>
      <c r="GH142" s="54"/>
      <c r="GI142" s="54"/>
      <c r="GJ142" s="54" t="s">
        <v>1076</v>
      </c>
      <c r="GK142" s="54" t="s">
        <v>1077</v>
      </c>
      <c r="GL142" s="54"/>
      <c r="GM142" s="54"/>
      <c r="GN142" s="54" t="s">
        <v>1078</v>
      </c>
      <c r="GO142" s="54" t="s">
        <v>1059</v>
      </c>
      <c r="GP142" s="54"/>
      <c r="GQ142" s="56">
        <v>0</v>
      </c>
      <c r="GR142" s="54" t="s">
        <v>1210</v>
      </c>
      <c r="GS142" s="54"/>
    </row>
    <row r="143" spans="1:201" x14ac:dyDescent="0.25">
      <c r="A143" s="54" t="s">
        <v>1032</v>
      </c>
      <c r="B143" s="54" t="s">
        <v>1033</v>
      </c>
      <c r="C143" s="54" t="s">
        <v>1242</v>
      </c>
      <c r="D143" s="54" t="s">
        <v>1035</v>
      </c>
      <c r="E143" s="54" t="s">
        <v>1036</v>
      </c>
      <c r="F143" s="55">
        <v>46185</v>
      </c>
      <c r="G143" s="55">
        <v>46185</v>
      </c>
      <c r="H143" s="54" t="s">
        <v>1037</v>
      </c>
      <c r="I143" s="54" t="s">
        <v>1038</v>
      </c>
      <c r="J143" s="54" t="s">
        <v>1039</v>
      </c>
      <c r="K143" s="55"/>
      <c r="L143" s="54" t="s">
        <v>1040</v>
      </c>
      <c r="M143" s="54"/>
      <c r="N143" s="54" t="s">
        <v>1243</v>
      </c>
      <c r="O143" s="54" t="s">
        <v>1131</v>
      </c>
      <c r="P143" s="54" t="s">
        <v>217</v>
      </c>
      <c r="Q143" s="54" t="s">
        <v>50</v>
      </c>
      <c r="R143" s="54" t="s">
        <v>1043</v>
      </c>
      <c r="S143" s="56">
        <v>330</v>
      </c>
      <c r="T143" s="56">
        <v>0</v>
      </c>
      <c r="U143" s="56">
        <v>330</v>
      </c>
      <c r="V143" s="56">
        <v>0</v>
      </c>
      <c r="W143" s="56">
        <v>0</v>
      </c>
      <c r="X143" s="56">
        <v>0</v>
      </c>
      <c r="Y143" s="56">
        <v>0</v>
      </c>
      <c r="Z143" s="56">
        <v>60</v>
      </c>
      <c r="AA143" s="56">
        <v>0</v>
      </c>
      <c r="AB143" s="59">
        <v>60</v>
      </c>
      <c r="AC143" s="56">
        <v>0</v>
      </c>
      <c r="AD143" s="56">
        <v>0</v>
      </c>
      <c r="AE143" s="56">
        <v>0</v>
      </c>
      <c r="AF143" s="54" t="s">
        <v>1199</v>
      </c>
      <c r="AG143" s="57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 t="s">
        <v>1045</v>
      </c>
      <c r="AS143" s="54" t="s">
        <v>1046</v>
      </c>
      <c r="AT143" s="54" t="s">
        <v>1047</v>
      </c>
      <c r="AU143" s="54" t="s">
        <v>1048</v>
      </c>
      <c r="AV143" s="54"/>
      <c r="AW143" s="55">
        <v>46198</v>
      </c>
      <c r="AX143" s="55">
        <v>46185</v>
      </c>
      <c r="AY143" s="55">
        <v>46185</v>
      </c>
      <c r="AZ143" s="55"/>
      <c r="BA143" s="55">
        <v>46198</v>
      </c>
      <c r="BB143" s="56">
        <v>0</v>
      </c>
      <c r="BC143" s="56">
        <v>0</v>
      </c>
      <c r="BD143" s="56">
        <v>0</v>
      </c>
      <c r="BE143" s="56">
        <v>0</v>
      </c>
      <c r="BF143" s="56">
        <v>0</v>
      </c>
      <c r="BG143" s="56">
        <v>0</v>
      </c>
      <c r="BH143" s="56">
        <v>0</v>
      </c>
      <c r="BI143" s="56">
        <v>0</v>
      </c>
      <c r="BJ143" s="56">
        <v>0</v>
      </c>
      <c r="BK143" s="56">
        <v>0</v>
      </c>
      <c r="BL143" s="56">
        <v>0</v>
      </c>
      <c r="BM143" s="56">
        <v>0</v>
      </c>
      <c r="BN143" s="56">
        <v>0</v>
      </c>
      <c r="BO143" s="56">
        <v>0</v>
      </c>
      <c r="BP143" s="54" t="s">
        <v>1049</v>
      </c>
      <c r="BQ143" s="54" t="s">
        <v>1050</v>
      </c>
      <c r="BR143" s="54" t="s">
        <v>1049</v>
      </c>
      <c r="BS143" s="54" t="s">
        <v>1050</v>
      </c>
      <c r="BT143" s="54" t="s">
        <v>1051</v>
      </c>
      <c r="BU143" s="54" t="s">
        <v>1043</v>
      </c>
      <c r="BV143" s="58">
        <v>0</v>
      </c>
      <c r="BW143" s="54" t="s">
        <v>1052</v>
      </c>
      <c r="BX143" s="54" t="s">
        <v>1053</v>
      </c>
      <c r="BY143" s="54" t="s">
        <v>1054</v>
      </c>
      <c r="BZ143" s="54" t="s">
        <v>1055</v>
      </c>
      <c r="CA143" s="55"/>
      <c r="CB143" s="54" t="s">
        <v>1056</v>
      </c>
      <c r="CC143" s="54" t="s">
        <v>1057</v>
      </c>
      <c r="CD143" s="54" t="s">
        <v>1058</v>
      </c>
      <c r="CE143" s="54" t="s">
        <v>1059</v>
      </c>
      <c r="CF143" s="54" t="s">
        <v>1060</v>
      </c>
      <c r="CG143" s="54" t="s">
        <v>1061</v>
      </c>
      <c r="CH143" s="54" t="s">
        <v>1062</v>
      </c>
      <c r="CI143" s="54" t="s">
        <v>1063</v>
      </c>
      <c r="CJ143" s="54" t="s">
        <v>1064</v>
      </c>
      <c r="CK143" s="54" t="s">
        <v>1065</v>
      </c>
      <c r="CL143" s="54" t="s">
        <v>1066</v>
      </c>
      <c r="CM143" s="54" t="s">
        <v>1067</v>
      </c>
      <c r="CN143" s="54" t="s">
        <v>1068</v>
      </c>
      <c r="CO143" s="54" t="s">
        <v>1069</v>
      </c>
      <c r="CP143" s="56">
        <v>0</v>
      </c>
      <c r="CQ143" s="56">
        <v>0</v>
      </c>
      <c r="CR143" s="56">
        <v>0</v>
      </c>
      <c r="CS143" s="56">
        <v>0</v>
      </c>
      <c r="CT143" s="56">
        <v>0</v>
      </c>
      <c r="CU143" s="56">
        <v>0</v>
      </c>
      <c r="CV143" s="56">
        <v>0</v>
      </c>
      <c r="CW143" s="56">
        <v>0</v>
      </c>
      <c r="CX143" s="56">
        <v>0</v>
      </c>
      <c r="CY143" s="56">
        <v>0</v>
      </c>
      <c r="CZ143" s="56">
        <v>0</v>
      </c>
      <c r="DA143" s="56">
        <v>0</v>
      </c>
      <c r="DB143" s="56">
        <v>0</v>
      </c>
      <c r="DC143" s="56">
        <v>0</v>
      </c>
      <c r="DD143" s="56">
        <v>0</v>
      </c>
      <c r="DE143" s="56">
        <v>0</v>
      </c>
      <c r="DF143" s="56">
        <v>0</v>
      </c>
      <c r="DG143" s="56">
        <v>0</v>
      </c>
      <c r="DH143" s="56">
        <v>0</v>
      </c>
      <c r="DI143" s="56">
        <v>0</v>
      </c>
      <c r="DJ143" s="56">
        <v>0</v>
      </c>
      <c r="DK143" s="56">
        <v>0</v>
      </c>
      <c r="DL143" s="56">
        <v>0</v>
      </c>
      <c r="DM143" s="56">
        <v>0</v>
      </c>
      <c r="DN143" s="56">
        <v>0</v>
      </c>
      <c r="DO143" s="56">
        <v>0</v>
      </c>
      <c r="DP143" s="56">
        <v>0</v>
      </c>
      <c r="DQ143" s="56">
        <v>0</v>
      </c>
      <c r="DR143" s="56">
        <v>0</v>
      </c>
      <c r="DS143" s="56">
        <v>0</v>
      </c>
      <c r="DT143" s="56">
        <v>0</v>
      </c>
      <c r="DU143" s="56">
        <v>0</v>
      </c>
      <c r="DV143" s="56">
        <v>0</v>
      </c>
      <c r="DW143" s="56">
        <v>0</v>
      </c>
      <c r="DX143" s="56">
        <v>0</v>
      </c>
      <c r="DY143" s="56">
        <v>0</v>
      </c>
      <c r="DZ143" s="56">
        <v>0</v>
      </c>
      <c r="EA143" s="56">
        <v>0</v>
      </c>
      <c r="EB143" s="56">
        <v>0</v>
      </c>
      <c r="EC143" s="56">
        <v>39.6</v>
      </c>
      <c r="ED143" s="56">
        <v>0</v>
      </c>
      <c r="EE143" s="56">
        <v>0</v>
      </c>
      <c r="EF143" s="56">
        <v>0</v>
      </c>
      <c r="EG143" s="56">
        <v>0</v>
      </c>
      <c r="EH143" s="56">
        <v>39.6</v>
      </c>
      <c r="EI143" s="56">
        <v>0</v>
      </c>
      <c r="EJ143" s="56">
        <v>0</v>
      </c>
      <c r="EK143" s="56">
        <v>0</v>
      </c>
      <c r="EL143" s="56">
        <v>0</v>
      </c>
      <c r="EM143" s="56">
        <v>0</v>
      </c>
      <c r="EN143" s="56">
        <v>0</v>
      </c>
      <c r="EO143" s="56">
        <v>0</v>
      </c>
      <c r="EP143" s="56">
        <v>330</v>
      </c>
      <c r="EQ143" s="56">
        <v>0</v>
      </c>
      <c r="ER143" s="56">
        <v>0</v>
      </c>
      <c r="ES143" s="56">
        <v>60</v>
      </c>
      <c r="ET143" s="56">
        <v>0</v>
      </c>
      <c r="EU143" s="56">
        <v>0</v>
      </c>
      <c r="EV143" s="56">
        <v>0</v>
      </c>
      <c r="EW143" s="56">
        <v>0</v>
      </c>
      <c r="EX143" s="56">
        <v>0</v>
      </c>
      <c r="EY143" s="56">
        <v>0</v>
      </c>
      <c r="EZ143" s="56">
        <v>0</v>
      </c>
      <c r="FA143" s="56">
        <v>0</v>
      </c>
      <c r="FB143" s="56">
        <v>0</v>
      </c>
      <c r="FC143" s="58">
        <v>0</v>
      </c>
      <c r="FD143" s="56">
        <v>0</v>
      </c>
      <c r="FE143" s="56">
        <v>0</v>
      </c>
      <c r="FF143" s="56">
        <v>0</v>
      </c>
      <c r="FG143" s="56">
        <v>0</v>
      </c>
      <c r="FH143" s="56">
        <v>0</v>
      </c>
      <c r="FI143" s="56">
        <v>0</v>
      </c>
      <c r="FJ143" s="56">
        <v>0</v>
      </c>
      <c r="FK143" s="56">
        <v>0</v>
      </c>
      <c r="FL143" s="56">
        <v>0</v>
      </c>
      <c r="FM143" s="56">
        <v>0</v>
      </c>
      <c r="FN143" s="56">
        <v>0</v>
      </c>
      <c r="FO143" s="56">
        <v>0</v>
      </c>
      <c r="FP143" s="56">
        <v>0</v>
      </c>
      <c r="FQ143" s="56">
        <v>0</v>
      </c>
      <c r="FR143" s="56">
        <v>0</v>
      </c>
      <c r="FS143" s="58">
        <v>0</v>
      </c>
      <c r="FT143" s="56">
        <v>0</v>
      </c>
      <c r="FU143" s="56">
        <v>0</v>
      </c>
      <c r="FV143" s="56">
        <v>0</v>
      </c>
      <c r="FW143" s="56">
        <v>0</v>
      </c>
      <c r="FX143" s="56">
        <v>0</v>
      </c>
      <c r="FY143" s="56">
        <v>0</v>
      </c>
      <c r="FZ143" s="54" t="s">
        <v>1070</v>
      </c>
      <c r="GA143" s="54" t="s">
        <v>1071</v>
      </c>
      <c r="GB143" s="54" t="s">
        <v>1072</v>
      </c>
      <c r="GC143" s="54" t="s">
        <v>1073</v>
      </c>
      <c r="GD143" s="54" t="s">
        <v>1185</v>
      </c>
      <c r="GE143" s="54" t="s">
        <v>1075</v>
      </c>
      <c r="GF143" s="54" t="s">
        <v>1186</v>
      </c>
      <c r="GG143" s="55">
        <v>46205</v>
      </c>
      <c r="GH143" s="54"/>
      <c r="GI143" s="54"/>
      <c r="GJ143" s="54" t="s">
        <v>1076</v>
      </c>
      <c r="GK143" s="54" t="s">
        <v>1077</v>
      </c>
      <c r="GL143" s="54"/>
      <c r="GM143" s="54"/>
      <c r="GN143" s="54" t="s">
        <v>1078</v>
      </c>
      <c r="GO143" s="54" t="s">
        <v>1059</v>
      </c>
      <c r="GP143" s="54"/>
      <c r="GQ143" s="56">
        <v>0</v>
      </c>
      <c r="GR143" s="54" t="s">
        <v>1210</v>
      </c>
      <c r="GS143" s="54" t="s">
        <v>1101</v>
      </c>
    </row>
    <row r="144" spans="1:201" x14ac:dyDescent="0.25">
      <c r="A144" s="54" t="s">
        <v>1032</v>
      </c>
      <c r="B144" s="54" t="s">
        <v>1033</v>
      </c>
      <c r="C144" s="54" t="s">
        <v>1242</v>
      </c>
      <c r="D144" s="54" t="s">
        <v>1035</v>
      </c>
      <c r="E144" s="54" t="s">
        <v>1036</v>
      </c>
      <c r="F144" s="55">
        <v>46185</v>
      </c>
      <c r="G144" s="55">
        <v>46185</v>
      </c>
      <c r="H144" s="54" t="s">
        <v>1037</v>
      </c>
      <c r="I144" s="54" t="s">
        <v>1038</v>
      </c>
      <c r="J144" s="54" t="s">
        <v>1039</v>
      </c>
      <c r="K144" s="55"/>
      <c r="L144" s="54" t="s">
        <v>1040</v>
      </c>
      <c r="M144" s="54"/>
      <c r="N144" s="54" t="s">
        <v>1243</v>
      </c>
      <c r="O144" s="54" t="s">
        <v>1132</v>
      </c>
      <c r="P144" s="54" t="s">
        <v>402</v>
      </c>
      <c r="Q144" s="54" t="s">
        <v>56</v>
      </c>
      <c r="R144" s="54" t="s">
        <v>1043</v>
      </c>
      <c r="S144" s="56">
        <v>112.2</v>
      </c>
      <c r="T144" s="56">
        <v>112.2</v>
      </c>
      <c r="U144" s="56">
        <v>0</v>
      </c>
      <c r="V144" s="56">
        <v>0</v>
      </c>
      <c r="W144" s="56">
        <v>0</v>
      </c>
      <c r="X144" s="56">
        <v>0</v>
      </c>
      <c r="Y144" s="56">
        <v>0</v>
      </c>
      <c r="Z144" s="56">
        <v>60</v>
      </c>
      <c r="AA144" s="56">
        <v>60</v>
      </c>
      <c r="AB144" s="59">
        <v>0</v>
      </c>
      <c r="AC144" s="56">
        <v>0</v>
      </c>
      <c r="AD144" s="56">
        <v>0</v>
      </c>
      <c r="AE144" s="56">
        <v>0</v>
      </c>
      <c r="AF144" s="54" t="s">
        <v>1199</v>
      </c>
      <c r="AG144" s="57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 t="s">
        <v>1045</v>
      </c>
      <c r="AS144" s="54" t="s">
        <v>1046</v>
      </c>
      <c r="AT144" s="54" t="s">
        <v>1047</v>
      </c>
      <c r="AU144" s="54" t="s">
        <v>1048</v>
      </c>
      <c r="AV144" s="54"/>
      <c r="AW144" s="55">
        <v>46198</v>
      </c>
      <c r="AX144" s="55">
        <v>46185</v>
      </c>
      <c r="AY144" s="55">
        <v>46185</v>
      </c>
      <c r="AZ144" s="55">
        <v>46188</v>
      </c>
      <c r="BA144" s="55">
        <v>46198</v>
      </c>
      <c r="BB144" s="56">
        <v>0</v>
      </c>
      <c r="BC144" s="56">
        <v>0</v>
      </c>
      <c r="BD144" s="56">
        <v>0</v>
      </c>
      <c r="BE144" s="56">
        <v>0</v>
      </c>
      <c r="BF144" s="56">
        <v>0</v>
      </c>
      <c r="BG144" s="56">
        <v>0</v>
      </c>
      <c r="BH144" s="56">
        <v>0</v>
      </c>
      <c r="BI144" s="56">
        <v>0</v>
      </c>
      <c r="BJ144" s="56">
        <v>0</v>
      </c>
      <c r="BK144" s="56">
        <v>0</v>
      </c>
      <c r="BL144" s="56">
        <v>0</v>
      </c>
      <c r="BM144" s="56">
        <v>0</v>
      </c>
      <c r="BN144" s="56">
        <v>0</v>
      </c>
      <c r="BO144" s="56">
        <v>0</v>
      </c>
      <c r="BP144" s="54" t="s">
        <v>1049</v>
      </c>
      <c r="BQ144" s="54" t="s">
        <v>1050</v>
      </c>
      <c r="BR144" s="54" t="s">
        <v>1049</v>
      </c>
      <c r="BS144" s="54" t="s">
        <v>1050</v>
      </c>
      <c r="BT144" s="54" t="s">
        <v>1051</v>
      </c>
      <c r="BU144" s="54" t="s">
        <v>1043</v>
      </c>
      <c r="BV144" s="58">
        <v>60</v>
      </c>
      <c r="BW144" s="54" t="s">
        <v>1052</v>
      </c>
      <c r="BX144" s="54" t="s">
        <v>1053</v>
      </c>
      <c r="BY144" s="54" t="s">
        <v>1054</v>
      </c>
      <c r="BZ144" s="54" t="s">
        <v>1055</v>
      </c>
      <c r="CA144" s="55"/>
      <c r="CB144" s="54" t="s">
        <v>1056</v>
      </c>
      <c r="CC144" s="54" t="s">
        <v>1057</v>
      </c>
      <c r="CD144" s="54" t="s">
        <v>1058</v>
      </c>
      <c r="CE144" s="54" t="s">
        <v>1059</v>
      </c>
      <c r="CF144" s="54" t="s">
        <v>1060</v>
      </c>
      <c r="CG144" s="54" t="s">
        <v>1061</v>
      </c>
      <c r="CH144" s="54" t="s">
        <v>1062</v>
      </c>
      <c r="CI144" s="54" t="s">
        <v>1063</v>
      </c>
      <c r="CJ144" s="54" t="s">
        <v>1064</v>
      </c>
      <c r="CK144" s="54" t="s">
        <v>1065</v>
      </c>
      <c r="CL144" s="54" t="s">
        <v>1066</v>
      </c>
      <c r="CM144" s="54" t="s">
        <v>1067</v>
      </c>
      <c r="CN144" s="54" t="s">
        <v>1068</v>
      </c>
      <c r="CO144" s="54" t="s">
        <v>1069</v>
      </c>
      <c r="CP144" s="56">
        <v>0</v>
      </c>
      <c r="CQ144" s="56">
        <v>0</v>
      </c>
      <c r="CR144" s="56">
        <v>0</v>
      </c>
      <c r="CS144" s="56">
        <v>0</v>
      </c>
      <c r="CT144" s="56">
        <v>0</v>
      </c>
      <c r="CU144" s="56">
        <v>0</v>
      </c>
      <c r="CV144" s="56">
        <v>0</v>
      </c>
      <c r="CW144" s="56">
        <v>0</v>
      </c>
      <c r="CX144" s="56">
        <v>0</v>
      </c>
      <c r="CY144" s="56">
        <v>0</v>
      </c>
      <c r="CZ144" s="56">
        <v>0</v>
      </c>
      <c r="DA144" s="56">
        <v>0</v>
      </c>
      <c r="DB144" s="56">
        <v>0</v>
      </c>
      <c r="DC144" s="56">
        <v>0</v>
      </c>
      <c r="DD144" s="56">
        <v>0</v>
      </c>
      <c r="DE144" s="56">
        <v>0</v>
      </c>
      <c r="DF144" s="56">
        <v>0</v>
      </c>
      <c r="DG144" s="56">
        <v>0</v>
      </c>
      <c r="DH144" s="56">
        <v>0</v>
      </c>
      <c r="DI144" s="56">
        <v>0</v>
      </c>
      <c r="DJ144" s="56">
        <v>0</v>
      </c>
      <c r="DK144" s="56">
        <v>0</v>
      </c>
      <c r="DL144" s="56">
        <v>0</v>
      </c>
      <c r="DM144" s="56">
        <v>0</v>
      </c>
      <c r="DN144" s="56">
        <v>0</v>
      </c>
      <c r="DO144" s="56">
        <v>0</v>
      </c>
      <c r="DP144" s="56">
        <v>0</v>
      </c>
      <c r="DQ144" s="56">
        <v>0</v>
      </c>
      <c r="DR144" s="56">
        <v>0</v>
      </c>
      <c r="DS144" s="56">
        <v>0</v>
      </c>
      <c r="DT144" s="56">
        <v>0</v>
      </c>
      <c r="DU144" s="56">
        <v>0</v>
      </c>
      <c r="DV144" s="56">
        <v>0</v>
      </c>
      <c r="DW144" s="56">
        <v>0</v>
      </c>
      <c r="DX144" s="56">
        <v>0</v>
      </c>
      <c r="DY144" s="56">
        <v>0</v>
      </c>
      <c r="DZ144" s="56">
        <v>0</v>
      </c>
      <c r="EA144" s="56">
        <v>0</v>
      </c>
      <c r="EB144" s="56">
        <v>0</v>
      </c>
      <c r="EC144" s="56">
        <v>0</v>
      </c>
      <c r="ED144" s="56">
        <v>0</v>
      </c>
      <c r="EE144" s="56">
        <v>0</v>
      </c>
      <c r="EF144" s="56">
        <v>0</v>
      </c>
      <c r="EG144" s="56">
        <v>0</v>
      </c>
      <c r="EH144" s="56">
        <v>13.46</v>
      </c>
      <c r="EI144" s="56">
        <v>0</v>
      </c>
      <c r="EJ144" s="56">
        <v>0</v>
      </c>
      <c r="EK144" s="56">
        <v>0</v>
      </c>
      <c r="EL144" s="56">
        <v>0</v>
      </c>
      <c r="EM144" s="56">
        <v>0</v>
      </c>
      <c r="EN144" s="56">
        <v>0</v>
      </c>
      <c r="EO144" s="56">
        <v>0</v>
      </c>
      <c r="EP144" s="56">
        <v>0</v>
      </c>
      <c r="EQ144" s="56">
        <v>0</v>
      </c>
      <c r="ER144" s="56">
        <v>0</v>
      </c>
      <c r="ES144" s="56">
        <v>0</v>
      </c>
      <c r="ET144" s="56">
        <v>0</v>
      </c>
      <c r="EU144" s="56">
        <v>0</v>
      </c>
      <c r="EV144" s="56">
        <v>0</v>
      </c>
      <c r="EW144" s="56">
        <v>0</v>
      </c>
      <c r="EX144" s="56">
        <v>0</v>
      </c>
      <c r="EY144" s="56">
        <v>0</v>
      </c>
      <c r="EZ144" s="56">
        <v>0</v>
      </c>
      <c r="FA144" s="56">
        <v>0</v>
      </c>
      <c r="FB144" s="56">
        <v>0</v>
      </c>
      <c r="FC144" s="58">
        <v>0</v>
      </c>
      <c r="FD144" s="56">
        <v>0</v>
      </c>
      <c r="FE144" s="56">
        <v>0</v>
      </c>
      <c r="FF144" s="56">
        <v>0</v>
      </c>
      <c r="FG144" s="56">
        <v>0</v>
      </c>
      <c r="FH144" s="56">
        <v>0</v>
      </c>
      <c r="FI144" s="56">
        <v>0</v>
      </c>
      <c r="FJ144" s="56">
        <v>0</v>
      </c>
      <c r="FK144" s="56">
        <v>0</v>
      </c>
      <c r="FL144" s="56">
        <v>0</v>
      </c>
      <c r="FM144" s="56">
        <v>0</v>
      </c>
      <c r="FN144" s="56">
        <v>0</v>
      </c>
      <c r="FO144" s="56">
        <v>0</v>
      </c>
      <c r="FP144" s="56">
        <v>0</v>
      </c>
      <c r="FQ144" s="56">
        <v>0</v>
      </c>
      <c r="FR144" s="56">
        <v>0</v>
      </c>
      <c r="FS144" s="58">
        <v>0</v>
      </c>
      <c r="FT144" s="56">
        <v>0</v>
      </c>
      <c r="FU144" s="56">
        <v>0</v>
      </c>
      <c r="FV144" s="56">
        <v>0</v>
      </c>
      <c r="FW144" s="56">
        <v>0</v>
      </c>
      <c r="FX144" s="56">
        <v>0</v>
      </c>
      <c r="FY144" s="56">
        <v>0</v>
      </c>
      <c r="FZ144" s="54" t="s">
        <v>1070</v>
      </c>
      <c r="GA144" s="54" t="s">
        <v>1071</v>
      </c>
      <c r="GB144" s="54" t="s">
        <v>1072</v>
      </c>
      <c r="GC144" s="54" t="s">
        <v>1073</v>
      </c>
      <c r="GD144" s="54" t="s">
        <v>1188</v>
      </c>
      <c r="GE144" s="54" t="s">
        <v>1075</v>
      </c>
      <c r="GF144" s="54"/>
      <c r="GG144" s="55"/>
      <c r="GH144" s="54"/>
      <c r="GI144" s="54"/>
      <c r="GJ144" s="54" t="s">
        <v>1076</v>
      </c>
      <c r="GK144" s="54" t="s">
        <v>1077</v>
      </c>
      <c r="GL144" s="54"/>
      <c r="GM144" s="54"/>
      <c r="GN144" s="54" t="s">
        <v>1078</v>
      </c>
      <c r="GO144" s="54" t="s">
        <v>1059</v>
      </c>
      <c r="GP144" s="54"/>
      <c r="GQ144" s="56">
        <v>0</v>
      </c>
      <c r="GR144" s="54" t="s">
        <v>1210</v>
      </c>
      <c r="GS144" s="54"/>
    </row>
    <row r="145" spans="1:201" x14ac:dyDescent="0.25">
      <c r="A145" s="54" t="s">
        <v>1032</v>
      </c>
      <c r="B145" s="54" t="s">
        <v>1033</v>
      </c>
      <c r="C145" s="54" t="s">
        <v>1242</v>
      </c>
      <c r="D145" s="54" t="s">
        <v>1035</v>
      </c>
      <c r="E145" s="54" t="s">
        <v>1036</v>
      </c>
      <c r="F145" s="55">
        <v>46185</v>
      </c>
      <c r="G145" s="55">
        <v>46185</v>
      </c>
      <c r="H145" s="54" t="s">
        <v>1037</v>
      </c>
      <c r="I145" s="54" t="s">
        <v>1038</v>
      </c>
      <c r="J145" s="54" t="s">
        <v>1039</v>
      </c>
      <c r="K145" s="55"/>
      <c r="L145" s="54" t="s">
        <v>1040</v>
      </c>
      <c r="M145" s="54"/>
      <c r="N145" s="54" t="s">
        <v>1243</v>
      </c>
      <c r="O145" s="54" t="s">
        <v>1133</v>
      </c>
      <c r="P145" s="54" t="s">
        <v>809</v>
      </c>
      <c r="Q145" s="54" t="s">
        <v>813</v>
      </c>
      <c r="R145" s="54" t="s">
        <v>1043</v>
      </c>
      <c r="S145" s="56">
        <v>209.7</v>
      </c>
      <c r="T145" s="56">
        <v>209.7</v>
      </c>
      <c r="U145" s="56">
        <v>0</v>
      </c>
      <c r="V145" s="56">
        <v>0</v>
      </c>
      <c r="W145" s="56">
        <v>0</v>
      </c>
      <c r="X145" s="56">
        <v>0</v>
      </c>
      <c r="Y145" s="56">
        <v>0</v>
      </c>
      <c r="Z145" s="56">
        <v>90</v>
      </c>
      <c r="AA145" s="56">
        <v>90</v>
      </c>
      <c r="AB145" s="59">
        <v>0</v>
      </c>
      <c r="AC145" s="56">
        <v>0</v>
      </c>
      <c r="AD145" s="56">
        <v>0</v>
      </c>
      <c r="AE145" s="56">
        <v>0</v>
      </c>
      <c r="AF145" s="54" t="s">
        <v>1199</v>
      </c>
      <c r="AG145" s="57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 t="s">
        <v>1045</v>
      </c>
      <c r="AS145" s="54" t="s">
        <v>1046</v>
      </c>
      <c r="AT145" s="54" t="s">
        <v>1047</v>
      </c>
      <c r="AU145" s="54" t="s">
        <v>1048</v>
      </c>
      <c r="AV145" s="54"/>
      <c r="AW145" s="55">
        <v>46198</v>
      </c>
      <c r="AX145" s="55">
        <v>46185</v>
      </c>
      <c r="AY145" s="55">
        <v>46185</v>
      </c>
      <c r="AZ145" s="55">
        <v>46188</v>
      </c>
      <c r="BA145" s="55">
        <v>46198</v>
      </c>
      <c r="BB145" s="56">
        <v>0</v>
      </c>
      <c r="BC145" s="56">
        <v>0</v>
      </c>
      <c r="BD145" s="56">
        <v>0</v>
      </c>
      <c r="BE145" s="56">
        <v>0</v>
      </c>
      <c r="BF145" s="56">
        <v>0</v>
      </c>
      <c r="BG145" s="56">
        <v>0</v>
      </c>
      <c r="BH145" s="56">
        <v>0</v>
      </c>
      <c r="BI145" s="56">
        <v>0</v>
      </c>
      <c r="BJ145" s="56">
        <v>0</v>
      </c>
      <c r="BK145" s="56">
        <v>0</v>
      </c>
      <c r="BL145" s="56">
        <v>0</v>
      </c>
      <c r="BM145" s="56">
        <v>0</v>
      </c>
      <c r="BN145" s="56">
        <v>0</v>
      </c>
      <c r="BO145" s="56">
        <v>0</v>
      </c>
      <c r="BP145" s="54" t="s">
        <v>1049</v>
      </c>
      <c r="BQ145" s="54" t="s">
        <v>1050</v>
      </c>
      <c r="BR145" s="54" t="s">
        <v>1049</v>
      </c>
      <c r="BS145" s="54" t="s">
        <v>1050</v>
      </c>
      <c r="BT145" s="54" t="s">
        <v>1051</v>
      </c>
      <c r="BU145" s="54" t="s">
        <v>1043</v>
      </c>
      <c r="BV145" s="58">
        <v>90</v>
      </c>
      <c r="BW145" s="54" t="s">
        <v>1052</v>
      </c>
      <c r="BX145" s="54" t="s">
        <v>1053</v>
      </c>
      <c r="BY145" s="54" t="s">
        <v>1054</v>
      </c>
      <c r="BZ145" s="54" t="s">
        <v>1055</v>
      </c>
      <c r="CA145" s="55"/>
      <c r="CB145" s="54" t="s">
        <v>1056</v>
      </c>
      <c r="CC145" s="54" t="s">
        <v>1057</v>
      </c>
      <c r="CD145" s="54" t="s">
        <v>1058</v>
      </c>
      <c r="CE145" s="54" t="s">
        <v>1059</v>
      </c>
      <c r="CF145" s="54" t="s">
        <v>1060</v>
      </c>
      <c r="CG145" s="54" t="s">
        <v>1061</v>
      </c>
      <c r="CH145" s="54" t="s">
        <v>1062</v>
      </c>
      <c r="CI145" s="54" t="s">
        <v>1063</v>
      </c>
      <c r="CJ145" s="54" t="s">
        <v>1064</v>
      </c>
      <c r="CK145" s="54" t="s">
        <v>1065</v>
      </c>
      <c r="CL145" s="54" t="s">
        <v>1066</v>
      </c>
      <c r="CM145" s="54" t="s">
        <v>1067</v>
      </c>
      <c r="CN145" s="54" t="s">
        <v>1068</v>
      </c>
      <c r="CO145" s="54" t="s">
        <v>1069</v>
      </c>
      <c r="CP145" s="56">
        <v>0</v>
      </c>
      <c r="CQ145" s="56">
        <v>0</v>
      </c>
      <c r="CR145" s="56">
        <v>0</v>
      </c>
      <c r="CS145" s="56">
        <v>0</v>
      </c>
      <c r="CT145" s="56">
        <v>0</v>
      </c>
      <c r="CU145" s="56">
        <v>0</v>
      </c>
      <c r="CV145" s="56">
        <v>0</v>
      </c>
      <c r="CW145" s="56">
        <v>0</v>
      </c>
      <c r="CX145" s="56">
        <v>0</v>
      </c>
      <c r="CY145" s="56">
        <v>0</v>
      </c>
      <c r="CZ145" s="56">
        <v>0</v>
      </c>
      <c r="DA145" s="56">
        <v>0</v>
      </c>
      <c r="DB145" s="56">
        <v>0</v>
      </c>
      <c r="DC145" s="56">
        <v>0</v>
      </c>
      <c r="DD145" s="56">
        <v>0</v>
      </c>
      <c r="DE145" s="56">
        <v>0</v>
      </c>
      <c r="DF145" s="56">
        <v>0</v>
      </c>
      <c r="DG145" s="56">
        <v>0</v>
      </c>
      <c r="DH145" s="56">
        <v>0</v>
      </c>
      <c r="DI145" s="56">
        <v>0</v>
      </c>
      <c r="DJ145" s="56">
        <v>0</v>
      </c>
      <c r="DK145" s="56">
        <v>0</v>
      </c>
      <c r="DL145" s="56">
        <v>0</v>
      </c>
      <c r="DM145" s="56">
        <v>0</v>
      </c>
      <c r="DN145" s="56">
        <v>0</v>
      </c>
      <c r="DO145" s="56">
        <v>0</v>
      </c>
      <c r="DP145" s="56">
        <v>0</v>
      </c>
      <c r="DQ145" s="56">
        <v>0</v>
      </c>
      <c r="DR145" s="56">
        <v>0</v>
      </c>
      <c r="DS145" s="56">
        <v>0</v>
      </c>
      <c r="DT145" s="56">
        <v>0</v>
      </c>
      <c r="DU145" s="56">
        <v>0</v>
      </c>
      <c r="DV145" s="56">
        <v>0</v>
      </c>
      <c r="DW145" s="56">
        <v>0</v>
      </c>
      <c r="DX145" s="56">
        <v>0</v>
      </c>
      <c r="DY145" s="56">
        <v>0</v>
      </c>
      <c r="DZ145" s="56">
        <v>0</v>
      </c>
      <c r="EA145" s="56">
        <v>0</v>
      </c>
      <c r="EB145" s="56">
        <v>0</v>
      </c>
      <c r="EC145" s="56">
        <v>0</v>
      </c>
      <c r="ED145" s="56">
        <v>0</v>
      </c>
      <c r="EE145" s="56">
        <v>0</v>
      </c>
      <c r="EF145" s="56">
        <v>0</v>
      </c>
      <c r="EG145" s="56">
        <v>0</v>
      </c>
      <c r="EH145" s="56">
        <v>25.16</v>
      </c>
      <c r="EI145" s="56">
        <v>0</v>
      </c>
      <c r="EJ145" s="56">
        <v>0</v>
      </c>
      <c r="EK145" s="56">
        <v>0</v>
      </c>
      <c r="EL145" s="56">
        <v>0</v>
      </c>
      <c r="EM145" s="56">
        <v>0</v>
      </c>
      <c r="EN145" s="56">
        <v>0</v>
      </c>
      <c r="EO145" s="56">
        <v>0</v>
      </c>
      <c r="EP145" s="56">
        <v>0</v>
      </c>
      <c r="EQ145" s="56">
        <v>0</v>
      </c>
      <c r="ER145" s="56">
        <v>0</v>
      </c>
      <c r="ES145" s="56">
        <v>0</v>
      </c>
      <c r="ET145" s="56">
        <v>0</v>
      </c>
      <c r="EU145" s="56">
        <v>0</v>
      </c>
      <c r="EV145" s="56">
        <v>0</v>
      </c>
      <c r="EW145" s="56">
        <v>0</v>
      </c>
      <c r="EX145" s="56">
        <v>0</v>
      </c>
      <c r="EY145" s="56">
        <v>0</v>
      </c>
      <c r="EZ145" s="56">
        <v>0</v>
      </c>
      <c r="FA145" s="56">
        <v>0</v>
      </c>
      <c r="FB145" s="56">
        <v>0</v>
      </c>
      <c r="FC145" s="58">
        <v>0</v>
      </c>
      <c r="FD145" s="56">
        <v>0</v>
      </c>
      <c r="FE145" s="56">
        <v>0</v>
      </c>
      <c r="FF145" s="56">
        <v>0</v>
      </c>
      <c r="FG145" s="56">
        <v>0</v>
      </c>
      <c r="FH145" s="56">
        <v>0</v>
      </c>
      <c r="FI145" s="56">
        <v>0</v>
      </c>
      <c r="FJ145" s="56">
        <v>0</v>
      </c>
      <c r="FK145" s="56">
        <v>0</v>
      </c>
      <c r="FL145" s="56">
        <v>0</v>
      </c>
      <c r="FM145" s="56">
        <v>0</v>
      </c>
      <c r="FN145" s="56">
        <v>0</v>
      </c>
      <c r="FO145" s="56">
        <v>0</v>
      </c>
      <c r="FP145" s="56">
        <v>0</v>
      </c>
      <c r="FQ145" s="56">
        <v>0</v>
      </c>
      <c r="FR145" s="56">
        <v>0</v>
      </c>
      <c r="FS145" s="58">
        <v>0</v>
      </c>
      <c r="FT145" s="56">
        <v>0</v>
      </c>
      <c r="FU145" s="56">
        <v>0</v>
      </c>
      <c r="FV145" s="56">
        <v>0</v>
      </c>
      <c r="FW145" s="56">
        <v>0</v>
      </c>
      <c r="FX145" s="56">
        <v>0</v>
      </c>
      <c r="FY145" s="56">
        <v>0</v>
      </c>
      <c r="FZ145" s="54" t="s">
        <v>1083</v>
      </c>
      <c r="GA145" s="54" t="s">
        <v>1084</v>
      </c>
      <c r="GB145" s="54" t="s">
        <v>1072</v>
      </c>
      <c r="GC145" s="54" t="s">
        <v>1073</v>
      </c>
      <c r="GD145" s="54"/>
      <c r="GE145" s="54"/>
      <c r="GF145" s="54"/>
      <c r="GG145" s="55"/>
      <c r="GH145" s="54"/>
      <c r="GI145" s="54"/>
      <c r="GJ145" s="54" t="s">
        <v>1076</v>
      </c>
      <c r="GK145" s="54" t="s">
        <v>1077</v>
      </c>
      <c r="GL145" s="54"/>
      <c r="GM145" s="54"/>
      <c r="GN145" s="54" t="s">
        <v>1078</v>
      </c>
      <c r="GO145" s="54" t="s">
        <v>1059</v>
      </c>
      <c r="GP145" s="54"/>
      <c r="GQ145" s="56">
        <v>0</v>
      </c>
      <c r="GR145" s="54" t="s">
        <v>1210</v>
      </c>
      <c r="GS145" s="54"/>
    </row>
    <row r="146" spans="1:201" x14ac:dyDescent="0.25">
      <c r="A146" s="54" t="s">
        <v>1032</v>
      </c>
      <c r="B146" s="54" t="s">
        <v>1033</v>
      </c>
      <c r="C146" s="54" t="s">
        <v>1242</v>
      </c>
      <c r="D146" s="54" t="s">
        <v>1035</v>
      </c>
      <c r="E146" s="54" t="s">
        <v>1036</v>
      </c>
      <c r="F146" s="55">
        <v>46185</v>
      </c>
      <c r="G146" s="55">
        <v>46185</v>
      </c>
      <c r="H146" s="54" t="s">
        <v>1037</v>
      </c>
      <c r="I146" s="54" t="s">
        <v>1038</v>
      </c>
      <c r="J146" s="54" t="s">
        <v>1039</v>
      </c>
      <c r="K146" s="55"/>
      <c r="L146" s="54" t="s">
        <v>1040</v>
      </c>
      <c r="M146" s="54"/>
      <c r="N146" s="54" t="s">
        <v>1243</v>
      </c>
      <c r="O146" s="54" t="s">
        <v>1134</v>
      </c>
      <c r="P146" s="54" t="s">
        <v>808</v>
      </c>
      <c r="Q146" s="54" t="s">
        <v>812</v>
      </c>
      <c r="R146" s="54" t="s">
        <v>1043</v>
      </c>
      <c r="S146" s="56">
        <v>193.95</v>
      </c>
      <c r="T146" s="56">
        <v>193.95</v>
      </c>
      <c r="U146" s="56">
        <v>0</v>
      </c>
      <c r="V146" s="56">
        <v>0</v>
      </c>
      <c r="W146" s="56">
        <v>0</v>
      </c>
      <c r="X146" s="56">
        <v>0</v>
      </c>
      <c r="Y146" s="56">
        <v>0</v>
      </c>
      <c r="Z146" s="56">
        <v>45</v>
      </c>
      <c r="AA146" s="56">
        <v>45</v>
      </c>
      <c r="AB146" s="59">
        <v>0</v>
      </c>
      <c r="AC146" s="56">
        <v>0</v>
      </c>
      <c r="AD146" s="56">
        <v>0</v>
      </c>
      <c r="AE146" s="56">
        <v>0</v>
      </c>
      <c r="AF146" s="54" t="s">
        <v>1199</v>
      </c>
      <c r="AG146" s="57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 t="s">
        <v>1045</v>
      </c>
      <c r="AS146" s="54" t="s">
        <v>1046</v>
      </c>
      <c r="AT146" s="54" t="s">
        <v>1047</v>
      </c>
      <c r="AU146" s="54" t="s">
        <v>1048</v>
      </c>
      <c r="AV146" s="54"/>
      <c r="AW146" s="55">
        <v>46198</v>
      </c>
      <c r="AX146" s="55">
        <v>46185</v>
      </c>
      <c r="AY146" s="55">
        <v>46185</v>
      </c>
      <c r="AZ146" s="55">
        <v>46188</v>
      </c>
      <c r="BA146" s="55">
        <v>46198</v>
      </c>
      <c r="BB146" s="56">
        <v>0</v>
      </c>
      <c r="BC146" s="56">
        <v>0</v>
      </c>
      <c r="BD146" s="56">
        <v>0</v>
      </c>
      <c r="BE146" s="56">
        <v>0</v>
      </c>
      <c r="BF146" s="56">
        <v>0</v>
      </c>
      <c r="BG146" s="56">
        <v>0</v>
      </c>
      <c r="BH146" s="56">
        <v>0</v>
      </c>
      <c r="BI146" s="56">
        <v>0</v>
      </c>
      <c r="BJ146" s="56">
        <v>0</v>
      </c>
      <c r="BK146" s="56">
        <v>0</v>
      </c>
      <c r="BL146" s="56">
        <v>0</v>
      </c>
      <c r="BM146" s="56">
        <v>0</v>
      </c>
      <c r="BN146" s="56">
        <v>0</v>
      </c>
      <c r="BO146" s="56">
        <v>0</v>
      </c>
      <c r="BP146" s="54" t="s">
        <v>1049</v>
      </c>
      <c r="BQ146" s="54" t="s">
        <v>1050</v>
      </c>
      <c r="BR146" s="54" t="s">
        <v>1049</v>
      </c>
      <c r="BS146" s="54" t="s">
        <v>1050</v>
      </c>
      <c r="BT146" s="54" t="s">
        <v>1051</v>
      </c>
      <c r="BU146" s="54" t="s">
        <v>1043</v>
      </c>
      <c r="BV146" s="58">
        <v>45</v>
      </c>
      <c r="BW146" s="54" t="s">
        <v>1052</v>
      </c>
      <c r="BX146" s="54" t="s">
        <v>1053</v>
      </c>
      <c r="BY146" s="54" t="s">
        <v>1054</v>
      </c>
      <c r="BZ146" s="54" t="s">
        <v>1055</v>
      </c>
      <c r="CA146" s="55"/>
      <c r="CB146" s="54" t="s">
        <v>1056</v>
      </c>
      <c r="CC146" s="54" t="s">
        <v>1057</v>
      </c>
      <c r="CD146" s="54" t="s">
        <v>1058</v>
      </c>
      <c r="CE146" s="54" t="s">
        <v>1059</v>
      </c>
      <c r="CF146" s="54" t="s">
        <v>1060</v>
      </c>
      <c r="CG146" s="54" t="s">
        <v>1061</v>
      </c>
      <c r="CH146" s="54" t="s">
        <v>1062</v>
      </c>
      <c r="CI146" s="54" t="s">
        <v>1063</v>
      </c>
      <c r="CJ146" s="54" t="s">
        <v>1064</v>
      </c>
      <c r="CK146" s="54" t="s">
        <v>1065</v>
      </c>
      <c r="CL146" s="54" t="s">
        <v>1066</v>
      </c>
      <c r="CM146" s="54" t="s">
        <v>1067</v>
      </c>
      <c r="CN146" s="54" t="s">
        <v>1068</v>
      </c>
      <c r="CO146" s="54" t="s">
        <v>1069</v>
      </c>
      <c r="CP146" s="56">
        <v>0</v>
      </c>
      <c r="CQ146" s="56">
        <v>0</v>
      </c>
      <c r="CR146" s="56">
        <v>0</v>
      </c>
      <c r="CS146" s="56">
        <v>0</v>
      </c>
      <c r="CT146" s="56">
        <v>0</v>
      </c>
      <c r="CU146" s="56">
        <v>0</v>
      </c>
      <c r="CV146" s="56">
        <v>0</v>
      </c>
      <c r="CW146" s="56">
        <v>0</v>
      </c>
      <c r="CX146" s="56">
        <v>0</v>
      </c>
      <c r="CY146" s="56">
        <v>0</v>
      </c>
      <c r="CZ146" s="56">
        <v>0</v>
      </c>
      <c r="DA146" s="56">
        <v>0</v>
      </c>
      <c r="DB146" s="56">
        <v>0</v>
      </c>
      <c r="DC146" s="56">
        <v>0</v>
      </c>
      <c r="DD146" s="56">
        <v>0</v>
      </c>
      <c r="DE146" s="56">
        <v>0</v>
      </c>
      <c r="DF146" s="56">
        <v>0</v>
      </c>
      <c r="DG146" s="56">
        <v>0</v>
      </c>
      <c r="DH146" s="56">
        <v>0</v>
      </c>
      <c r="DI146" s="56">
        <v>0</v>
      </c>
      <c r="DJ146" s="56">
        <v>0</v>
      </c>
      <c r="DK146" s="56">
        <v>0</v>
      </c>
      <c r="DL146" s="56">
        <v>0</v>
      </c>
      <c r="DM146" s="56">
        <v>0</v>
      </c>
      <c r="DN146" s="56">
        <v>0</v>
      </c>
      <c r="DO146" s="56">
        <v>0</v>
      </c>
      <c r="DP146" s="56">
        <v>0</v>
      </c>
      <c r="DQ146" s="56">
        <v>0</v>
      </c>
      <c r="DR146" s="56">
        <v>0</v>
      </c>
      <c r="DS146" s="56">
        <v>0</v>
      </c>
      <c r="DT146" s="56">
        <v>0</v>
      </c>
      <c r="DU146" s="56">
        <v>0</v>
      </c>
      <c r="DV146" s="56">
        <v>0</v>
      </c>
      <c r="DW146" s="56">
        <v>0</v>
      </c>
      <c r="DX146" s="56">
        <v>0</v>
      </c>
      <c r="DY146" s="56">
        <v>0</v>
      </c>
      <c r="DZ146" s="56">
        <v>0</v>
      </c>
      <c r="EA146" s="56">
        <v>0</v>
      </c>
      <c r="EB146" s="56">
        <v>0</v>
      </c>
      <c r="EC146" s="56">
        <v>0</v>
      </c>
      <c r="ED146" s="56">
        <v>0</v>
      </c>
      <c r="EE146" s="56">
        <v>0</v>
      </c>
      <c r="EF146" s="56">
        <v>0</v>
      </c>
      <c r="EG146" s="56">
        <v>0</v>
      </c>
      <c r="EH146" s="56">
        <v>23.27</v>
      </c>
      <c r="EI146" s="56">
        <v>0</v>
      </c>
      <c r="EJ146" s="56">
        <v>0</v>
      </c>
      <c r="EK146" s="56">
        <v>0</v>
      </c>
      <c r="EL146" s="56">
        <v>0</v>
      </c>
      <c r="EM146" s="56">
        <v>0</v>
      </c>
      <c r="EN146" s="56">
        <v>0</v>
      </c>
      <c r="EO146" s="56">
        <v>0</v>
      </c>
      <c r="EP146" s="56">
        <v>0</v>
      </c>
      <c r="EQ146" s="56">
        <v>0</v>
      </c>
      <c r="ER146" s="56">
        <v>0</v>
      </c>
      <c r="ES146" s="56">
        <v>0</v>
      </c>
      <c r="ET146" s="56">
        <v>0</v>
      </c>
      <c r="EU146" s="56">
        <v>0</v>
      </c>
      <c r="EV146" s="56">
        <v>0</v>
      </c>
      <c r="EW146" s="56">
        <v>0</v>
      </c>
      <c r="EX146" s="56">
        <v>0</v>
      </c>
      <c r="EY146" s="56">
        <v>0</v>
      </c>
      <c r="EZ146" s="56">
        <v>0</v>
      </c>
      <c r="FA146" s="56">
        <v>0</v>
      </c>
      <c r="FB146" s="56">
        <v>0</v>
      </c>
      <c r="FC146" s="58">
        <v>0</v>
      </c>
      <c r="FD146" s="56">
        <v>0</v>
      </c>
      <c r="FE146" s="56">
        <v>0</v>
      </c>
      <c r="FF146" s="56">
        <v>0</v>
      </c>
      <c r="FG146" s="56">
        <v>0</v>
      </c>
      <c r="FH146" s="56">
        <v>0</v>
      </c>
      <c r="FI146" s="56">
        <v>0</v>
      </c>
      <c r="FJ146" s="56">
        <v>0</v>
      </c>
      <c r="FK146" s="56">
        <v>0</v>
      </c>
      <c r="FL146" s="56">
        <v>0</v>
      </c>
      <c r="FM146" s="56">
        <v>0</v>
      </c>
      <c r="FN146" s="56">
        <v>0</v>
      </c>
      <c r="FO146" s="56">
        <v>0</v>
      </c>
      <c r="FP146" s="56">
        <v>0</v>
      </c>
      <c r="FQ146" s="56">
        <v>0</v>
      </c>
      <c r="FR146" s="56">
        <v>0</v>
      </c>
      <c r="FS146" s="58">
        <v>0</v>
      </c>
      <c r="FT146" s="56">
        <v>0</v>
      </c>
      <c r="FU146" s="56">
        <v>0</v>
      </c>
      <c r="FV146" s="56">
        <v>0</v>
      </c>
      <c r="FW146" s="56">
        <v>0</v>
      </c>
      <c r="FX146" s="56">
        <v>0</v>
      </c>
      <c r="FY146" s="56">
        <v>0</v>
      </c>
      <c r="FZ146" s="54" t="s">
        <v>1083</v>
      </c>
      <c r="GA146" s="54" t="s">
        <v>1084</v>
      </c>
      <c r="GB146" s="54" t="s">
        <v>1072</v>
      </c>
      <c r="GC146" s="54" t="s">
        <v>1073</v>
      </c>
      <c r="GD146" s="54"/>
      <c r="GE146" s="54"/>
      <c r="GF146" s="54"/>
      <c r="GG146" s="55"/>
      <c r="GH146" s="54"/>
      <c r="GI146" s="54"/>
      <c r="GJ146" s="54" t="s">
        <v>1076</v>
      </c>
      <c r="GK146" s="54" t="s">
        <v>1077</v>
      </c>
      <c r="GL146" s="54"/>
      <c r="GM146" s="54"/>
      <c r="GN146" s="54" t="s">
        <v>1078</v>
      </c>
      <c r="GO146" s="54" t="s">
        <v>1059</v>
      </c>
      <c r="GP146" s="54"/>
      <c r="GQ146" s="56">
        <v>0</v>
      </c>
      <c r="GR146" s="54" t="s">
        <v>1210</v>
      </c>
      <c r="GS146" s="54"/>
    </row>
    <row r="147" spans="1:201" x14ac:dyDescent="0.25">
      <c r="A147" s="54" t="s">
        <v>1032</v>
      </c>
      <c r="B147" s="54" t="s">
        <v>1033</v>
      </c>
      <c r="C147" s="54" t="s">
        <v>1242</v>
      </c>
      <c r="D147" s="54" t="s">
        <v>1035</v>
      </c>
      <c r="E147" s="54" t="s">
        <v>1036</v>
      </c>
      <c r="F147" s="55">
        <v>46185</v>
      </c>
      <c r="G147" s="55">
        <v>46185</v>
      </c>
      <c r="H147" s="54" t="s">
        <v>1037</v>
      </c>
      <c r="I147" s="54" t="s">
        <v>1038</v>
      </c>
      <c r="J147" s="54" t="s">
        <v>1039</v>
      </c>
      <c r="K147" s="55"/>
      <c r="L147" s="54" t="s">
        <v>1040</v>
      </c>
      <c r="M147" s="54"/>
      <c r="N147" s="54" t="s">
        <v>1243</v>
      </c>
      <c r="O147" s="54" t="s">
        <v>1135</v>
      </c>
      <c r="P147" s="54" t="s">
        <v>772</v>
      </c>
      <c r="Q147" s="54" t="s">
        <v>779</v>
      </c>
      <c r="R147" s="54" t="s">
        <v>1043</v>
      </c>
      <c r="S147" s="56">
        <v>555.29999999999995</v>
      </c>
      <c r="T147" s="56">
        <v>555.29999999999995</v>
      </c>
      <c r="U147" s="56">
        <v>0</v>
      </c>
      <c r="V147" s="56">
        <v>0</v>
      </c>
      <c r="W147" s="56">
        <v>0</v>
      </c>
      <c r="X147" s="56">
        <v>0</v>
      </c>
      <c r="Y147" s="56">
        <v>0</v>
      </c>
      <c r="Z147" s="56">
        <v>90</v>
      </c>
      <c r="AA147" s="56">
        <v>90</v>
      </c>
      <c r="AB147" s="59">
        <v>0</v>
      </c>
      <c r="AC147" s="56">
        <v>0</v>
      </c>
      <c r="AD147" s="56">
        <v>0</v>
      </c>
      <c r="AE147" s="56">
        <v>0</v>
      </c>
      <c r="AF147" s="54" t="s">
        <v>1199</v>
      </c>
      <c r="AG147" s="57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 t="s">
        <v>1045</v>
      </c>
      <c r="AS147" s="54" t="s">
        <v>1046</v>
      </c>
      <c r="AT147" s="54" t="s">
        <v>1047</v>
      </c>
      <c r="AU147" s="54" t="s">
        <v>1048</v>
      </c>
      <c r="AV147" s="54"/>
      <c r="AW147" s="55">
        <v>46198</v>
      </c>
      <c r="AX147" s="55">
        <v>46185</v>
      </c>
      <c r="AY147" s="55">
        <v>46185</v>
      </c>
      <c r="AZ147" s="55">
        <v>46188</v>
      </c>
      <c r="BA147" s="55">
        <v>46198</v>
      </c>
      <c r="BB147" s="56">
        <v>0</v>
      </c>
      <c r="BC147" s="56">
        <v>0</v>
      </c>
      <c r="BD147" s="56">
        <v>0</v>
      </c>
      <c r="BE147" s="56">
        <v>0</v>
      </c>
      <c r="BF147" s="56">
        <v>0</v>
      </c>
      <c r="BG147" s="56">
        <v>0</v>
      </c>
      <c r="BH147" s="56">
        <v>0</v>
      </c>
      <c r="BI147" s="56">
        <v>0</v>
      </c>
      <c r="BJ147" s="56">
        <v>0</v>
      </c>
      <c r="BK147" s="56">
        <v>0</v>
      </c>
      <c r="BL147" s="56">
        <v>0</v>
      </c>
      <c r="BM147" s="56">
        <v>0</v>
      </c>
      <c r="BN147" s="56">
        <v>0</v>
      </c>
      <c r="BO147" s="56">
        <v>0</v>
      </c>
      <c r="BP147" s="54" t="s">
        <v>1049</v>
      </c>
      <c r="BQ147" s="54" t="s">
        <v>1050</v>
      </c>
      <c r="BR147" s="54" t="s">
        <v>1049</v>
      </c>
      <c r="BS147" s="54" t="s">
        <v>1050</v>
      </c>
      <c r="BT147" s="54" t="s">
        <v>1051</v>
      </c>
      <c r="BU147" s="54" t="s">
        <v>1043</v>
      </c>
      <c r="BV147" s="58">
        <v>90</v>
      </c>
      <c r="BW147" s="54" t="s">
        <v>1052</v>
      </c>
      <c r="BX147" s="54" t="s">
        <v>1053</v>
      </c>
      <c r="BY147" s="54" t="s">
        <v>1054</v>
      </c>
      <c r="BZ147" s="54" t="s">
        <v>1055</v>
      </c>
      <c r="CA147" s="55"/>
      <c r="CB147" s="54" t="s">
        <v>1056</v>
      </c>
      <c r="CC147" s="54" t="s">
        <v>1057</v>
      </c>
      <c r="CD147" s="54" t="s">
        <v>1058</v>
      </c>
      <c r="CE147" s="54" t="s">
        <v>1059</v>
      </c>
      <c r="CF147" s="54" t="s">
        <v>1060</v>
      </c>
      <c r="CG147" s="54" t="s">
        <v>1061</v>
      </c>
      <c r="CH147" s="54" t="s">
        <v>1062</v>
      </c>
      <c r="CI147" s="54" t="s">
        <v>1063</v>
      </c>
      <c r="CJ147" s="54" t="s">
        <v>1064</v>
      </c>
      <c r="CK147" s="54" t="s">
        <v>1065</v>
      </c>
      <c r="CL147" s="54" t="s">
        <v>1066</v>
      </c>
      <c r="CM147" s="54" t="s">
        <v>1067</v>
      </c>
      <c r="CN147" s="54" t="s">
        <v>1068</v>
      </c>
      <c r="CO147" s="54" t="s">
        <v>1069</v>
      </c>
      <c r="CP147" s="56">
        <v>0</v>
      </c>
      <c r="CQ147" s="56">
        <v>0</v>
      </c>
      <c r="CR147" s="56">
        <v>0</v>
      </c>
      <c r="CS147" s="56">
        <v>0</v>
      </c>
      <c r="CT147" s="56">
        <v>0</v>
      </c>
      <c r="CU147" s="56">
        <v>0</v>
      </c>
      <c r="CV147" s="56">
        <v>0</v>
      </c>
      <c r="CW147" s="56">
        <v>0</v>
      </c>
      <c r="CX147" s="56">
        <v>0</v>
      </c>
      <c r="CY147" s="56">
        <v>0</v>
      </c>
      <c r="CZ147" s="56">
        <v>0</v>
      </c>
      <c r="DA147" s="56">
        <v>0</v>
      </c>
      <c r="DB147" s="56">
        <v>0</v>
      </c>
      <c r="DC147" s="56">
        <v>0</v>
      </c>
      <c r="DD147" s="56">
        <v>0</v>
      </c>
      <c r="DE147" s="56">
        <v>0</v>
      </c>
      <c r="DF147" s="56">
        <v>0</v>
      </c>
      <c r="DG147" s="56">
        <v>0</v>
      </c>
      <c r="DH147" s="56">
        <v>0</v>
      </c>
      <c r="DI147" s="56">
        <v>0</v>
      </c>
      <c r="DJ147" s="56">
        <v>0</v>
      </c>
      <c r="DK147" s="56">
        <v>0</v>
      </c>
      <c r="DL147" s="56">
        <v>0</v>
      </c>
      <c r="DM147" s="56">
        <v>0</v>
      </c>
      <c r="DN147" s="56">
        <v>0</v>
      </c>
      <c r="DO147" s="56">
        <v>0</v>
      </c>
      <c r="DP147" s="56">
        <v>0</v>
      </c>
      <c r="DQ147" s="56">
        <v>0</v>
      </c>
      <c r="DR147" s="56">
        <v>0</v>
      </c>
      <c r="DS147" s="56">
        <v>0</v>
      </c>
      <c r="DT147" s="56">
        <v>0</v>
      </c>
      <c r="DU147" s="56">
        <v>0</v>
      </c>
      <c r="DV147" s="56">
        <v>0</v>
      </c>
      <c r="DW147" s="56">
        <v>0</v>
      </c>
      <c r="DX147" s="56">
        <v>0</v>
      </c>
      <c r="DY147" s="56">
        <v>0</v>
      </c>
      <c r="DZ147" s="56">
        <v>0</v>
      </c>
      <c r="EA147" s="56">
        <v>0</v>
      </c>
      <c r="EB147" s="56">
        <v>0</v>
      </c>
      <c r="EC147" s="56">
        <v>0</v>
      </c>
      <c r="ED147" s="56">
        <v>0</v>
      </c>
      <c r="EE147" s="56">
        <v>0</v>
      </c>
      <c r="EF147" s="56">
        <v>0</v>
      </c>
      <c r="EG147" s="56">
        <v>0</v>
      </c>
      <c r="EH147" s="56">
        <v>66.64</v>
      </c>
      <c r="EI147" s="56">
        <v>0</v>
      </c>
      <c r="EJ147" s="56">
        <v>0</v>
      </c>
      <c r="EK147" s="56">
        <v>0</v>
      </c>
      <c r="EL147" s="56">
        <v>0</v>
      </c>
      <c r="EM147" s="56">
        <v>0</v>
      </c>
      <c r="EN147" s="56">
        <v>0</v>
      </c>
      <c r="EO147" s="56">
        <v>0</v>
      </c>
      <c r="EP147" s="56">
        <v>0</v>
      </c>
      <c r="EQ147" s="56">
        <v>0</v>
      </c>
      <c r="ER147" s="56">
        <v>0</v>
      </c>
      <c r="ES147" s="56">
        <v>0</v>
      </c>
      <c r="ET147" s="56">
        <v>0</v>
      </c>
      <c r="EU147" s="56">
        <v>0</v>
      </c>
      <c r="EV147" s="56">
        <v>0</v>
      </c>
      <c r="EW147" s="56">
        <v>0</v>
      </c>
      <c r="EX147" s="56">
        <v>0</v>
      </c>
      <c r="EY147" s="56">
        <v>0</v>
      </c>
      <c r="EZ147" s="56">
        <v>0</v>
      </c>
      <c r="FA147" s="56">
        <v>0</v>
      </c>
      <c r="FB147" s="56">
        <v>0</v>
      </c>
      <c r="FC147" s="58">
        <v>0</v>
      </c>
      <c r="FD147" s="56">
        <v>0</v>
      </c>
      <c r="FE147" s="56">
        <v>0</v>
      </c>
      <c r="FF147" s="56">
        <v>0</v>
      </c>
      <c r="FG147" s="56">
        <v>0</v>
      </c>
      <c r="FH147" s="56">
        <v>0</v>
      </c>
      <c r="FI147" s="56">
        <v>0</v>
      </c>
      <c r="FJ147" s="56">
        <v>0</v>
      </c>
      <c r="FK147" s="56">
        <v>0</v>
      </c>
      <c r="FL147" s="56">
        <v>0</v>
      </c>
      <c r="FM147" s="56">
        <v>0</v>
      </c>
      <c r="FN147" s="56">
        <v>0</v>
      </c>
      <c r="FO147" s="56">
        <v>0</v>
      </c>
      <c r="FP147" s="56">
        <v>0</v>
      </c>
      <c r="FQ147" s="56">
        <v>0</v>
      </c>
      <c r="FR147" s="56">
        <v>0</v>
      </c>
      <c r="FS147" s="58">
        <v>0</v>
      </c>
      <c r="FT147" s="56">
        <v>0</v>
      </c>
      <c r="FU147" s="56">
        <v>0</v>
      </c>
      <c r="FV147" s="56">
        <v>0</v>
      </c>
      <c r="FW147" s="56">
        <v>0</v>
      </c>
      <c r="FX147" s="56">
        <v>0</v>
      </c>
      <c r="FY147" s="56">
        <v>0</v>
      </c>
      <c r="FZ147" s="54" t="s">
        <v>1083</v>
      </c>
      <c r="GA147" s="54" t="s">
        <v>1084</v>
      </c>
      <c r="GB147" s="54" t="s">
        <v>1072</v>
      </c>
      <c r="GC147" s="54" t="s">
        <v>1073</v>
      </c>
      <c r="GD147" s="54"/>
      <c r="GE147" s="54"/>
      <c r="GF147" s="54"/>
      <c r="GG147" s="55"/>
      <c r="GH147" s="54"/>
      <c r="GI147" s="54"/>
      <c r="GJ147" s="54" t="s">
        <v>1076</v>
      </c>
      <c r="GK147" s="54" t="s">
        <v>1077</v>
      </c>
      <c r="GL147" s="54"/>
      <c r="GM147" s="54"/>
      <c r="GN147" s="54" t="s">
        <v>1078</v>
      </c>
      <c r="GO147" s="54" t="s">
        <v>1059</v>
      </c>
      <c r="GP147" s="54"/>
      <c r="GQ147" s="56">
        <v>0</v>
      </c>
      <c r="GR147" s="54" t="s">
        <v>1210</v>
      </c>
      <c r="GS147" s="54"/>
    </row>
    <row r="148" spans="1:201" x14ac:dyDescent="0.25">
      <c r="A148" s="54" t="s">
        <v>1032</v>
      </c>
      <c r="B148" s="54" t="s">
        <v>1033</v>
      </c>
      <c r="C148" s="54" t="s">
        <v>1249</v>
      </c>
      <c r="D148" s="54" t="s">
        <v>1035</v>
      </c>
      <c r="E148" s="54" t="s">
        <v>1036</v>
      </c>
      <c r="F148" s="55">
        <v>46185</v>
      </c>
      <c r="G148" s="55">
        <v>46185</v>
      </c>
      <c r="H148" s="54" t="s">
        <v>1037</v>
      </c>
      <c r="I148" s="54" t="s">
        <v>1038</v>
      </c>
      <c r="J148" s="54" t="s">
        <v>1039</v>
      </c>
      <c r="K148" s="55"/>
      <c r="L148" s="54" t="s">
        <v>1040</v>
      </c>
      <c r="M148" s="54"/>
      <c r="N148" s="54" t="s">
        <v>1250</v>
      </c>
      <c r="O148" s="54" t="s">
        <v>1042</v>
      </c>
      <c r="P148" s="54" t="s">
        <v>690</v>
      </c>
      <c r="Q148" s="54" t="s">
        <v>694</v>
      </c>
      <c r="R148" s="54" t="s">
        <v>1043</v>
      </c>
      <c r="S148" s="56">
        <v>1153.8</v>
      </c>
      <c r="T148" s="56">
        <v>1153.8</v>
      </c>
      <c r="U148" s="56">
        <v>0</v>
      </c>
      <c r="V148" s="56">
        <v>0</v>
      </c>
      <c r="W148" s="56">
        <v>0</v>
      </c>
      <c r="X148" s="56">
        <v>0</v>
      </c>
      <c r="Y148" s="56">
        <v>0</v>
      </c>
      <c r="Z148" s="56">
        <v>60</v>
      </c>
      <c r="AA148" s="56">
        <v>60</v>
      </c>
      <c r="AB148" s="59">
        <v>0</v>
      </c>
      <c r="AC148" s="56">
        <v>0</v>
      </c>
      <c r="AD148" s="56">
        <v>0</v>
      </c>
      <c r="AE148" s="56">
        <v>0</v>
      </c>
      <c r="AF148" s="54" t="s">
        <v>1199</v>
      </c>
      <c r="AG148" s="57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 t="s">
        <v>1045</v>
      </c>
      <c r="AS148" s="54" t="s">
        <v>1046</v>
      </c>
      <c r="AT148" s="54" t="s">
        <v>1047</v>
      </c>
      <c r="AU148" s="54" t="s">
        <v>1048</v>
      </c>
      <c r="AV148" s="54"/>
      <c r="AW148" s="55">
        <v>46198</v>
      </c>
      <c r="AX148" s="55">
        <v>46185</v>
      </c>
      <c r="AY148" s="55">
        <v>46185</v>
      </c>
      <c r="AZ148" s="55"/>
      <c r="BA148" s="55">
        <v>46198</v>
      </c>
      <c r="BB148" s="56">
        <v>0</v>
      </c>
      <c r="BC148" s="56">
        <v>0</v>
      </c>
      <c r="BD148" s="56">
        <v>0</v>
      </c>
      <c r="BE148" s="56">
        <v>0</v>
      </c>
      <c r="BF148" s="56">
        <v>0</v>
      </c>
      <c r="BG148" s="56">
        <v>0</v>
      </c>
      <c r="BH148" s="56">
        <v>0</v>
      </c>
      <c r="BI148" s="56">
        <v>0</v>
      </c>
      <c r="BJ148" s="56">
        <v>0</v>
      </c>
      <c r="BK148" s="56">
        <v>0</v>
      </c>
      <c r="BL148" s="56">
        <v>0</v>
      </c>
      <c r="BM148" s="56">
        <v>0</v>
      </c>
      <c r="BN148" s="56">
        <v>0</v>
      </c>
      <c r="BO148" s="56">
        <v>0</v>
      </c>
      <c r="BP148" s="54" t="s">
        <v>1049</v>
      </c>
      <c r="BQ148" s="54" t="s">
        <v>1050</v>
      </c>
      <c r="BR148" s="54" t="s">
        <v>1049</v>
      </c>
      <c r="BS148" s="54" t="s">
        <v>1050</v>
      </c>
      <c r="BT148" s="54" t="s">
        <v>1051</v>
      </c>
      <c r="BU148" s="54" t="s">
        <v>1043</v>
      </c>
      <c r="BV148" s="58">
        <v>60</v>
      </c>
      <c r="BW148" s="54" t="s">
        <v>1052</v>
      </c>
      <c r="BX148" s="54" t="s">
        <v>1053</v>
      </c>
      <c r="BY148" s="54" t="s">
        <v>1054</v>
      </c>
      <c r="BZ148" s="54" t="s">
        <v>1055</v>
      </c>
      <c r="CA148" s="55"/>
      <c r="CB148" s="54" t="s">
        <v>1056</v>
      </c>
      <c r="CC148" s="54" t="s">
        <v>1057</v>
      </c>
      <c r="CD148" s="54" t="s">
        <v>1200</v>
      </c>
      <c r="CE148" s="54" t="s">
        <v>1201</v>
      </c>
      <c r="CF148" s="54" t="s">
        <v>1202</v>
      </c>
      <c r="CG148" s="54" t="s">
        <v>1203</v>
      </c>
      <c r="CH148" s="54" t="s">
        <v>1204</v>
      </c>
      <c r="CI148" s="54" t="s">
        <v>1203</v>
      </c>
      <c r="CJ148" s="54" t="s">
        <v>1064</v>
      </c>
      <c r="CK148" s="54" t="s">
        <v>1065</v>
      </c>
      <c r="CL148" s="54" t="s">
        <v>1205</v>
      </c>
      <c r="CM148" s="54" t="s">
        <v>1206</v>
      </c>
      <c r="CN148" s="54" t="s">
        <v>1068</v>
      </c>
      <c r="CO148" s="54" t="s">
        <v>1069</v>
      </c>
      <c r="CP148" s="56">
        <v>0</v>
      </c>
      <c r="CQ148" s="56">
        <v>0</v>
      </c>
      <c r="CR148" s="56">
        <v>0</v>
      </c>
      <c r="CS148" s="56">
        <v>0</v>
      </c>
      <c r="CT148" s="56">
        <v>0</v>
      </c>
      <c r="CU148" s="56">
        <v>0</v>
      </c>
      <c r="CV148" s="56">
        <v>0</v>
      </c>
      <c r="CW148" s="56">
        <v>0</v>
      </c>
      <c r="CX148" s="56">
        <v>0</v>
      </c>
      <c r="CY148" s="56">
        <v>0</v>
      </c>
      <c r="CZ148" s="56">
        <v>0</v>
      </c>
      <c r="DA148" s="56">
        <v>0</v>
      </c>
      <c r="DB148" s="56">
        <v>0</v>
      </c>
      <c r="DC148" s="56">
        <v>0</v>
      </c>
      <c r="DD148" s="56">
        <v>0</v>
      </c>
      <c r="DE148" s="56">
        <v>0</v>
      </c>
      <c r="DF148" s="56">
        <v>0</v>
      </c>
      <c r="DG148" s="56">
        <v>0</v>
      </c>
      <c r="DH148" s="56">
        <v>0</v>
      </c>
      <c r="DI148" s="56">
        <v>0</v>
      </c>
      <c r="DJ148" s="56">
        <v>0</v>
      </c>
      <c r="DK148" s="56">
        <v>0</v>
      </c>
      <c r="DL148" s="56">
        <v>0</v>
      </c>
      <c r="DM148" s="56">
        <v>0</v>
      </c>
      <c r="DN148" s="56">
        <v>0</v>
      </c>
      <c r="DO148" s="56">
        <v>0</v>
      </c>
      <c r="DP148" s="56">
        <v>0</v>
      </c>
      <c r="DQ148" s="56">
        <v>0</v>
      </c>
      <c r="DR148" s="56">
        <v>0</v>
      </c>
      <c r="DS148" s="56">
        <v>0</v>
      </c>
      <c r="DT148" s="56">
        <v>0</v>
      </c>
      <c r="DU148" s="56">
        <v>0</v>
      </c>
      <c r="DV148" s="56">
        <v>0</v>
      </c>
      <c r="DW148" s="56">
        <v>0</v>
      </c>
      <c r="DX148" s="56">
        <v>0</v>
      </c>
      <c r="DY148" s="56">
        <v>0</v>
      </c>
      <c r="DZ148" s="56">
        <v>0</v>
      </c>
      <c r="EA148" s="56">
        <v>0</v>
      </c>
      <c r="EB148" s="56">
        <v>0</v>
      </c>
      <c r="EC148" s="56">
        <v>0</v>
      </c>
      <c r="ED148" s="56">
        <v>0</v>
      </c>
      <c r="EE148" s="56">
        <v>0</v>
      </c>
      <c r="EF148" s="56">
        <v>0</v>
      </c>
      <c r="EG148" s="56">
        <v>0</v>
      </c>
      <c r="EH148" s="56">
        <v>138.46</v>
      </c>
      <c r="EI148" s="56">
        <v>0</v>
      </c>
      <c r="EJ148" s="56">
        <v>0</v>
      </c>
      <c r="EK148" s="56">
        <v>0</v>
      </c>
      <c r="EL148" s="56">
        <v>0</v>
      </c>
      <c r="EM148" s="56">
        <v>0</v>
      </c>
      <c r="EN148" s="56">
        <v>0</v>
      </c>
      <c r="EO148" s="56">
        <v>0</v>
      </c>
      <c r="EP148" s="56">
        <v>0</v>
      </c>
      <c r="EQ148" s="56">
        <v>0</v>
      </c>
      <c r="ER148" s="56">
        <v>0</v>
      </c>
      <c r="ES148" s="56">
        <v>0</v>
      </c>
      <c r="ET148" s="56">
        <v>0</v>
      </c>
      <c r="EU148" s="56">
        <v>0</v>
      </c>
      <c r="EV148" s="56">
        <v>0</v>
      </c>
      <c r="EW148" s="56">
        <v>0</v>
      </c>
      <c r="EX148" s="56">
        <v>0</v>
      </c>
      <c r="EY148" s="56">
        <v>0</v>
      </c>
      <c r="EZ148" s="56">
        <v>0</v>
      </c>
      <c r="FA148" s="56">
        <v>0</v>
      </c>
      <c r="FB148" s="56">
        <v>0</v>
      </c>
      <c r="FC148" s="58">
        <v>0</v>
      </c>
      <c r="FD148" s="56">
        <v>0</v>
      </c>
      <c r="FE148" s="56">
        <v>0</v>
      </c>
      <c r="FF148" s="56">
        <v>0</v>
      </c>
      <c r="FG148" s="56">
        <v>0</v>
      </c>
      <c r="FH148" s="56">
        <v>0</v>
      </c>
      <c r="FI148" s="56">
        <v>0</v>
      </c>
      <c r="FJ148" s="56">
        <v>0</v>
      </c>
      <c r="FK148" s="56">
        <v>0</v>
      </c>
      <c r="FL148" s="56">
        <v>0</v>
      </c>
      <c r="FM148" s="56">
        <v>0</v>
      </c>
      <c r="FN148" s="56">
        <v>0</v>
      </c>
      <c r="FO148" s="56">
        <v>0</v>
      </c>
      <c r="FP148" s="56">
        <v>0</v>
      </c>
      <c r="FQ148" s="56">
        <v>0</v>
      </c>
      <c r="FR148" s="56">
        <v>0</v>
      </c>
      <c r="FS148" s="58">
        <v>0</v>
      </c>
      <c r="FT148" s="56">
        <v>0</v>
      </c>
      <c r="FU148" s="56">
        <v>0</v>
      </c>
      <c r="FV148" s="56">
        <v>0</v>
      </c>
      <c r="FW148" s="56">
        <v>0</v>
      </c>
      <c r="FX148" s="56">
        <v>0</v>
      </c>
      <c r="FY148" s="56">
        <v>0</v>
      </c>
      <c r="FZ148" s="54" t="s">
        <v>1070</v>
      </c>
      <c r="GA148" s="54" t="s">
        <v>1071</v>
      </c>
      <c r="GB148" s="54" t="s">
        <v>1072</v>
      </c>
      <c r="GC148" s="54" t="s">
        <v>1073</v>
      </c>
      <c r="GD148" s="54"/>
      <c r="GE148" s="54"/>
      <c r="GF148" s="54"/>
      <c r="GG148" s="55"/>
      <c r="GH148" s="54"/>
      <c r="GI148" s="54"/>
      <c r="GJ148" s="54" t="s">
        <v>1076</v>
      </c>
      <c r="GK148" s="54" t="s">
        <v>1077</v>
      </c>
      <c r="GL148" s="54"/>
      <c r="GM148" s="54"/>
      <c r="GN148" s="54" t="s">
        <v>1208</v>
      </c>
      <c r="GO148" s="54" t="s">
        <v>1209</v>
      </c>
      <c r="GP148" s="54"/>
      <c r="GQ148" s="56">
        <v>0</v>
      </c>
      <c r="GR148" s="54" t="s">
        <v>1210</v>
      </c>
      <c r="GS148" s="54"/>
    </row>
    <row r="149" spans="1:201" x14ac:dyDescent="0.25">
      <c r="A149" s="54" t="s">
        <v>1032</v>
      </c>
      <c r="B149" s="54" t="s">
        <v>1033</v>
      </c>
      <c r="C149" s="54" t="s">
        <v>1249</v>
      </c>
      <c r="D149" s="54" t="s">
        <v>1035</v>
      </c>
      <c r="E149" s="54" t="s">
        <v>1036</v>
      </c>
      <c r="F149" s="55">
        <v>46185</v>
      </c>
      <c r="G149" s="55">
        <v>46185</v>
      </c>
      <c r="H149" s="54" t="s">
        <v>1037</v>
      </c>
      <c r="I149" s="54" t="s">
        <v>1038</v>
      </c>
      <c r="J149" s="54" t="s">
        <v>1039</v>
      </c>
      <c r="K149" s="55"/>
      <c r="L149" s="54" t="s">
        <v>1040</v>
      </c>
      <c r="M149" s="54"/>
      <c r="N149" s="54" t="s">
        <v>1250</v>
      </c>
      <c r="O149" s="54" t="s">
        <v>1080</v>
      </c>
      <c r="P149" s="54" t="s">
        <v>342</v>
      </c>
      <c r="Q149" s="54" t="s">
        <v>71</v>
      </c>
      <c r="R149" s="54" t="s">
        <v>1043</v>
      </c>
      <c r="S149" s="56">
        <v>456</v>
      </c>
      <c r="T149" s="56">
        <v>456</v>
      </c>
      <c r="U149" s="56">
        <v>0</v>
      </c>
      <c r="V149" s="56">
        <v>0</v>
      </c>
      <c r="W149" s="56">
        <v>0</v>
      </c>
      <c r="X149" s="56">
        <v>0</v>
      </c>
      <c r="Y149" s="56">
        <v>0</v>
      </c>
      <c r="Z149" s="56">
        <v>240</v>
      </c>
      <c r="AA149" s="56">
        <v>240</v>
      </c>
      <c r="AB149" s="59">
        <v>0</v>
      </c>
      <c r="AC149" s="56">
        <v>0</v>
      </c>
      <c r="AD149" s="56">
        <v>0</v>
      </c>
      <c r="AE149" s="56">
        <v>0</v>
      </c>
      <c r="AF149" s="54" t="s">
        <v>1199</v>
      </c>
      <c r="AG149" s="57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 t="s">
        <v>1045</v>
      </c>
      <c r="AS149" s="54" t="s">
        <v>1046</v>
      </c>
      <c r="AT149" s="54" t="s">
        <v>1047</v>
      </c>
      <c r="AU149" s="54" t="s">
        <v>1048</v>
      </c>
      <c r="AV149" s="54"/>
      <c r="AW149" s="55">
        <v>46198</v>
      </c>
      <c r="AX149" s="55">
        <v>46185</v>
      </c>
      <c r="AY149" s="55">
        <v>46185</v>
      </c>
      <c r="AZ149" s="55">
        <v>46188</v>
      </c>
      <c r="BA149" s="55">
        <v>46198</v>
      </c>
      <c r="BB149" s="56">
        <v>0</v>
      </c>
      <c r="BC149" s="56">
        <v>0</v>
      </c>
      <c r="BD149" s="56">
        <v>0</v>
      </c>
      <c r="BE149" s="56">
        <v>0</v>
      </c>
      <c r="BF149" s="56">
        <v>0</v>
      </c>
      <c r="BG149" s="56">
        <v>0</v>
      </c>
      <c r="BH149" s="56">
        <v>0</v>
      </c>
      <c r="BI149" s="56">
        <v>0</v>
      </c>
      <c r="BJ149" s="56">
        <v>0</v>
      </c>
      <c r="BK149" s="56">
        <v>0</v>
      </c>
      <c r="BL149" s="56">
        <v>0</v>
      </c>
      <c r="BM149" s="56">
        <v>0</v>
      </c>
      <c r="BN149" s="56">
        <v>0</v>
      </c>
      <c r="BO149" s="56">
        <v>0</v>
      </c>
      <c r="BP149" s="54" t="s">
        <v>1049</v>
      </c>
      <c r="BQ149" s="54" t="s">
        <v>1050</v>
      </c>
      <c r="BR149" s="54" t="s">
        <v>1049</v>
      </c>
      <c r="BS149" s="54" t="s">
        <v>1050</v>
      </c>
      <c r="BT149" s="54" t="s">
        <v>1051</v>
      </c>
      <c r="BU149" s="54" t="s">
        <v>1043</v>
      </c>
      <c r="BV149" s="58">
        <v>240</v>
      </c>
      <c r="BW149" s="54" t="s">
        <v>1052</v>
      </c>
      <c r="BX149" s="54" t="s">
        <v>1053</v>
      </c>
      <c r="BY149" s="54" t="s">
        <v>1054</v>
      </c>
      <c r="BZ149" s="54" t="s">
        <v>1055</v>
      </c>
      <c r="CA149" s="55"/>
      <c r="CB149" s="54" t="s">
        <v>1056</v>
      </c>
      <c r="CC149" s="54" t="s">
        <v>1057</v>
      </c>
      <c r="CD149" s="54" t="s">
        <v>1200</v>
      </c>
      <c r="CE149" s="54" t="s">
        <v>1201</v>
      </c>
      <c r="CF149" s="54" t="s">
        <v>1202</v>
      </c>
      <c r="CG149" s="54" t="s">
        <v>1203</v>
      </c>
      <c r="CH149" s="54" t="s">
        <v>1204</v>
      </c>
      <c r="CI149" s="54" t="s">
        <v>1203</v>
      </c>
      <c r="CJ149" s="54" t="s">
        <v>1064</v>
      </c>
      <c r="CK149" s="54" t="s">
        <v>1065</v>
      </c>
      <c r="CL149" s="54" t="s">
        <v>1205</v>
      </c>
      <c r="CM149" s="54" t="s">
        <v>1206</v>
      </c>
      <c r="CN149" s="54" t="s">
        <v>1068</v>
      </c>
      <c r="CO149" s="54" t="s">
        <v>1069</v>
      </c>
      <c r="CP149" s="56">
        <v>0</v>
      </c>
      <c r="CQ149" s="56">
        <v>0</v>
      </c>
      <c r="CR149" s="56">
        <v>0</v>
      </c>
      <c r="CS149" s="56">
        <v>0</v>
      </c>
      <c r="CT149" s="56">
        <v>0</v>
      </c>
      <c r="CU149" s="56">
        <v>0</v>
      </c>
      <c r="CV149" s="56">
        <v>0</v>
      </c>
      <c r="CW149" s="56">
        <v>0</v>
      </c>
      <c r="CX149" s="56">
        <v>0</v>
      </c>
      <c r="CY149" s="56">
        <v>0</v>
      </c>
      <c r="CZ149" s="56">
        <v>0</v>
      </c>
      <c r="DA149" s="56">
        <v>0</v>
      </c>
      <c r="DB149" s="56">
        <v>0</v>
      </c>
      <c r="DC149" s="56">
        <v>0</v>
      </c>
      <c r="DD149" s="56">
        <v>0</v>
      </c>
      <c r="DE149" s="56">
        <v>0</v>
      </c>
      <c r="DF149" s="56">
        <v>0</v>
      </c>
      <c r="DG149" s="56">
        <v>0</v>
      </c>
      <c r="DH149" s="56">
        <v>0</v>
      </c>
      <c r="DI149" s="56">
        <v>0</v>
      </c>
      <c r="DJ149" s="56">
        <v>0</v>
      </c>
      <c r="DK149" s="56">
        <v>0</v>
      </c>
      <c r="DL149" s="56">
        <v>0</v>
      </c>
      <c r="DM149" s="56">
        <v>0</v>
      </c>
      <c r="DN149" s="56">
        <v>0</v>
      </c>
      <c r="DO149" s="56">
        <v>0</v>
      </c>
      <c r="DP149" s="56">
        <v>0</v>
      </c>
      <c r="DQ149" s="56">
        <v>0</v>
      </c>
      <c r="DR149" s="56">
        <v>0</v>
      </c>
      <c r="DS149" s="56">
        <v>0</v>
      </c>
      <c r="DT149" s="56">
        <v>0</v>
      </c>
      <c r="DU149" s="56">
        <v>0</v>
      </c>
      <c r="DV149" s="56">
        <v>0</v>
      </c>
      <c r="DW149" s="56">
        <v>0</v>
      </c>
      <c r="DX149" s="56">
        <v>0</v>
      </c>
      <c r="DY149" s="56">
        <v>0</v>
      </c>
      <c r="DZ149" s="56">
        <v>0</v>
      </c>
      <c r="EA149" s="56">
        <v>0</v>
      </c>
      <c r="EB149" s="56">
        <v>0</v>
      </c>
      <c r="EC149" s="56">
        <v>0</v>
      </c>
      <c r="ED149" s="56">
        <v>0</v>
      </c>
      <c r="EE149" s="56">
        <v>0</v>
      </c>
      <c r="EF149" s="56">
        <v>0</v>
      </c>
      <c r="EG149" s="56">
        <v>0</v>
      </c>
      <c r="EH149" s="56">
        <v>54.72</v>
      </c>
      <c r="EI149" s="56">
        <v>0</v>
      </c>
      <c r="EJ149" s="56">
        <v>0</v>
      </c>
      <c r="EK149" s="56">
        <v>0</v>
      </c>
      <c r="EL149" s="56">
        <v>0</v>
      </c>
      <c r="EM149" s="56">
        <v>0</v>
      </c>
      <c r="EN149" s="56">
        <v>0</v>
      </c>
      <c r="EO149" s="56">
        <v>0</v>
      </c>
      <c r="EP149" s="56">
        <v>0</v>
      </c>
      <c r="EQ149" s="56">
        <v>0</v>
      </c>
      <c r="ER149" s="56">
        <v>0</v>
      </c>
      <c r="ES149" s="56">
        <v>0</v>
      </c>
      <c r="ET149" s="56">
        <v>0</v>
      </c>
      <c r="EU149" s="56">
        <v>0</v>
      </c>
      <c r="EV149" s="56">
        <v>0</v>
      </c>
      <c r="EW149" s="56">
        <v>0</v>
      </c>
      <c r="EX149" s="56">
        <v>0</v>
      </c>
      <c r="EY149" s="56">
        <v>0</v>
      </c>
      <c r="EZ149" s="56">
        <v>0</v>
      </c>
      <c r="FA149" s="56">
        <v>0</v>
      </c>
      <c r="FB149" s="56">
        <v>0</v>
      </c>
      <c r="FC149" s="58">
        <v>0</v>
      </c>
      <c r="FD149" s="56">
        <v>0</v>
      </c>
      <c r="FE149" s="56">
        <v>0</v>
      </c>
      <c r="FF149" s="56">
        <v>0</v>
      </c>
      <c r="FG149" s="56">
        <v>0</v>
      </c>
      <c r="FH149" s="56">
        <v>0</v>
      </c>
      <c r="FI149" s="56">
        <v>0</v>
      </c>
      <c r="FJ149" s="56">
        <v>0</v>
      </c>
      <c r="FK149" s="56">
        <v>0</v>
      </c>
      <c r="FL149" s="56">
        <v>0</v>
      </c>
      <c r="FM149" s="56">
        <v>0</v>
      </c>
      <c r="FN149" s="56">
        <v>0</v>
      </c>
      <c r="FO149" s="56">
        <v>0</v>
      </c>
      <c r="FP149" s="56">
        <v>0</v>
      </c>
      <c r="FQ149" s="56">
        <v>0</v>
      </c>
      <c r="FR149" s="56">
        <v>0</v>
      </c>
      <c r="FS149" s="58">
        <v>0</v>
      </c>
      <c r="FT149" s="56">
        <v>0</v>
      </c>
      <c r="FU149" s="56">
        <v>0</v>
      </c>
      <c r="FV149" s="56">
        <v>0</v>
      </c>
      <c r="FW149" s="56">
        <v>0</v>
      </c>
      <c r="FX149" s="56">
        <v>0</v>
      </c>
      <c r="FY149" s="56">
        <v>0</v>
      </c>
      <c r="FZ149" s="54" t="s">
        <v>1070</v>
      </c>
      <c r="GA149" s="54" t="s">
        <v>1071</v>
      </c>
      <c r="GB149" s="54" t="s">
        <v>1072</v>
      </c>
      <c r="GC149" s="54" t="s">
        <v>1073</v>
      </c>
      <c r="GD149" s="54" t="s">
        <v>1214</v>
      </c>
      <c r="GE149" s="54" t="s">
        <v>1201</v>
      </c>
      <c r="GF149" s="54"/>
      <c r="GG149" s="55"/>
      <c r="GH149" s="54"/>
      <c r="GI149" s="54"/>
      <c r="GJ149" s="54" t="s">
        <v>1076</v>
      </c>
      <c r="GK149" s="54" t="s">
        <v>1077</v>
      </c>
      <c r="GL149" s="54"/>
      <c r="GM149" s="54"/>
      <c r="GN149" s="54" t="s">
        <v>1208</v>
      </c>
      <c r="GO149" s="54" t="s">
        <v>1209</v>
      </c>
      <c r="GP149" s="54"/>
      <c r="GQ149" s="56">
        <v>0</v>
      </c>
      <c r="GR149" s="54" t="s">
        <v>1210</v>
      </c>
      <c r="GS149" s="54"/>
    </row>
    <row r="150" spans="1:201" x14ac:dyDescent="0.25">
      <c r="A150" s="54" t="s">
        <v>1032</v>
      </c>
      <c r="B150" s="54" t="s">
        <v>1033</v>
      </c>
      <c r="C150" s="54" t="s">
        <v>1249</v>
      </c>
      <c r="D150" s="54" t="s">
        <v>1035</v>
      </c>
      <c r="E150" s="54" t="s">
        <v>1036</v>
      </c>
      <c r="F150" s="55">
        <v>46185</v>
      </c>
      <c r="G150" s="55">
        <v>46185</v>
      </c>
      <c r="H150" s="54" t="s">
        <v>1037</v>
      </c>
      <c r="I150" s="54" t="s">
        <v>1038</v>
      </c>
      <c r="J150" s="54" t="s">
        <v>1039</v>
      </c>
      <c r="K150" s="55"/>
      <c r="L150" s="54" t="s">
        <v>1040</v>
      </c>
      <c r="M150" s="54"/>
      <c r="N150" s="54" t="s">
        <v>1250</v>
      </c>
      <c r="O150" s="54" t="s">
        <v>1086</v>
      </c>
      <c r="P150" s="54" t="s">
        <v>343</v>
      </c>
      <c r="Q150" s="54" t="s">
        <v>72</v>
      </c>
      <c r="R150" s="54" t="s">
        <v>1043</v>
      </c>
      <c r="S150" s="56">
        <v>712.8</v>
      </c>
      <c r="T150" s="56">
        <v>712.8</v>
      </c>
      <c r="U150" s="56">
        <v>0</v>
      </c>
      <c r="V150" s="56">
        <v>0</v>
      </c>
      <c r="W150" s="56">
        <v>0</v>
      </c>
      <c r="X150" s="56">
        <v>0</v>
      </c>
      <c r="Y150" s="56">
        <v>0</v>
      </c>
      <c r="Z150" s="56">
        <v>240</v>
      </c>
      <c r="AA150" s="56">
        <v>240</v>
      </c>
      <c r="AB150" s="59">
        <v>0</v>
      </c>
      <c r="AC150" s="56">
        <v>0</v>
      </c>
      <c r="AD150" s="56">
        <v>0</v>
      </c>
      <c r="AE150" s="56">
        <v>0</v>
      </c>
      <c r="AF150" s="54" t="s">
        <v>1199</v>
      </c>
      <c r="AG150" s="57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 t="s">
        <v>1045</v>
      </c>
      <c r="AS150" s="54" t="s">
        <v>1046</v>
      </c>
      <c r="AT150" s="54" t="s">
        <v>1047</v>
      </c>
      <c r="AU150" s="54" t="s">
        <v>1048</v>
      </c>
      <c r="AV150" s="54"/>
      <c r="AW150" s="55">
        <v>46198</v>
      </c>
      <c r="AX150" s="55">
        <v>46185</v>
      </c>
      <c r="AY150" s="55">
        <v>46185</v>
      </c>
      <c r="AZ150" s="55">
        <v>46188</v>
      </c>
      <c r="BA150" s="55">
        <v>46198</v>
      </c>
      <c r="BB150" s="56">
        <v>0</v>
      </c>
      <c r="BC150" s="56">
        <v>0</v>
      </c>
      <c r="BD150" s="56">
        <v>0</v>
      </c>
      <c r="BE150" s="56">
        <v>0</v>
      </c>
      <c r="BF150" s="56">
        <v>0</v>
      </c>
      <c r="BG150" s="56">
        <v>0</v>
      </c>
      <c r="BH150" s="56">
        <v>0</v>
      </c>
      <c r="BI150" s="56">
        <v>0</v>
      </c>
      <c r="BJ150" s="56">
        <v>0</v>
      </c>
      <c r="BK150" s="56">
        <v>0</v>
      </c>
      <c r="BL150" s="56">
        <v>0</v>
      </c>
      <c r="BM150" s="56">
        <v>0</v>
      </c>
      <c r="BN150" s="56">
        <v>0</v>
      </c>
      <c r="BO150" s="56">
        <v>0</v>
      </c>
      <c r="BP150" s="54" t="s">
        <v>1049</v>
      </c>
      <c r="BQ150" s="54" t="s">
        <v>1050</v>
      </c>
      <c r="BR150" s="54" t="s">
        <v>1049</v>
      </c>
      <c r="BS150" s="54" t="s">
        <v>1050</v>
      </c>
      <c r="BT150" s="54" t="s">
        <v>1051</v>
      </c>
      <c r="BU150" s="54" t="s">
        <v>1043</v>
      </c>
      <c r="BV150" s="58">
        <v>240</v>
      </c>
      <c r="BW150" s="54" t="s">
        <v>1052</v>
      </c>
      <c r="BX150" s="54" t="s">
        <v>1053</v>
      </c>
      <c r="BY150" s="54" t="s">
        <v>1054</v>
      </c>
      <c r="BZ150" s="54" t="s">
        <v>1055</v>
      </c>
      <c r="CA150" s="55"/>
      <c r="CB150" s="54" t="s">
        <v>1056</v>
      </c>
      <c r="CC150" s="54" t="s">
        <v>1057</v>
      </c>
      <c r="CD150" s="54" t="s">
        <v>1200</v>
      </c>
      <c r="CE150" s="54" t="s">
        <v>1201</v>
      </c>
      <c r="CF150" s="54" t="s">
        <v>1202</v>
      </c>
      <c r="CG150" s="54" t="s">
        <v>1203</v>
      </c>
      <c r="CH150" s="54" t="s">
        <v>1204</v>
      </c>
      <c r="CI150" s="54" t="s">
        <v>1203</v>
      </c>
      <c r="CJ150" s="54" t="s">
        <v>1064</v>
      </c>
      <c r="CK150" s="54" t="s">
        <v>1065</v>
      </c>
      <c r="CL150" s="54" t="s">
        <v>1205</v>
      </c>
      <c r="CM150" s="54" t="s">
        <v>1206</v>
      </c>
      <c r="CN150" s="54" t="s">
        <v>1068</v>
      </c>
      <c r="CO150" s="54" t="s">
        <v>1069</v>
      </c>
      <c r="CP150" s="56">
        <v>0</v>
      </c>
      <c r="CQ150" s="56">
        <v>0</v>
      </c>
      <c r="CR150" s="56">
        <v>0</v>
      </c>
      <c r="CS150" s="56">
        <v>0</v>
      </c>
      <c r="CT150" s="56">
        <v>0</v>
      </c>
      <c r="CU150" s="56">
        <v>0</v>
      </c>
      <c r="CV150" s="56">
        <v>0</v>
      </c>
      <c r="CW150" s="56">
        <v>0</v>
      </c>
      <c r="CX150" s="56">
        <v>0</v>
      </c>
      <c r="CY150" s="56">
        <v>0</v>
      </c>
      <c r="CZ150" s="56">
        <v>0</v>
      </c>
      <c r="DA150" s="56">
        <v>0</v>
      </c>
      <c r="DB150" s="56">
        <v>0</v>
      </c>
      <c r="DC150" s="56">
        <v>0</v>
      </c>
      <c r="DD150" s="56">
        <v>0</v>
      </c>
      <c r="DE150" s="56">
        <v>0</v>
      </c>
      <c r="DF150" s="56">
        <v>0</v>
      </c>
      <c r="DG150" s="56">
        <v>0</v>
      </c>
      <c r="DH150" s="56">
        <v>0</v>
      </c>
      <c r="DI150" s="56">
        <v>0</v>
      </c>
      <c r="DJ150" s="56">
        <v>0</v>
      </c>
      <c r="DK150" s="56">
        <v>0</v>
      </c>
      <c r="DL150" s="56">
        <v>0</v>
      </c>
      <c r="DM150" s="56">
        <v>0</v>
      </c>
      <c r="DN150" s="56">
        <v>0</v>
      </c>
      <c r="DO150" s="56">
        <v>0</v>
      </c>
      <c r="DP150" s="56">
        <v>0</v>
      </c>
      <c r="DQ150" s="56">
        <v>0</v>
      </c>
      <c r="DR150" s="56">
        <v>0</v>
      </c>
      <c r="DS150" s="56">
        <v>0</v>
      </c>
      <c r="DT150" s="56">
        <v>0</v>
      </c>
      <c r="DU150" s="56">
        <v>0</v>
      </c>
      <c r="DV150" s="56">
        <v>0</v>
      </c>
      <c r="DW150" s="56">
        <v>0</v>
      </c>
      <c r="DX150" s="56">
        <v>0</v>
      </c>
      <c r="DY150" s="56">
        <v>0</v>
      </c>
      <c r="DZ150" s="56">
        <v>0</v>
      </c>
      <c r="EA150" s="56">
        <v>0</v>
      </c>
      <c r="EB150" s="56">
        <v>0</v>
      </c>
      <c r="EC150" s="56">
        <v>0</v>
      </c>
      <c r="ED150" s="56">
        <v>0</v>
      </c>
      <c r="EE150" s="56">
        <v>0</v>
      </c>
      <c r="EF150" s="56">
        <v>0</v>
      </c>
      <c r="EG150" s="56">
        <v>0</v>
      </c>
      <c r="EH150" s="56">
        <v>85.54</v>
      </c>
      <c r="EI150" s="56">
        <v>0</v>
      </c>
      <c r="EJ150" s="56">
        <v>0</v>
      </c>
      <c r="EK150" s="56">
        <v>0</v>
      </c>
      <c r="EL150" s="56">
        <v>0</v>
      </c>
      <c r="EM150" s="56">
        <v>0</v>
      </c>
      <c r="EN150" s="56">
        <v>0</v>
      </c>
      <c r="EO150" s="56">
        <v>0</v>
      </c>
      <c r="EP150" s="56">
        <v>0</v>
      </c>
      <c r="EQ150" s="56">
        <v>0</v>
      </c>
      <c r="ER150" s="56">
        <v>0</v>
      </c>
      <c r="ES150" s="56">
        <v>0</v>
      </c>
      <c r="ET150" s="56">
        <v>0</v>
      </c>
      <c r="EU150" s="56">
        <v>0</v>
      </c>
      <c r="EV150" s="56">
        <v>0</v>
      </c>
      <c r="EW150" s="56">
        <v>0</v>
      </c>
      <c r="EX150" s="56">
        <v>0</v>
      </c>
      <c r="EY150" s="56">
        <v>0</v>
      </c>
      <c r="EZ150" s="56">
        <v>0</v>
      </c>
      <c r="FA150" s="56">
        <v>0</v>
      </c>
      <c r="FB150" s="56">
        <v>0</v>
      </c>
      <c r="FC150" s="58">
        <v>0</v>
      </c>
      <c r="FD150" s="56">
        <v>0</v>
      </c>
      <c r="FE150" s="56">
        <v>0</v>
      </c>
      <c r="FF150" s="56">
        <v>0</v>
      </c>
      <c r="FG150" s="56">
        <v>0</v>
      </c>
      <c r="FH150" s="56">
        <v>0</v>
      </c>
      <c r="FI150" s="56">
        <v>0</v>
      </c>
      <c r="FJ150" s="56">
        <v>0</v>
      </c>
      <c r="FK150" s="56">
        <v>0</v>
      </c>
      <c r="FL150" s="56">
        <v>0</v>
      </c>
      <c r="FM150" s="56">
        <v>0</v>
      </c>
      <c r="FN150" s="56">
        <v>0</v>
      </c>
      <c r="FO150" s="56">
        <v>0</v>
      </c>
      <c r="FP150" s="56">
        <v>0</v>
      </c>
      <c r="FQ150" s="56">
        <v>0</v>
      </c>
      <c r="FR150" s="56">
        <v>0</v>
      </c>
      <c r="FS150" s="58">
        <v>0</v>
      </c>
      <c r="FT150" s="56">
        <v>0</v>
      </c>
      <c r="FU150" s="56">
        <v>0</v>
      </c>
      <c r="FV150" s="56">
        <v>0</v>
      </c>
      <c r="FW150" s="56">
        <v>0</v>
      </c>
      <c r="FX150" s="56">
        <v>0</v>
      </c>
      <c r="FY150" s="56">
        <v>0</v>
      </c>
      <c r="FZ150" s="54" t="s">
        <v>1070</v>
      </c>
      <c r="GA150" s="54" t="s">
        <v>1071</v>
      </c>
      <c r="GB150" s="54" t="s">
        <v>1072</v>
      </c>
      <c r="GC150" s="54" t="s">
        <v>1073</v>
      </c>
      <c r="GD150" s="54" t="s">
        <v>1214</v>
      </c>
      <c r="GE150" s="54" t="s">
        <v>1201</v>
      </c>
      <c r="GF150" s="54"/>
      <c r="GG150" s="55"/>
      <c r="GH150" s="54"/>
      <c r="GI150" s="54"/>
      <c r="GJ150" s="54" t="s">
        <v>1076</v>
      </c>
      <c r="GK150" s="54" t="s">
        <v>1077</v>
      </c>
      <c r="GL150" s="54"/>
      <c r="GM150" s="54"/>
      <c r="GN150" s="54" t="s">
        <v>1208</v>
      </c>
      <c r="GO150" s="54" t="s">
        <v>1209</v>
      </c>
      <c r="GP150" s="54"/>
      <c r="GQ150" s="56">
        <v>0</v>
      </c>
      <c r="GR150" s="54" t="s">
        <v>1210</v>
      </c>
      <c r="GS150" s="54"/>
    </row>
    <row r="151" spans="1:201" x14ac:dyDescent="0.25">
      <c r="A151" s="54" t="s">
        <v>1032</v>
      </c>
      <c r="B151" s="54" t="s">
        <v>1033</v>
      </c>
      <c r="C151" s="54" t="s">
        <v>1249</v>
      </c>
      <c r="D151" s="54" t="s">
        <v>1035</v>
      </c>
      <c r="E151" s="54" t="s">
        <v>1036</v>
      </c>
      <c r="F151" s="55">
        <v>46185</v>
      </c>
      <c r="G151" s="55">
        <v>46185</v>
      </c>
      <c r="H151" s="54" t="s">
        <v>1037</v>
      </c>
      <c r="I151" s="54" t="s">
        <v>1038</v>
      </c>
      <c r="J151" s="54" t="s">
        <v>1039</v>
      </c>
      <c r="K151" s="55"/>
      <c r="L151" s="54" t="s">
        <v>1040</v>
      </c>
      <c r="M151" s="54"/>
      <c r="N151" s="54" t="s">
        <v>1250</v>
      </c>
      <c r="O151" s="54" t="s">
        <v>1088</v>
      </c>
      <c r="P151" s="54" t="s">
        <v>687</v>
      </c>
      <c r="Q151" s="54" t="s">
        <v>688</v>
      </c>
      <c r="R151" s="54" t="s">
        <v>1043</v>
      </c>
      <c r="S151" s="56">
        <v>208.8</v>
      </c>
      <c r="T151" s="56">
        <v>0</v>
      </c>
      <c r="U151" s="56">
        <v>0</v>
      </c>
      <c r="V151" s="56">
        <v>208.8</v>
      </c>
      <c r="W151" s="56">
        <v>0</v>
      </c>
      <c r="X151" s="56">
        <v>0</v>
      </c>
      <c r="Y151" s="56">
        <v>0</v>
      </c>
      <c r="Z151" s="56">
        <v>60</v>
      </c>
      <c r="AA151" s="56">
        <v>0</v>
      </c>
      <c r="AB151" s="59">
        <v>0</v>
      </c>
      <c r="AC151" s="56">
        <v>60</v>
      </c>
      <c r="AD151" s="56">
        <v>0</v>
      </c>
      <c r="AE151" s="56">
        <v>0</v>
      </c>
      <c r="AF151" s="54" t="s">
        <v>1199</v>
      </c>
      <c r="AG151" s="57"/>
      <c r="AH151" s="54" t="s">
        <v>1123</v>
      </c>
      <c r="AI151" s="54" t="s">
        <v>1124</v>
      </c>
      <c r="AJ151" s="54"/>
      <c r="AK151" s="54"/>
      <c r="AL151" s="54"/>
      <c r="AM151" s="54"/>
      <c r="AN151" s="54"/>
      <c r="AO151" s="54"/>
      <c r="AP151" s="54"/>
      <c r="AQ151" s="54"/>
      <c r="AR151" s="54" t="s">
        <v>1045</v>
      </c>
      <c r="AS151" s="54" t="s">
        <v>1046</v>
      </c>
      <c r="AT151" s="54" t="s">
        <v>1047</v>
      </c>
      <c r="AU151" s="54" t="s">
        <v>1048</v>
      </c>
      <c r="AV151" s="54"/>
      <c r="AW151" s="55">
        <v>46198</v>
      </c>
      <c r="AX151" s="55">
        <v>46185</v>
      </c>
      <c r="AY151" s="55">
        <v>46185</v>
      </c>
      <c r="AZ151" s="55"/>
      <c r="BA151" s="55">
        <v>46198</v>
      </c>
      <c r="BB151" s="56">
        <v>0</v>
      </c>
      <c r="BC151" s="56">
        <v>0</v>
      </c>
      <c r="BD151" s="56">
        <v>0</v>
      </c>
      <c r="BE151" s="56">
        <v>0</v>
      </c>
      <c r="BF151" s="56">
        <v>0</v>
      </c>
      <c r="BG151" s="56">
        <v>0</v>
      </c>
      <c r="BH151" s="56">
        <v>0</v>
      </c>
      <c r="BI151" s="56">
        <v>0</v>
      </c>
      <c r="BJ151" s="56">
        <v>0</v>
      </c>
      <c r="BK151" s="56">
        <v>0</v>
      </c>
      <c r="BL151" s="56">
        <v>0</v>
      </c>
      <c r="BM151" s="56">
        <v>0</v>
      </c>
      <c r="BN151" s="56">
        <v>0</v>
      </c>
      <c r="BO151" s="56">
        <v>0</v>
      </c>
      <c r="BP151" s="54" t="s">
        <v>1049</v>
      </c>
      <c r="BQ151" s="54" t="s">
        <v>1050</v>
      </c>
      <c r="BR151" s="54" t="s">
        <v>1049</v>
      </c>
      <c r="BS151" s="54" t="s">
        <v>1050</v>
      </c>
      <c r="BT151" s="54" t="s">
        <v>1051</v>
      </c>
      <c r="BU151" s="54" t="s">
        <v>1043</v>
      </c>
      <c r="BV151" s="58">
        <v>0</v>
      </c>
      <c r="BW151" s="54" t="s">
        <v>1052</v>
      </c>
      <c r="BX151" s="54" t="s">
        <v>1053</v>
      </c>
      <c r="BY151" s="54" t="s">
        <v>1054</v>
      </c>
      <c r="BZ151" s="54" t="s">
        <v>1055</v>
      </c>
      <c r="CA151" s="55"/>
      <c r="CB151" s="54" t="s">
        <v>1056</v>
      </c>
      <c r="CC151" s="54" t="s">
        <v>1057</v>
      </c>
      <c r="CD151" s="54" t="s">
        <v>1200</v>
      </c>
      <c r="CE151" s="54" t="s">
        <v>1201</v>
      </c>
      <c r="CF151" s="54" t="s">
        <v>1202</v>
      </c>
      <c r="CG151" s="54" t="s">
        <v>1203</v>
      </c>
      <c r="CH151" s="54" t="s">
        <v>1204</v>
      </c>
      <c r="CI151" s="54" t="s">
        <v>1203</v>
      </c>
      <c r="CJ151" s="54" t="s">
        <v>1064</v>
      </c>
      <c r="CK151" s="54" t="s">
        <v>1065</v>
      </c>
      <c r="CL151" s="54" t="s">
        <v>1205</v>
      </c>
      <c r="CM151" s="54" t="s">
        <v>1206</v>
      </c>
      <c r="CN151" s="54" t="s">
        <v>1068</v>
      </c>
      <c r="CO151" s="54" t="s">
        <v>1069</v>
      </c>
      <c r="CP151" s="56">
        <v>0</v>
      </c>
      <c r="CQ151" s="56">
        <v>0</v>
      </c>
      <c r="CR151" s="56">
        <v>0</v>
      </c>
      <c r="CS151" s="56">
        <v>0</v>
      </c>
      <c r="CT151" s="56">
        <v>0</v>
      </c>
      <c r="CU151" s="56">
        <v>0</v>
      </c>
      <c r="CV151" s="56">
        <v>0</v>
      </c>
      <c r="CW151" s="56">
        <v>0</v>
      </c>
      <c r="CX151" s="56">
        <v>0</v>
      </c>
      <c r="CY151" s="56">
        <v>0</v>
      </c>
      <c r="CZ151" s="56">
        <v>0</v>
      </c>
      <c r="DA151" s="56">
        <v>0</v>
      </c>
      <c r="DB151" s="56">
        <v>0</v>
      </c>
      <c r="DC151" s="56">
        <v>0</v>
      </c>
      <c r="DD151" s="56">
        <v>0</v>
      </c>
      <c r="DE151" s="56">
        <v>0</v>
      </c>
      <c r="DF151" s="56">
        <v>0</v>
      </c>
      <c r="DG151" s="56">
        <v>0</v>
      </c>
      <c r="DH151" s="56">
        <v>0</v>
      </c>
      <c r="DI151" s="56">
        <v>0</v>
      </c>
      <c r="DJ151" s="56">
        <v>0</v>
      </c>
      <c r="DK151" s="56">
        <v>0</v>
      </c>
      <c r="DL151" s="56">
        <v>0</v>
      </c>
      <c r="DM151" s="56">
        <v>0</v>
      </c>
      <c r="DN151" s="56">
        <v>0</v>
      </c>
      <c r="DO151" s="56">
        <v>0</v>
      </c>
      <c r="DP151" s="56">
        <v>0</v>
      </c>
      <c r="DQ151" s="56">
        <v>0</v>
      </c>
      <c r="DR151" s="56">
        <v>0</v>
      </c>
      <c r="DS151" s="56">
        <v>0</v>
      </c>
      <c r="DT151" s="56">
        <v>0</v>
      </c>
      <c r="DU151" s="56">
        <v>0</v>
      </c>
      <c r="DV151" s="56">
        <v>0</v>
      </c>
      <c r="DW151" s="56">
        <v>0</v>
      </c>
      <c r="DX151" s="56">
        <v>0</v>
      </c>
      <c r="DY151" s="56">
        <v>0</v>
      </c>
      <c r="DZ151" s="56">
        <v>0</v>
      </c>
      <c r="EA151" s="56">
        <v>0</v>
      </c>
      <c r="EB151" s="56">
        <v>0</v>
      </c>
      <c r="EC151" s="56">
        <v>0</v>
      </c>
      <c r="ED151" s="56">
        <v>0</v>
      </c>
      <c r="EE151" s="56">
        <v>0</v>
      </c>
      <c r="EF151" s="56">
        <v>0</v>
      </c>
      <c r="EG151" s="56">
        <v>0</v>
      </c>
      <c r="EH151" s="56">
        <v>25.06</v>
      </c>
      <c r="EI151" s="56">
        <v>0</v>
      </c>
      <c r="EJ151" s="56">
        <v>0</v>
      </c>
      <c r="EK151" s="56">
        <v>0</v>
      </c>
      <c r="EL151" s="56">
        <v>0</v>
      </c>
      <c r="EM151" s="56">
        <v>0</v>
      </c>
      <c r="EN151" s="56">
        <v>0</v>
      </c>
      <c r="EO151" s="56">
        <v>0</v>
      </c>
      <c r="EP151" s="56">
        <v>0</v>
      </c>
      <c r="EQ151" s="56">
        <v>0</v>
      </c>
      <c r="ER151" s="56">
        <v>0</v>
      </c>
      <c r="ES151" s="56">
        <v>0</v>
      </c>
      <c r="ET151" s="56">
        <v>0</v>
      </c>
      <c r="EU151" s="56">
        <v>0</v>
      </c>
      <c r="EV151" s="56">
        <v>0</v>
      </c>
      <c r="EW151" s="56">
        <v>0</v>
      </c>
      <c r="EX151" s="56">
        <v>0</v>
      </c>
      <c r="EY151" s="56">
        <v>0</v>
      </c>
      <c r="EZ151" s="56">
        <v>0</v>
      </c>
      <c r="FA151" s="56">
        <v>0</v>
      </c>
      <c r="FB151" s="56">
        <v>0</v>
      </c>
      <c r="FC151" s="58">
        <v>0</v>
      </c>
      <c r="FD151" s="56">
        <v>0</v>
      </c>
      <c r="FE151" s="56">
        <v>0</v>
      </c>
      <c r="FF151" s="56">
        <v>0</v>
      </c>
      <c r="FG151" s="56">
        <v>0</v>
      </c>
      <c r="FH151" s="56">
        <v>0</v>
      </c>
      <c r="FI151" s="56">
        <v>0</v>
      </c>
      <c r="FJ151" s="56">
        <v>0</v>
      </c>
      <c r="FK151" s="56">
        <v>0</v>
      </c>
      <c r="FL151" s="56">
        <v>0</v>
      </c>
      <c r="FM151" s="56">
        <v>0</v>
      </c>
      <c r="FN151" s="56">
        <v>0</v>
      </c>
      <c r="FO151" s="56">
        <v>0</v>
      </c>
      <c r="FP151" s="56">
        <v>0</v>
      </c>
      <c r="FQ151" s="56">
        <v>0</v>
      </c>
      <c r="FR151" s="56">
        <v>0</v>
      </c>
      <c r="FS151" s="58">
        <v>0</v>
      </c>
      <c r="FT151" s="56">
        <v>0</v>
      </c>
      <c r="FU151" s="56">
        <v>0</v>
      </c>
      <c r="FV151" s="56">
        <v>0</v>
      </c>
      <c r="FW151" s="56">
        <v>0</v>
      </c>
      <c r="FX151" s="56">
        <v>0</v>
      </c>
      <c r="FY151" s="56">
        <v>0</v>
      </c>
      <c r="FZ151" s="54" t="s">
        <v>1070</v>
      </c>
      <c r="GA151" s="54" t="s">
        <v>1071</v>
      </c>
      <c r="GB151" s="54" t="s">
        <v>1072</v>
      </c>
      <c r="GC151" s="54" t="s">
        <v>1073</v>
      </c>
      <c r="GD151" s="54" t="s">
        <v>1251</v>
      </c>
      <c r="GE151" s="54" t="s">
        <v>1201</v>
      </c>
      <c r="GF151" s="54"/>
      <c r="GG151" s="55"/>
      <c r="GH151" s="54"/>
      <c r="GI151" s="54"/>
      <c r="GJ151" s="54" t="s">
        <v>1076</v>
      </c>
      <c r="GK151" s="54" t="s">
        <v>1077</v>
      </c>
      <c r="GL151" s="54"/>
      <c r="GM151" s="54"/>
      <c r="GN151" s="54" t="s">
        <v>1208</v>
      </c>
      <c r="GO151" s="54" t="s">
        <v>1209</v>
      </c>
      <c r="GP151" s="54"/>
      <c r="GQ151" s="56">
        <v>0</v>
      </c>
      <c r="GR151" s="54" t="s">
        <v>1210</v>
      </c>
      <c r="GS151" s="54"/>
    </row>
    <row r="152" spans="1:201" x14ac:dyDescent="0.25">
      <c r="A152" s="54" t="s">
        <v>1032</v>
      </c>
      <c r="B152" s="54" t="s">
        <v>1033</v>
      </c>
      <c r="C152" s="54" t="s">
        <v>1249</v>
      </c>
      <c r="D152" s="54" t="s">
        <v>1035</v>
      </c>
      <c r="E152" s="54" t="s">
        <v>1036</v>
      </c>
      <c r="F152" s="55">
        <v>46185</v>
      </c>
      <c r="G152" s="55">
        <v>46185</v>
      </c>
      <c r="H152" s="54" t="s">
        <v>1037</v>
      </c>
      <c r="I152" s="54" t="s">
        <v>1038</v>
      </c>
      <c r="J152" s="54" t="s">
        <v>1039</v>
      </c>
      <c r="K152" s="55"/>
      <c r="L152" s="54" t="s">
        <v>1040</v>
      </c>
      <c r="M152" s="54"/>
      <c r="N152" s="54" t="s">
        <v>1250</v>
      </c>
      <c r="O152" s="54" t="s">
        <v>1089</v>
      </c>
      <c r="P152" s="54" t="s">
        <v>241</v>
      </c>
      <c r="Q152" s="54" t="s">
        <v>85</v>
      </c>
      <c r="R152" s="54" t="s">
        <v>1043</v>
      </c>
      <c r="S152" s="56">
        <v>170.4</v>
      </c>
      <c r="T152" s="56">
        <v>170.4</v>
      </c>
      <c r="U152" s="56">
        <v>0</v>
      </c>
      <c r="V152" s="56">
        <v>0</v>
      </c>
      <c r="W152" s="56">
        <v>0</v>
      </c>
      <c r="X152" s="56">
        <v>0</v>
      </c>
      <c r="Y152" s="56">
        <v>0</v>
      </c>
      <c r="Z152" s="56">
        <v>120</v>
      </c>
      <c r="AA152" s="56">
        <v>120</v>
      </c>
      <c r="AB152" s="59">
        <v>0</v>
      </c>
      <c r="AC152" s="56">
        <v>0</v>
      </c>
      <c r="AD152" s="56">
        <v>0</v>
      </c>
      <c r="AE152" s="56">
        <v>0</v>
      </c>
      <c r="AF152" s="54" t="s">
        <v>1199</v>
      </c>
      <c r="AG152" s="57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 t="s">
        <v>1045</v>
      </c>
      <c r="AS152" s="54" t="s">
        <v>1046</v>
      </c>
      <c r="AT152" s="54" t="s">
        <v>1047</v>
      </c>
      <c r="AU152" s="54" t="s">
        <v>1048</v>
      </c>
      <c r="AV152" s="54"/>
      <c r="AW152" s="55">
        <v>46198</v>
      </c>
      <c r="AX152" s="55">
        <v>46185</v>
      </c>
      <c r="AY152" s="55">
        <v>46185</v>
      </c>
      <c r="AZ152" s="55">
        <v>46188</v>
      </c>
      <c r="BA152" s="55">
        <v>46198</v>
      </c>
      <c r="BB152" s="56">
        <v>0</v>
      </c>
      <c r="BC152" s="56">
        <v>0</v>
      </c>
      <c r="BD152" s="56">
        <v>0</v>
      </c>
      <c r="BE152" s="56">
        <v>0</v>
      </c>
      <c r="BF152" s="56">
        <v>0</v>
      </c>
      <c r="BG152" s="56">
        <v>0</v>
      </c>
      <c r="BH152" s="56">
        <v>0</v>
      </c>
      <c r="BI152" s="56">
        <v>0</v>
      </c>
      <c r="BJ152" s="56">
        <v>0</v>
      </c>
      <c r="BK152" s="56">
        <v>0</v>
      </c>
      <c r="BL152" s="56">
        <v>0</v>
      </c>
      <c r="BM152" s="56">
        <v>0</v>
      </c>
      <c r="BN152" s="56">
        <v>0</v>
      </c>
      <c r="BO152" s="56">
        <v>0</v>
      </c>
      <c r="BP152" s="54" t="s">
        <v>1049</v>
      </c>
      <c r="BQ152" s="54" t="s">
        <v>1050</v>
      </c>
      <c r="BR152" s="54" t="s">
        <v>1049</v>
      </c>
      <c r="BS152" s="54" t="s">
        <v>1050</v>
      </c>
      <c r="BT152" s="54" t="s">
        <v>1051</v>
      </c>
      <c r="BU152" s="54" t="s">
        <v>1043</v>
      </c>
      <c r="BV152" s="58">
        <v>120</v>
      </c>
      <c r="BW152" s="54" t="s">
        <v>1052</v>
      </c>
      <c r="BX152" s="54" t="s">
        <v>1053</v>
      </c>
      <c r="BY152" s="54" t="s">
        <v>1054</v>
      </c>
      <c r="BZ152" s="54" t="s">
        <v>1055</v>
      </c>
      <c r="CA152" s="55"/>
      <c r="CB152" s="54" t="s">
        <v>1056</v>
      </c>
      <c r="CC152" s="54" t="s">
        <v>1057</v>
      </c>
      <c r="CD152" s="54" t="s">
        <v>1200</v>
      </c>
      <c r="CE152" s="54" t="s">
        <v>1201</v>
      </c>
      <c r="CF152" s="54" t="s">
        <v>1202</v>
      </c>
      <c r="CG152" s="54" t="s">
        <v>1203</v>
      </c>
      <c r="CH152" s="54" t="s">
        <v>1204</v>
      </c>
      <c r="CI152" s="54" t="s">
        <v>1203</v>
      </c>
      <c r="CJ152" s="54" t="s">
        <v>1064</v>
      </c>
      <c r="CK152" s="54" t="s">
        <v>1065</v>
      </c>
      <c r="CL152" s="54" t="s">
        <v>1205</v>
      </c>
      <c r="CM152" s="54" t="s">
        <v>1206</v>
      </c>
      <c r="CN152" s="54" t="s">
        <v>1068</v>
      </c>
      <c r="CO152" s="54" t="s">
        <v>1069</v>
      </c>
      <c r="CP152" s="56">
        <v>0</v>
      </c>
      <c r="CQ152" s="56">
        <v>0</v>
      </c>
      <c r="CR152" s="56">
        <v>0</v>
      </c>
      <c r="CS152" s="56">
        <v>0</v>
      </c>
      <c r="CT152" s="56">
        <v>0</v>
      </c>
      <c r="CU152" s="56">
        <v>0</v>
      </c>
      <c r="CV152" s="56">
        <v>0</v>
      </c>
      <c r="CW152" s="56">
        <v>0</v>
      </c>
      <c r="CX152" s="56">
        <v>0</v>
      </c>
      <c r="CY152" s="56">
        <v>0</v>
      </c>
      <c r="CZ152" s="56">
        <v>0</v>
      </c>
      <c r="DA152" s="56">
        <v>0</v>
      </c>
      <c r="DB152" s="56">
        <v>0</v>
      </c>
      <c r="DC152" s="56">
        <v>0</v>
      </c>
      <c r="DD152" s="56">
        <v>0</v>
      </c>
      <c r="DE152" s="56">
        <v>0</v>
      </c>
      <c r="DF152" s="56">
        <v>0</v>
      </c>
      <c r="DG152" s="56">
        <v>0</v>
      </c>
      <c r="DH152" s="56">
        <v>0</v>
      </c>
      <c r="DI152" s="56">
        <v>0</v>
      </c>
      <c r="DJ152" s="56">
        <v>0</v>
      </c>
      <c r="DK152" s="56">
        <v>0</v>
      </c>
      <c r="DL152" s="56">
        <v>0</v>
      </c>
      <c r="DM152" s="56">
        <v>0</v>
      </c>
      <c r="DN152" s="56">
        <v>0</v>
      </c>
      <c r="DO152" s="56">
        <v>0</v>
      </c>
      <c r="DP152" s="56">
        <v>0</v>
      </c>
      <c r="DQ152" s="56">
        <v>0</v>
      </c>
      <c r="DR152" s="56">
        <v>0</v>
      </c>
      <c r="DS152" s="56">
        <v>0</v>
      </c>
      <c r="DT152" s="56">
        <v>0</v>
      </c>
      <c r="DU152" s="56">
        <v>0</v>
      </c>
      <c r="DV152" s="56">
        <v>0</v>
      </c>
      <c r="DW152" s="56">
        <v>0</v>
      </c>
      <c r="DX152" s="56">
        <v>0</v>
      </c>
      <c r="DY152" s="56">
        <v>0</v>
      </c>
      <c r="DZ152" s="56">
        <v>0</v>
      </c>
      <c r="EA152" s="56">
        <v>0</v>
      </c>
      <c r="EB152" s="56">
        <v>0</v>
      </c>
      <c r="EC152" s="56">
        <v>0</v>
      </c>
      <c r="ED152" s="56">
        <v>0</v>
      </c>
      <c r="EE152" s="56">
        <v>0</v>
      </c>
      <c r="EF152" s="56">
        <v>0</v>
      </c>
      <c r="EG152" s="56">
        <v>0</v>
      </c>
      <c r="EH152" s="56">
        <v>20.45</v>
      </c>
      <c r="EI152" s="56">
        <v>0</v>
      </c>
      <c r="EJ152" s="56">
        <v>0</v>
      </c>
      <c r="EK152" s="56">
        <v>0</v>
      </c>
      <c r="EL152" s="56">
        <v>0</v>
      </c>
      <c r="EM152" s="56">
        <v>0</v>
      </c>
      <c r="EN152" s="56">
        <v>0</v>
      </c>
      <c r="EO152" s="56">
        <v>0</v>
      </c>
      <c r="EP152" s="56">
        <v>0</v>
      </c>
      <c r="EQ152" s="56">
        <v>0</v>
      </c>
      <c r="ER152" s="56">
        <v>0</v>
      </c>
      <c r="ES152" s="56">
        <v>0</v>
      </c>
      <c r="ET152" s="56">
        <v>0</v>
      </c>
      <c r="EU152" s="56">
        <v>0</v>
      </c>
      <c r="EV152" s="56">
        <v>0</v>
      </c>
      <c r="EW152" s="56">
        <v>0</v>
      </c>
      <c r="EX152" s="56">
        <v>0</v>
      </c>
      <c r="EY152" s="56">
        <v>0</v>
      </c>
      <c r="EZ152" s="56">
        <v>0</v>
      </c>
      <c r="FA152" s="56">
        <v>0</v>
      </c>
      <c r="FB152" s="56">
        <v>0</v>
      </c>
      <c r="FC152" s="58">
        <v>0</v>
      </c>
      <c r="FD152" s="56">
        <v>0</v>
      </c>
      <c r="FE152" s="56">
        <v>0</v>
      </c>
      <c r="FF152" s="56">
        <v>0</v>
      </c>
      <c r="FG152" s="56">
        <v>0</v>
      </c>
      <c r="FH152" s="56">
        <v>0</v>
      </c>
      <c r="FI152" s="56">
        <v>0</v>
      </c>
      <c r="FJ152" s="56">
        <v>0</v>
      </c>
      <c r="FK152" s="56">
        <v>0</v>
      </c>
      <c r="FL152" s="56">
        <v>0</v>
      </c>
      <c r="FM152" s="56">
        <v>0</v>
      </c>
      <c r="FN152" s="56">
        <v>0</v>
      </c>
      <c r="FO152" s="56">
        <v>0</v>
      </c>
      <c r="FP152" s="56">
        <v>0</v>
      </c>
      <c r="FQ152" s="56">
        <v>0</v>
      </c>
      <c r="FR152" s="56">
        <v>0</v>
      </c>
      <c r="FS152" s="58">
        <v>0</v>
      </c>
      <c r="FT152" s="56">
        <v>0</v>
      </c>
      <c r="FU152" s="56">
        <v>0</v>
      </c>
      <c r="FV152" s="56">
        <v>0</v>
      </c>
      <c r="FW152" s="56">
        <v>0</v>
      </c>
      <c r="FX152" s="56">
        <v>0</v>
      </c>
      <c r="FY152" s="56">
        <v>0</v>
      </c>
      <c r="FZ152" s="54" t="s">
        <v>1083</v>
      </c>
      <c r="GA152" s="54" t="s">
        <v>1084</v>
      </c>
      <c r="GB152" s="54" t="s">
        <v>1072</v>
      </c>
      <c r="GC152" s="54" t="s">
        <v>1073</v>
      </c>
      <c r="GD152" s="54" t="s">
        <v>1216</v>
      </c>
      <c r="GE152" s="54" t="s">
        <v>1201</v>
      </c>
      <c r="GF152" s="54"/>
      <c r="GG152" s="55"/>
      <c r="GH152" s="54"/>
      <c r="GI152" s="54"/>
      <c r="GJ152" s="54" t="s">
        <v>1076</v>
      </c>
      <c r="GK152" s="54" t="s">
        <v>1077</v>
      </c>
      <c r="GL152" s="54"/>
      <c r="GM152" s="54"/>
      <c r="GN152" s="54" t="s">
        <v>1208</v>
      </c>
      <c r="GO152" s="54" t="s">
        <v>1209</v>
      </c>
      <c r="GP152" s="54"/>
      <c r="GQ152" s="56">
        <v>0</v>
      </c>
      <c r="GR152" s="54" t="s">
        <v>1210</v>
      </c>
      <c r="GS152" s="54"/>
    </row>
    <row r="153" spans="1:201" x14ac:dyDescent="0.25">
      <c r="A153" s="54" t="s">
        <v>1032</v>
      </c>
      <c r="B153" s="54" t="s">
        <v>1033</v>
      </c>
      <c r="C153" s="54" t="s">
        <v>1249</v>
      </c>
      <c r="D153" s="54" t="s">
        <v>1035</v>
      </c>
      <c r="E153" s="54" t="s">
        <v>1036</v>
      </c>
      <c r="F153" s="55">
        <v>46185</v>
      </c>
      <c r="G153" s="55">
        <v>46185</v>
      </c>
      <c r="H153" s="54" t="s">
        <v>1037</v>
      </c>
      <c r="I153" s="54" t="s">
        <v>1038</v>
      </c>
      <c r="J153" s="54" t="s">
        <v>1039</v>
      </c>
      <c r="K153" s="55"/>
      <c r="L153" s="54" t="s">
        <v>1040</v>
      </c>
      <c r="M153" s="54"/>
      <c r="N153" s="54" t="s">
        <v>1250</v>
      </c>
      <c r="O153" s="54" t="s">
        <v>1090</v>
      </c>
      <c r="P153" s="54" t="s">
        <v>244</v>
      </c>
      <c r="Q153" s="54" t="s">
        <v>88</v>
      </c>
      <c r="R153" s="54" t="s">
        <v>1043</v>
      </c>
      <c r="S153" s="56">
        <v>1264.8</v>
      </c>
      <c r="T153" s="56">
        <v>1264.8</v>
      </c>
      <c r="U153" s="56">
        <v>0</v>
      </c>
      <c r="V153" s="56">
        <v>0</v>
      </c>
      <c r="W153" s="56">
        <v>0</v>
      </c>
      <c r="X153" s="56">
        <v>0</v>
      </c>
      <c r="Y153" s="56">
        <v>0</v>
      </c>
      <c r="Z153" s="56">
        <v>240</v>
      </c>
      <c r="AA153" s="56">
        <v>240</v>
      </c>
      <c r="AB153" s="59">
        <v>0</v>
      </c>
      <c r="AC153" s="56">
        <v>0</v>
      </c>
      <c r="AD153" s="56">
        <v>0</v>
      </c>
      <c r="AE153" s="56">
        <v>0</v>
      </c>
      <c r="AF153" s="54" t="s">
        <v>1199</v>
      </c>
      <c r="AG153" s="57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 t="s">
        <v>1045</v>
      </c>
      <c r="AS153" s="54" t="s">
        <v>1046</v>
      </c>
      <c r="AT153" s="54" t="s">
        <v>1047</v>
      </c>
      <c r="AU153" s="54" t="s">
        <v>1048</v>
      </c>
      <c r="AV153" s="54"/>
      <c r="AW153" s="55">
        <v>46198</v>
      </c>
      <c r="AX153" s="55">
        <v>46185</v>
      </c>
      <c r="AY153" s="55">
        <v>46185</v>
      </c>
      <c r="AZ153" s="55">
        <v>46188</v>
      </c>
      <c r="BA153" s="55">
        <v>46198</v>
      </c>
      <c r="BB153" s="56">
        <v>0</v>
      </c>
      <c r="BC153" s="56">
        <v>0</v>
      </c>
      <c r="BD153" s="56">
        <v>0</v>
      </c>
      <c r="BE153" s="56">
        <v>0</v>
      </c>
      <c r="BF153" s="56">
        <v>0</v>
      </c>
      <c r="BG153" s="56">
        <v>0</v>
      </c>
      <c r="BH153" s="56">
        <v>0</v>
      </c>
      <c r="BI153" s="56">
        <v>0</v>
      </c>
      <c r="BJ153" s="56">
        <v>0</v>
      </c>
      <c r="BK153" s="56">
        <v>0</v>
      </c>
      <c r="BL153" s="56">
        <v>0</v>
      </c>
      <c r="BM153" s="56">
        <v>0</v>
      </c>
      <c r="BN153" s="56">
        <v>0</v>
      </c>
      <c r="BO153" s="56">
        <v>0</v>
      </c>
      <c r="BP153" s="54" t="s">
        <v>1049</v>
      </c>
      <c r="BQ153" s="54" t="s">
        <v>1050</v>
      </c>
      <c r="BR153" s="54" t="s">
        <v>1049</v>
      </c>
      <c r="BS153" s="54" t="s">
        <v>1050</v>
      </c>
      <c r="BT153" s="54" t="s">
        <v>1051</v>
      </c>
      <c r="BU153" s="54" t="s">
        <v>1043</v>
      </c>
      <c r="BV153" s="58">
        <v>240</v>
      </c>
      <c r="BW153" s="54" t="s">
        <v>1052</v>
      </c>
      <c r="BX153" s="54" t="s">
        <v>1053</v>
      </c>
      <c r="BY153" s="54" t="s">
        <v>1054</v>
      </c>
      <c r="BZ153" s="54" t="s">
        <v>1055</v>
      </c>
      <c r="CA153" s="55"/>
      <c r="CB153" s="54" t="s">
        <v>1056</v>
      </c>
      <c r="CC153" s="54" t="s">
        <v>1057</v>
      </c>
      <c r="CD153" s="54" t="s">
        <v>1200</v>
      </c>
      <c r="CE153" s="54" t="s">
        <v>1201</v>
      </c>
      <c r="CF153" s="54" t="s">
        <v>1202</v>
      </c>
      <c r="CG153" s="54" t="s">
        <v>1203</v>
      </c>
      <c r="CH153" s="54" t="s">
        <v>1204</v>
      </c>
      <c r="CI153" s="54" t="s">
        <v>1203</v>
      </c>
      <c r="CJ153" s="54" t="s">
        <v>1064</v>
      </c>
      <c r="CK153" s="54" t="s">
        <v>1065</v>
      </c>
      <c r="CL153" s="54" t="s">
        <v>1205</v>
      </c>
      <c r="CM153" s="54" t="s">
        <v>1206</v>
      </c>
      <c r="CN153" s="54" t="s">
        <v>1068</v>
      </c>
      <c r="CO153" s="54" t="s">
        <v>1069</v>
      </c>
      <c r="CP153" s="56">
        <v>0</v>
      </c>
      <c r="CQ153" s="56">
        <v>0</v>
      </c>
      <c r="CR153" s="56">
        <v>0</v>
      </c>
      <c r="CS153" s="56">
        <v>0</v>
      </c>
      <c r="CT153" s="56">
        <v>0</v>
      </c>
      <c r="CU153" s="56">
        <v>0</v>
      </c>
      <c r="CV153" s="56">
        <v>0</v>
      </c>
      <c r="CW153" s="56">
        <v>0</v>
      </c>
      <c r="CX153" s="56">
        <v>0</v>
      </c>
      <c r="CY153" s="56">
        <v>0</v>
      </c>
      <c r="CZ153" s="56">
        <v>0</v>
      </c>
      <c r="DA153" s="56">
        <v>0</v>
      </c>
      <c r="DB153" s="56">
        <v>0</v>
      </c>
      <c r="DC153" s="56">
        <v>0</v>
      </c>
      <c r="DD153" s="56">
        <v>0</v>
      </c>
      <c r="DE153" s="56">
        <v>0</v>
      </c>
      <c r="DF153" s="56">
        <v>0</v>
      </c>
      <c r="DG153" s="56">
        <v>0</v>
      </c>
      <c r="DH153" s="56">
        <v>0</v>
      </c>
      <c r="DI153" s="56">
        <v>0</v>
      </c>
      <c r="DJ153" s="56">
        <v>0</v>
      </c>
      <c r="DK153" s="56">
        <v>0</v>
      </c>
      <c r="DL153" s="56">
        <v>0</v>
      </c>
      <c r="DM153" s="56">
        <v>0</v>
      </c>
      <c r="DN153" s="56">
        <v>0</v>
      </c>
      <c r="DO153" s="56">
        <v>0</v>
      </c>
      <c r="DP153" s="56">
        <v>0</v>
      </c>
      <c r="DQ153" s="56">
        <v>0</v>
      </c>
      <c r="DR153" s="56">
        <v>0</v>
      </c>
      <c r="DS153" s="56">
        <v>0</v>
      </c>
      <c r="DT153" s="56">
        <v>0</v>
      </c>
      <c r="DU153" s="56">
        <v>0</v>
      </c>
      <c r="DV153" s="56">
        <v>0</v>
      </c>
      <c r="DW153" s="56">
        <v>0</v>
      </c>
      <c r="DX153" s="56">
        <v>0</v>
      </c>
      <c r="DY153" s="56">
        <v>0</v>
      </c>
      <c r="DZ153" s="56">
        <v>0</v>
      </c>
      <c r="EA153" s="56">
        <v>0</v>
      </c>
      <c r="EB153" s="56">
        <v>0</v>
      </c>
      <c r="EC153" s="56">
        <v>0</v>
      </c>
      <c r="ED153" s="56">
        <v>0</v>
      </c>
      <c r="EE153" s="56">
        <v>0</v>
      </c>
      <c r="EF153" s="56">
        <v>0</v>
      </c>
      <c r="EG153" s="56">
        <v>0</v>
      </c>
      <c r="EH153" s="56">
        <v>151.78</v>
      </c>
      <c r="EI153" s="56">
        <v>0</v>
      </c>
      <c r="EJ153" s="56">
        <v>0</v>
      </c>
      <c r="EK153" s="56">
        <v>0</v>
      </c>
      <c r="EL153" s="56">
        <v>0</v>
      </c>
      <c r="EM153" s="56">
        <v>0</v>
      </c>
      <c r="EN153" s="56">
        <v>0</v>
      </c>
      <c r="EO153" s="56">
        <v>0</v>
      </c>
      <c r="EP153" s="56">
        <v>0</v>
      </c>
      <c r="EQ153" s="56">
        <v>0</v>
      </c>
      <c r="ER153" s="56">
        <v>0</v>
      </c>
      <c r="ES153" s="56">
        <v>0</v>
      </c>
      <c r="ET153" s="56">
        <v>0</v>
      </c>
      <c r="EU153" s="56">
        <v>0</v>
      </c>
      <c r="EV153" s="56">
        <v>0</v>
      </c>
      <c r="EW153" s="56">
        <v>0</v>
      </c>
      <c r="EX153" s="56">
        <v>0</v>
      </c>
      <c r="EY153" s="56">
        <v>0</v>
      </c>
      <c r="EZ153" s="56">
        <v>0</v>
      </c>
      <c r="FA153" s="56">
        <v>0</v>
      </c>
      <c r="FB153" s="56">
        <v>0</v>
      </c>
      <c r="FC153" s="58">
        <v>0</v>
      </c>
      <c r="FD153" s="56">
        <v>0</v>
      </c>
      <c r="FE153" s="56">
        <v>0</v>
      </c>
      <c r="FF153" s="56">
        <v>0</v>
      </c>
      <c r="FG153" s="56">
        <v>0</v>
      </c>
      <c r="FH153" s="56">
        <v>0</v>
      </c>
      <c r="FI153" s="56">
        <v>0</v>
      </c>
      <c r="FJ153" s="56">
        <v>0</v>
      </c>
      <c r="FK153" s="56">
        <v>0</v>
      </c>
      <c r="FL153" s="56">
        <v>0</v>
      </c>
      <c r="FM153" s="56">
        <v>0</v>
      </c>
      <c r="FN153" s="56">
        <v>0</v>
      </c>
      <c r="FO153" s="56">
        <v>0</v>
      </c>
      <c r="FP153" s="56">
        <v>0</v>
      </c>
      <c r="FQ153" s="56">
        <v>0</v>
      </c>
      <c r="FR153" s="56">
        <v>0</v>
      </c>
      <c r="FS153" s="58">
        <v>0</v>
      </c>
      <c r="FT153" s="56">
        <v>0</v>
      </c>
      <c r="FU153" s="56">
        <v>0</v>
      </c>
      <c r="FV153" s="56">
        <v>0</v>
      </c>
      <c r="FW153" s="56">
        <v>0</v>
      </c>
      <c r="FX153" s="56">
        <v>0</v>
      </c>
      <c r="FY153" s="56">
        <v>0</v>
      </c>
      <c r="FZ153" s="54" t="s">
        <v>1070</v>
      </c>
      <c r="GA153" s="54" t="s">
        <v>1071</v>
      </c>
      <c r="GB153" s="54" t="s">
        <v>1072</v>
      </c>
      <c r="GC153" s="54" t="s">
        <v>1073</v>
      </c>
      <c r="GD153" s="54" t="s">
        <v>1218</v>
      </c>
      <c r="GE153" s="54" t="s">
        <v>1201</v>
      </c>
      <c r="GF153" s="54"/>
      <c r="GG153" s="55"/>
      <c r="GH153" s="54"/>
      <c r="GI153" s="54"/>
      <c r="GJ153" s="54" t="s">
        <v>1076</v>
      </c>
      <c r="GK153" s="54" t="s">
        <v>1077</v>
      </c>
      <c r="GL153" s="54"/>
      <c r="GM153" s="54"/>
      <c r="GN153" s="54" t="s">
        <v>1208</v>
      </c>
      <c r="GO153" s="54" t="s">
        <v>1209</v>
      </c>
      <c r="GP153" s="54"/>
      <c r="GQ153" s="56">
        <v>0</v>
      </c>
      <c r="GR153" s="54" t="s">
        <v>1210</v>
      </c>
      <c r="GS153" s="54"/>
    </row>
    <row r="154" spans="1:201" x14ac:dyDescent="0.25">
      <c r="A154" s="54" t="s">
        <v>1032</v>
      </c>
      <c r="B154" s="54" t="s">
        <v>1033</v>
      </c>
      <c r="C154" s="54" t="s">
        <v>1249</v>
      </c>
      <c r="D154" s="54" t="s">
        <v>1035</v>
      </c>
      <c r="E154" s="54" t="s">
        <v>1036</v>
      </c>
      <c r="F154" s="55">
        <v>46185</v>
      </c>
      <c r="G154" s="55">
        <v>46185</v>
      </c>
      <c r="H154" s="54" t="s">
        <v>1037</v>
      </c>
      <c r="I154" s="54" t="s">
        <v>1038</v>
      </c>
      <c r="J154" s="54" t="s">
        <v>1039</v>
      </c>
      <c r="K154" s="55"/>
      <c r="L154" s="54" t="s">
        <v>1040</v>
      </c>
      <c r="M154" s="54"/>
      <c r="N154" s="54" t="s">
        <v>1250</v>
      </c>
      <c r="O154" s="54" t="s">
        <v>1081</v>
      </c>
      <c r="P154" s="54" t="s">
        <v>397</v>
      </c>
      <c r="Q154" s="54" t="s">
        <v>399</v>
      </c>
      <c r="R154" s="54" t="s">
        <v>1043</v>
      </c>
      <c r="S154" s="56">
        <v>415.44</v>
      </c>
      <c r="T154" s="56">
        <v>415.44</v>
      </c>
      <c r="U154" s="56">
        <v>0</v>
      </c>
      <c r="V154" s="56">
        <v>0</v>
      </c>
      <c r="W154" s="56">
        <v>0</v>
      </c>
      <c r="X154" s="56">
        <v>0</v>
      </c>
      <c r="Y154" s="56">
        <v>0</v>
      </c>
      <c r="Z154" s="56">
        <v>72</v>
      </c>
      <c r="AA154" s="56">
        <v>72</v>
      </c>
      <c r="AB154" s="59">
        <v>0</v>
      </c>
      <c r="AC154" s="56">
        <v>0</v>
      </c>
      <c r="AD154" s="56">
        <v>0</v>
      </c>
      <c r="AE154" s="56">
        <v>0</v>
      </c>
      <c r="AF154" s="54" t="s">
        <v>1199</v>
      </c>
      <c r="AG154" s="57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 t="s">
        <v>1045</v>
      </c>
      <c r="AS154" s="54" t="s">
        <v>1046</v>
      </c>
      <c r="AT154" s="54" t="s">
        <v>1047</v>
      </c>
      <c r="AU154" s="54" t="s">
        <v>1048</v>
      </c>
      <c r="AV154" s="54"/>
      <c r="AW154" s="55">
        <v>46198</v>
      </c>
      <c r="AX154" s="55">
        <v>46185</v>
      </c>
      <c r="AY154" s="55">
        <v>46185</v>
      </c>
      <c r="AZ154" s="55">
        <v>46190</v>
      </c>
      <c r="BA154" s="55">
        <v>46198</v>
      </c>
      <c r="BB154" s="56">
        <v>0</v>
      </c>
      <c r="BC154" s="56">
        <v>0</v>
      </c>
      <c r="BD154" s="56">
        <v>0</v>
      </c>
      <c r="BE154" s="56">
        <v>0</v>
      </c>
      <c r="BF154" s="56">
        <v>0</v>
      </c>
      <c r="BG154" s="56">
        <v>0</v>
      </c>
      <c r="BH154" s="56">
        <v>0</v>
      </c>
      <c r="BI154" s="56">
        <v>0</v>
      </c>
      <c r="BJ154" s="56">
        <v>0</v>
      </c>
      <c r="BK154" s="56">
        <v>0</v>
      </c>
      <c r="BL154" s="56">
        <v>0</v>
      </c>
      <c r="BM154" s="56">
        <v>0</v>
      </c>
      <c r="BN154" s="56">
        <v>0</v>
      </c>
      <c r="BO154" s="56">
        <v>0</v>
      </c>
      <c r="BP154" s="54" t="s">
        <v>1049</v>
      </c>
      <c r="BQ154" s="54" t="s">
        <v>1050</v>
      </c>
      <c r="BR154" s="54" t="s">
        <v>1049</v>
      </c>
      <c r="BS154" s="54" t="s">
        <v>1050</v>
      </c>
      <c r="BT154" s="54" t="s">
        <v>1051</v>
      </c>
      <c r="BU154" s="54" t="s">
        <v>1043</v>
      </c>
      <c r="BV154" s="58">
        <v>72</v>
      </c>
      <c r="BW154" s="54" t="s">
        <v>1052</v>
      </c>
      <c r="BX154" s="54" t="s">
        <v>1053</v>
      </c>
      <c r="BY154" s="54" t="s">
        <v>1054</v>
      </c>
      <c r="BZ154" s="54" t="s">
        <v>1055</v>
      </c>
      <c r="CA154" s="55"/>
      <c r="CB154" s="54" t="s">
        <v>1056</v>
      </c>
      <c r="CC154" s="54" t="s">
        <v>1057</v>
      </c>
      <c r="CD154" s="54" t="s">
        <v>1200</v>
      </c>
      <c r="CE154" s="54" t="s">
        <v>1201</v>
      </c>
      <c r="CF154" s="54" t="s">
        <v>1202</v>
      </c>
      <c r="CG154" s="54" t="s">
        <v>1203</v>
      </c>
      <c r="CH154" s="54" t="s">
        <v>1204</v>
      </c>
      <c r="CI154" s="54" t="s">
        <v>1203</v>
      </c>
      <c r="CJ154" s="54" t="s">
        <v>1064</v>
      </c>
      <c r="CK154" s="54" t="s">
        <v>1065</v>
      </c>
      <c r="CL154" s="54" t="s">
        <v>1205</v>
      </c>
      <c r="CM154" s="54" t="s">
        <v>1206</v>
      </c>
      <c r="CN154" s="54" t="s">
        <v>1068</v>
      </c>
      <c r="CO154" s="54" t="s">
        <v>1069</v>
      </c>
      <c r="CP154" s="56">
        <v>0</v>
      </c>
      <c r="CQ154" s="56">
        <v>0</v>
      </c>
      <c r="CR154" s="56">
        <v>0</v>
      </c>
      <c r="CS154" s="56">
        <v>0</v>
      </c>
      <c r="CT154" s="56">
        <v>0</v>
      </c>
      <c r="CU154" s="56">
        <v>0</v>
      </c>
      <c r="CV154" s="56">
        <v>0</v>
      </c>
      <c r="CW154" s="56">
        <v>0</v>
      </c>
      <c r="CX154" s="56">
        <v>0</v>
      </c>
      <c r="CY154" s="56">
        <v>0</v>
      </c>
      <c r="CZ154" s="56">
        <v>0</v>
      </c>
      <c r="DA154" s="56">
        <v>0</v>
      </c>
      <c r="DB154" s="56">
        <v>0</v>
      </c>
      <c r="DC154" s="56">
        <v>0</v>
      </c>
      <c r="DD154" s="56">
        <v>0</v>
      </c>
      <c r="DE154" s="56">
        <v>0</v>
      </c>
      <c r="DF154" s="56">
        <v>0</v>
      </c>
      <c r="DG154" s="56">
        <v>0</v>
      </c>
      <c r="DH154" s="56">
        <v>0</v>
      </c>
      <c r="DI154" s="56">
        <v>0</v>
      </c>
      <c r="DJ154" s="56">
        <v>0</v>
      </c>
      <c r="DK154" s="56">
        <v>0</v>
      </c>
      <c r="DL154" s="56">
        <v>0</v>
      </c>
      <c r="DM154" s="56">
        <v>0</v>
      </c>
      <c r="DN154" s="56">
        <v>0</v>
      </c>
      <c r="DO154" s="56">
        <v>0</v>
      </c>
      <c r="DP154" s="56">
        <v>0</v>
      </c>
      <c r="DQ154" s="56">
        <v>0</v>
      </c>
      <c r="DR154" s="56">
        <v>0</v>
      </c>
      <c r="DS154" s="56">
        <v>0</v>
      </c>
      <c r="DT154" s="56">
        <v>0</v>
      </c>
      <c r="DU154" s="56">
        <v>0</v>
      </c>
      <c r="DV154" s="56">
        <v>0</v>
      </c>
      <c r="DW154" s="56">
        <v>0</v>
      </c>
      <c r="DX154" s="56">
        <v>0</v>
      </c>
      <c r="DY154" s="56">
        <v>0</v>
      </c>
      <c r="DZ154" s="56">
        <v>0</v>
      </c>
      <c r="EA154" s="56">
        <v>0</v>
      </c>
      <c r="EB154" s="56">
        <v>0</v>
      </c>
      <c r="EC154" s="56">
        <v>0</v>
      </c>
      <c r="ED154" s="56">
        <v>0</v>
      </c>
      <c r="EE154" s="56">
        <v>0</v>
      </c>
      <c r="EF154" s="56">
        <v>0</v>
      </c>
      <c r="EG154" s="56">
        <v>0</v>
      </c>
      <c r="EH154" s="56">
        <v>49.85</v>
      </c>
      <c r="EI154" s="56">
        <v>0</v>
      </c>
      <c r="EJ154" s="56">
        <v>0</v>
      </c>
      <c r="EK154" s="56">
        <v>0</v>
      </c>
      <c r="EL154" s="56">
        <v>0</v>
      </c>
      <c r="EM154" s="56">
        <v>0</v>
      </c>
      <c r="EN154" s="56">
        <v>0</v>
      </c>
      <c r="EO154" s="56">
        <v>0</v>
      </c>
      <c r="EP154" s="56">
        <v>0</v>
      </c>
      <c r="EQ154" s="56">
        <v>0</v>
      </c>
      <c r="ER154" s="56">
        <v>0</v>
      </c>
      <c r="ES154" s="56">
        <v>0</v>
      </c>
      <c r="ET154" s="56">
        <v>0</v>
      </c>
      <c r="EU154" s="56">
        <v>0</v>
      </c>
      <c r="EV154" s="56">
        <v>0</v>
      </c>
      <c r="EW154" s="56">
        <v>0</v>
      </c>
      <c r="EX154" s="56">
        <v>0</v>
      </c>
      <c r="EY154" s="56">
        <v>0</v>
      </c>
      <c r="EZ154" s="56">
        <v>0</v>
      </c>
      <c r="FA154" s="56">
        <v>0</v>
      </c>
      <c r="FB154" s="56">
        <v>0</v>
      </c>
      <c r="FC154" s="58">
        <v>0</v>
      </c>
      <c r="FD154" s="56">
        <v>0</v>
      </c>
      <c r="FE154" s="56">
        <v>0</v>
      </c>
      <c r="FF154" s="56">
        <v>0</v>
      </c>
      <c r="FG154" s="56">
        <v>0</v>
      </c>
      <c r="FH154" s="56">
        <v>0</v>
      </c>
      <c r="FI154" s="56">
        <v>0</v>
      </c>
      <c r="FJ154" s="56">
        <v>0</v>
      </c>
      <c r="FK154" s="56">
        <v>0</v>
      </c>
      <c r="FL154" s="56">
        <v>0</v>
      </c>
      <c r="FM154" s="56">
        <v>0</v>
      </c>
      <c r="FN154" s="56">
        <v>0</v>
      </c>
      <c r="FO154" s="56">
        <v>0</v>
      </c>
      <c r="FP154" s="56">
        <v>0</v>
      </c>
      <c r="FQ154" s="56">
        <v>0</v>
      </c>
      <c r="FR154" s="56">
        <v>0</v>
      </c>
      <c r="FS154" s="58">
        <v>0</v>
      </c>
      <c r="FT154" s="56">
        <v>0</v>
      </c>
      <c r="FU154" s="56">
        <v>0</v>
      </c>
      <c r="FV154" s="56">
        <v>0</v>
      </c>
      <c r="FW154" s="56">
        <v>0</v>
      </c>
      <c r="FX154" s="56">
        <v>0</v>
      </c>
      <c r="FY154" s="56">
        <v>0</v>
      </c>
      <c r="FZ154" s="54" t="s">
        <v>1083</v>
      </c>
      <c r="GA154" s="54" t="s">
        <v>1084</v>
      </c>
      <c r="GB154" s="54" t="s">
        <v>1072</v>
      </c>
      <c r="GC154" s="54" t="s">
        <v>1073</v>
      </c>
      <c r="GD154" s="54"/>
      <c r="GE154" s="54"/>
      <c r="GF154" s="54"/>
      <c r="GG154" s="55"/>
      <c r="GH154" s="54"/>
      <c r="GI154" s="54"/>
      <c r="GJ154" s="54" t="s">
        <v>1076</v>
      </c>
      <c r="GK154" s="54" t="s">
        <v>1077</v>
      </c>
      <c r="GL154" s="54"/>
      <c r="GM154" s="54"/>
      <c r="GN154" s="54" t="s">
        <v>1208</v>
      </c>
      <c r="GO154" s="54" t="s">
        <v>1209</v>
      </c>
      <c r="GP154" s="54"/>
      <c r="GQ154" s="56">
        <v>0</v>
      </c>
      <c r="GR154" s="54" t="s">
        <v>1210</v>
      </c>
      <c r="GS154" s="54"/>
    </row>
    <row r="155" spans="1:201" x14ac:dyDescent="0.25">
      <c r="A155" s="54" t="s">
        <v>1032</v>
      </c>
      <c r="B155" s="54" t="s">
        <v>1033</v>
      </c>
      <c r="C155" s="54" t="s">
        <v>1249</v>
      </c>
      <c r="D155" s="54" t="s">
        <v>1035</v>
      </c>
      <c r="E155" s="54" t="s">
        <v>1036</v>
      </c>
      <c r="F155" s="55">
        <v>46185</v>
      </c>
      <c r="G155" s="55">
        <v>46185</v>
      </c>
      <c r="H155" s="54" t="s">
        <v>1037</v>
      </c>
      <c r="I155" s="54" t="s">
        <v>1038</v>
      </c>
      <c r="J155" s="54" t="s">
        <v>1039</v>
      </c>
      <c r="K155" s="55"/>
      <c r="L155" s="54" t="s">
        <v>1040</v>
      </c>
      <c r="M155" s="54"/>
      <c r="N155" s="54" t="s">
        <v>1250</v>
      </c>
      <c r="O155" s="54" t="s">
        <v>1046</v>
      </c>
      <c r="P155" s="54" t="s">
        <v>470</v>
      </c>
      <c r="Q155" s="54" t="s">
        <v>471</v>
      </c>
      <c r="R155" s="54" t="s">
        <v>1043</v>
      </c>
      <c r="S155" s="56">
        <v>643.20000000000005</v>
      </c>
      <c r="T155" s="56">
        <v>643.20000000000005</v>
      </c>
      <c r="U155" s="56">
        <v>0</v>
      </c>
      <c r="V155" s="56">
        <v>0</v>
      </c>
      <c r="W155" s="56">
        <v>0</v>
      </c>
      <c r="X155" s="56">
        <v>0</v>
      </c>
      <c r="Y155" s="56">
        <v>0</v>
      </c>
      <c r="Z155" s="56">
        <v>24</v>
      </c>
      <c r="AA155" s="56">
        <v>24</v>
      </c>
      <c r="AB155" s="59">
        <v>0</v>
      </c>
      <c r="AC155" s="56">
        <v>0</v>
      </c>
      <c r="AD155" s="56">
        <v>0</v>
      </c>
      <c r="AE155" s="56">
        <v>0</v>
      </c>
      <c r="AF155" s="54" t="s">
        <v>1199</v>
      </c>
      <c r="AG155" s="57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 t="s">
        <v>1045</v>
      </c>
      <c r="AS155" s="54" t="s">
        <v>1046</v>
      </c>
      <c r="AT155" s="54" t="s">
        <v>1047</v>
      </c>
      <c r="AU155" s="54" t="s">
        <v>1048</v>
      </c>
      <c r="AV155" s="54"/>
      <c r="AW155" s="55">
        <v>46198</v>
      </c>
      <c r="AX155" s="55">
        <v>46185</v>
      </c>
      <c r="AY155" s="55">
        <v>46185</v>
      </c>
      <c r="AZ155" s="55">
        <v>46190</v>
      </c>
      <c r="BA155" s="55">
        <v>46198</v>
      </c>
      <c r="BB155" s="56">
        <v>0</v>
      </c>
      <c r="BC155" s="56">
        <v>0</v>
      </c>
      <c r="BD155" s="56">
        <v>0</v>
      </c>
      <c r="BE155" s="56">
        <v>0</v>
      </c>
      <c r="BF155" s="56">
        <v>0</v>
      </c>
      <c r="BG155" s="56">
        <v>0</v>
      </c>
      <c r="BH155" s="56">
        <v>0</v>
      </c>
      <c r="BI155" s="56">
        <v>0</v>
      </c>
      <c r="BJ155" s="56">
        <v>0</v>
      </c>
      <c r="BK155" s="56">
        <v>0</v>
      </c>
      <c r="BL155" s="56">
        <v>0</v>
      </c>
      <c r="BM155" s="56">
        <v>0</v>
      </c>
      <c r="BN155" s="56">
        <v>0</v>
      </c>
      <c r="BO155" s="56">
        <v>0</v>
      </c>
      <c r="BP155" s="54" t="s">
        <v>1049</v>
      </c>
      <c r="BQ155" s="54" t="s">
        <v>1050</v>
      </c>
      <c r="BR155" s="54" t="s">
        <v>1049</v>
      </c>
      <c r="BS155" s="54" t="s">
        <v>1050</v>
      </c>
      <c r="BT155" s="54" t="s">
        <v>1051</v>
      </c>
      <c r="BU155" s="54" t="s">
        <v>1043</v>
      </c>
      <c r="BV155" s="58">
        <v>24</v>
      </c>
      <c r="BW155" s="54" t="s">
        <v>1052</v>
      </c>
      <c r="BX155" s="54" t="s">
        <v>1053</v>
      </c>
      <c r="BY155" s="54" t="s">
        <v>1054</v>
      </c>
      <c r="BZ155" s="54" t="s">
        <v>1055</v>
      </c>
      <c r="CA155" s="55"/>
      <c r="CB155" s="54" t="s">
        <v>1056</v>
      </c>
      <c r="CC155" s="54" t="s">
        <v>1057</v>
      </c>
      <c r="CD155" s="54" t="s">
        <v>1200</v>
      </c>
      <c r="CE155" s="54" t="s">
        <v>1201</v>
      </c>
      <c r="CF155" s="54" t="s">
        <v>1202</v>
      </c>
      <c r="CG155" s="54" t="s">
        <v>1203</v>
      </c>
      <c r="CH155" s="54" t="s">
        <v>1204</v>
      </c>
      <c r="CI155" s="54" t="s">
        <v>1203</v>
      </c>
      <c r="CJ155" s="54" t="s">
        <v>1064</v>
      </c>
      <c r="CK155" s="54" t="s">
        <v>1065</v>
      </c>
      <c r="CL155" s="54" t="s">
        <v>1205</v>
      </c>
      <c r="CM155" s="54" t="s">
        <v>1206</v>
      </c>
      <c r="CN155" s="54" t="s">
        <v>1068</v>
      </c>
      <c r="CO155" s="54" t="s">
        <v>1069</v>
      </c>
      <c r="CP155" s="56">
        <v>0</v>
      </c>
      <c r="CQ155" s="56">
        <v>0</v>
      </c>
      <c r="CR155" s="56">
        <v>0</v>
      </c>
      <c r="CS155" s="56">
        <v>0</v>
      </c>
      <c r="CT155" s="56">
        <v>0</v>
      </c>
      <c r="CU155" s="56">
        <v>0</v>
      </c>
      <c r="CV155" s="56">
        <v>0</v>
      </c>
      <c r="CW155" s="56">
        <v>0</v>
      </c>
      <c r="CX155" s="56">
        <v>0</v>
      </c>
      <c r="CY155" s="56">
        <v>0</v>
      </c>
      <c r="CZ155" s="56">
        <v>0</v>
      </c>
      <c r="DA155" s="56">
        <v>0</v>
      </c>
      <c r="DB155" s="56">
        <v>0</v>
      </c>
      <c r="DC155" s="56">
        <v>0</v>
      </c>
      <c r="DD155" s="56">
        <v>0</v>
      </c>
      <c r="DE155" s="56">
        <v>0</v>
      </c>
      <c r="DF155" s="56">
        <v>0</v>
      </c>
      <c r="DG155" s="56">
        <v>0</v>
      </c>
      <c r="DH155" s="56">
        <v>0</v>
      </c>
      <c r="DI155" s="56">
        <v>0</v>
      </c>
      <c r="DJ155" s="56">
        <v>0</v>
      </c>
      <c r="DK155" s="56">
        <v>0</v>
      </c>
      <c r="DL155" s="56">
        <v>0</v>
      </c>
      <c r="DM155" s="56">
        <v>0</v>
      </c>
      <c r="DN155" s="56">
        <v>0</v>
      </c>
      <c r="DO155" s="56">
        <v>0</v>
      </c>
      <c r="DP155" s="56">
        <v>0</v>
      </c>
      <c r="DQ155" s="56">
        <v>0</v>
      </c>
      <c r="DR155" s="56">
        <v>0</v>
      </c>
      <c r="DS155" s="56">
        <v>0</v>
      </c>
      <c r="DT155" s="56">
        <v>0</v>
      </c>
      <c r="DU155" s="56">
        <v>0</v>
      </c>
      <c r="DV155" s="56">
        <v>0</v>
      </c>
      <c r="DW155" s="56">
        <v>0</v>
      </c>
      <c r="DX155" s="56">
        <v>0</v>
      </c>
      <c r="DY155" s="56">
        <v>0</v>
      </c>
      <c r="DZ155" s="56">
        <v>0</v>
      </c>
      <c r="EA155" s="56">
        <v>0</v>
      </c>
      <c r="EB155" s="56">
        <v>0</v>
      </c>
      <c r="EC155" s="56">
        <v>0</v>
      </c>
      <c r="ED155" s="56">
        <v>0</v>
      </c>
      <c r="EE155" s="56">
        <v>0</v>
      </c>
      <c r="EF155" s="56">
        <v>0</v>
      </c>
      <c r="EG155" s="56">
        <v>0</v>
      </c>
      <c r="EH155" s="56">
        <v>77.180000000000007</v>
      </c>
      <c r="EI155" s="56">
        <v>0</v>
      </c>
      <c r="EJ155" s="56">
        <v>0</v>
      </c>
      <c r="EK155" s="56">
        <v>0</v>
      </c>
      <c r="EL155" s="56">
        <v>0</v>
      </c>
      <c r="EM155" s="56">
        <v>0</v>
      </c>
      <c r="EN155" s="56">
        <v>0</v>
      </c>
      <c r="EO155" s="56">
        <v>0</v>
      </c>
      <c r="EP155" s="56">
        <v>0</v>
      </c>
      <c r="EQ155" s="56">
        <v>0</v>
      </c>
      <c r="ER155" s="56">
        <v>0</v>
      </c>
      <c r="ES155" s="56">
        <v>0</v>
      </c>
      <c r="ET155" s="56">
        <v>0</v>
      </c>
      <c r="EU155" s="56">
        <v>0</v>
      </c>
      <c r="EV155" s="56">
        <v>0</v>
      </c>
      <c r="EW155" s="56">
        <v>0</v>
      </c>
      <c r="EX155" s="56">
        <v>0</v>
      </c>
      <c r="EY155" s="56">
        <v>0</v>
      </c>
      <c r="EZ155" s="56">
        <v>0</v>
      </c>
      <c r="FA155" s="56">
        <v>0</v>
      </c>
      <c r="FB155" s="56">
        <v>0</v>
      </c>
      <c r="FC155" s="58">
        <v>0</v>
      </c>
      <c r="FD155" s="56">
        <v>0</v>
      </c>
      <c r="FE155" s="56">
        <v>0</v>
      </c>
      <c r="FF155" s="56">
        <v>0</v>
      </c>
      <c r="FG155" s="56">
        <v>0</v>
      </c>
      <c r="FH155" s="56">
        <v>0</v>
      </c>
      <c r="FI155" s="56">
        <v>0</v>
      </c>
      <c r="FJ155" s="56">
        <v>0</v>
      </c>
      <c r="FK155" s="56">
        <v>0</v>
      </c>
      <c r="FL155" s="56">
        <v>0</v>
      </c>
      <c r="FM155" s="56">
        <v>0</v>
      </c>
      <c r="FN155" s="56">
        <v>0</v>
      </c>
      <c r="FO155" s="56">
        <v>0</v>
      </c>
      <c r="FP155" s="56">
        <v>0</v>
      </c>
      <c r="FQ155" s="56">
        <v>0</v>
      </c>
      <c r="FR155" s="56">
        <v>0</v>
      </c>
      <c r="FS155" s="58">
        <v>0</v>
      </c>
      <c r="FT155" s="56">
        <v>0</v>
      </c>
      <c r="FU155" s="56">
        <v>0</v>
      </c>
      <c r="FV155" s="56">
        <v>0</v>
      </c>
      <c r="FW155" s="56">
        <v>0</v>
      </c>
      <c r="FX155" s="56">
        <v>0</v>
      </c>
      <c r="FY155" s="56">
        <v>0</v>
      </c>
      <c r="FZ155" s="54" t="s">
        <v>1070</v>
      </c>
      <c r="GA155" s="54" t="s">
        <v>1071</v>
      </c>
      <c r="GB155" s="54" t="s">
        <v>1072</v>
      </c>
      <c r="GC155" s="54" t="s">
        <v>1073</v>
      </c>
      <c r="GD155" s="54"/>
      <c r="GE155" s="54"/>
      <c r="GF155" s="54"/>
      <c r="GG155" s="55"/>
      <c r="GH155" s="54"/>
      <c r="GI155" s="54"/>
      <c r="GJ155" s="54" t="s">
        <v>1076</v>
      </c>
      <c r="GK155" s="54" t="s">
        <v>1077</v>
      </c>
      <c r="GL155" s="54"/>
      <c r="GM155" s="54"/>
      <c r="GN155" s="54" t="s">
        <v>1208</v>
      </c>
      <c r="GO155" s="54" t="s">
        <v>1209</v>
      </c>
      <c r="GP155" s="54"/>
      <c r="GQ155" s="56">
        <v>0</v>
      </c>
      <c r="GR155" s="54" t="s">
        <v>1210</v>
      </c>
      <c r="GS155" s="54"/>
    </row>
    <row r="156" spans="1:201" x14ac:dyDescent="0.25">
      <c r="A156" s="54" t="s">
        <v>1032</v>
      </c>
      <c r="B156" s="54" t="s">
        <v>1033</v>
      </c>
      <c r="C156" s="54" t="s">
        <v>1249</v>
      </c>
      <c r="D156" s="54" t="s">
        <v>1035</v>
      </c>
      <c r="E156" s="54" t="s">
        <v>1036</v>
      </c>
      <c r="F156" s="55">
        <v>46185</v>
      </c>
      <c r="G156" s="55">
        <v>46185</v>
      </c>
      <c r="H156" s="54" t="s">
        <v>1037</v>
      </c>
      <c r="I156" s="54" t="s">
        <v>1038</v>
      </c>
      <c r="J156" s="54" t="s">
        <v>1039</v>
      </c>
      <c r="K156" s="55"/>
      <c r="L156" s="54" t="s">
        <v>1040</v>
      </c>
      <c r="M156" s="54"/>
      <c r="N156" s="54" t="s">
        <v>1250</v>
      </c>
      <c r="O156" s="54" t="s">
        <v>1091</v>
      </c>
      <c r="P156" s="54" t="s">
        <v>255</v>
      </c>
      <c r="Q156" s="54" t="s">
        <v>99</v>
      </c>
      <c r="R156" s="54" t="s">
        <v>1043</v>
      </c>
      <c r="S156" s="56">
        <v>284.39999999999998</v>
      </c>
      <c r="T156" s="56">
        <v>284.39999999999998</v>
      </c>
      <c r="U156" s="56">
        <v>0</v>
      </c>
      <c r="V156" s="56">
        <v>0</v>
      </c>
      <c r="W156" s="56">
        <v>0</v>
      </c>
      <c r="X156" s="56">
        <v>0</v>
      </c>
      <c r="Y156" s="56">
        <v>0</v>
      </c>
      <c r="Z156" s="56">
        <v>120</v>
      </c>
      <c r="AA156" s="56">
        <v>120</v>
      </c>
      <c r="AB156" s="59">
        <v>0</v>
      </c>
      <c r="AC156" s="56">
        <v>0</v>
      </c>
      <c r="AD156" s="56">
        <v>0</v>
      </c>
      <c r="AE156" s="56">
        <v>0</v>
      </c>
      <c r="AF156" s="54" t="s">
        <v>1199</v>
      </c>
      <c r="AG156" s="57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 t="s">
        <v>1045</v>
      </c>
      <c r="AS156" s="54" t="s">
        <v>1046</v>
      </c>
      <c r="AT156" s="54" t="s">
        <v>1047</v>
      </c>
      <c r="AU156" s="54" t="s">
        <v>1048</v>
      </c>
      <c r="AV156" s="54"/>
      <c r="AW156" s="55">
        <v>46198</v>
      </c>
      <c r="AX156" s="55">
        <v>46185</v>
      </c>
      <c r="AY156" s="55">
        <v>46185</v>
      </c>
      <c r="AZ156" s="55">
        <v>46190</v>
      </c>
      <c r="BA156" s="55">
        <v>46198</v>
      </c>
      <c r="BB156" s="56">
        <v>0</v>
      </c>
      <c r="BC156" s="56">
        <v>0</v>
      </c>
      <c r="BD156" s="56">
        <v>0</v>
      </c>
      <c r="BE156" s="56">
        <v>0</v>
      </c>
      <c r="BF156" s="56">
        <v>0</v>
      </c>
      <c r="BG156" s="56">
        <v>0</v>
      </c>
      <c r="BH156" s="56">
        <v>0</v>
      </c>
      <c r="BI156" s="56">
        <v>0</v>
      </c>
      <c r="BJ156" s="56">
        <v>0</v>
      </c>
      <c r="BK156" s="56">
        <v>0</v>
      </c>
      <c r="BL156" s="56">
        <v>0</v>
      </c>
      <c r="BM156" s="56">
        <v>0</v>
      </c>
      <c r="BN156" s="56">
        <v>0</v>
      </c>
      <c r="BO156" s="56">
        <v>0</v>
      </c>
      <c r="BP156" s="54" t="s">
        <v>1049</v>
      </c>
      <c r="BQ156" s="54" t="s">
        <v>1050</v>
      </c>
      <c r="BR156" s="54" t="s">
        <v>1049</v>
      </c>
      <c r="BS156" s="54" t="s">
        <v>1050</v>
      </c>
      <c r="BT156" s="54" t="s">
        <v>1051</v>
      </c>
      <c r="BU156" s="54" t="s">
        <v>1043</v>
      </c>
      <c r="BV156" s="58">
        <v>120</v>
      </c>
      <c r="BW156" s="54" t="s">
        <v>1052</v>
      </c>
      <c r="BX156" s="54" t="s">
        <v>1053</v>
      </c>
      <c r="BY156" s="54" t="s">
        <v>1054</v>
      </c>
      <c r="BZ156" s="54" t="s">
        <v>1055</v>
      </c>
      <c r="CA156" s="55"/>
      <c r="CB156" s="54" t="s">
        <v>1056</v>
      </c>
      <c r="CC156" s="54" t="s">
        <v>1057</v>
      </c>
      <c r="CD156" s="54" t="s">
        <v>1200</v>
      </c>
      <c r="CE156" s="54" t="s">
        <v>1201</v>
      </c>
      <c r="CF156" s="54" t="s">
        <v>1202</v>
      </c>
      <c r="CG156" s="54" t="s">
        <v>1203</v>
      </c>
      <c r="CH156" s="54" t="s">
        <v>1204</v>
      </c>
      <c r="CI156" s="54" t="s">
        <v>1203</v>
      </c>
      <c r="CJ156" s="54" t="s">
        <v>1064</v>
      </c>
      <c r="CK156" s="54" t="s">
        <v>1065</v>
      </c>
      <c r="CL156" s="54" t="s">
        <v>1205</v>
      </c>
      <c r="CM156" s="54" t="s">
        <v>1206</v>
      </c>
      <c r="CN156" s="54" t="s">
        <v>1068</v>
      </c>
      <c r="CO156" s="54" t="s">
        <v>1069</v>
      </c>
      <c r="CP156" s="56">
        <v>0</v>
      </c>
      <c r="CQ156" s="56">
        <v>0</v>
      </c>
      <c r="CR156" s="56">
        <v>0</v>
      </c>
      <c r="CS156" s="56">
        <v>0</v>
      </c>
      <c r="CT156" s="56">
        <v>0</v>
      </c>
      <c r="CU156" s="56">
        <v>0</v>
      </c>
      <c r="CV156" s="56">
        <v>0</v>
      </c>
      <c r="CW156" s="56">
        <v>0</v>
      </c>
      <c r="CX156" s="56">
        <v>0</v>
      </c>
      <c r="CY156" s="56">
        <v>0</v>
      </c>
      <c r="CZ156" s="56">
        <v>0</v>
      </c>
      <c r="DA156" s="56">
        <v>0</v>
      </c>
      <c r="DB156" s="56">
        <v>0</v>
      </c>
      <c r="DC156" s="56">
        <v>0</v>
      </c>
      <c r="DD156" s="56">
        <v>0</v>
      </c>
      <c r="DE156" s="56">
        <v>0</v>
      </c>
      <c r="DF156" s="56">
        <v>0</v>
      </c>
      <c r="DG156" s="56">
        <v>0</v>
      </c>
      <c r="DH156" s="56">
        <v>0</v>
      </c>
      <c r="DI156" s="56">
        <v>0</v>
      </c>
      <c r="DJ156" s="56">
        <v>0</v>
      </c>
      <c r="DK156" s="56">
        <v>0</v>
      </c>
      <c r="DL156" s="56">
        <v>0</v>
      </c>
      <c r="DM156" s="56">
        <v>0</v>
      </c>
      <c r="DN156" s="56">
        <v>0</v>
      </c>
      <c r="DO156" s="56">
        <v>0</v>
      </c>
      <c r="DP156" s="56">
        <v>0</v>
      </c>
      <c r="DQ156" s="56">
        <v>0</v>
      </c>
      <c r="DR156" s="56">
        <v>0</v>
      </c>
      <c r="DS156" s="56">
        <v>0</v>
      </c>
      <c r="DT156" s="56">
        <v>0</v>
      </c>
      <c r="DU156" s="56">
        <v>0</v>
      </c>
      <c r="DV156" s="56">
        <v>0</v>
      </c>
      <c r="DW156" s="56">
        <v>0</v>
      </c>
      <c r="DX156" s="56">
        <v>0</v>
      </c>
      <c r="DY156" s="56">
        <v>0</v>
      </c>
      <c r="DZ156" s="56">
        <v>0</v>
      </c>
      <c r="EA156" s="56">
        <v>0</v>
      </c>
      <c r="EB156" s="56">
        <v>0</v>
      </c>
      <c r="EC156" s="56">
        <v>0</v>
      </c>
      <c r="ED156" s="56">
        <v>0</v>
      </c>
      <c r="EE156" s="56">
        <v>0</v>
      </c>
      <c r="EF156" s="56">
        <v>0</v>
      </c>
      <c r="EG156" s="56">
        <v>0</v>
      </c>
      <c r="EH156" s="56">
        <v>34.130000000000003</v>
      </c>
      <c r="EI156" s="56">
        <v>0</v>
      </c>
      <c r="EJ156" s="56">
        <v>0</v>
      </c>
      <c r="EK156" s="56">
        <v>0</v>
      </c>
      <c r="EL156" s="56">
        <v>0</v>
      </c>
      <c r="EM156" s="56">
        <v>0</v>
      </c>
      <c r="EN156" s="56">
        <v>0</v>
      </c>
      <c r="EO156" s="56">
        <v>0</v>
      </c>
      <c r="EP156" s="56">
        <v>0</v>
      </c>
      <c r="EQ156" s="56">
        <v>0</v>
      </c>
      <c r="ER156" s="56">
        <v>0</v>
      </c>
      <c r="ES156" s="56">
        <v>0</v>
      </c>
      <c r="ET156" s="56">
        <v>0</v>
      </c>
      <c r="EU156" s="56">
        <v>0</v>
      </c>
      <c r="EV156" s="56">
        <v>0</v>
      </c>
      <c r="EW156" s="56">
        <v>0</v>
      </c>
      <c r="EX156" s="56">
        <v>0</v>
      </c>
      <c r="EY156" s="56">
        <v>0</v>
      </c>
      <c r="EZ156" s="56">
        <v>0</v>
      </c>
      <c r="FA156" s="56">
        <v>0</v>
      </c>
      <c r="FB156" s="56">
        <v>0</v>
      </c>
      <c r="FC156" s="58">
        <v>0</v>
      </c>
      <c r="FD156" s="56">
        <v>0</v>
      </c>
      <c r="FE156" s="56">
        <v>0</v>
      </c>
      <c r="FF156" s="56">
        <v>0</v>
      </c>
      <c r="FG156" s="56">
        <v>0</v>
      </c>
      <c r="FH156" s="56">
        <v>0</v>
      </c>
      <c r="FI156" s="56">
        <v>0</v>
      </c>
      <c r="FJ156" s="56">
        <v>0</v>
      </c>
      <c r="FK156" s="56">
        <v>0</v>
      </c>
      <c r="FL156" s="56">
        <v>0</v>
      </c>
      <c r="FM156" s="56">
        <v>0</v>
      </c>
      <c r="FN156" s="56">
        <v>0</v>
      </c>
      <c r="FO156" s="56">
        <v>0</v>
      </c>
      <c r="FP156" s="56">
        <v>0</v>
      </c>
      <c r="FQ156" s="56">
        <v>0</v>
      </c>
      <c r="FR156" s="56">
        <v>0</v>
      </c>
      <c r="FS156" s="58">
        <v>0</v>
      </c>
      <c r="FT156" s="56">
        <v>0</v>
      </c>
      <c r="FU156" s="56">
        <v>0</v>
      </c>
      <c r="FV156" s="56">
        <v>0</v>
      </c>
      <c r="FW156" s="56">
        <v>0</v>
      </c>
      <c r="FX156" s="56">
        <v>0</v>
      </c>
      <c r="FY156" s="56">
        <v>0</v>
      </c>
      <c r="FZ156" s="54" t="s">
        <v>1070</v>
      </c>
      <c r="GA156" s="54" t="s">
        <v>1071</v>
      </c>
      <c r="GB156" s="54" t="s">
        <v>1072</v>
      </c>
      <c r="GC156" s="54" t="s">
        <v>1073</v>
      </c>
      <c r="GD156" s="54" t="s">
        <v>1221</v>
      </c>
      <c r="GE156" s="54" t="s">
        <v>1201</v>
      </c>
      <c r="GF156" s="54"/>
      <c r="GG156" s="55"/>
      <c r="GH156" s="54"/>
      <c r="GI156" s="54"/>
      <c r="GJ156" s="54" t="s">
        <v>1076</v>
      </c>
      <c r="GK156" s="54" t="s">
        <v>1077</v>
      </c>
      <c r="GL156" s="54"/>
      <c r="GM156" s="54"/>
      <c r="GN156" s="54" t="s">
        <v>1208</v>
      </c>
      <c r="GO156" s="54" t="s">
        <v>1209</v>
      </c>
      <c r="GP156" s="54"/>
      <c r="GQ156" s="56">
        <v>0</v>
      </c>
      <c r="GR156" s="54" t="s">
        <v>1210</v>
      </c>
      <c r="GS156" s="54"/>
    </row>
    <row r="157" spans="1:201" x14ac:dyDescent="0.25">
      <c r="A157" s="54" t="s">
        <v>1032</v>
      </c>
      <c r="B157" s="54" t="s">
        <v>1033</v>
      </c>
      <c r="C157" s="54" t="s">
        <v>1249</v>
      </c>
      <c r="D157" s="54" t="s">
        <v>1035</v>
      </c>
      <c r="E157" s="54" t="s">
        <v>1036</v>
      </c>
      <c r="F157" s="55">
        <v>46185</v>
      </c>
      <c r="G157" s="55">
        <v>46185</v>
      </c>
      <c r="H157" s="54" t="s">
        <v>1037</v>
      </c>
      <c r="I157" s="54" t="s">
        <v>1038</v>
      </c>
      <c r="J157" s="54" t="s">
        <v>1039</v>
      </c>
      <c r="K157" s="55"/>
      <c r="L157" s="54" t="s">
        <v>1040</v>
      </c>
      <c r="M157" s="54"/>
      <c r="N157" s="54" t="s">
        <v>1250</v>
      </c>
      <c r="O157" s="54" t="s">
        <v>1093</v>
      </c>
      <c r="P157" s="54" t="s">
        <v>254</v>
      </c>
      <c r="Q157" s="54" t="s">
        <v>98</v>
      </c>
      <c r="R157" s="54" t="s">
        <v>1043</v>
      </c>
      <c r="S157" s="56">
        <v>254.4</v>
      </c>
      <c r="T157" s="56">
        <v>254.4</v>
      </c>
      <c r="U157" s="56">
        <v>0</v>
      </c>
      <c r="V157" s="56">
        <v>0</v>
      </c>
      <c r="W157" s="56">
        <v>0</v>
      </c>
      <c r="X157" s="56">
        <v>0</v>
      </c>
      <c r="Y157" s="56">
        <v>0</v>
      </c>
      <c r="Z157" s="56">
        <v>60</v>
      </c>
      <c r="AA157" s="56">
        <v>60</v>
      </c>
      <c r="AB157" s="59">
        <v>0</v>
      </c>
      <c r="AC157" s="56">
        <v>0</v>
      </c>
      <c r="AD157" s="56">
        <v>0</v>
      </c>
      <c r="AE157" s="56">
        <v>0</v>
      </c>
      <c r="AF157" s="54" t="s">
        <v>1199</v>
      </c>
      <c r="AG157" s="57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 t="s">
        <v>1045</v>
      </c>
      <c r="AS157" s="54" t="s">
        <v>1046</v>
      </c>
      <c r="AT157" s="54" t="s">
        <v>1047</v>
      </c>
      <c r="AU157" s="54" t="s">
        <v>1048</v>
      </c>
      <c r="AV157" s="54"/>
      <c r="AW157" s="55">
        <v>46198</v>
      </c>
      <c r="AX157" s="55">
        <v>46185</v>
      </c>
      <c r="AY157" s="55">
        <v>46185</v>
      </c>
      <c r="AZ157" s="55">
        <v>46190</v>
      </c>
      <c r="BA157" s="55">
        <v>46198</v>
      </c>
      <c r="BB157" s="56">
        <v>0</v>
      </c>
      <c r="BC157" s="56">
        <v>0</v>
      </c>
      <c r="BD157" s="56">
        <v>0</v>
      </c>
      <c r="BE157" s="56">
        <v>0</v>
      </c>
      <c r="BF157" s="56">
        <v>0</v>
      </c>
      <c r="BG157" s="56">
        <v>0</v>
      </c>
      <c r="BH157" s="56">
        <v>0</v>
      </c>
      <c r="BI157" s="56">
        <v>0</v>
      </c>
      <c r="BJ157" s="56">
        <v>0</v>
      </c>
      <c r="BK157" s="56">
        <v>0</v>
      </c>
      <c r="BL157" s="56">
        <v>0</v>
      </c>
      <c r="BM157" s="56">
        <v>0</v>
      </c>
      <c r="BN157" s="56">
        <v>0</v>
      </c>
      <c r="BO157" s="56">
        <v>0</v>
      </c>
      <c r="BP157" s="54" t="s">
        <v>1049</v>
      </c>
      <c r="BQ157" s="54" t="s">
        <v>1050</v>
      </c>
      <c r="BR157" s="54" t="s">
        <v>1049</v>
      </c>
      <c r="BS157" s="54" t="s">
        <v>1050</v>
      </c>
      <c r="BT157" s="54" t="s">
        <v>1051</v>
      </c>
      <c r="BU157" s="54" t="s">
        <v>1043</v>
      </c>
      <c r="BV157" s="58">
        <v>60</v>
      </c>
      <c r="BW157" s="54" t="s">
        <v>1052</v>
      </c>
      <c r="BX157" s="54" t="s">
        <v>1053</v>
      </c>
      <c r="BY157" s="54" t="s">
        <v>1054</v>
      </c>
      <c r="BZ157" s="54" t="s">
        <v>1055</v>
      </c>
      <c r="CA157" s="55"/>
      <c r="CB157" s="54" t="s">
        <v>1056</v>
      </c>
      <c r="CC157" s="54" t="s">
        <v>1057</v>
      </c>
      <c r="CD157" s="54" t="s">
        <v>1200</v>
      </c>
      <c r="CE157" s="54" t="s">
        <v>1201</v>
      </c>
      <c r="CF157" s="54" t="s">
        <v>1202</v>
      </c>
      <c r="CG157" s="54" t="s">
        <v>1203</v>
      </c>
      <c r="CH157" s="54" t="s">
        <v>1204</v>
      </c>
      <c r="CI157" s="54" t="s">
        <v>1203</v>
      </c>
      <c r="CJ157" s="54" t="s">
        <v>1064</v>
      </c>
      <c r="CK157" s="54" t="s">
        <v>1065</v>
      </c>
      <c r="CL157" s="54" t="s">
        <v>1205</v>
      </c>
      <c r="CM157" s="54" t="s">
        <v>1206</v>
      </c>
      <c r="CN157" s="54" t="s">
        <v>1068</v>
      </c>
      <c r="CO157" s="54" t="s">
        <v>1069</v>
      </c>
      <c r="CP157" s="56">
        <v>0</v>
      </c>
      <c r="CQ157" s="56">
        <v>0</v>
      </c>
      <c r="CR157" s="56">
        <v>0</v>
      </c>
      <c r="CS157" s="56">
        <v>0</v>
      </c>
      <c r="CT157" s="56">
        <v>0</v>
      </c>
      <c r="CU157" s="56">
        <v>0</v>
      </c>
      <c r="CV157" s="56">
        <v>0</v>
      </c>
      <c r="CW157" s="56">
        <v>0</v>
      </c>
      <c r="CX157" s="56">
        <v>0</v>
      </c>
      <c r="CY157" s="56">
        <v>0</v>
      </c>
      <c r="CZ157" s="56">
        <v>0</v>
      </c>
      <c r="DA157" s="56">
        <v>0</v>
      </c>
      <c r="DB157" s="56">
        <v>0</v>
      </c>
      <c r="DC157" s="56">
        <v>0</v>
      </c>
      <c r="DD157" s="56">
        <v>0</v>
      </c>
      <c r="DE157" s="56">
        <v>0</v>
      </c>
      <c r="DF157" s="56">
        <v>0</v>
      </c>
      <c r="DG157" s="56">
        <v>0</v>
      </c>
      <c r="DH157" s="56">
        <v>0</v>
      </c>
      <c r="DI157" s="56">
        <v>0</v>
      </c>
      <c r="DJ157" s="56">
        <v>0</v>
      </c>
      <c r="DK157" s="56">
        <v>0</v>
      </c>
      <c r="DL157" s="56">
        <v>0</v>
      </c>
      <c r="DM157" s="56">
        <v>0</v>
      </c>
      <c r="DN157" s="56">
        <v>0</v>
      </c>
      <c r="DO157" s="56">
        <v>0</v>
      </c>
      <c r="DP157" s="56">
        <v>0</v>
      </c>
      <c r="DQ157" s="56">
        <v>0</v>
      </c>
      <c r="DR157" s="56">
        <v>0</v>
      </c>
      <c r="DS157" s="56">
        <v>0</v>
      </c>
      <c r="DT157" s="56">
        <v>0</v>
      </c>
      <c r="DU157" s="56">
        <v>0</v>
      </c>
      <c r="DV157" s="56">
        <v>0</v>
      </c>
      <c r="DW157" s="56">
        <v>0</v>
      </c>
      <c r="DX157" s="56">
        <v>0</v>
      </c>
      <c r="DY157" s="56">
        <v>0</v>
      </c>
      <c r="DZ157" s="56">
        <v>0</v>
      </c>
      <c r="EA157" s="56">
        <v>0</v>
      </c>
      <c r="EB157" s="56">
        <v>0</v>
      </c>
      <c r="EC157" s="56">
        <v>0</v>
      </c>
      <c r="ED157" s="56">
        <v>0</v>
      </c>
      <c r="EE157" s="56">
        <v>0</v>
      </c>
      <c r="EF157" s="56">
        <v>0</v>
      </c>
      <c r="EG157" s="56">
        <v>0</v>
      </c>
      <c r="EH157" s="56">
        <v>30.53</v>
      </c>
      <c r="EI157" s="56">
        <v>0</v>
      </c>
      <c r="EJ157" s="56">
        <v>0</v>
      </c>
      <c r="EK157" s="56">
        <v>0</v>
      </c>
      <c r="EL157" s="56">
        <v>0</v>
      </c>
      <c r="EM157" s="56">
        <v>0</v>
      </c>
      <c r="EN157" s="56">
        <v>0</v>
      </c>
      <c r="EO157" s="56">
        <v>0</v>
      </c>
      <c r="EP157" s="56">
        <v>0</v>
      </c>
      <c r="EQ157" s="56">
        <v>0</v>
      </c>
      <c r="ER157" s="56">
        <v>0</v>
      </c>
      <c r="ES157" s="56">
        <v>0</v>
      </c>
      <c r="ET157" s="56">
        <v>0</v>
      </c>
      <c r="EU157" s="56">
        <v>0</v>
      </c>
      <c r="EV157" s="56">
        <v>0</v>
      </c>
      <c r="EW157" s="56">
        <v>0</v>
      </c>
      <c r="EX157" s="56">
        <v>0</v>
      </c>
      <c r="EY157" s="56">
        <v>0</v>
      </c>
      <c r="EZ157" s="56">
        <v>0</v>
      </c>
      <c r="FA157" s="56">
        <v>0</v>
      </c>
      <c r="FB157" s="56">
        <v>0</v>
      </c>
      <c r="FC157" s="58">
        <v>0</v>
      </c>
      <c r="FD157" s="56">
        <v>0</v>
      </c>
      <c r="FE157" s="56">
        <v>0</v>
      </c>
      <c r="FF157" s="56">
        <v>0</v>
      </c>
      <c r="FG157" s="56">
        <v>0</v>
      </c>
      <c r="FH157" s="56">
        <v>0</v>
      </c>
      <c r="FI157" s="56">
        <v>0</v>
      </c>
      <c r="FJ157" s="56">
        <v>0</v>
      </c>
      <c r="FK157" s="56">
        <v>0</v>
      </c>
      <c r="FL157" s="56">
        <v>0</v>
      </c>
      <c r="FM157" s="56">
        <v>0</v>
      </c>
      <c r="FN157" s="56">
        <v>0</v>
      </c>
      <c r="FO157" s="56">
        <v>0</v>
      </c>
      <c r="FP157" s="56">
        <v>0</v>
      </c>
      <c r="FQ157" s="56">
        <v>0</v>
      </c>
      <c r="FR157" s="56">
        <v>0</v>
      </c>
      <c r="FS157" s="58">
        <v>0</v>
      </c>
      <c r="FT157" s="56">
        <v>0</v>
      </c>
      <c r="FU157" s="56">
        <v>0</v>
      </c>
      <c r="FV157" s="56">
        <v>0</v>
      </c>
      <c r="FW157" s="56">
        <v>0</v>
      </c>
      <c r="FX157" s="56">
        <v>0</v>
      </c>
      <c r="FY157" s="56">
        <v>0</v>
      </c>
      <c r="FZ157" s="54" t="s">
        <v>1070</v>
      </c>
      <c r="GA157" s="54" t="s">
        <v>1071</v>
      </c>
      <c r="GB157" s="54" t="s">
        <v>1072</v>
      </c>
      <c r="GC157" s="54" t="s">
        <v>1073</v>
      </c>
      <c r="GD157" s="54" t="s">
        <v>1221</v>
      </c>
      <c r="GE157" s="54" t="s">
        <v>1201</v>
      </c>
      <c r="GF157" s="54"/>
      <c r="GG157" s="55"/>
      <c r="GH157" s="54"/>
      <c r="GI157" s="54"/>
      <c r="GJ157" s="54" t="s">
        <v>1076</v>
      </c>
      <c r="GK157" s="54" t="s">
        <v>1077</v>
      </c>
      <c r="GL157" s="54"/>
      <c r="GM157" s="54"/>
      <c r="GN157" s="54" t="s">
        <v>1208</v>
      </c>
      <c r="GO157" s="54" t="s">
        <v>1209</v>
      </c>
      <c r="GP157" s="54"/>
      <c r="GQ157" s="56">
        <v>0</v>
      </c>
      <c r="GR157" s="54" t="s">
        <v>1210</v>
      </c>
      <c r="GS157" s="54"/>
    </row>
    <row r="158" spans="1:201" x14ac:dyDescent="0.25">
      <c r="A158" s="54" t="s">
        <v>1032</v>
      </c>
      <c r="B158" s="54" t="s">
        <v>1033</v>
      </c>
      <c r="C158" s="54" t="s">
        <v>1249</v>
      </c>
      <c r="D158" s="54" t="s">
        <v>1035</v>
      </c>
      <c r="E158" s="54" t="s">
        <v>1036</v>
      </c>
      <c r="F158" s="55">
        <v>46185</v>
      </c>
      <c r="G158" s="55">
        <v>46185</v>
      </c>
      <c r="H158" s="54" t="s">
        <v>1037</v>
      </c>
      <c r="I158" s="54" t="s">
        <v>1038</v>
      </c>
      <c r="J158" s="54" t="s">
        <v>1039</v>
      </c>
      <c r="K158" s="55"/>
      <c r="L158" s="54" t="s">
        <v>1040</v>
      </c>
      <c r="M158" s="54"/>
      <c r="N158" s="54" t="s">
        <v>1250</v>
      </c>
      <c r="O158" s="54" t="s">
        <v>1099</v>
      </c>
      <c r="P158" s="54" t="s">
        <v>256</v>
      </c>
      <c r="Q158" s="54" t="s">
        <v>830</v>
      </c>
      <c r="R158" s="54" t="s">
        <v>1043</v>
      </c>
      <c r="S158" s="56">
        <v>128.4</v>
      </c>
      <c r="T158" s="56">
        <v>128.4</v>
      </c>
      <c r="U158" s="56">
        <v>0</v>
      </c>
      <c r="V158" s="56">
        <v>0</v>
      </c>
      <c r="W158" s="56">
        <v>0</v>
      </c>
      <c r="X158" s="56">
        <v>0</v>
      </c>
      <c r="Y158" s="56">
        <v>0</v>
      </c>
      <c r="Z158" s="56">
        <v>60</v>
      </c>
      <c r="AA158" s="56">
        <v>60</v>
      </c>
      <c r="AB158" s="59">
        <v>0</v>
      </c>
      <c r="AC158" s="56">
        <v>0</v>
      </c>
      <c r="AD158" s="56">
        <v>0</v>
      </c>
      <c r="AE158" s="56">
        <v>0</v>
      </c>
      <c r="AF158" s="54" t="s">
        <v>1199</v>
      </c>
      <c r="AG158" s="57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 t="s">
        <v>1045</v>
      </c>
      <c r="AS158" s="54" t="s">
        <v>1046</v>
      </c>
      <c r="AT158" s="54" t="s">
        <v>1047</v>
      </c>
      <c r="AU158" s="54" t="s">
        <v>1048</v>
      </c>
      <c r="AV158" s="54"/>
      <c r="AW158" s="55">
        <v>46198</v>
      </c>
      <c r="AX158" s="55">
        <v>46185</v>
      </c>
      <c r="AY158" s="55">
        <v>46185</v>
      </c>
      <c r="AZ158" s="55">
        <v>46188</v>
      </c>
      <c r="BA158" s="55">
        <v>46198</v>
      </c>
      <c r="BB158" s="56">
        <v>0</v>
      </c>
      <c r="BC158" s="56">
        <v>0</v>
      </c>
      <c r="BD158" s="56">
        <v>0</v>
      </c>
      <c r="BE158" s="56">
        <v>0</v>
      </c>
      <c r="BF158" s="56">
        <v>0</v>
      </c>
      <c r="BG158" s="56">
        <v>0</v>
      </c>
      <c r="BH158" s="56">
        <v>0</v>
      </c>
      <c r="BI158" s="56">
        <v>0</v>
      </c>
      <c r="BJ158" s="56">
        <v>0</v>
      </c>
      <c r="BK158" s="56">
        <v>0</v>
      </c>
      <c r="BL158" s="56">
        <v>0</v>
      </c>
      <c r="BM158" s="56">
        <v>0</v>
      </c>
      <c r="BN158" s="56">
        <v>0</v>
      </c>
      <c r="BO158" s="56">
        <v>0</v>
      </c>
      <c r="BP158" s="54" t="s">
        <v>1049</v>
      </c>
      <c r="BQ158" s="54" t="s">
        <v>1050</v>
      </c>
      <c r="BR158" s="54" t="s">
        <v>1049</v>
      </c>
      <c r="BS158" s="54" t="s">
        <v>1050</v>
      </c>
      <c r="BT158" s="54" t="s">
        <v>1051</v>
      </c>
      <c r="BU158" s="54" t="s">
        <v>1043</v>
      </c>
      <c r="BV158" s="58">
        <v>60</v>
      </c>
      <c r="BW158" s="54" t="s">
        <v>1052</v>
      </c>
      <c r="BX158" s="54" t="s">
        <v>1053</v>
      </c>
      <c r="BY158" s="54" t="s">
        <v>1054</v>
      </c>
      <c r="BZ158" s="54" t="s">
        <v>1055</v>
      </c>
      <c r="CA158" s="55"/>
      <c r="CB158" s="54" t="s">
        <v>1056</v>
      </c>
      <c r="CC158" s="54" t="s">
        <v>1057</v>
      </c>
      <c r="CD158" s="54" t="s">
        <v>1200</v>
      </c>
      <c r="CE158" s="54" t="s">
        <v>1201</v>
      </c>
      <c r="CF158" s="54" t="s">
        <v>1202</v>
      </c>
      <c r="CG158" s="54" t="s">
        <v>1203</v>
      </c>
      <c r="CH158" s="54" t="s">
        <v>1204</v>
      </c>
      <c r="CI158" s="54" t="s">
        <v>1203</v>
      </c>
      <c r="CJ158" s="54" t="s">
        <v>1064</v>
      </c>
      <c r="CK158" s="54" t="s">
        <v>1065</v>
      </c>
      <c r="CL158" s="54" t="s">
        <v>1205</v>
      </c>
      <c r="CM158" s="54" t="s">
        <v>1206</v>
      </c>
      <c r="CN158" s="54" t="s">
        <v>1068</v>
      </c>
      <c r="CO158" s="54" t="s">
        <v>1069</v>
      </c>
      <c r="CP158" s="56">
        <v>0</v>
      </c>
      <c r="CQ158" s="56">
        <v>0</v>
      </c>
      <c r="CR158" s="56">
        <v>0</v>
      </c>
      <c r="CS158" s="56">
        <v>0</v>
      </c>
      <c r="CT158" s="56">
        <v>0</v>
      </c>
      <c r="CU158" s="56">
        <v>0</v>
      </c>
      <c r="CV158" s="56">
        <v>0</v>
      </c>
      <c r="CW158" s="56">
        <v>0</v>
      </c>
      <c r="CX158" s="56">
        <v>0</v>
      </c>
      <c r="CY158" s="56">
        <v>0</v>
      </c>
      <c r="CZ158" s="56">
        <v>0</v>
      </c>
      <c r="DA158" s="56">
        <v>0</v>
      </c>
      <c r="DB158" s="56">
        <v>0</v>
      </c>
      <c r="DC158" s="56">
        <v>0</v>
      </c>
      <c r="DD158" s="56">
        <v>0</v>
      </c>
      <c r="DE158" s="56">
        <v>0</v>
      </c>
      <c r="DF158" s="56">
        <v>0</v>
      </c>
      <c r="DG158" s="56">
        <v>0</v>
      </c>
      <c r="DH158" s="56">
        <v>0</v>
      </c>
      <c r="DI158" s="56">
        <v>0</v>
      </c>
      <c r="DJ158" s="56">
        <v>0</v>
      </c>
      <c r="DK158" s="56">
        <v>0</v>
      </c>
      <c r="DL158" s="56">
        <v>0</v>
      </c>
      <c r="DM158" s="56">
        <v>0</v>
      </c>
      <c r="DN158" s="56">
        <v>0</v>
      </c>
      <c r="DO158" s="56">
        <v>0</v>
      </c>
      <c r="DP158" s="56">
        <v>0</v>
      </c>
      <c r="DQ158" s="56">
        <v>0</v>
      </c>
      <c r="DR158" s="56">
        <v>0</v>
      </c>
      <c r="DS158" s="56">
        <v>0</v>
      </c>
      <c r="DT158" s="56">
        <v>0</v>
      </c>
      <c r="DU158" s="56">
        <v>0</v>
      </c>
      <c r="DV158" s="56">
        <v>0</v>
      </c>
      <c r="DW158" s="56">
        <v>0</v>
      </c>
      <c r="DX158" s="56">
        <v>0</v>
      </c>
      <c r="DY158" s="56">
        <v>0</v>
      </c>
      <c r="DZ158" s="56">
        <v>0</v>
      </c>
      <c r="EA158" s="56">
        <v>0</v>
      </c>
      <c r="EB158" s="56">
        <v>0</v>
      </c>
      <c r="EC158" s="56">
        <v>0</v>
      </c>
      <c r="ED158" s="56">
        <v>0</v>
      </c>
      <c r="EE158" s="56">
        <v>0</v>
      </c>
      <c r="EF158" s="56">
        <v>0</v>
      </c>
      <c r="EG158" s="56">
        <v>0</v>
      </c>
      <c r="EH158" s="56">
        <v>15.41</v>
      </c>
      <c r="EI158" s="56">
        <v>0</v>
      </c>
      <c r="EJ158" s="56">
        <v>0</v>
      </c>
      <c r="EK158" s="56">
        <v>0</v>
      </c>
      <c r="EL158" s="56">
        <v>0</v>
      </c>
      <c r="EM158" s="56">
        <v>0</v>
      </c>
      <c r="EN158" s="56">
        <v>0</v>
      </c>
      <c r="EO158" s="56">
        <v>0</v>
      </c>
      <c r="EP158" s="56">
        <v>0</v>
      </c>
      <c r="EQ158" s="56">
        <v>0</v>
      </c>
      <c r="ER158" s="56">
        <v>0</v>
      </c>
      <c r="ES158" s="56">
        <v>0</v>
      </c>
      <c r="ET158" s="56">
        <v>0</v>
      </c>
      <c r="EU158" s="56">
        <v>0</v>
      </c>
      <c r="EV158" s="56">
        <v>0</v>
      </c>
      <c r="EW158" s="56">
        <v>0</v>
      </c>
      <c r="EX158" s="56">
        <v>0</v>
      </c>
      <c r="EY158" s="56">
        <v>0</v>
      </c>
      <c r="EZ158" s="56">
        <v>0</v>
      </c>
      <c r="FA158" s="56">
        <v>0</v>
      </c>
      <c r="FB158" s="56">
        <v>0</v>
      </c>
      <c r="FC158" s="58">
        <v>0</v>
      </c>
      <c r="FD158" s="56">
        <v>0</v>
      </c>
      <c r="FE158" s="56">
        <v>0</v>
      </c>
      <c r="FF158" s="56">
        <v>0</v>
      </c>
      <c r="FG158" s="56">
        <v>0</v>
      </c>
      <c r="FH158" s="56">
        <v>0</v>
      </c>
      <c r="FI158" s="56">
        <v>0</v>
      </c>
      <c r="FJ158" s="56">
        <v>0</v>
      </c>
      <c r="FK158" s="56">
        <v>0</v>
      </c>
      <c r="FL158" s="56">
        <v>0</v>
      </c>
      <c r="FM158" s="56">
        <v>0</v>
      </c>
      <c r="FN158" s="56">
        <v>0</v>
      </c>
      <c r="FO158" s="56">
        <v>0</v>
      </c>
      <c r="FP158" s="56">
        <v>0</v>
      </c>
      <c r="FQ158" s="56">
        <v>0</v>
      </c>
      <c r="FR158" s="56">
        <v>0</v>
      </c>
      <c r="FS158" s="58">
        <v>0</v>
      </c>
      <c r="FT158" s="56">
        <v>0</v>
      </c>
      <c r="FU158" s="56">
        <v>0</v>
      </c>
      <c r="FV158" s="56">
        <v>0</v>
      </c>
      <c r="FW158" s="56">
        <v>0</v>
      </c>
      <c r="FX158" s="56">
        <v>0</v>
      </c>
      <c r="FY158" s="56">
        <v>0</v>
      </c>
      <c r="FZ158" s="54" t="s">
        <v>1070</v>
      </c>
      <c r="GA158" s="54" t="s">
        <v>1071</v>
      </c>
      <c r="GB158" s="54" t="s">
        <v>1072</v>
      </c>
      <c r="GC158" s="54" t="s">
        <v>1073</v>
      </c>
      <c r="GD158" s="54" t="s">
        <v>1222</v>
      </c>
      <c r="GE158" s="54" t="s">
        <v>1201</v>
      </c>
      <c r="GF158" s="54"/>
      <c r="GG158" s="55"/>
      <c r="GH158" s="54"/>
      <c r="GI158" s="54"/>
      <c r="GJ158" s="54" t="s">
        <v>1076</v>
      </c>
      <c r="GK158" s="54" t="s">
        <v>1077</v>
      </c>
      <c r="GL158" s="54"/>
      <c r="GM158" s="54"/>
      <c r="GN158" s="54" t="s">
        <v>1208</v>
      </c>
      <c r="GO158" s="54" t="s">
        <v>1209</v>
      </c>
      <c r="GP158" s="54"/>
      <c r="GQ158" s="56">
        <v>0</v>
      </c>
      <c r="GR158" s="54" t="s">
        <v>1210</v>
      </c>
      <c r="GS158" s="54"/>
    </row>
    <row r="159" spans="1:201" x14ac:dyDescent="0.25">
      <c r="A159" s="54" t="s">
        <v>1032</v>
      </c>
      <c r="B159" s="54" t="s">
        <v>1033</v>
      </c>
      <c r="C159" s="54" t="s">
        <v>1249</v>
      </c>
      <c r="D159" s="54" t="s">
        <v>1035</v>
      </c>
      <c r="E159" s="54" t="s">
        <v>1036</v>
      </c>
      <c r="F159" s="55">
        <v>46185</v>
      </c>
      <c r="G159" s="55">
        <v>46185</v>
      </c>
      <c r="H159" s="54" t="s">
        <v>1037</v>
      </c>
      <c r="I159" s="54" t="s">
        <v>1038</v>
      </c>
      <c r="J159" s="54" t="s">
        <v>1039</v>
      </c>
      <c r="K159" s="55"/>
      <c r="L159" s="54" t="s">
        <v>1040</v>
      </c>
      <c r="M159" s="54"/>
      <c r="N159" s="54" t="s">
        <v>1250</v>
      </c>
      <c r="O159" s="54" t="s">
        <v>1102</v>
      </c>
      <c r="P159" s="54" t="s">
        <v>262</v>
      </c>
      <c r="Q159" s="54" t="s">
        <v>103</v>
      </c>
      <c r="R159" s="54" t="s">
        <v>1043</v>
      </c>
      <c r="S159" s="56">
        <v>1134</v>
      </c>
      <c r="T159" s="56">
        <v>1134</v>
      </c>
      <c r="U159" s="56">
        <v>0</v>
      </c>
      <c r="V159" s="56">
        <v>0</v>
      </c>
      <c r="W159" s="56">
        <v>0</v>
      </c>
      <c r="X159" s="56">
        <v>0</v>
      </c>
      <c r="Y159" s="56">
        <v>0</v>
      </c>
      <c r="Z159" s="56">
        <v>70</v>
      </c>
      <c r="AA159" s="56">
        <v>70</v>
      </c>
      <c r="AB159" s="59">
        <v>0</v>
      </c>
      <c r="AC159" s="56">
        <v>0</v>
      </c>
      <c r="AD159" s="56">
        <v>0</v>
      </c>
      <c r="AE159" s="56">
        <v>0</v>
      </c>
      <c r="AF159" s="54" t="s">
        <v>1199</v>
      </c>
      <c r="AG159" s="57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 t="s">
        <v>1045</v>
      </c>
      <c r="AS159" s="54" t="s">
        <v>1046</v>
      </c>
      <c r="AT159" s="54" t="s">
        <v>1047</v>
      </c>
      <c r="AU159" s="54" t="s">
        <v>1048</v>
      </c>
      <c r="AV159" s="54"/>
      <c r="AW159" s="55">
        <v>46198</v>
      </c>
      <c r="AX159" s="55">
        <v>46185</v>
      </c>
      <c r="AY159" s="55">
        <v>46185</v>
      </c>
      <c r="AZ159" s="55">
        <v>46188</v>
      </c>
      <c r="BA159" s="55">
        <v>46198</v>
      </c>
      <c r="BB159" s="56">
        <v>0</v>
      </c>
      <c r="BC159" s="56">
        <v>0</v>
      </c>
      <c r="BD159" s="56">
        <v>0</v>
      </c>
      <c r="BE159" s="56">
        <v>0</v>
      </c>
      <c r="BF159" s="56">
        <v>0</v>
      </c>
      <c r="BG159" s="56">
        <v>0</v>
      </c>
      <c r="BH159" s="56">
        <v>0</v>
      </c>
      <c r="BI159" s="56">
        <v>0</v>
      </c>
      <c r="BJ159" s="56">
        <v>0</v>
      </c>
      <c r="BK159" s="56">
        <v>0</v>
      </c>
      <c r="BL159" s="56">
        <v>0</v>
      </c>
      <c r="BM159" s="56">
        <v>0</v>
      </c>
      <c r="BN159" s="56">
        <v>0</v>
      </c>
      <c r="BO159" s="56">
        <v>0</v>
      </c>
      <c r="BP159" s="54" t="s">
        <v>1049</v>
      </c>
      <c r="BQ159" s="54" t="s">
        <v>1050</v>
      </c>
      <c r="BR159" s="54" t="s">
        <v>1049</v>
      </c>
      <c r="BS159" s="54" t="s">
        <v>1050</v>
      </c>
      <c r="BT159" s="54" t="s">
        <v>1051</v>
      </c>
      <c r="BU159" s="54" t="s">
        <v>1043</v>
      </c>
      <c r="BV159" s="58">
        <v>70</v>
      </c>
      <c r="BW159" s="54" t="s">
        <v>1052</v>
      </c>
      <c r="BX159" s="54" t="s">
        <v>1053</v>
      </c>
      <c r="BY159" s="54" t="s">
        <v>1054</v>
      </c>
      <c r="BZ159" s="54" t="s">
        <v>1055</v>
      </c>
      <c r="CA159" s="55"/>
      <c r="CB159" s="54" t="s">
        <v>1056</v>
      </c>
      <c r="CC159" s="54" t="s">
        <v>1057</v>
      </c>
      <c r="CD159" s="54" t="s">
        <v>1200</v>
      </c>
      <c r="CE159" s="54" t="s">
        <v>1201</v>
      </c>
      <c r="CF159" s="54" t="s">
        <v>1202</v>
      </c>
      <c r="CG159" s="54" t="s">
        <v>1203</v>
      </c>
      <c r="CH159" s="54" t="s">
        <v>1204</v>
      </c>
      <c r="CI159" s="54" t="s">
        <v>1203</v>
      </c>
      <c r="CJ159" s="54" t="s">
        <v>1064</v>
      </c>
      <c r="CK159" s="54" t="s">
        <v>1065</v>
      </c>
      <c r="CL159" s="54" t="s">
        <v>1205</v>
      </c>
      <c r="CM159" s="54" t="s">
        <v>1206</v>
      </c>
      <c r="CN159" s="54" t="s">
        <v>1068</v>
      </c>
      <c r="CO159" s="54" t="s">
        <v>1069</v>
      </c>
      <c r="CP159" s="56">
        <v>0</v>
      </c>
      <c r="CQ159" s="56">
        <v>0</v>
      </c>
      <c r="CR159" s="56">
        <v>0</v>
      </c>
      <c r="CS159" s="56">
        <v>0</v>
      </c>
      <c r="CT159" s="56">
        <v>0</v>
      </c>
      <c r="CU159" s="56">
        <v>0</v>
      </c>
      <c r="CV159" s="56">
        <v>0</v>
      </c>
      <c r="CW159" s="56">
        <v>0</v>
      </c>
      <c r="CX159" s="56">
        <v>0</v>
      </c>
      <c r="CY159" s="56">
        <v>0</v>
      </c>
      <c r="CZ159" s="56">
        <v>0</v>
      </c>
      <c r="DA159" s="56">
        <v>0</v>
      </c>
      <c r="DB159" s="56">
        <v>0</v>
      </c>
      <c r="DC159" s="56">
        <v>0</v>
      </c>
      <c r="DD159" s="56">
        <v>0</v>
      </c>
      <c r="DE159" s="56">
        <v>0</v>
      </c>
      <c r="DF159" s="56">
        <v>0</v>
      </c>
      <c r="DG159" s="56">
        <v>0</v>
      </c>
      <c r="DH159" s="56">
        <v>0</v>
      </c>
      <c r="DI159" s="56">
        <v>0</v>
      </c>
      <c r="DJ159" s="56">
        <v>0</v>
      </c>
      <c r="DK159" s="56">
        <v>0</v>
      </c>
      <c r="DL159" s="56">
        <v>0</v>
      </c>
      <c r="DM159" s="56">
        <v>0</v>
      </c>
      <c r="DN159" s="56">
        <v>0</v>
      </c>
      <c r="DO159" s="56">
        <v>0</v>
      </c>
      <c r="DP159" s="56">
        <v>0</v>
      </c>
      <c r="DQ159" s="56">
        <v>0</v>
      </c>
      <c r="DR159" s="56">
        <v>0</v>
      </c>
      <c r="DS159" s="56">
        <v>0</v>
      </c>
      <c r="DT159" s="56">
        <v>0</v>
      </c>
      <c r="DU159" s="56">
        <v>0</v>
      </c>
      <c r="DV159" s="56">
        <v>0</v>
      </c>
      <c r="DW159" s="56">
        <v>0</v>
      </c>
      <c r="DX159" s="56">
        <v>0</v>
      </c>
      <c r="DY159" s="56">
        <v>0</v>
      </c>
      <c r="DZ159" s="56">
        <v>0</v>
      </c>
      <c r="EA159" s="56">
        <v>0</v>
      </c>
      <c r="EB159" s="56">
        <v>0</v>
      </c>
      <c r="EC159" s="56">
        <v>0</v>
      </c>
      <c r="ED159" s="56">
        <v>0</v>
      </c>
      <c r="EE159" s="56">
        <v>0</v>
      </c>
      <c r="EF159" s="56">
        <v>0</v>
      </c>
      <c r="EG159" s="56">
        <v>0</v>
      </c>
      <c r="EH159" s="56">
        <v>136.08000000000001</v>
      </c>
      <c r="EI159" s="56">
        <v>0</v>
      </c>
      <c r="EJ159" s="56">
        <v>0</v>
      </c>
      <c r="EK159" s="56">
        <v>0</v>
      </c>
      <c r="EL159" s="56">
        <v>0</v>
      </c>
      <c r="EM159" s="56">
        <v>0</v>
      </c>
      <c r="EN159" s="56">
        <v>0</v>
      </c>
      <c r="EO159" s="56">
        <v>0</v>
      </c>
      <c r="EP159" s="56">
        <v>0</v>
      </c>
      <c r="EQ159" s="56">
        <v>0</v>
      </c>
      <c r="ER159" s="56">
        <v>0</v>
      </c>
      <c r="ES159" s="56">
        <v>0</v>
      </c>
      <c r="ET159" s="56">
        <v>0</v>
      </c>
      <c r="EU159" s="56">
        <v>0</v>
      </c>
      <c r="EV159" s="56">
        <v>0</v>
      </c>
      <c r="EW159" s="56">
        <v>0</v>
      </c>
      <c r="EX159" s="56">
        <v>0</v>
      </c>
      <c r="EY159" s="56">
        <v>0</v>
      </c>
      <c r="EZ159" s="56">
        <v>0</v>
      </c>
      <c r="FA159" s="56">
        <v>0</v>
      </c>
      <c r="FB159" s="56">
        <v>0</v>
      </c>
      <c r="FC159" s="58">
        <v>0</v>
      </c>
      <c r="FD159" s="56">
        <v>0</v>
      </c>
      <c r="FE159" s="56">
        <v>0</v>
      </c>
      <c r="FF159" s="56">
        <v>0</v>
      </c>
      <c r="FG159" s="56">
        <v>0</v>
      </c>
      <c r="FH159" s="56">
        <v>0</v>
      </c>
      <c r="FI159" s="56">
        <v>0</v>
      </c>
      <c r="FJ159" s="56">
        <v>0</v>
      </c>
      <c r="FK159" s="56">
        <v>0</v>
      </c>
      <c r="FL159" s="56">
        <v>0</v>
      </c>
      <c r="FM159" s="56">
        <v>0</v>
      </c>
      <c r="FN159" s="56">
        <v>0</v>
      </c>
      <c r="FO159" s="56">
        <v>0</v>
      </c>
      <c r="FP159" s="56">
        <v>0</v>
      </c>
      <c r="FQ159" s="56">
        <v>0</v>
      </c>
      <c r="FR159" s="56">
        <v>0</v>
      </c>
      <c r="FS159" s="58">
        <v>0</v>
      </c>
      <c r="FT159" s="56">
        <v>0</v>
      </c>
      <c r="FU159" s="56">
        <v>0</v>
      </c>
      <c r="FV159" s="56">
        <v>0</v>
      </c>
      <c r="FW159" s="56">
        <v>0</v>
      </c>
      <c r="FX159" s="56">
        <v>0</v>
      </c>
      <c r="FY159" s="56">
        <v>0</v>
      </c>
      <c r="FZ159" s="54" t="s">
        <v>1070</v>
      </c>
      <c r="GA159" s="54" t="s">
        <v>1071</v>
      </c>
      <c r="GB159" s="54" t="s">
        <v>1072</v>
      </c>
      <c r="GC159" s="54" t="s">
        <v>1073</v>
      </c>
      <c r="GD159" s="54" t="s">
        <v>1226</v>
      </c>
      <c r="GE159" s="54" t="s">
        <v>1201</v>
      </c>
      <c r="GF159" s="54"/>
      <c r="GG159" s="55"/>
      <c r="GH159" s="54"/>
      <c r="GI159" s="54"/>
      <c r="GJ159" s="54" t="s">
        <v>1076</v>
      </c>
      <c r="GK159" s="54" t="s">
        <v>1077</v>
      </c>
      <c r="GL159" s="54"/>
      <c r="GM159" s="54"/>
      <c r="GN159" s="54" t="s">
        <v>1208</v>
      </c>
      <c r="GO159" s="54" t="s">
        <v>1209</v>
      </c>
      <c r="GP159" s="54"/>
      <c r="GQ159" s="56">
        <v>0</v>
      </c>
      <c r="GR159" s="54" t="s">
        <v>1210</v>
      </c>
      <c r="GS159" s="54"/>
    </row>
    <row r="160" spans="1:201" x14ac:dyDescent="0.25">
      <c r="A160" s="54" t="s">
        <v>1032</v>
      </c>
      <c r="B160" s="54" t="s">
        <v>1033</v>
      </c>
      <c r="C160" s="54" t="s">
        <v>1249</v>
      </c>
      <c r="D160" s="54" t="s">
        <v>1035</v>
      </c>
      <c r="E160" s="54" t="s">
        <v>1036</v>
      </c>
      <c r="F160" s="55">
        <v>46185</v>
      </c>
      <c r="G160" s="55">
        <v>46185</v>
      </c>
      <c r="H160" s="54" t="s">
        <v>1037</v>
      </c>
      <c r="I160" s="54" t="s">
        <v>1038</v>
      </c>
      <c r="J160" s="54" t="s">
        <v>1039</v>
      </c>
      <c r="K160" s="55"/>
      <c r="L160" s="54" t="s">
        <v>1040</v>
      </c>
      <c r="M160" s="54"/>
      <c r="N160" s="54" t="s">
        <v>1250</v>
      </c>
      <c r="O160" s="54" t="s">
        <v>1107</v>
      </c>
      <c r="P160" s="54" t="s">
        <v>548</v>
      </c>
      <c r="Q160" s="54" t="s">
        <v>550</v>
      </c>
      <c r="R160" s="54" t="s">
        <v>1043</v>
      </c>
      <c r="S160" s="56">
        <v>1107.3</v>
      </c>
      <c r="T160" s="56">
        <v>0</v>
      </c>
      <c r="U160" s="56">
        <v>0</v>
      </c>
      <c r="V160" s="56">
        <v>1107.3</v>
      </c>
      <c r="W160" s="56">
        <v>0</v>
      </c>
      <c r="X160" s="56">
        <v>0</v>
      </c>
      <c r="Y160" s="56">
        <v>0</v>
      </c>
      <c r="Z160" s="56">
        <v>30</v>
      </c>
      <c r="AA160" s="56">
        <v>0</v>
      </c>
      <c r="AB160" s="59">
        <v>0</v>
      </c>
      <c r="AC160" s="56">
        <v>30</v>
      </c>
      <c r="AD160" s="56">
        <v>0</v>
      </c>
      <c r="AE160" s="56">
        <v>0</v>
      </c>
      <c r="AF160" s="54" t="s">
        <v>1199</v>
      </c>
      <c r="AG160" s="57"/>
      <c r="AH160" s="54" t="s">
        <v>1252</v>
      </c>
      <c r="AI160" s="54" t="s">
        <v>1253</v>
      </c>
      <c r="AJ160" s="54"/>
      <c r="AK160" s="54"/>
      <c r="AL160" s="54"/>
      <c r="AM160" s="54"/>
      <c r="AN160" s="54"/>
      <c r="AO160" s="54"/>
      <c r="AP160" s="54"/>
      <c r="AQ160" s="54"/>
      <c r="AR160" s="54" t="s">
        <v>1045</v>
      </c>
      <c r="AS160" s="54" t="s">
        <v>1046</v>
      </c>
      <c r="AT160" s="54" t="s">
        <v>1047</v>
      </c>
      <c r="AU160" s="54" t="s">
        <v>1048</v>
      </c>
      <c r="AV160" s="54"/>
      <c r="AW160" s="55">
        <v>46198</v>
      </c>
      <c r="AX160" s="55">
        <v>46185</v>
      </c>
      <c r="AY160" s="55">
        <v>46185</v>
      </c>
      <c r="AZ160" s="55"/>
      <c r="BA160" s="55">
        <v>46198</v>
      </c>
      <c r="BB160" s="56">
        <v>0</v>
      </c>
      <c r="BC160" s="56">
        <v>0</v>
      </c>
      <c r="BD160" s="56">
        <v>0</v>
      </c>
      <c r="BE160" s="56">
        <v>0</v>
      </c>
      <c r="BF160" s="56">
        <v>0</v>
      </c>
      <c r="BG160" s="56">
        <v>0</v>
      </c>
      <c r="BH160" s="56">
        <v>0</v>
      </c>
      <c r="BI160" s="56">
        <v>0</v>
      </c>
      <c r="BJ160" s="56">
        <v>0</v>
      </c>
      <c r="BK160" s="56">
        <v>0</v>
      </c>
      <c r="BL160" s="56">
        <v>0</v>
      </c>
      <c r="BM160" s="56">
        <v>0</v>
      </c>
      <c r="BN160" s="56">
        <v>0</v>
      </c>
      <c r="BO160" s="56">
        <v>0</v>
      </c>
      <c r="BP160" s="54" t="s">
        <v>1049</v>
      </c>
      <c r="BQ160" s="54" t="s">
        <v>1050</v>
      </c>
      <c r="BR160" s="54" t="s">
        <v>1049</v>
      </c>
      <c r="BS160" s="54" t="s">
        <v>1050</v>
      </c>
      <c r="BT160" s="54" t="s">
        <v>1051</v>
      </c>
      <c r="BU160" s="54" t="s">
        <v>1043</v>
      </c>
      <c r="BV160" s="58">
        <v>0</v>
      </c>
      <c r="BW160" s="54" t="s">
        <v>1052</v>
      </c>
      <c r="BX160" s="54" t="s">
        <v>1053</v>
      </c>
      <c r="BY160" s="54" t="s">
        <v>1054</v>
      </c>
      <c r="BZ160" s="54" t="s">
        <v>1055</v>
      </c>
      <c r="CA160" s="55"/>
      <c r="CB160" s="54" t="s">
        <v>1056</v>
      </c>
      <c r="CC160" s="54" t="s">
        <v>1057</v>
      </c>
      <c r="CD160" s="54" t="s">
        <v>1200</v>
      </c>
      <c r="CE160" s="54" t="s">
        <v>1201</v>
      </c>
      <c r="CF160" s="54" t="s">
        <v>1202</v>
      </c>
      <c r="CG160" s="54" t="s">
        <v>1203</v>
      </c>
      <c r="CH160" s="54" t="s">
        <v>1204</v>
      </c>
      <c r="CI160" s="54" t="s">
        <v>1203</v>
      </c>
      <c r="CJ160" s="54" t="s">
        <v>1064</v>
      </c>
      <c r="CK160" s="54" t="s">
        <v>1065</v>
      </c>
      <c r="CL160" s="54" t="s">
        <v>1205</v>
      </c>
      <c r="CM160" s="54" t="s">
        <v>1206</v>
      </c>
      <c r="CN160" s="54" t="s">
        <v>1068</v>
      </c>
      <c r="CO160" s="54" t="s">
        <v>1069</v>
      </c>
      <c r="CP160" s="56">
        <v>0</v>
      </c>
      <c r="CQ160" s="56">
        <v>0</v>
      </c>
      <c r="CR160" s="56">
        <v>0</v>
      </c>
      <c r="CS160" s="56">
        <v>0</v>
      </c>
      <c r="CT160" s="56">
        <v>0</v>
      </c>
      <c r="CU160" s="56">
        <v>0</v>
      </c>
      <c r="CV160" s="56">
        <v>0</v>
      </c>
      <c r="CW160" s="56">
        <v>0</v>
      </c>
      <c r="CX160" s="56">
        <v>0</v>
      </c>
      <c r="CY160" s="56">
        <v>0</v>
      </c>
      <c r="CZ160" s="56">
        <v>0</v>
      </c>
      <c r="DA160" s="56">
        <v>0</v>
      </c>
      <c r="DB160" s="56">
        <v>0</v>
      </c>
      <c r="DC160" s="56">
        <v>0</v>
      </c>
      <c r="DD160" s="56">
        <v>0</v>
      </c>
      <c r="DE160" s="56">
        <v>0</v>
      </c>
      <c r="DF160" s="56">
        <v>0</v>
      </c>
      <c r="DG160" s="56">
        <v>0</v>
      </c>
      <c r="DH160" s="56">
        <v>0</v>
      </c>
      <c r="DI160" s="56">
        <v>0</v>
      </c>
      <c r="DJ160" s="56">
        <v>0</v>
      </c>
      <c r="DK160" s="56">
        <v>0</v>
      </c>
      <c r="DL160" s="56">
        <v>0</v>
      </c>
      <c r="DM160" s="56">
        <v>0</v>
      </c>
      <c r="DN160" s="56">
        <v>0</v>
      </c>
      <c r="DO160" s="56">
        <v>0</v>
      </c>
      <c r="DP160" s="56">
        <v>0</v>
      </c>
      <c r="DQ160" s="56">
        <v>0</v>
      </c>
      <c r="DR160" s="56">
        <v>0</v>
      </c>
      <c r="DS160" s="56">
        <v>0</v>
      </c>
      <c r="DT160" s="56">
        <v>0</v>
      </c>
      <c r="DU160" s="56">
        <v>0</v>
      </c>
      <c r="DV160" s="56">
        <v>0</v>
      </c>
      <c r="DW160" s="56">
        <v>0</v>
      </c>
      <c r="DX160" s="56">
        <v>0</v>
      </c>
      <c r="DY160" s="56">
        <v>0</v>
      </c>
      <c r="DZ160" s="56">
        <v>0</v>
      </c>
      <c r="EA160" s="56">
        <v>0</v>
      </c>
      <c r="EB160" s="56">
        <v>0</v>
      </c>
      <c r="EC160" s="56">
        <v>0</v>
      </c>
      <c r="ED160" s="56">
        <v>0</v>
      </c>
      <c r="EE160" s="56">
        <v>0</v>
      </c>
      <c r="EF160" s="56">
        <v>0</v>
      </c>
      <c r="EG160" s="56">
        <v>0</v>
      </c>
      <c r="EH160" s="56">
        <v>132.88</v>
      </c>
      <c r="EI160" s="56">
        <v>0</v>
      </c>
      <c r="EJ160" s="56">
        <v>0</v>
      </c>
      <c r="EK160" s="56">
        <v>0</v>
      </c>
      <c r="EL160" s="56">
        <v>0</v>
      </c>
      <c r="EM160" s="56">
        <v>0</v>
      </c>
      <c r="EN160" s="56">
        <v>0</v>
      </c>
      <c r="EO160" s="56">
        <v>0</v>
      </c>
      <c r="EP160" s="56">
        <v>0</v>
      </c>
      <c r="EQ160" s="56">
        <v>0</v>
      </c>
      <c r="ER160" s="56">
        <v>0</v>
      </c>
      <c r="ES160" s="56">
        <v>0</v>
      </c>
      <c r="ET160" s="56">
        <v>0</v>
      </c>
      <c r="EU160" s="56">
        <v>0</v>
      </c>
      <c r="EV160" s="56">
        <v>0</v>
      </c>
      <c r="EW160" s="56">
        <v>0</v>
      </c>
      <c r="EX160" s="56">
        <v>0</v>
      </c>
      <c r="EY160" s="56">
        <v>0</v>
      </c>
      <c r="EZ160" s="56">
        <v>0</v>
      </c>
      <c r="FA160" s="56">
        <v>0</v>
      </c>
      <c r="FB160" s="56">
        <v>0</v>
      </c>
      <c r="FC160" s="58">
        <v>0</v>
      </c>
      <c r="FD160" s="56">
        <v>0</v>
      </c>
      <c r="FE160" s="56">
        <v>0</v>
      </c>
      <c r="FF160" s="56">
        <v>0</v>
      </c>
      <c r="FG160" s="56">
        <v>0</v>
      </c>
      <c r="FH160" s="56">
        <v>0</v>
      </c>
      <c r="FI160" s="56">
        <v>0</v>
      </c>
      <c r="FJ160" s="56">
        <v>0</v>
      </c>
      <c r="FK160" s="56">
        <v>0</v>
      </c>
      <c r="FL160" s="56">
        <v>0</v>
      </c>
      <c r="FM160" s="56">
        <v>0</v>
      </c>
      <c r="FN160" s="56">
        <v>0</v>
      </c>
      <c r="FO160" s="56">
        <v>0</v>
      </c>
      <c r="FP160" s="56">
        <v>0</v>
      </c>
      <c r="FQ160" s="56">
        <v>0</v>
      </c>
      <c r="FR160" s="56">
        <v>0</v>
      </c>
      <c r="FS160" s="58">
        <v>0</v>
      </c>
      <c r="FT160" s="56">
        <v>0</v>
      </c>
      <c r="FU160" s="56">
        <v>0</v>
      </c>
      <c r="FV160" s="56">
        <v>0</v>
      </c>
      <c r="FW160" s="56">
        <v>0</v>
      </c>
      <c r="FX160" s="56">
        <v>0</v>
      </c>
      <c r="FY160" s="56">
        <v>0</v>
      </c>
      <c r="FZ160" s="54" t="s">
        <v>1070</v>
      </c>
      <c r="GA160" s="54" t="s">
        <v>1071</v>
      </c>
      <c r="GB160" s="54" t="s">
        <v>1072</v>
      </c>
      <c r="GC160" s="54" t="s">
        <v>1073</v>
      </c>
      <c r="GD160" s="54"/>
      <c r="GE160" s="54"/>
      <c r="GF160" s="54"/>
      <c r="GG160" s="55"/>
      <c r="GH160" s="54"/>
      <c r="GI160" s="54"/>
      <c r="GJ160" s="54" t="s">
        <v>1076</v>
      </c>
      <c r="GK160" s="54" t="s">
        <v>1077</v>
      </c>
      <c r="GL160" s="54"/>
      <c r="GM160" s="54"/>
      <c r="GN160" s="54" t="s">
        <v>1208</v>
      </c>
      <c r="GO160" s="54" t="s">
        <v>1209</v>
      </c>
      <c r="GP160" s="54"/>
      <c r="GQ160" s="56">
        <v>0</v>
      </c>
      <c r="GR160" s="54" t="s">
        <v>1210</v>
      </c>
      <c r="GS160" s="54"/>
    </row>
    <row r="161" spans="1:201" x14ac:dyDescent="0.25">
      <c r="A161" s="54" t="s">
        <v>1032</v>
      </c>
      <c r="B161" s="54" t="s">
        <v>1033</v>
      </c>
      <c r="C161" s="54" t="s">
        <v>1249</v>
      </c>
      <c r="D161" s="54" t="s">
        <v>1035</v>
      </c>
      <c r="E161" s="54" t="s">
        <v>1036</v>
      </c>
      <c r="F161" s="55">
        <v>46185</v>
      </c>
      <c r="G161" s="55">
        <v>46185</v>
      </c>
      <c r="H161" s="54" t="s">
        <v>1037</v>
      </c>
      <c r="I161" s="54" t="s">
        <v>1038</v>
      </c>
      <c r="J161" s="54" t="s">
        <v>1039</v>
      </c>
      <c r="K161" s="55"/>
      <c r="L161" s="54" t="s">
        <v>1040</v>
      </c>
      <c r="M161" s="54"/>
      <c r="N161" s="54" t="s">
        <v>1250</v>
      </c>
      <c r="O161" s="54" t="s">
        <v>1109</v>
      </c>
      <c r="P161" s="54" t="s">
        <v>421</v>
      </c>
      <c r="Q161" s="54" t="s">
        <v>422</v>
      </c>
      <c r="R161" s="54" t="s">
        <v>1043</v>
      </c>
      <c r="S161" s="56">
        <v>1551.49</v>
      </c>
      <c r="T161" s="56">
        <v>0</v>
      </c>
      <c r="U161" s="56">
        <v>1551.49</v>
      </c>
      <c r="V161" s="56">
        <v>0</v>
      </c>
      <c r="W161" s="56">
        <v>0</v>
      </c>
      <c r="X161" s="56">
        <v>0</v>
      </c>
      <c r="Y161" s="56">
        <v>0</v>
      </c>
      <c r="Z161" s="56">
        <v>113</v>
      </c>
      <c r="AA161" s="56">
        <v>0</v>
      </c>
      <c r="AB161" s="59">
        <v>113</v>
      </c>
      <c r="AC161" s="56">
        <v>0</v>
      </c>
      <c r="AD161" s="56">
        <v>0</v>
      </c>
      <c r="AE161" s="56">
        <v>0</v>
      </c>
      <c r="AF161" s="54" t="s">
        <v>1199</v>
      </c>
      <c r="AG161" s="57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 t="s">
        <v>1045</v>
      </c>
      <c r="AS161" s="54" t="s">
        <v>1046</v>
      </c>
      <c r="AT161" s="54" t="s">
        <v>1047</v>
      </c>
      <c r="AU161" s="54" t="s">
        <v>1048</v>
      </c>
      <c r="AV161" s="54"/>
      <c r="AW161" s="55">
        <v>46198</v>
      </c>
      <c r="AX161" s="55">
        <v>46185</v>
      </c>
      <c r="AY161" s="55">
        <v>46185</v>
      </c>
      <c r="AZ161" s="55"/>
      <c r="BA161" s="55">
        <v>46198</v>
      </c>
      <c r="BB161" s="56">
        <v>0</v>
      </c>
      <c r="BC161" s="56">
        <v>0</v>
      </c>
      <c r="BD161" s="56">
        <v>0</v>
      </c>
      <c r="BE161" s="56">
        <v>0</v>
      </c>
      <c r="BF161" s="56">
        <v>0</v>
      </c>
      <c r="BG161" s="56">
        <v>0</v>
      </c>
      <c r="BH161" s="56">
        <v>0</v>
      </c>
      <c r="BI161" s="56">
        <v>0</v>
      </c>
      <c r="BJ161" s="56">
        <v>0</v>
      </c>
      <c r="BK161" s="56">
        <v>0</v>
      </c>
      <c r="BL161" s="56">
        <v>0</v>
      </c>
      <c r="BM161" s="56">
        <v>0</v>
      </c>
      <c r="BN161" s="56">
        <v>0</v>
      </c>
      <c r="BO161" s="56">
        <v>0</v>
      </c>
      <c r="BP161" s="54" t="s">
        <v>1049</v>
      </c>
      <c r="BQ161" s="54" t="s">
        <v>1050</v>
      </c>
      <c r="BR161" s="54" t="s">
        <v>1049</v>
      </c>
      <c r="BS161" s="54" t="s">
        <v>1050</v>
      </c>
      <c r="BT161" s="54" t="s">
        <v>1051</v>
      </c>
      <c r="BU161" s="54" t="s">
        <v>1043</v>
      </c>
      <c r="BV161" s="58">
        <v>0</v>
      </c>
      <c r="BW161" s="54" t="s">
        <v>1052</v>
      </c>
      <c r="BX161" s="54" t="s">
        <v>1053</v>
      </c>
      <c r="BY161" s="54" t="s">
        <v>1054</v>
      </c>
      <c r="BZ161" s="54" t="s">
        <v>1055</v>
      </c>
      <c r="CA161" s="55"/>
      <c r="CB161" s="54" t="s">
        <v>1056</v>
      </c>
      <c r="CC161" s="54" t="s">
        <v>1057</v>
      </c>
      <c r="CD161" s="54" t="s">
        <v>1200</v>
      </c>
      <c r="CE161" s="54" t="s">
        <v>1201</v>
      </c>
      <c r="CF161" s="54" t="s">
        <v>1202</v>
      </c>
      <c r="CG161" s="54" t="s">
        <v>1203</v>
      </c>
      <c r="CH161" s="54" t="s">
        <v>1204</v>
      </c>
      <c r="CI161" s="54" t="s">
        <v>1203</v>
      </c>
      <c r="CJ161" s="54" t="s">
        <v>1064</v>
      </c>
      <c r="CK161" s="54" t="s">
        <v>1065</v>
      </c>
      <c r="CL161" s="54" t="s">
        <v>1205</v>
      </c>
      <c r="CM161" s="54" t="s">
        <v>1206</v>
      </c>
      <c r="CN161" s="54" t="s">
        <v>1068</v>
      </c>
      <c r="CO161" s="54" t="s">
        <v>1069</v>
      </c>
      <c r="CP161" s="56">
        <v>0</v>
      </c>
      <c r="CQ161" s="56">
        <v>0</v>
      </c>
      <c r="CR161" s="56">
        <v>0</v>
      </c>
      <c r="CS161" s="56">
        <v>0</v>
      </c>
      <c r="CT161" s="56">
        <v>0</v>
      </c>
      <c r="CU161" s="56">
        <v>0</v>
      </c>
      <c r="CV161" s="56">
        <v>0</v>
      </c>
      <c r="CW161" s="56">
        <v>0</v>
      </c>
      <c r="CX161" s="56">
        <v>0</v>
      </c>
      <c r="CY161" s="56">
        <v>0</v>
      </c>
      <c r="CZ161" s="56">
        <v>0</v>
      </c>
      <c r="DA161" s="56">
        <v>0</v>
      </c>
      <c r="DB161" s="56">
        <v>0</v>
      </c>
      <c r="DC161" s="56">
        <v>0</v>
      </c>
      <c r="DD161" s="56">
        <v>0</v>
      </c>
      <c r="DE161" s="56">
        <v>0</v>
      </c>
      <c r="DF161" s="56">
        <v>0</v>
      </c>
      <c r="DG161" s="56">
        <v>0</v>
      </c>
      <c r="DH161" s="56">
        <v>0</v>
      </c>
      <c r="DI161" s="56">
        <v>0</v>
      </c>
      <c r="DJ161" s="56">
        <v>0</v>
      </c>
      <c r="DK161" s="56">
        <v>0</v>
      </c>
      <c r="DL161" s="56">
        <v>0</v>
      </c>
      <c r="DM161" s="56">
        <v>0</v>
      </c>
      <c r="DN161" s="56">
        <v>0</v>
      </c>
      <c r="DO161" s="56">
        <v>0</v>
      </c>
      <c r="DP161" s="56">
        <v>0</v>
      </c>
      <c r="DQ161" s="56">
        <v>0</v>
      </c>
      <c r="DR161" s="56">
        <v>0</v>
      </c>
      <c r="DS161" s="56">
        <v>0</v>
      </c>
      <c r="DT161" s="56">
        <v>0</v>
      </c>
      <c r="DU161" s="56">
        <v>0</v>
      </c>
      <c r="DV161" s="56">
        <v>0</v>
      </c>
      <c r="DW161" s="56">
        <v>0</v>
      </c>
      <c r="DX161" s="56">
        <v>0</v>
      </c>
      <c r="DY161" s="56">
        <v>0</v>
      </c>
      <c r="DZ161" s="56">
        <v>0</v>
      </c>
      <c r="EA161" s="56">
        <v>0</v>
      </c>
      <c r="EB161" s="56">
        <v>0</v>
      </c>
      <c r="EC161" s="56">
        <v>186.18</v>
      </c>
      <c r="ED161" s="56">
        <v>0</v>
      </c>
      <c r="EE161" s="56">
        <v>0</v>
      </c>
      <c r="EF161" s="56">
        <v>0</v>
      </c>
      <c r="EG161" s="56">
        <v>0</v>
      </c>
      <c r="EH161" s="56">
        <v>186.18</v>
      </c>
      <c r="EI161" s="56">
        <v>0</v>
      </c>
      <c r="EJ161" s="56">
        <v>0</v>
      </c>
      <c r="EK161" s="56">
        <v>0</v>
      </c>
      <c r="EL161" s="56">
        <v>0</v>
      </c>
      <c r="EM161" s="56">
        <v>0</v>
      </c>
      <c r="EN161" s="56">
        <v>0</v>
      </c>
      <c r="EO161" s="56">
        <v>0</v>
      </c>
      <c r="EP161" s="56">
        <v>1551.49</v>
      </c>
      <c r="EQ161" s="56">
        <v>0</v>
      </c>
      <c r="ER161" s="56">
        <v>0</v>
      </c>
      <c r="ES161" s="56">
        <v>113</v>
      </c>
      <c r="ET161" s="56">
        <v>0</v>
      </c>
      <c r="EU161" s="56">
        <v>0</v>
      </c>
      <c r="EV161" s="56">
        <v>0</v>
      </c>
      <c r="EW161" s="56">
        <v>0</v>
      </c>
      <c r="EX161" s="56">
        <v>0</v>
      </c>
      <c r="EY161" s="56">
        <v>0</v>
      </c>
      <c r="EZ161" s="56">
        <v>0</v>
      </c>
      <c r="FA161" s="56">
        <v>0</v>
      </c>
      <c r="FB161" s="56">
        <v>0</v>
      </c>
      <c r="FC161" s="58">
        <v>0</v>
      </c>
      <c r="FD161" s="56">
        <v>0</v>
      </c>
      <c r="FE161" s="56">
        <v>0</v>
      </c>
      <c r="FF161" s="56">
        <v>0</v>
      </c>
      <c r="FG161" s="56">
        <v>0</v>
      </c>
      <c r="FH161" s="56">
        <v>0</v>
      </c>
      <c r="FI161" s="56">
        <v>0</v>
      </c>
      <c r="FJ161" s="56">
        <v>0</v>
      </c>
      <c r="FK161" s="56">
        <v>0</v>
      </c>
      <c r="FL161" s="56">
        <v>0</v>
      </c>
      <c r="FM161" s="56">
        <v>0</v>
      </c>
      <c r="FN161" s="56">
        <v>0</v>
      </c>
      <c r="FO161" s="56">
        <v>0</v>
      </c>
      <c r="FP161" s="56">
        <v>0</v>
      </c>
      <c r="FQ161" s="56">
        <v>0</v>
      </c>
      <c r="FR161" s="56">
        <v>0</v>
      </c>
      <c r="FS161" s="58">
        <v>0</v>
      </c>
      <c r="FT161" s="56">
        <v>0</v>
      </c>
      <c r="FU161" s="56">
        <v>0</v>
      </c>
      <c r="FV161" s="56">
        <v>0</v>
      </c>
      <c r="FW161" s="56">
        <v>0</v>
      </c>
      <c r="FX161" s="56">
        <v>0</v>
      </c>
      <c r="FY161" s="56">
        <v>0</v>
      </c>
      <c r="FZ161" s="54" t="s">
        <v>1083</v>
      </c>
      <c r="GA161" s="54" t="s">
        <v>1084</v>
      </c>
      <c r="GB161" s="54" t="s">
        <v>1072</v>
      </c>
      <c r="GC161" s="54" t="s">
        <v>1073</v>
      </c>
      <c r="GD161" s="54"/>
      <c r="GE161" s="54"/>
      <c r="GF161" s="54" t="s">
        <v>1254</v>
      </c>
      <c r="GG161" s="55">
        <v>46205</v>
      </c>
      <c r="GH161" s="54"/>
      <c r="GI161" s="54"/>
      <c r="GJ161" s="54" t="s">
        <v>1076</v>
      </c>
      <c r="GK161" s="54" t="s">
        <v>1077</v>
      </c>
      <c r="GL161" s="54"/>
      <c r="GM161" s="54"/>
      <c r="GN161" s="54" t="s">
        <v>1208</v>
      </c>
      <c r="GO161" s="54" t="s">
        <v>1209</v>
      </c>
      <c r="GP161" s="54"/>
      <c r="GQ161" s="56">
        <v>0</v>
      </c>
      <c r="GR161" s="54" t="s">
        <v>1210</v>
      </c>
      <c r="GS161" s="54" t="s">
        <v>1101</v>
      </c>
    </row>
    <row r="162" spans="1:201" x14ac:dyDescent="0.25">
      <c r="A162" s="54" t="s">
        <v>1032</v>
      </c>
      <c r="B162" s="54" t="s">
        <v>1033</v>
      </c>
      <c r="C162" s="54" t="s">
        <v>1249</v>
      </c>
      <c r="D162" s="54" t="s">
        <v>1035</v>
      </c>
      <c r="E162" s="54" t="s">
        <v>1036</v>
      </c>
      <c r="F162" s="55">
        <v>46185</v>
      </c>
      <c r="G162" s="55">
        <v>46185</v>
      </c>
      <c r="H162" s="54" t="s">
        <v>1037</v>
      </c>
      <c r="I162" s="54" t="s">
        <v>1038</v>
      </c>
      <c r="J162" s="54" t="s">
        <v>1039</v>
      </c>
      <c r="K162" s="55"/>
      <c r="L162" s="54" t="s">
        <v>1040</v>
      </c>
      <c r="M162" s="54"/>
      <c r="N162" s="54" t="s">
        <v>1250</v>
      </c>
      <c r="O162" s="54" t="s">
        <v>1111</v>
      </c>
      <c r="P162" s="54" t="s">
        <v>264</v>
      </c>
      <c r="Q162" s="54" t="s">
        <v>105</v>
      </c>
      <c r="R162" s="54" t="s">
        <v>1043</v>
      </c>
      <c r="S162" s="56">
        <v>110.4</v>
      </c>
      <c r="T162" s="56">
        <v>110.4</v>
      </c>
      <c r="U162" s="56">
        <v>0</v>
      </c>
      <c r="V162" s="56">
        <v>0</v>
      </c>
      <c r="W162" s="56">
        <v>0</v>
      </c>
      <c r="X162" s="56">
        <v>0</v>
      </c>
      <c r="Y162" s="56">
        <v>0</v>
      </c>
      <c r="Z162" s="56">
        <v>60</v>
      </c>
      <c r="AA162" s="56">
        <v>60</v>
      </c>
      <c r="AB162" s="59">
        <v>0</v>
      </c>
      <c r="AC162" s="56">
        <v>0</v>
      </c>
      <c r="AD162" s="56">
        <v>0</v>
      </c>
      <c r="AE162" s="56">
        <v>0</v>
      </c>
      <c r="AF162" s="54" t="s">
        <v>1199</v>
      </c>
      <c r="AG162" s="57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 t="s">
        <v>1045</v>
      </c>
      <c r="AS162" s="54" t="s">
        <v>1046</v>
      </c>
      <c r="AT162" s="54" t="s">
        <v>1047</v>
      </c>
      <c r="AU162" s="54" t="s">
        <v>1048</v>
      </c>
      <c r="AV162" s="54"/>
      <c r="AW162" s="55">
        <v>46198</v>
      </c>
      <c r="AX162" s="55">
        <v>46185</v>
      </c>
      <c r="AY162" s="55">
        <v>46185</v>
      </c>
      <c r="AZ162" s="55">
        <v>46188</v>
      </c>
      <c r="BA162" s="55">
        <v>46198</v>
      </c>
      <c r="BB162" s="56">
        <v>0</v>
      </c>
      <c r="BC162" s="56">
        <v>0</v>
      </c>
      <c r="BD162" s="56">
        <v>0</v>
      </c>
      <c r="BE162" s="56">
        <v>0</v>
      </c>
      <c r="BF162" s="56">
        <v>0</v>
      </c>
      <c r="BG162" s="56">
        <v>0</v>
      </c>
      <c r="BH162" s="56">
        <v>0</v>
      </c>
      <c r="BI162" s="56">
        <v>0</v>
      </c>
      <c r="BJ162" s="56">
        <v>0</v>
      </c>
      <c r="BK162" s="56">
        <v>0</v>
      </c>
      <c r="BL162" s="56">
        <v>0</v>
      </c>
      <c r="BM162" s="56">
        <v>0</v>
      </c>
      <c r="BN162" s="56">
        <v>0</v>
      </c>
      <c r="BO162" s="56">
        <v>0</v>
      </c>
      <c r="BP162" s="54" t="s">
        <v>1049</v>
      </c>
      <c r="BQ162" s="54" t="s">
        <v>1050</v>
      </c>
      <c r="BR162" s="54" t="s">
        <v>1049</v>
      </c>
      <c r="BS162" s="54" t="s">
        <v>1050</v>
      </c>
      <c r="BT162" s="54" t="s">
        <v>1051</v>
      </c>
      <c r="BU162" s="54" t="s">
        <v>1043</v>
      </c>
      <c r="BV162" s="58">
        <v>60</v>
      </c>
      <c r="BW162" s="54" t="s">
        <v>1052</v>
      </c>
      <c r="BX162" s="54" t="s">
        <v>1053</v>
      </c>
      <c r="BY162" s="54" t="s">
        <v>1054</v>
      </c>
      <c r="BZ162" s="54" t="s">
        <v>1055</v>
      </c>
      <c r="CA162" s="55"/>
      <c r="CB162" s="54" t="s">
        <v>1056</v>
      </c>
      <c r="CC162" s="54" t="s">
        <v>1057</v>
      </c>
      <c r="CD162" s="54" t="s">
        <v>1200</v>
      </c>
      <c r="CE162" s="54" t="s">
        <v>1201</v>
      </c>
      <c r="CF162" s="54" t="s">
        <v>1202</v>
      </c>
      <c r="CG162" s="54" t="s">
        <v>1203</v>
      </c>
      <c r="CH162" s="54" t="s">
        <v>1204</v>
      </c>
      <c r="CI162" s="54" t="s">
        <v>1203</v>
      </c>
      <c r="CJ162" s="54" t="s">
        <v>1064</v>
      </c>
      <c r="CK162" s="54" t="s">
        <v>1065</v>
      </c>
      <c r="CL162" s="54" t="s">
        <v>1205</v>
      </c>
      <c r="CM162" s="54" t="s">
        <v>1206</v>
      </c>
      <c r="CN162" s="54" t="s">
        <v>1068</v>
      </c>
      <c r="CO162" s="54" t="s">
        <v>1069</v>
      </c>
      <c r="CP162" s="56">
        <v>0</v>
      </c>
      <c r="CQ162" s="56">
        <v>0</v>
      </c>
      <c r="CR162" s="56">
        <v>0</v>
      </c>
      <c r="CS162" s="56">
        <v>0</v>
      </c>
      <c r="CT162" s="56">
        <v>0</v>
      </c>
      <c r="CU162" s="56">
        <v>0</v>
      </c>
      <c r="CV162" s="56">
        <v>0</v>
      </c>
      <c r="CW162" s="56">
        <v>0</v>
      </c>
      <c r="CX162" s="56">
        <v>0</v>
      </c>
      <c r="CY162" s="56">
        <v>0</v>
      </c>
      <c r="CZ162" s="56">
        <v>0</v>
      </c>
      <c r="DA162" s="56">
        <v>0</v>
      </c>
      <c r="DB162" s="56">
        <v>0</v>
      </c>
      <c r="DC162" s="56">
        <v>0</v>
      </c>
      <c r="DD162" s="56">
        <v>0</v>
      </c>
      <c r="DE162" s="56">
        <v>0</v>
      </c>
      <c r="DF162" s="56">
        <v>0</v>
      </c>
      <c r="DG162" s="56">
        <v>0</v>
      </c>
      <c r="DH162" s="56">
        <v>0</v>
      </c>
      <c r="DI162" s="56">
        <v>0</v>
      </c>
      <c r="DJ162" s="56">
        <v>0</v>
      </c>
      <c r="DK162" s="56">
        <v>0</v>
      </c>
      <c r="DL162" s="56">
        <v>0</v>
      </c>
      <c r="DM162" s="56">
        <v>0</v>
      </c>
      <c r="DN162" s="56">
        <v>0</v>
      </c>
      <c r="DO162" s="56">
        <v>0</v>
      </c>
      <c r="DP162" s="56">
        <v>0</v>
      </c>
      <c r="DQ162" s="56">
        <v>0</v>
      </c>
      <c r="DR162" s="56">
        <v>0</v>
      </c>
      <c r="DS162" s="56">
        <v>0</v>
      </c>
      <c r="DT162" s="56">
        <v>0</v>
      </c>
      <c r="DU162" s="56">
        <v>0</v>
      </c>
      <c r="DV162" s="56">
        <v>0</v>
      </c>
      <c r="DW162" s="56">
        <v>0</v>
      </c>
      <c r="DX162" s="56">
        <v>0</v>
      </c>
      <c r="DY162" s="56">
        <v>0</v>
      </c>
      <c r="DZ162" s="56">
        <v>0</v>
      </c>
      <c r="EA162" s="56">
        <v>0</v>
      </c>
      <c r="EB162" s="56">
        <v>0</v>
      </c>
      <c r="EC162" s="56">
        <v>0</v>
      </c>
      <c r="ED162" s="56">
        <v>0</v>
      </c>
      <c r="EE162" s="56">
        <v>0</v>
      </c>
      <c r="EF162" s="56">
        <v>0</v>
      </c>
      <c r="EG162" s="56">
        <v>0</v>
      </c>
      <c r="EH162" s="56">
        <v>13.25</v>
      </c>
      <c r="EI162" s="56">
        <v>0</v>
      </c>
      <c r="EJ162" s="56">
        <v>0</v>
      </c>
      <c r="EK162" s="56">
        <v>0</v>
      </c>
      <c r="EL162" s="56">
        <v>0</v>
      </c>
      <c r="EM162" s="56">
        <v>0</v>
      </c>
      <c r="EN162" s="56">
        <v>0</v>
      </c>
      <c r="EO162" s="56">
        <v>0</v>
      </c>
      <c r="EP162" s="56">
        <v>0</v>
      </c>
      <c r="EQ162" s="56">
        <v>0</v>
      </c>
      <c r="ER162" s="56">
        <v>0</v>
      </c>
      <c r="ES162" s="56">
        <v>0</v>
      </c>
      <c r="ET162" s="56">
        <v>0</v>
      </c>
      <c r="EU162" s="56">
        <v>0</v>
      </c>
      <c r="EV162" s="56">
        <v>0</v>
      </c>
      <c r="EW162" s="56">
        <v>0</v>
      </c>
      <c r="EX162" s="56">
        <v>0</v>
      </c>
      <c r="EY162" s="56">
        <v>0</v>
      </c>
      <c r="EZ162" s="56">
        <v>0</v>
      </c>
      <c r="FA162" s="56">
        <v>0</v>
      </c>
      <c r="FB162" s="56">
        <v>0</v>
      </c>
      <c r="FC162" s="58">
        <v>0</v>
      </c>
      <c r="FD162" s="56">
        <v>0</v>
      </c>
      <c r="FE162" s="56">
        <v>0</v>
      </c>
      <c r="FF162" s="56">
        <v>0</v>
      </c>
      <c r="FG162" s="56">
        <v>0</v>
      </c>
      <c r="FH162" s="56">
        <v>0</v>
      </c>
      <c r="FI162" s="56">
        <v>0</v>
      </c>
      <c r="FJ162" s="56">
        <v>0</v>
      </c>
      <c r="FK162" s="56">
        <v>0</v>
      </c>
      <c r="FL162" s="56">
        <v>0</v>
      </c>
      <c r="FM162" s="56">
        <v>0</v>
      </c>
      <c r="FN162" s="56">
        <v>0</v>
      </c>
      <c r="FO162" s="56">
        <v>0</v>
      </c>
      <c r="FP162" s="56">
        <v>0</v>
      </c>
      <c r="FQ162" s="56">
        <v>0</v>
      </c>
      <c r="FR162" s="56">
        <v>0</v>
      </c>
      <c r="FS162" s="58">
        <v>0</v>
      </c>
      <c r="FT162" s="56">
        <v>0</v>
      </c>
      <c r="FU162" s="56">
        <v>0</v>
      </c>
      <c r="FV162" s="56">
        <v>0</v>
      </c>
      <c r="FW162" s="56">
        <v>0</v>
      </c>
      <c r="FX162" s="56">
        <v>0</v>
      </c>
      <c r="FY162" s="56">
        <v>0</v>
      </c>
      <c r="FZ162" s="54" t="s">
        <v>1070</v>
      </c>
      <c r="GA162" s="54" t="s">
        <v>1071</v>
      </c>
      <c r="GB162" s="54" t="s">
        <v>1072</v>
      </c>
      <c r="GC162" s="54" t="s">
        <v>1073</v>
      </c>
      <c r="GD162" s="54" t="s">
        <v>1227</v>
      </c>
      <c r="GE162" s="54" t="s">
        <v>1201</v>
      </c>
      <c r="GF162" s="54"/>
      <c r="GG162" s="55"/>
      <c r="GH162" s="54"/>
      <c r="GI162" s="54"/>
      <c r="GJ162" s="54" t="s">
        <v>1076</v>
      </c>
      <c r="GK162" s="54" t="s">
        <v>1077</v>
      </c>
      <c r="GL162" s="54"/>
      <c r="GM162" s="54"/>
      <c r="GN162" s="54" t="s">
        <v>1208</v>
      </c>
      <c r="GO162" s="54" t="s">
        <v>1209</v>
      </c>
      <c r="GP162" s="54"/>
      <c r="GQ162" s="56">
        <v>0</v>
      </c>
      <c r="GR162" s="54" t="s">
        <v>1210</v>
      </c>
      <c r="GS162" s="54"/>
    </row>
    <row r="163" spans="1:201" x14ac:dyDescent="0.25">
      <c r="A163" s="54" t="s">
        <v>1032</v>
      </c>
      <c r="B163" s="54" t="s">
        <v>1033</v>
      </c>
      <c r="C163" s="54" t="s">
        <v>1249</v>
      </c>
      <c r="D163" s="54" t="s">
        <v>1035</v>
      </c>
      <c r="E163" s="54" t="s">
        <v>1036</v>
      </c>
      <c r="F163" s="55">
        <v>46185</v>
      </c>
      <c r="G163" s="55">
        <v>46185</v>
      </c>
      <c r="H163" s="54" t="s">
        <v>1037</v>
      </c>
      <c r="I163" s="54" t="s">
        <v>1038</v>
      </c>
      <c r="J163" s="54" t="s">
        <v>1039</v>
      </c>
      <c r="K163" s="55"/>
      <c r="L163" s="54" t="s">
        <v>1040</v>
      </c>
      <c r="M163" s="54"/>
      <c r="N163" s="54" t="s">
        <v>1250</v>
      </c>
      <c r="O163" s="54" t="s">
        <v>1113</v>
      </c>
      <c r="P163" s="54" t="s">
        <v>269</v>
      </c>
      <c r="Q163" s="54" t="s">
        <v>110</v>
      </c>
      <c r="R163" s="54" t="s">
        <v>1043</v>
      </c>
      <c r="S163" s="56">
        <v>79.2</v>
      </c>
      <c r="T163" s="56">
        <v>79.2</v>
      </c>
      <c r="U163" s="56">
        <v>0</v>
      </c>
      <c r="V163" s="56">
        <v>0</v>
      </c>
      <c r="W163" s="56">
        <v>0</v>
      </c>
      <c r="X163" s="56">
        <v>0</v>
      </c>
      <c r="Y163" s="56">
        <v>0</v>
      </c>
      <c r="Z163" s="56">
        <v>60</v>
      </c>
      <c r="AA163" s="56">
        <v>60</v>
      </c>
      <c r="AB163" s="59">
        <v>0</v>
      </c>
      <c r="AC163" s="56">
        <v>0</v>
      </c>
      <c r="AD163" s="56">
        <v>0</v>
      </c>
      <c r="AE163" s="56">
        <v>0</v>
      </c>
      <c r="AF163" s="54" t="s">
        <v>1199</v>
      </c>
      <c r="AG163" s="57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 t="s">
        <v>1045</v>
      </c>
      <c r="AS163" s="54" t="s">
        <v>1046</v>
      </c>
      <c r="AT163" s="54" t="s">
        <v>1047</v>
      </c>
      <c r="AU163" s="54" t="s">
        <v>1048</v>
      </c>
      <c r="AV163" s="54"/>
      <c r="AW163" s="55">
        <v>46198</v>
      </c>
      <c r="AX163" s="55">
        <v>46185</v>
      </c>
      <c r="AY163" s="55">
        <v>46185</v>
      </c>
      <c r="AZ163" s="55">
        <v>46188</v>
      </c>
      <c r="BA163" s="55">
        <v>46198</v>
      </c>
      <c r="BB163" s="56">
        <v>0</v>
      </c>
      <c r="BC163" s="56">
        <v>0</v>
      </c>
      <c r="BD163" s="56">
        <v>0</v>
      </c>
      <c r="BE163" s="56">
        <v>0</v>
      </c>
      <c r="BF163" s="56">
        <v>0</v>
      </c>
      <c r="BG163" s="56">
        <v>0</v>
      </c>
      <c r="BH163" s="56">
        <v>0</v>
      </c>
      <c r="BI163" s="56">
        <v>0</v>
      </c>
      <c r="BJ163" s="56">
        <v>0</v>
      </c>
      <c r="BK163" s="56">
        <v>0</v>
      </c>
      <c r="BL163" s="56">
        <v>0</v>
      </c>
      <c r="BM163" s="56">
        <v>0</v>
      </c>
      <c r="BN163" s="56">
        <v>0</v>
      </c>
      <c r="BO163" s="56">
        <v>0</v>
      </c>
      <c r="BP163" s="54" t="s">
        <v>1049</v>
      </c>
      <c r="BQ163" s="54" t="s">
        <v>1050</v>
      </c>
      <c r="BR163" s="54" t="s">
        <v>1049</v>
      </c>
      <c r="BS163" s="54" t="s">
        <v>1050</v>
      </c>
      <c r="BT163" s="54" t="s">
        <v>1051</v>
      </c>
      <c r="BU163" s="54" t="s">
        <v>1043</v>
      </c>
      <c r="BV163" s="58">
        <v>60</v>
      </c>
      <c r="BW163" s="54" t="s">
        <v>1052</v>
      </c>
      <c r="BX163" s="54" t="s">
        <v>1053</v>
      </c>
      <c r="BY163" s="54" t="s">
        <v>1054</v>
      </c>
      <c r="BZ163" s="54" t="s">
        <v>1055</v>
      </c>
      <c r="CA163" s="55"/>
      <c r="CB163" s="54" t="s">
        <v>1056</v>
      </c>
      <c r="CC163" s="54" t="s">
        <v>1057</v>
      </c>
      <c r="CD163" s="54" t="s">
        <v>1200</v>
      </c>
      <c r="CE163" s="54" t="s">
        <v>1201</v>
      </c>
      <c r="CF163" s="54" t="s">
        <v>1202</v>
      </c>
      <c r="CG163" s="54" t="s">
        <v>1203</v>
      </c>
      <c r="CH163" s="54" t="s">
        <v>1204</v>
      </c>
      <c r="CI163" s="54" t="s">
        <v>1203</v>
      </c>
      <c r="CJ163" s="54" t="s">
        <v>1064</v>
      </c>
      <c r="CK163" s="54" t="s">
        <v>1065</v>
      </c>
      <c r="CL163" s="54" t="s">
        <v>1205</v>
      </c>
      <c r="CM163" s="54" t="s">
        <v>1206</v>
      </c>
      <c r="CN163" s="54" t="s">
        <v>1068</v>
      </c>
      <c r="CO163" s="54" t="s">
        <v>1069</v>
      </c>
      <c r="CP163" s="56">
        <v>0</v>
      </c>
      <c r="CQ163" s="56">
        <v>0</v>
      </c>
      <c r="CR163" s="56">
        <v>0</v>
      </c>
      <c r="CS163" s="56">
        <v>0</v>
      </c>
      <c r="CT163" s="56">
        <v>0</v>
      </c>
      <c r="CU163" s="56">
        <v>0</v>
      </c>
      <c r="CV163" s="56">
        <v>0</v>
      </c>
      <c r="CW163" s="56">
        <v>0</v>
      </c>
      <c r="CX163" s="56">
        <v>0</v>
      </c>
      <c r="CY163" s="56">
        <v>0</v>
      </c>
      <c r="CZ163" s="56">
        <v>0</v>
      </c>
      <c r="DA163" s="56">
        <v>0</v>
      </c>
      <c r="DB163" s="56">
        <v>0</v>
      </c>
      <c r="DC163" s="56">
        <v>0</v>
      </c>
      <c r="DD163" s="56">
        <v>0</v>
      </c>
      <c r="DE163" s="56">
        <v>0</v>
      </c>
      <c r="DF163" s="56">
        <v>0</v>
      </c>
      <c r="DG163" s="56">
        <v>0</v>
      </c>
      <c r="DH163" s="56">
        <v>0</v>
      </c>
      <c r="DI163" s="56">
        <v>0</v>
      </c>
      <c r="DJ163" s="56">
        <v>0</v>
      </c>
      <c r="DK163" s="56">
        <v>0</v>
      </c>
      <c r="DL163" s="56">
        <v>0</v>
      </c>
      <c r="DM163" s="56">
        <v>0</v>
      </c>
      <c r="DN163" s="56">
        <v>0</v>
      </c>
      <c r="DO163" s="56">
        <v>0</v>
      </c>
      <c r="DP163" s="56">
        <v>0</v>
      </c>
      <c r="DQ163" s="56">
        <v>0</v>
      </c>
      <c r="DR163" s="56">
        <v>0</v>
      </c>
      <c r="DS163" s="56">
        <v>0</v>
      </c>
      <c r="DT163" s="56">
        <v>0</v>
      </c>
      <c r="DU163" s="56">
        <v>0</v>
      </c>
      <c r="DV163" s="56">
        <v>0</v>
      </c>
      <c r="DW163" s="56">
        <v>0</v>
      </c>
      <c r="DX163" s="56">
        <v>0</v>
      </c>
      <c r="DY163" s="56">
        <v>0</v>
      </c>
      <c r="DZ163" s="56">
        <v>0</v>
      </c>
      <c r="EA163" s="56">
        <v>0</v>
      </c>
      <c r="EB163" s="56">
        <v>0</v>
      </c>
      <c r="EC163" s="56">
        <v>0</v>
      </c>
      <c r="ED163" s="56">
        <v>0</v>
      </c>
      <c r="EE163" s="56">
        <v>0</v>
      </c>
      <c r="EF163" s="56">
        <v>0</v>
      </c>
      <c r="EG163" s="56">
        <v>0</v>
      </c>
      <c r="EH163" s="56">
        <v>9.5</v>
      </c>
      <c r="EI163" s="56">
        <v>0</v>
      </c>
      <c r="EJ163" s="56">
        <v>0</v>
      </c>
      <c r="EK163" s="56">
        <v>0</v>
      </c>
      <c r="EL163" s="56">
        <v>0</v>
      </c>
      <c r="EM163" s="56">
        <v>0</v>
      </c>
      <c r="EN163" s="56">
        <v>0</v>
      </c>
      <c r="EO163" s="56">
        <v>0</v>
      </c>
      <c r="EP163" s="56">
        <v>0</v>
      </c>
      <c r="EQ163" s="56">
        <v>0</v>
      </c>
      <c r="ER163" s="56">
        <v>0</v>
      </c>
      <c r="ES163" s="56">
        <v>0</v>
      </c>
      <c r="ET163" s="56">
        <v>0</v>
      </c>
      <c r="EU163" s="56">
        <v>0</v>
      </c>
      <c r="EV163" s="56">
        <v>0</v>
      </c>
      <c r="EW163" s="56">
        <v>0</v>
      </c>
      <c r="EX163" s="56">
        <v>0</v>
      </c>
      <c r="EY163" s="56">
        <v>0</v>
      </c>
      <c r="EZ163" s="56">
        <v>0</v>
      </c>
      <c r="FA163" s="56">
        <v>0</v>
      </c>
      <c r="FB163" s="56">
        <v>0</v>
      </c>
      <c r="FC163" s="58">
        <v>0</v>
      </c>
      <c r="FD163" s="56">
        <v>0</v>
      </c>
      <c r="FE163" s="56">
        <v>0</v>
      </c>
      <c r="FF163" s="56">
        <v>0</v>
      </c>
      <c r="FG163" s="56">
        <v>0</v>
      </c>
      <c r="FH163" s="56">
        <v>0</v>
      </c>
      <c r="FI163" s="56">
        <v>0</v>
      </c>
      <c r="FJ163" s="56">
        <v>0</v>
      </c>
      <c r="FK163" s="56">
        <v>0</v>
      </c>
      <c r="FL163" s="56">
        <v>0</v>
      </c>
      <c r="FM163" s="56">
        <v>0</v>
      </c>
      <c r="FN163" s="56">
        <v>0</v>
      </c>
      <c r="FO163" s="56">
        <v>0</v>
      </c>
      <c r="FP163" s="56">
        <v>0</v>
      </c>
      <c r="FQ163" s="56">
        <v>0</v>
      </c>
      <c r="FR163" s="56">
        <v>0</v>
      </c>
      <c r="FS163" s="58">
        <v>0</v>
      </c>
      <c r="FT163" s="56">
        <v>0</v>
      </c>
      <c r="FU163" s="56">
        <v>0</v>
      </c>
      <c r="FV163" s="56">
        <v>0</v>
      </c>
      <c r="FW163" s="56">
        <v>0</v>
      </c>
      <c r="FX163" s="56">
        <v>0</v>
      </c>
      <c r="FY163" s="56">
        <v>0</v>
      </c>
      <c r="FZ163" s="54" t="s">
        <v>1070</v>
      </c>
      <c r="GA163" s="54" t="s">
        <v>1071</v>
      </c>
      <c r="GB163" s="54" t="s">
        <v>1072</v>
      </c>
      <c r="GC163" s="54" t="s">
        <v>1073</v>
      </c>
      <c r="GD163" s="54" t="s">
        <v>1228</v>
      </c>
      <c r="GE163" s="54" t="s">
        <v>1201</v>
      </c>
      <c r="GF163" s="54"/>
      <c r="GG163" s="55"/>
      <c r="GH163" s="54"/>
      <c r="GI163" s="54"/>
      <c r="GJ163" s="54" t="s">
        <v>1076</v>
      </c>
      <c r="GK163" s="54" t="s">
        <v>1077</v>
      </c>
      <c r="GL163" s="54"/>
      <c r="GM163" s="54"/>
      <c r="GN163" s="54" t="s">
        <v>1208</v>
      </c>
      <c r="GO163" s="54" t="s">
        <v>1209</v>
      </c>
      <c r="GP163" s="54"/>
      <c r="GQ163" s="56">
        <v>0</v>
      </c>
      <c r="GR163" s="54" t="s">
        <v>1210</v>
      </c>
      <c r="GS163" s="54"/>
    </row>
    <row r="164" spans="1:201" x14ac:dyDescent="0.25">
      <c r="A164" s="54" t="s">
        <v>1032</v>
      </c>
      <c r="B164" s="54" t="s">
        <v>1033</v>
      </c>
      <c r="C164" s="54" t="s">
        <v>1249</v>
      </c>
      <c r="D164" s="54" t="s">
        <v>1035</v>
      </c>
      <c r="E164" s="54" t="s">
        <v>1036</v>
      </c>
      <c r="F164" s="55">
        <v>46185</v>
      </c>
      <c r="G164" s="55">
        <v>46185</v>
      </c>
      <c r="H164" s="54" t="s">
        <v>1037</v>
      </c>
      <c r="I164" s="54" t="s">
        <v>1038</v>
      </c>
      <c r="J164" s="54" t="s">
        <v>1039</v>
      </c>
      <c r="K164" s="55"/>
      <c r="L164" s="54" t="s">
        <v>1040</v>
      </c>
      <c r="M164" s="54"/>
      <c r="N164" s="54" t="s">
        <v>1250</v>
      </c>
      <c r="O164" s="54" t="s">
        <v>1114</v>
      </c>
      <c r="P164" s="54" t="s">
        <v>268</v>
      </c>
      <c r="Q164" s="54" t="s">
        <v>109</v>
      </c>
      <c r="R164" s="54" t="s">
        <v>1043</v>
      </c>
      <c r="S164" s="56">
        <v>3480</v>
      </c>
      <c r="T164" s="56">
        <v>3480</v>
      </c>
      <c r="U164" s="56">
        <v>0</v>
      </c>
      <c r="V164" s="56">
        <v>0</v>
      </c>
      <c r="W164" s="56">
        <v>0</v>
      </c>
      <c r="X164" s="56">
        <v>0</v>
      </c>
      <c r="Y164" s="56">
        <v>0</v>
      </c>
      <c r="Z164" s="56">
        <v>3000</v>
      </c>
      <c r="AA164" s="56">
        <v>3000</v>
      </c>
      <c r="AB164" s="59">
        <v>0</v>
      </c>
      <c r="AC164" s="56">
        <v>0</v>
      </c>
      <c r="AD164" s="56">
        <v>0</v>
      </c>
      <c r="AE164" s="56">
        <v>0</v>
      </c>
      <c r="AF164" s="54" t="s">
        <v>1199</v>
      </c>
      <c r="AG164" s="57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 t="s">
        <v>1045</v>
      </c>
      <c r="AS164" s="54" t="s">
        <v>1046</v>
      </c>
      <c r="AT164" s="54" t="s">
        <v>1047</v>
      </c>
      <c r="AU164" s="54" t="s">
        <v>1048</v>
      </c>
      <c r="AV164" s="54"/>
      <c r="AW164" s="55">
        <v>46198</v>
      </c>
      <c r="AX164" s="55">
        <v>46185</v>
      </c>
      <c r="AY164" s="55">
        <v>46185</v>
      </c>
      <c r="AZ164" s="55">
        <v>46188</v>
      </c>
      <c r="BA164" s="55">
        <v>46198</v>
      </c>
      <c r="BB164" s="56">
        <v>0</v>
      </c>
      <c r="BC164" s="56">
        <v>0</v>
      </c>
      <c r="BD164" s="56">
        <v>0</v>
      </c>
      <c r="BE164" s="56">
        <v>0</v>
      </c>
      <c r="BF164" s="56">
        <v>0</v>
      </c>
      <c r="BG164" s="56">
        <v>0</v>
      </c>
      <c r="BH164" s="56">
        <v>0</v>
      </c>
      <c r="BI164" s="56">
        <v>0</v>
      </c>
      <c r="BJ164" s="56">
        <v>0</v>
      </c>
      <c r="BK164" s="56">
        <v>0</v>
      </c>
      <c r="BL164" s="56">
        <v>0</v>
      </c>
      <c r="BM164" s="56">
        <v>0</v>
      </c>
      <c r="BN164" s="56">
        <v>0</v>
      </c>
      <c r="BO164" s="56">
        <v>0</v>
      </c>
      <c r="BP164" s="54" t="s">
        <v>1049</v>
      </c>
      <c r="BQ164" s="54" t="s">
        <v>1050</v>
      </c>
      <c r="BR164" s="54" t="s">
        <v>1049</v>
      </c>
      <c r="BS164" s="54" t="s">
        <v>1050</v>
      </c>
      <c r="BT164" s="54" t="s">
        <v>1051</v>
      </c>
      <c r="BU164" s="54" t="s">
        <v>1043</v>
      </c>
      <c r="BV164" s="58">
        <v>3000</v>
      </c>
      <c r="BW164" s="54" t="s">
        <v>1052</v>
      </c>
      <c r="BX164" s="54" t="s">
        <v>1053</v>
      </c>
      <c r="BY164" s="54" t="s">
        <v>1054</v>
      </c>
      <c r="BZ164" s="54" t="s">
        <v>1055</v>
      </c>
      <c r="CA164" s="55"/>
      <c r="CB164" s="54" t="s">
        <v>1056</v>
      </c>
      <c r="CC164" s="54" t="s">
        <v>1057</v>
      </c>
      <c r="CD164" s="54" t="s">
        <v>1200</v>
      </c>
      <c r="CE164" s="54" t="s">
        <v>1201</v>
      </c>
      <c r="CF164" s="54" t="s">
        <v>1202</v>
      </c>
      <c r="CG164" s="54" t="s">
        <v>1203</v>
      </c>
      <c r="CH164" s="54" t="s">
        <v>1204</v>
      </c>
      <c r="CI164" s="54" t="s">
        <v>1203</v>
      </c>
      <c r="CJ164" s="54" t="s">
        <v>1064</v>
      </c>
      <c r="CK164" s="54" t="s">
        <v>1065</v>
      </c>
      <c r="CL164" s="54" t="s">
        <v>1205</v>
      </c>
      <c r="CM164" s="54" t="s">
        <v>1206</v>
      </c>
      <c r="CN164" s="54" t="s">
        <v>1068</v>
      </c>
      <c r="CO164" s="54" t="s">
        <v>1069</v>
      </c>
      <c r="CP164" s="56">
        <v>0</v>
      </c>
      <c r="CQ164" s="56">
        <v>0</v>
      </c>
      <c r="CR164" s="56">
        <v>0</v>
      </c>
      <c r="CS164" s="56">
        <v>0</v>
      </c>
      <c r="CT164" s="56">
        <v>0</v>
      </c>
      <c r="CU164" s="56">
        <v>0</v>
      </c>
      <c r="CV164" s="56">
        <v>0</v>
      </c>
      <c r="CW164" s="56">
        <v>0</v>
      </c>
      <c r="CX164" s="56">
        <v>0</v>
      </c>
      <c r="CY164" s="56">
        <v>0</v>
      </c>
      <c r="CZ164" s="56">
        <v>0</v>
      </c>
      <c r="DA164" s="56">
        <v>0</v>
      </c>
      <c r="DB164" s="56">
        <v>0</v>
      </c>
      <c r="DC164" s="56">
        <v>0</v>
      </c>
      <c r="DD164" s="56">
        <v>0</v>
      </c>
      <c r="DE164" s="56">
        <v>0</v>
      </c>
      <c r="DF164" s="56">
        <v>0</v>
      </c>
      <c r="DG164" s="56">
        <v>0</v>
      </c>
      <c r="DH164" s="56">
        <v>0</v>
      </c>
      <c r="DI164" s="56">
        <v>0</v>
      </c>
      <c r="DJ164" s="56">
        <v>0</v>
      </c>
      <c r="DK164" s="56">
        <v>0</v>
      </c>
      <c r="DL164" s="56">
        <v>0</v>
      </c>
      <c r="DM164" s="56">
        <v>0</v>
      </c>
      <c r="DN164" s="56">
        <v>0</v>
      </c>
      <c r="DO164" s="56">
        <v>0</v>
      </c>
      <c r="DP164" s="56">
        <v>0</v>
      </c>
      <c r="DQ164" s="56">
        <v>0</v>
      </c>
      <c r="DR164" s="56">
        <v>0</v>
      </c>
      <c r="DS164" s="56">
        <v>0</v>
      </c>
      <c r="DT164" s="56">
        <v>0</v>
      </c>
      <c r="DU164" s="56">
        <v>0</v>
      </c>
      <c r="DV164" s="56">
        <v>0</v>
      </c>
      <c r="DW164" s="56">
        <v>0</v>
      </c>
      <c r="DX164" s="56">
        <v>0</v>
      </c>
      <c r="DY164" s="56">
        <v>0</v>
      </c>
      <c r="DZ164" s="56">
        <v>0</v>
      </c>
      <c r="EA164" s="56">
        <v>0</v>
      </c>
      <c r="EB164" s="56">
        <v>0</v>
      </c>
      <c r="EC164" s="56">
        <v>0</v>
      </c>
      <c r="ED164" s="56">
        <v>0</v>
      </c>
      <c r="EE164" s="56">
        <v>0</v>
      </c>
      <c r="EF164" s="56">
        <v>0</v>
      </c>
      <c r="EG164" s="56">
        <v>0</v>
      </c>
      <c r="EH164" s="56">
        <v>417.6</v>
      </c>
      <c r="EI164" s="56">
        <v>0</v>
      </c>
      <c r="EJ164" s="56">
        <v>0</v>
      </c>
      <c r="EK164" s="56">
        <v>0</v>
      </c>
      <c r="EL164" s="56">
        <v>0</v>
      </c>
      <c r="EM164" s="56">
        <v>0</v>
      </c>
      <c r="EN164" s="56">
        <v>0</v>
      </c>
      <c r="EO164" s="56">
        <v>0</v>
      </c>
      <c r="EP164" s="56">
        <v>0</v>
      </c>
      <c r="EQ164" s="56">
        <v>0</v>
      </c>
      <c r="ER164" s="56">
        <v>0</v>
      </c>
      <c r="ES164" s="56">
        <v>0</v>
      </c>
      <c r="ET164" s="56">
        <v>0</v>
      </c>
      <c r="EU164" s="56">
        <v>0</v>
      </c>
      <c r="EV164" s="56">
        <v>0</v>
      </c>
      <c r="EW164" s="56">
        <v>0</v>
      </c>
      <c r="EX164" s="56">
        <v>0</v>
      </c>
      <c r="EY164" s="56">
        <v>0</v>
      </c>
      <c r="EZ164" s="56">
        <v>0</v>
      </c>
      <c r="FA164" s="56">
        <v>0</v>
      </c>
      <c r="FB164" s="56">
        <v>0</v>
      </c>
      <c r="FC164" s="58">
        <v>0</v>
      </c>
      <c r="FD164" s="56">
        <v>0</v>
      </c>
      <c r="FE164" s="56">
        <v>0</v>
      </c>
      <c r="FF164" s="56">
        <v>0</v>
      </c>
      <c r="FG164" s="56">
        <v>0</v>
      </c>
      <c r="FH164" s="56">
        <v>0</v>
      </c>
      <c r="FI164" s="56">
        <v>0</v>
      </c>
      <c r="FJ164" s="56">
        <v>0</v>
      </c>
      <c r="FK164" s="56">
        <v>0</v>
      </c>
      <c r="FL164" s="56">
        <v>0</v>
      </c>
      <c r="FM164" s="56">
        <v>0</v>
      </c>
      <c r="FN164" s="56">
        <v>0</v>
      </c>
      <c r="FO164" s="56">
        <v>0</v>
      </c>
      <c r="FP164" s="56">
        <v>0</v>
      </c>
      <c r="FQ164" s="56">
        <v>0</v>
      </c>
      <c r="FR164" s="56">
        <v>0</v>
      </c>
      <c r="FS164" s="58">
        <v>0</v>
      </c>
      <c r="FT164" s="56">
        <v>0</v>
      </c>
      <c r="FU164" s="56">
        <v>0</v>
      </c>
      <c r="FV164" s="56">
        <v>0</v>
      </c>
      <c r="FW164" s="56">
        <v>0</v>
      </c>
      <c r="FX164" s="56">
        <v>0</v>
      </c>
      <c r="FY164" s="56">
        <v>0</v>
      </c>
      <c r="FZ164" s="54" t="s">
        <v>1070</v>
      </c>
      <c r="GA164" s="54" t="s">
        <v>1071</v>
      </c>
      <c r="GB164" s="54" t="s">
        <v>1072</v>
      </c>
      <c r="GC164" s="54" t="s">
        <v>1073</v>
      </c>
      <c r="GD164" s="54" t="s">
        <v>1228</v>
      </c>
      <c r="GE164" s="54" t="s">
        <v>1201</v>
      </c>
      <c r="GF164" s="54"/>
      <c r="GG164" s="55"/>
      <c r="GH164" s="54"/>
      <c r="GI164" s="54"/>
      <c r="GJ164" s="54" t="s">
        <v>1076</v>
      </c>
      <c r="GK164" s="54" t="s">
        <v>1077</v>
      </c>
      <c r="GL164" s="54"/>
      <c r="GM164" s="54"/>
      <c r="GN164" s="54" t="s">
        <v>1208</v>
      </c>
      <c r="GO164" s="54" t="s">
        <v>1209</v>
      </c>
      <c r="GP164" s="54"/>
      <c r="GQ164" s="56">
        <v>0</v>
      </c>
      <c r="GR164" s="54" t="s">
        <v>1210</v>
      </c>
      <c r="GS164" s="54"/>
    </row>
    <row r="165" spans="1:201" x14ac:dyDescent="0.25">
      <c r="A165" s="54" t="s">
        <v>1032</v>
      </c>
      <c r="B165" s="54" t="s">
        <v>1033</v>
      </c>
      <c r="C165" s="54" t="s">
        <v>1249</v>
      </c>
      <c r="D165" s="54" t="s">
        <v>1035</v>
      </c>
      <c r="E165" s="54" t="s">
        <v>1036</v>
      </c>
      <c r="F165" s="55">
        <v>46185</v>
      </c>
      <c r="G165" s="55">
        <v>46185</v>
      </c>
      <c r="H165" s="54" t="s">
        <v>1037</v>
      </c>
      <c r="I165" s="54" t="s">
        <v>1038</v>
      </c>
      <c r="J165" s="54" t="s">
        <v>1039</v>
      </c>
      <c r="K165" s="55"/>
      <c r="L165" s="54" t="s">
        <v>1040</v>
      </c>
      <c r="M165" s="54"/>
      <c r="N165" s="54" t="s">
        <v>1250</v>
      </c>
      <c r="O165" s="54" t="s">
        <v>1115</v>
      </c>
      <c r="P165" s="54" t="s">
        <v>551</v>
      </c>
      <c r="Q165" s="54" t="s">
        <v>565</v>
      </c>
      <c r="R165" s="54" t="s">
        <v>1043</v>
      </c>
      <c r="S165" s="56">
        <v>940.8</v>
      </c>
      <c r="T165" s="56">
        <v>0</v>
      </c>
      <c r="U165" s="56">
        <v>940.8</v>
      </c>
      <c r="V165" s="56">
        <v>0</v>
      </c>
      <c r="W165" s="56">
        <v>0</v>
      </c>
      <c r="X165" s="56">
        <v>0</v>
      </c>
      <c r="Y165" s="56">
        <v>0</v>
      </c>
      <c r="Z165" s="56">
        <v>60</v>
      </c>
      <c r="AA165" s="56">
        <v>0</v>
      </c>
      <c r="AB165" s="59">
        <v>60</v>
      </c>
      <c r="AC165" s="56">
        <v>0</v>
      </c>
      <c r="AD165" s="56">
        <v>0</v>
      </c>
      <c r="AE165" s="56">
        <v>0</v>
      </c>
      <c r="AF165" s="54" t="s">
        <v>1199</v>
      </c>
      <c r="AG165" s="57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 t="s">
        <v>1045</v>
      </c>
      <c r="AS165" s="54" t="s">
        <v>1046</v>
      </c>
      <c r="AT165" s="54" t="s">
        <v>1047</v>
      </c>
      <c r="AU165" s="54" t="s">
        <v>1048</v>
      </c>
      <c r="AV165" s="54"/>
      <c r="AW165" s="55">
        <v>46198</v>
      </c>
      <c r="AX165" s="55">
        <v>46185</v>
      </c>
      <c r="AY165" s="55">
        <v>46185</v>
      </c>
      <c r="AZ165" s="55"/>
      <c r="BA165" s="55">
        <v>46198</v>
      </c>
      <c r="BB165" s="56">
        <v>0</v>
      </c>
      <c r="BC165" s="56">
        <v>0</v>
      </c>
      <c r="BD165" s="56">
        <v>0</v>
      </c>
      <c r="BE165" s="56">
        <v>0</v>
      </c>
      <c r="BF165" s="56">
        <v>0</v>
      </c>
      <c r="BG165" s="56">
        <v>0</v>
      </c>
      <c r="BH165" s="56">
        <v>0</v>
      </c>
      <c r="BI165" s="56">
        <v>0</v>
      </c>
      <c r="BJ165" s="56">
        <v>0</v>
      </c>
      <c r="BK165" s="56">
        <v>0</v>
      </c>
      <c r="BL165" s="56">
        <v>0</v>
      </c>
      <c r="BM165" s="56">
        <v>0</v>
      </c>
      <c r="BN165" s="56">
        <v>0</v>
      </c>
      <c r="BO165" s="56">
        <v>0</v>
      </c>
      <c r="BP165" s="54" t="s">
        <v>1049</v>
      </c>
      <c r="BQ165" s="54" t="s">
        <v>1050</v>
      </c>
      <c r="BR165" s="54" t="s">
        <v>1049</v>
      </c>
      <c r="BS165" s="54" t="s">
        <v>1050</v>
      </c>
      <c r="BT165" s="54" t="s">
        <v>1051</v>
      </c>
      <c r="BU165" s="54" t="s">
        <v>1043</v>
      </c>
      <c r="BV165" s="58">
        <v>0</v>
      </c>
      <c r="BW165" s="54" t="s">
        <v>1052</v>
      </c>
      <c r="BX165" s="54" t="s">
        <v>1053</v>
      </c>
      <c r="BY165" s="54" t="s">
        <v>1054</v>
      </c>
      <c r="BZ165" s="54" t="s">
        <v>1055</v>
      </c>
      <c r="CA165" s="55"/>
      <c r="CB165" s="54" t="s">
        <v>1056</v>
      </c>
      <c r="CC165" s="54" t="s">
        <v>1057</v>
      </c>
      <c r="CD165" s="54" t="s">
        <v>1200</v>
      </c>
      <c r="CE165" s="54" t="s">
        <v>1201</v>
      </c>
      <c r="CF165" s="54" t="s">
        <v>1202</v>
      </c>
      <c r="CG165" s="54" t="s">
        <v>1203</v>
      </c>
      <c r="CH165" s="54" t="s">
        <v>1204</v>
      </c>
      <c r="CI165" s="54" t="s">
        <v>1203</v>
      </c>
      <c r="CJ165" s="54" t="s">
        <v>1064</v>
      </c>
      <c r="CK165" s="54" t="s">
        <v>1065</v>
      </c>
      <c r="CL165" s="54" t="s">
        <v>1205</v>
      </c>
      <c r="CM165" s="54" t="s">
        <v>1206</v>
      </c>
      <c r="CN165" s="54" t="s">
        <v>1068</v>
      </c>
      <c r="CO165" s="54" t="s">
        <v>1069</v>
      </c>
      <c r="CP165" s="56">
        <v>0</v>
      </c>
      <c r="CQ165" s="56">
        <v>0</v>
      </c>
      <c r="CR165" s="56">
        <v>0</v>
      </c>
      <c r="CS165" s="56">
        <v>0</v>
      </c>
      <c r="CT165" s="56">
        <v>0</v>
      </c>
      <c r="CU165" s="56">
        <v>0</v>
      </c>
      <c r="CV165" s="56">
        <v>0</v>
      </c>
      <c r="CW165" s="56">
        <v>0</v>
      </c>
      <c r="CX165" s="56">
        <v>0</v>
      </c>
      <c r="CY165" s="56">
        <v>0</v>
      </c>
      <c r="CZ165" s="56">
        <v>0</v>
      </c>
      <c r="DA165" s="56">
        <v>0</v>
      </c>
      <c r="DB165" s="56">
        <v>0</v>
      </c>
      <c r="DC165" s="56">
        <v>0</v>
      </c>
      <c r="DD165" s="56">
        <v>0</v>
      </c>
      <c r="DE165" s="56">
        <v>0</v>
      </c>
      <c r="DF165" s="56">
        <v>0</v>
      </c>
      <c r="DG165" s="56">
        <v>0</v>
      </c>
      <c r="DH165" s="56">
        <v>0</v>
      </c>
      <c r="DI165" s="56">
        <v>0</v>
      </c>
      <c r="DJ165" s="56">
        <v>0</v>
      </c>
      <c r="DK165" s="56">
        <v>0</v>
      </c>
      <c r="DL165" s="56">
        <v>0</v>
      </c>
      <c r="DM165" s="56">
        <v>0</v>
      </c>
      <c r="DN165" s="56">
        <v>0</v>
      </c>
      <c r="DO165" s="56">
        <v>0</v>
      </c>
      <c r="DP165" s="56">
        <v>0</v>
      </c>
      <c r="DQ165" s="56">
        <v>0</v>
      </c>
      <c r="DR165" s="56">
        <v>0</v>
      </c>
      <c r="DS165" s="56">
        <v>0</v>
      </c>
      <c r="DT165" s="56">
        <v>0</v>
      </c>
      <c r="DU165" s="56">
        <v>0</v>
      </c>
      <c r="DV165" s="56">
        <v>0</v>
      </c>
      <c r="DW165" s="56">
        <v>0</v>
      </c>
      <c r="DX165" s="56">
        <v>0</v>
      </c>
      <c r="DY165" s="56">
        <v>0</v>
      </c>
      <c r="DZ165" s="56">
        <v>0</v>
      </c>
      <c r="EA165" s="56">
        <v>0</v>
      </c>
      <c r="EB165" s="56">
        <v>0</v>
      </c>
      <c r="EC165" s="56">
        <v>112.9</v>
      </c>
      <c r="ED165" s="56">
        <v>0</v>
      </c>
      <c r="EE165" s="56">
        <v>0</v>
      </c>
      <c r="EF165" s="56">
        <v>0</v>
      </c>
      <c r="EG165" s="56">
        <v>0</v>
      </c>
      <c r="EH165" s="56">
        <v>112.9</v>
      </c>
      <c r="EI165" s="56">
        <v>0</v>
      </c>
      <c r="EJ165" s="56">
        <v>0</v>
      </c>
      <c r="EK165" s="56">
        <v>0</v>
      </c>
      <c r="EL165" s="56">
        <v>0</v>
      </c>
      <c r="EM165" s="56">
        <v>0</v>
      </c>
      <c r="EN165" s="56">
        <v>0</v>
      </c>
      <c r="EO165" s="56">
        <v>0</v>
      </c>
      <c r="EP165" s="56">
        <v>940.8</v>
      </c>
      <c r="EQ165" s="56">
        <v>0</v>
      </c>
      <c r="ER165" s="56">
        <v>0</v>
      </c>
      <c r="ES165" s="56">
        <v>60</v>
      </c>
      <c r="ET165" s="56">
        <v>0</v>
      </c>
      <c r="EU165" s="56">
        <v>0</v>
      </c>
      <c r="EV165" s="56">
        <v>0</v>
      </c>
      <c r="EW165" s="56">
        <v>0</v>
      </c>
      <c r="EX165" s="56">
        <v>0</v>
      </c>
      <c r="EY165" s="56">
        <v>0</v>
      </c>
      <c r="EZ165" s="56">
        <v>0</v>
      </c>
      <c r="FA165" s="56">
        <v>0</v>
      </c>
      <c r="FB165" s="56">
        <v>0</v>
      </c>
      <c r="FC165" s="58">
        <v>0</v>
      </c>
      <c r="FD165" s="56">
        <v>0</v>
      </c>
      <c r="FE165" s="56">
        <v>0</v>
      </c>
      <c r="FF165" s="56">
        <v>0</v>
      </c>
      <c r="FG165" s="56">
        <v>0</v>
      </c>
      <c r="FH165" s="56">
        <v>0</v>
      </c>
      <c r="FI165" s="56">
        <v>0</v>
      </c>
      <c r="FJ165" s="56">
        <v>0</v>
      </c>
      <c r="FK165" s="56">
        <v>0</v>
      </c>
      <c r="FL165" s="56">
        <v>0</v>
      </c>
      <c r="FM165" s="56">
        <v>0</v>
      </c>
      <c r="FN165" s="56">
        <v>0</v>
      </c>
      <c r="FO165" s="56">
        <v>0</v>
      </c>
      <c r="FP165" s="56">
        <v>0</v>
      </c>
      <c r="FQ165" s="56">
        <v>0</v>
      </c>
      <c r="FR165" s="56">
        <v>0</v>
      </c>
      <c r="FS165" s="58">
        <v>0</v>
      </c>
      <c r="FT165" s="56">
        <v>0</v>
      </c>
      <c r="FU165" s="56">
        <v>0</v>
      </c>
      <c r="FV165" s="56">
        <v>0</v>
      </c>
      <c r="FW165" s="56">
        <v>0</v>
      </c>
      <c r="FX165" s="56">
        <v>0</v>
      </c>
      <c r="FY165" s="56">
        <v>0</v>
      </c>
      <c r="FZ165" s="54" t="s">
        <v>1083</v>
      </c>
      <c r="GA165" s="54" t="s">
        <v>1084</v>
      </c>
      <c r="GB165" s="54" t="s">
        <v>1072</v>
      </c>
      <c r="GC165" s="54" t="s">
        <v>1073</v>
      </c>
      <c r="GD165" s="54"/>
      <c r="GE165" s="54"/>
      <c r="GF165" s="54" t="s">
        <v>1241</v>
      </c>
      <c r="GG165" s="55">
        <v>46205</v>
      </c>
      <c r="GH165" s="54"/>
      <c r="GI165" s="54"/>
      <c r="GJ165" s="54" t="s">
        <v>1076</v>
      </c>
      <c r="GK165" s="54" t="s">
        <v>1077</v>
      </c>
      <c r="GL165" s="54"/>
      <c r="GM165" s="54"/>
      <c r="GN165" s="54" t="s">
        <v>1208</v>
      </c>
      <c r="GO165" s="54" t="s">
        <v>1209</v>
      </c>
      <c r="GP165" s="54"/>
      <c r="GQ165" s="56">
        <v>0</v>
      </c>
      <c r="GR165" s="54" t="s">
        <v>1210</v>
      </c>
      <c r="GS165" s="54" t="s">
        <v>1101</v>
      </c>
    </row>
    <row r="166" spans="1:201" x14ac:dyDescent="0.25">
      <c r="A166" s="54" t="s">
        <v>1032</v>
      </c>
      <c r="B166" s="54" t="s">
        <v>1033</v>
      </c>
      <c r="C166" s="54" t="s">
        <v>1249</v>
      </c>
      <c r="D166" s="54" t="s">
        <v>1035</v>
      </c>
      <c r="E166" s="54" t="s">
        <v>1036</v>
      </c>
      <c r="F166" s="55">
        <v>46185</v>
      </c>
      <c r="G166" s="55">
        <v>46185</v>
      </c>
      <c r="H166" s="54" t="s">
        <v>1037</v>
      </c>
      <c r="I166" s="54" t="s">
        <v>1038</v>
      </c>
      <c r="J166" s="54" t="s">
        <v>1039</v>
      </c>
      <c r="K166" s="55"/>
      <c r="L166" s="54" t="s">
        <v>1040</v>
      </c>
      <c r="M166" s="54"/>
      <c r="N166" s="54" t="s">
        <v>1250</v>
      </c>
      <c r="O166" s="54" t="s">
        <v>1116</v>
      </c>
      <c r="P166" s="54" t="s">
        <v>552</v>
      </c>
      <c r="Q166" s="54" t="s">
        <v>564</v>
      </c>
      <c r="R166" s="54" t="s">
        <v>1043</v>
      </c>
      <c r="S166" s="56">
        <v>1835.4</v>
      </c>
      <c r="T166" s="56">
        <v>0</v>
      </c>
      <c r="U166" s="56">
        <v>1835.4</v>
      </c>
      <c r="V166" s="56">
        <v>0</v>
      </c>
      <c r="W166" s="56">
        <v>0</v>
      </c>
      <c r="X166" s="56">
        <v>0</v>
      </c>
      <c r="Y166" s="56">
        <v>0</v>
      </c>
      <c r="Z166" s="56">
        <v>60</v>
      </c>
      <c r="AA166" s="56">
        <v>0</v>
      </c>
      <c r="AB166" s="59">
        <v>60</v>
      </c>
      <c r="AC166" s="56">
        <v>0</v>
      </c>
      <c r="AD166" s="56">
        <v>0</v>
      </c>
      <c r="AE166" s="56">
        <v>0</v>
      </c>
      <c r="AF166" s="54" t="s">
        <v>1199</v>
      </c>
      <c r="AG166" s="57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 t="s">
        <v>1045</v>
      </c>
      <c r="AS166" s="54" t="s">
        <v>1046</v>
      </c>
      <c r="AT166" s="54" t="s">
        <v>1047</v>
      </c>
      <c r="AU166" s="54" t="s">
        <v>1048</v>
      </c>
      <c r="AV166" s="54"/>
      <c r="AW166" s="55">
        <v>46198</v>
      </c>
      <c r="AX166" s="55">
        <v>46185</v>
      </c>
      <c r="AY166" s="55">
        <v>46185</v>
      </c>
      <c r="AZ166" s="55"/>
      <c r="BA166" s="55">
        <v>46198</v>
      </c>
      <c r="BB166" s="56">
        <v>0</v>
      </c>
      <c r="BC166" s="56">
        <v>0</v>
      </c>
      <c r="BD166" s="56">
        <v>0</v>
      </c>
      <c r="BE166" s="56">
        <v>0</v>
      </c>
      <c r="BF166" s="56">
        <v>0</v>
      </c>
      <c r="BG166" s="56">
        <v>0</v>
      </c>
      <c r="BH166" s="56">
        <v>0</v>
      </c>
      <c r="BI166" s="56">
        <v>0</v>
      </c>
      <c r="BJ166" s="56">
        <v>0</v>
      </c>
      <c r="BK166" s="56">
        <v>0</v>
      </c>
      <c r="BL166" s="56">
        <v>0</v>
      </c>
      <c r="BM166" s="56">
        <v>0</v>
      </c>
      <c r="BN166" s="56">
        <v>0</v>
      </c>
      <c r="BO166" s="56">
        <v>0</v>
      </c>
      <c r="BP166" s="54" t="s">
        <v>1049</v>
      </c>
      <c r="BQ166" s="54" t="s">
        <v>1050</v>
      </c>
      <c r="BR166" s="54" t="s">
        <v>1049</v>
      </c>
      <c r="BS166" s="54" t="s">
        <v>1050</v>
      </c>
      <c r="BT166" s="54" t="s">
        <v>1051</v>
      </c>
      <c r="BU166" s="54" t="s">
        <v>1043</v>
      </c>
      <c r="BV166" s="58">
        <v>0</v>
      </c>
      <c r="BW166" s="54" t="s">
        <v>1052</v>
      </c>
      <c r="BX166" s="54" t="s">
        <v>1053</v>
      </c>
      <c r="BY166" s="54" t="s">
        <v>1054</v>
      </c>
      <c r="BZ166" s="54" t="s">
        <v>1055</v>
      </c>
      <c r="CA166" s="55"/>
      <c r="CB166" s="54" t="s">
        <v>1056</v>
      </c>
      <c r="CC166" s="54" t="s">
        <v>1057</v>
      </c>
      <c r="CD166" s="54" t="s">
        <v>1200</v>
      </c>
      <c r="CE166" s="54" t="s">
        <v>1201</v>
      </c>
      <c r="CF166" s="54" t="s">
        <v>1202</v>
      </c>
      <c r="CG166" s="54" t="s">
        <v>1203</v>
      </c>
      <c r="CH166" s="54" t="s">
        <v>1204</v>
      </c>
      <c r="CI166" s="54" t="s">
        <v>1203</v>
      </c>
      <c r="CJ166" s="54" t="s">
        <v>1064</v>
      </c>
      <c r="CK166" s="54" t="s">
        <v>1065</v>
      </c>
      <c r="CL166" s="54" t="s">
        <v>1205</v>
      </c>
      <c r="CM166" s="54" t="s">
        <v>1206</v>
      </c>
      <c r="CN166" s="54" t="s">
        <v>1068</v>
      </c>
      <c r="CO166" s="54" t="s">
        <v>1069</v>
      </c>
      <c r="CP166" s="56">
        <v>0</v>
      </c>
      <c r="CQ166" s="56">
        <v>0</v>
      </c>
      <c r="CR166" s="56">
        <v>0</v>
      </c>
      <c r="CS166" s="56">
        <v>0</v>
      </c>
      <c r="CT166" s="56">
        <v>0</v>
      </c>
      <c r="CU166" s="56">
        <v>0</v>
      </c>
      <c r="CV166" s="56">
        <v>0</v>
      </c>
      <c r="CW166" s="56">
        <v>0</v>
      </c>
      <c r="CX166" s="56">
        <v>0</v>
      </c>
      <c r="CY166" s="56">
        <v>0</v>
      </c>
      <c r="CZ166" s="56">
        <v>0</v>
      </c>
      <c r="DA166" s="56">
        <v>0</v>
      </c>
      <c r="DB166" s="56">
        <v>0</v>
      </c>
      <c r="DC166" s="56">
        <v>0</v>
      </c>
      <c r="DD166" s="56">
        <v>0</v>
      </c>
      <c r="DE166" s="56">
        <v>0</v>
      </c>
      <c r="DF166" s="56">
        <v>0</v>
      </c>
      <c r="DG166" s="56">
        <v>0</v>
      </c>
      <c r="DH166" s="56">
        <v>0</v>
      </c>
      <c r="DI166" s="56">
        <v>0</v>
      </c>
      <c r="DJ166" s="56">
        <v>0</v>
      </c>
      <c r="DK166" s="56">
        <v>0</v>
      </c>
      <c r="DL166" s="56">
        <v>0</v>
      </c>
      <c r="DM166" s="56">
        <v>0</v>
      </c>
      <c r="DN166" s="56">
        <v>0</v>
      </c>
      <c r="DO166" s="56">
        <v>0</v>
      </c>
      <c r="DP166" s="56">
        <v>0</v>
      </c>
      <c r="DQ166" s="56">
        <v>0</v>
      </c>
      <c r="DR166" s="56">
        <v>0</v>
      </c>
      <c r="DS166" s="56">
        <v>0</v>
      </c>
      <c r="DT166" s="56">
        <v>0</v>
      </c>
      <c r="DU166" s="56">
        <v>0</v>
      </c>
      <c r="DV166" s="56">
        <v>0</v>
      </c>
      <c r="DW166" s="56">
        <v>0</v>
      </c>
      <c r="DX166" s="56">
        <v>0</v>
      </c>
      <c r="DY166" s="56">
        <v>0</v>
      </c>
      <c r="DZ166" s="56">
        <v>0</v>
      </c>
      <c r="EA166" s="56">
        <v>0</v>
      </c>
      <c r="EB166" s="56">
        <v>0</v>
      </c>
      <c r="EC166" s="56">
        <v>220.25</v>
      </c>
      <c r="ED166" s="56">
        <v>0</v>
      </c>
      <c r="EE166" s="56">
        <v>0</v>
      </c>
      <c r="EF166" s="56">
        <v>0</v>
      </c>
      <c r="EG166" s="56">
        <v>0</v>
      </c>
      <c r="EH166" s="56">
        <v>220.25</v>
      </c>
      <c r="EI166" s="56">
        <v>0</v>
      </c>
      <c r="EJ166" s="56">
        <v>0</v>
      </c>
      <c r="EK166" s="56">
        <v>0</v>
      </c>
      <c r="EL166" s="56">
        <v>0</v>
      </c>
      <c r="EM166" s="56">
        <v>0</v>
      </c>
      <c r="EN166" s="56">
        <v>0</v>
      </c>
      <c r="EO166" s="56">
        <v>0</v>
      </c>
      <c r="EP166" s="56">
        <v>1835.4</v>
      </c>
      <c r="EQ166" s="56">
        <v>0</v>
      </c>
      <c r="ER166" s="56">
        <v>0</v>
      </c>
      <c r="ES166" s="56">
        <v>60</v>
      </c>
      <c r="ET166" s="56">
        <v>0</v>
      </c>
      <c r="EU166" s="56">
        <v>0</v>
      </c>
      <c r="EV166" s="56">
        <v>0</v>
      </c>
      <c r="EW166" s="56">
        <v>0</v>
      </c>
      <c r="EX166" s="56">
        <v>0</v>
      </c>
      <c r="EY166" s="56">
        <v>0</v>
      </c>
      <c r="EZ166" s="56">
        <v>0</v>
      </c>
      <c r="FA166" s="56">
        <v>0</v>
      </c>
      <c r="FB166" s="56">
        <v>0</v>
      </c>
      <c r="FC166" s="58">
        <v>0</v>
      </c>
      <c r="FD166" s="56">
        <v>0</v>
      </c>
      <c r="FE166" s="56">
        <v>0</v>
      </c>
      <c r="FF166" s="56">
        <v>0</v>
      </c>
      <c r="FG166" s="56">
        <v>0</v>
      </c>
      <c r="FH166" s="56">
        <v>0</v>
      </c>
      <c r="FI166" s="56">
        <v>0</v>
      </c>
      <c r="FJ166" s="56">
        <v>0</v>
      </c>
      <c r="FK166" s="56">
        <v>0</v>
      </c>
      <c r="FL166" s="56">
        <v>0</v>
      </c>
      <c r="FM166" s="56">
        <v>0</v>
      </c>
      <c r="FN166" s="56">
        <v>0</v>
      </c>
      <c r="FO166" s="56">
        <v>0</v>
      </c>
      <c r="FP166" s="56">
        <v>0</v>
      </c>
      <c r="FQ166" s="56">
        <v>0</v>
      </c>
      <c r="FR166" s="56">
        <v>0</v>
      </c>
      <c r="FS166" s="58">
        <v>0</v>
      </c>
      <c r="FT166" s="56">
        <v>0</v>
      </c>
      <c r="FU166" s="56">
        <v>0</v>
      </c>
      <c r="FV166" s="56">
        <v>0</v>
      </c>
      <c r="FW166" s="56">
        <v>0</v>
      </c>
      <c r="FX166" s="56">
        <v>0</v>
      </c>
      <c r="FY166" s="56">
        <v>0</v>
      </c>
      <c r="FZ166" s="54" t="s">
        <v>1083</v>
      </c>
      <c r="GA166" s="54" t="s">
        <v>1084</v>
      </c>
      <c r="GB166" s="54" t="s">
        <v>1072</v>
      </c>
      <c r="GC166" s="54" t="s">
        <v>1073</v>
      </c>
      <c r="GD166" s="54"/>
      <c r="GE166" s="54"/>
      <c r="GF166" s="54" t="s">
        <v>1255</v>
      </c>
      <c r="GG166" s="55">
        <v>46205</v>
      </c>
      <c r="GH166" s="54"/>
      <c r="GI166" s="54"/>
      <c r="GJ166" s="54" t="s">
        <v>1076</v>
      </c>
      <c r="GK166" s="54" t="s">
        <v>1077</v>
      </c>
      <c r="GL166" s="54"/>
      <c r="GM166" s="54"/>
      <c r="GN166" s="54" t="s">
        <v>1208</v>
      </c>
      <c r="GO166" s="54" t="s">
        <v>1209</v>
      </c>
      <c r="GP166" s="54"/>
      <c r="GQ166" s="56">
        <v>0</v>
      </c>
      <c r="GR166" s="54" t="s">
        <v>1210</v>
      </c>
      <c r="GS166" s="54" t="s">
        <v>1101</v>
      </c>
    </row>
    <row r="167" spans="1:201" x14ac:dyDescent="0.25">
      <c r="A167" s="54" t="s">
        <v>1032</v>
      </c>
      <c r="B167" s="54" t="s">
        <v>1033</v>
      </c>
      <c r="C167" s="54" t="s">
        <v>1249</v>
      </c>
      <c r="D167" s="54" t="s">
        <v>1035</v>
      </c>
      <c r="E167" s="54" t="s">
        <v>1036</v>
      </c>
      <c r="F167" s="55">
        <v>46185</v>
      </c>
      <c r="G167" s="55">
        <v>46185</v>
      </c>
      <c r="H167" s="54" t="s">
        <v>1037</v>
      </c>
      <c r="I167" s="54" t="s">
        <v>1038</v>
      </c>
      <c r="J167" s="54" t="s">
        <v>1039</v>
      </c>
      <c r="K167" s="55"/>
      <c r="L167" s="54" t="s">
        <v>1040</v>
      </c>
      <c r="M167" s="54"/>
      <c r="N167" s="54" t="s">
        <v>1250</v>
      </c>
      <c r="O167" s="54" t="s">
        <v>1117</v>
      </c>
      <c r="P167" s="54" t="s">
        <v>553</v>
      </c>
      <c r="Q167" s="54" t="s">
        <v>566</v>
      </c>
      <c r="R167" s="54" t="s">
        <v>1043</v>
      </c>
      <c r="S167" s="56">
        <v>1863.6</v>
      </c>
      <c r="T167" s="56">
        <v>1863.6</v>
      </c>
      <c r="U167" s="56">
        <v>0</v>
      </c>
      <c r="V167" s="56">
        <v>0</v>
      </c>
      <c r="W167" s="56">
        <v>0</v>
      </c>
      <c r="X167" s="56">
        <v>0</v>
      </c>
      <c r="Y167" s="56">
        <v>0</v>
      </c>
      <c r="Z167" s="56">
        <v>60</v>
      </c>
      <c r="AA167" s="56">
        <v>60</v>
      </c>
      <c r="AB167" s="59">
        <v>0</v>
      </c>
      <c r="AC167" s="56">
        <v>0</v>
      </c>
      <c r="AD167" s="56">
        <v>0</v>
      </c>
      <c r="AE167" s="56">
        <v>0</v>
      </c>
      <c r="AF167" s="54" t="s">
        <v>1199</v>
      </c>
      <c r="AG167" s="57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 t="s">
        <v>1045</v>
      </c>
      <c r="AS167" s="54" t="s">
        <v>1046</v>
      </c>
      <c r="AT167" s="54" t="s">
        <v>1047</v>
      </c>
      <c r="AU167" s="54" t="s">
        <v>1048</v>
      </c>
      <c r="AV167" s="54"/>
      <c r="AW167" s="55">
        <v>46198</v>
      </c>
      <c r="AX167" s="55">
        <v>46185</v>
      </c>
      <c r="AY167" s="55">
        <v>46185</v>
      </c>
      <c r="AZ167" s="55">
        <v>46188</v>
      </c>
      <c r="BA167" s="55">
        <v>46198</v>
      </c>
      <c r="BB167" s="56">
        <v>0</v>
      </c>
      <c r="BC167" s="56">
        <v>0</v>
      </c>
      <c r="BD167" s="56">
        <v>0</v>
      </c>
      <c r="BE167" s="56">
        <v>0</v>
      </c>
      <c r="BF167" s="56">
        <v>0</v>
      </c>
      <c r="BG167" s="56">
        <v>0</v>
      </c>
      <c r="BH167" s="56">
        <v>0</v>
      </c>
      <c r="BI167" s="56">
        <v>0</v>
      </c>
      <c r="BJ167" s="56">
        <v>0</v>
      </c>
      <c r="BK167" s="56">
        <v>0</v>
      </c>
      <c r="BL167" s="56">
        <v>0</v>
      </c>
      <c r="BM167" s="56">
        <v>0</v>
      </c>
      <c r="BN167" s="56">
        <v>0</v>
      </c>
      <c r="BO167" s="56">
        <v>0</v>
      </c>
      <c r="BP167" s="54" t="s">
        <v>1049</v>
      </c>
      <c r="BQ167" s="54" t="s">
        <v>1050</v>
      </c>
      <c r="BR167" s="54" t="s">
        <v>1049</v>
      </c>
      <c r="BS167" s="54" t="s">
        <v>1050</v>
      </c>
      <c r="BT167" s="54" t="s">
        <v>1051</v>
      </c>
      <c r="BU167" s="54" t="s">
        <v>1043</v>
      </c>
      <c r="BV167" s="58">
        <v>60</v>
      </c>
      <c r="BW167" s="54" t="s">
        <v>1052</v>
      </c>
      <c r="BX167" s="54" t="s">
        <v>1053</v>
      </c>
      <c r="BY167" s="54" t="s">
        <v>1054</v>
      </c>
      <c r="BZ167" s="54" t="s">
        <v>1055</v>
      </c>
      <c r="CA167" s="55"/>
      <c r="CB167" s="54" t="s">
        <v>1056</v>
      </c>
      <c r="CC167" s="54" t="s">
        <v>1057</v>
      </c>
      <c r="CD167" s="54" t="s">
        <v>1200</v>
      </c>
      <c r="CE167" s="54" t="s">
        <v>1201</v>
      </c>
      <c r="CF167" s="54" t="s">
        <v>1202</v>
      </c>
      <c r="CG167" s="54" t="s">
        <v>1203</v>
      </c>
      <c r="CH167" s="54" t="s">
        <v>1204</v>
      </c>
      <c r="CI167" s="54" t="s">
        <v>1203</v>
      </c>
      <c r="CJ167" s="54" t="s">
        <v>1064</v>
      </c>
      <c r="CK167" s="54" t="s">
        <v>1065</v>
      </c>
      <c r="CL167" s="54" t="s">
        <v>1205</v>
      </c>
      <c r="CM167" s="54" t="s">
        <v>1206</v>
      </c>
      <c r="CN167" s="54" t="s">
        <v>1068</v>
      </c>
      <c r="CO167" s="54" t="s">
        <v>1069</v>
      </c>
      <c r="CP167" s="56">
        <v>0</v>
      </c>
      <c r="CQ167" s="56">
        <v>0</v>
      </c>
      <c r="CR167" s="56">
        <v>0</v>
      </c>
      <c r="CS167" s="56">
        <v>0</v>
      </c>
      <c r="CT167" s="56">
        <v>0</v>
      </c>
      <c r="CU167" s="56">
        <v>0</v>
      </c>
      <c r="CV167" s="56">
        <v>0</v>
      </c>
      <c r="CW167" s="56">
        <v>0</v>
      </c>
      <c r="CX167" s="56">
        <v>0</v>
      </c>
      <c r="CY167" s="56">
        <v>0</v>
      </c>
      <c r="CZ167" s="56">
        <v>0</v>
      </c>
      <c r="DA167" s="56">
        <v>0</v>
      </c>
      <c r="DB167" s="56">
        <v>0</v>
      </c>
      <c r="DC167" s="56">
        <v>0</v>
      </c>
      <c r="DD167" s="56">
        <v>0</v>
      </c>
      <c r="DE167" s="56">
        <v>0</v>
      </c>
      <c r="DF167" s="56">
        <v>0</v>
      </c>
      <c r="DG167" s="56">
        <v>0</v>
      </c>
      <c r="DH167" s="56">
        <v>0</v>
      </c>
      <c r="DI167" s="56">
        <v>0</v>
      </c>
      <c r="DJ167" s="56">
        <v>0</v>
      </c>
      <c r="DK167" s="56">
        <v>0</v>
      </c>
      <c r="DL167" s="56">
        <v>0</v>
      </c>
      <c r="DM167" s="56">
        <v>0</v>
      </c>
      <c r="DN167" s="56">
        <v>0</v>
      </c>
      <c r="DO167" s="56">
        <v>0</v>
      </c>
      <c r="DP167" s="56">
        <v>0</v>
      </c>
      <c r="DQ167" s="56">
        <v>0</v>
      </c>
      <c r="DR167" s="56">
        <v>0</v>
      </c>
      <c r="DS167" s="56">
        <v>0</v>
      </c>
      <c r="DT167" s="56">
        <v>0</v>
      </c>
      <c r="DU167" s="56">
        <v>0</v>
      </c>
      <c r="DV167" s="56">
        <v>0</v>
      </c>
      <c r="DW167" s="56">
        <v>0</v>
      </c>
      <c r="DX167" s="56">
        <v>0</v>
      </c>
      <c r="DY167" s="56">
        <v>0</v>
      </c>
      <c r="DZ167" s="56">
        <v>0</v>
      </c>
      <c r="EA167" s="56">
        <v>0</v>
      </c>
      <c r="EB167" s="56">
        <v>0</v>
      </c>
      <c r="EC167" s="56">
        <v>0</v>
      </c>
      <c r="ED167" s="56">
        <v>0</v>
      </c>
      <c r="EE167" s="56">
        <v>0</v>
      </c>
      <c r="EF167" s="56">
        <v>0</v>
      </c>
      <c r="EG167" s="56">
        <v>0</v>
      </c>
      <c r="EH167" s="56">
        <v>223.63</v>
      </c>
      <c r="EI167" s="56">
        <v>0</v>
      </c>
      <c r="EJ167" s="56">
        <v>0</v>
      </c>
      <c r="EK167" s="56">
        <v>0</v>
      </c>
      <c r="EL167" s="56">
        <v>0</v>
      </c>
      <c r="EM167" s="56">
        <v>0</v>
      </c>
      <c r="EN167" s="56">
        <v>0</v>
      </c>
      <c r="EO167" s="56">
        <v>0</v>
      </c>
      <c r="EP167" s="56">
        <v>0</v>
      </c>
      <c r="EQ167" s="56">
        <v>0</v>
      </c>
      <c r="ER167" s="56">
        <v>0</v>
      </c>
      <c r="ES167" s="56">
        <v>0</v>
      </c>
      <c r="ET167" s="56">
        <v>0</v>
      </c>
      <c r="EU167" s="56">
        <v>0</v>
      </c>
      <c r="EV167" s="56">
        <v>0</v>
      </c>
      <c r="EW167" s="56">
        <v>0</v>
      </c>
      <c r="EX167" s="56">
        <v>0</v>
      </c>
      <c r="EY167" s="56">
        <v>0</v>
      </c>
      <c r="EZ167" s="56">
        <v>0</v>
      </c>
      <c r="FA167" s="56">
        <v>0</v>
      </c>
      <c r="FB167" s="56">
        <v>0</v>
      </c>
      <c r="FC167" s="58">
        <v>0</v>
      </c>
      <c r="FD167" s="56">
        <v>0</v>
      </c>
      <c r="FE167" s="56">
        <v>0</v>
      </c>
      <c r="FF167" s="56">
        <v>0</v>
      </c>
      <c r="FG167" s="56">
        <v>0</v>
      </c>
      <c r="FH167" s="56">
        <v>0</v>
      </c>
      <c r="FI167" s="56">
        <v>0</v>
      </c>
      <c r="FJ167" s="56">
        <v>0</v>
      </c>
      <c r="FK167" s="56">
        <v>0</v>
      </c>
      <c r="FL167" s="56">
        <v>0</v>
      </c>
      <c r="FM167" s="56">
        <v>0</v>
      </c>
      <c r="FN167" s="56">
        <v>0</v>
      </c>
      <c r="FO167" s="56">
        <v>0</v>
      </c>
      <c r="FP167" s="56">
        <v>0</v>
      </c>
      <c r="FQ167" s="56">
        <v>0</v>
      </c>
      <c r="FR167" s="56">
        <v>0</v>
      </c>
      <c r="FS167" s="58">
        <v>0</v>
      </c>
      <c r="FT167" s="56">
        <v>0</v>
      </c>
      <c r="FU167" s="56">
        <v>0</v>
      </c>
      <c r="FV167" s="56">
        <v>0</v>
      </c>
      <c r="FW167" s="56">
        <v>0</v>
      </c>
      <c r="FX167" s="56">
        <v>0</v>
      </c>
      <c r="FY167" s="56">
        <v>0</v>
      </c>
      <c r="FZ167" s="54" t="s">
        <v>1083</v>
      </c>
      <c r="GA167" s="54" t="s">
        <v>1084</v>
      </c>
      <c r="GB167" s="54" t="s">
        <v>1072</v>
      </c>
      <c r="GC167" s="54" t="s">
        <v>1073</v>
      </c>
      <c r="GD167" s="54"/>
      <c r="GE167" s="54"/>
      <c r="GF167" s="54"/>
      <c r="GG167" s="55"/>
      <c r="GH167" s="54"/>
      <c r="GI167" s="54"/>
      <c r="GJ167" s="54" t="s">
        <v>1076</v>
      </c>
      <c r="GK167" s="54" t="s">
        <v>1077</v>
      </c>
      <c r="GL167" s="54"/>
      <c r="GM167" s="54"/>
      <c r="GN167" s="54" t="s">
        <v>1208</v>
      </c>
      <c r="GO167" s="54" t="s">
        <v>1209</v>
      </c>
      <c r="GP167" s="54"/>
      <c r="GQ167" s="56">
        <v>0</v>
      </c>
      <c r="GR167" s="54" t="s">
        <v>1210</v>
      </c>
      <c r="GS167" s="54"/>
    </row>
    <row r="168" spans="1:201" x14ac:dyDescent="0.25">
      <c r="A168" s="54" t="s">
        <v>1032</v>
      </c>
      <c r="B168" s="54" t="s">
        <v>1033</v>
      </c>
      <c r="C168" s="54" t="s">
        <v>1249</v>
      </c>
      <c r="D168" s="54" t="s">
        <v>1035</v>
      </c>
      <c r="E168" s="54" t="s">
        <v>1036</v>
      </c>
      <c r="F168" s="55">
        <v>46185</v>
      </c>
      <c r="G168" s="55">
        <v>46185</v>
      </c>
      <c r="H168" s="54" t="s">
        <v>1037</v>
      </c>
      <c r="I168" s="54" t="s">
        <v>1038</v>
      </c>
      <c r="J168" s="54" t="s">
        <v>1039</v>
      </c>
      <c r="K168" s="55"/>
      <c r="L168" s="54" t="s">
        <v>1040</v>
      </c>
      <c r="M168" s="54"/>
      <c r="N168" s="54" t="s">
        <v>1250</v>
      </c>
      <c r="O168" s="54" t="s">
        <v>1118</v>
      </c>
      <c r="P168" s="54" t="s">
        <v>697</v>
      </c>
      <c r="Q168" s="54" t="s">
        <v>698</v>
      </c>
      <c r="R168" s="54" t="s">
        <v>1043</v>
      </c>
      <c r="S168" s="56">
        <v>198</v>
      </c>
      <c r="T168" s="56">
        <v>198</v>
      </c>
      <c r="U168" s="56">
        <v>0</v>
      </c>
      <c r="V168" s="56">
        <v>0</v>
      </c>
      <c r="W168" s="56">
        <v>0</v>
      </c>
      <c r="X168" s="56">
        <v>0</v>
      </c>
      <c r="Y168" s="56">
        <v>0</v>
      </c>
      <c r="Z168" s="56">
        <v>18</v>
      </c>
      <c r="AA168" s="56">
        <v>18</v>
      </c>
      <c r="AB168" s="59">
        <v>0</v>
      </c>
      <c r="AC168" s="56">
        <v>0</v>
      </c>
      <c r="AD168" s="56">
        <v>0</v>
      </c>
      <c r="AE168" s="56">
        <v>0</v>
      </c>
      <c r="AF168" s="54" t="s">
        <v>1199</v>
      </c>
      <c r="AG168" s="57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 t="s">
        <v>1045</v>
      </c>
      <c r="AS168" s="54" t="s">
        <v>1046</v>
      </c>
      <c r="AT168" s="54" t="s">
        <v>1047</v>
      </c>
      <c r="AU168" s="54" t="s">
        <v>1048</v>
      </c>
      <c r="AV168" s="54"/>
      <c r="AW168" s="55">
        <v>46198</v>
      </c>
      <c r="AX168" s="55">
        <v>46185</v>
      </c>
      <c r="AY168" s="55">
        <v>46185</v>
      </c>
      <c r="AZ168" s="55">
        <v>46188</v>
      </c>
      <c r="BA168" s="55">
        <v>46198</v>
      </c>
      <c r="BB168" s="56">
        <v>0</v>
      </c>
      <c r="BC168" s="56">
        <v>0</v>
      </c>
      <c r="BD168" s="56">
        <v>0</v>
      </c>
      <c r="BE168" s="56">
        <v>0</v>
      </c>
      <c r="BF168" s="56">
        <v>0</v>
      </c>
      <c r="BG168" s="56">
        <v>0</v>
      </c>
      <c r="BH168" s="56">
        <v>0</v>
      </c>
      <c r="BI168" s="56">
        <v>0</v>
      </c>
      <c r="BJ168" s="56">
        <v>0</v>
      </c>
      <c r="BK168" s="56">
        <v>0</v>
      </c>
      <c r="BL168" s="56">
        <v>0</v>
      </c>
      <c r="BM168" s="56">
        <v>0</v>
      </c>
      <c r="BN168" s="56">
        <v>0</v>
      </c>
      <c r="BO168" s="56">
        <v>0</v>
      </c>
      <c r="BP168" s="54" t="s">
        <v>1049</v>
      </c>
      <c r="BQ168" s="54" t="s">
        <v>1050</v>
      </c>
      <c r="BR168" s="54" t="s">
        <v>1049</v>
      </c>
      <c r="BS168" s="54" t="s">
        <v>1050</v>
      </c>
      <c r="BT168" s="54" t="s">
        <v>1051</v>
      </c>
      <c r="BU168" s="54" t="s">
        <v>1043</v>
      </c>
      <c r="BV168" s="58">
        <v>18</v>
      </c>
      <c r="BW168" s="54" t="s">
        <v>1052</v>
      </c>
      <c r="BX168" s="54" t="s">
        <v>1053</v>
      </c>
      <c r="BY168" s="54" t="s">
        <v>1054</v>
      </c>
      <c r="BZ168" s="54" t="s">
        <v>1055</v>
      </c>
      <c r="CA168" s="55"/>
      <c r="CB168" s="54" t="s">
        <v>1056</v>
      </c>
      <c r="CC168" s="54" t="s">
        <v>1057</v>
      </c>
      <c r="CD168" s="54" t="s">
        <v>1200</v>
      </c>
      <c r="CE168" s="54" t="s">
        <v>1201</v>
      </c>
      <c r="CF168" s="54" t="s">
        <v>1202</v>
      </c>
      <c r="CG168" s="54" t="s">
        <v>1203</v>
      </c>
      <c r="CH168" s="54" t="s">
        <v>1204</v>
      </c>
      <c r="CI168" s="54" t="s">
        <v>1203</v>
      </c>
      <c r="CJ168" s="54" t="s">
        <v>1064</v>
      </c>
      <c r="CK168" s="54" t="s">
        <v>1065</v>
      </c>
      <c r="CL168" s="54" t="s">
        <v>1205</v>
      </c>
      <c r="CM168" s="54" t="s">
        <v>1206</v>
      </c>
      <c r="CN168" s="54" t="s">
        <v>1068</v>
      </c>
      <c r="CO168" s="54" t="s">
        <v>1069</v>
      </c>
      <c r="CP168" s="56">
        <v>0</v>
      </c>
      <c r="CQ168" s="56">
        <v>0</v>
      </c>
      <c r="CR168" s="56">
        <v>0</v>
      </c>
      <c r="CS168" s="56">
        <v>0</v>
      </c>
      <c r="CT168" s="56">
        <v>0</v>
      </c>
      <c r="CU168" s="56">
        <v>0</v>
      </c>
      <c r="CV168" s="56">
        <v>0</v>
      </c>
      <c r="CW168" s="56">
        <v>0</v>
      </c>
      <c r="CX168" s="56">
        <v>0</v>
      </c>
      <c r="CY168" s="56">
        <v>0</v>
      </c>
      <c r="CZ168" s="56">
        <v>0</v>
      </c>
      <c r="DA168" s="56">
        <v>0</v>
      </c>
      <c r="DB168" s="56">
        <v>0</v>
      </c>
      <c r="DC168" s="56">
        <v>0</v>
      </c>
      <c r="DD168" s="56">
        <v>0</v>
      </c>
      <c r="DE168" s="56">
        <v>0</v>
      </c>
      <c r="DF168" s="56">
        <v>0</v>
      </c>
      <c r="DG168" s="56">
        <v>0</v>
      </c>
      <c r="DH168" s="56">
        <v>0</v>
      </c>
      <c r="DI168" s="56">
        <v>0</v>
      </c>
      <c r="DJ168" s="56">
        <v>0</v>
      </c>
      <c r="DK168" s="56">
        <v>0</v>
      </c>
      <c r="DL168" s="56">
        <v>0</v>
      </c>
      <c r="DM168" s="56">
        <v>0</v>
      </c>
      <c r="DN168" s="56">
        <v>0</v>
      </c>
      <c r="DO168" s="56">
        <v>0</v>
      </c>
      <c r="DP168" s="56">
        <v>0</v>
      </c>
      <c r="DQ168" s="56">
        <v>0</v>
      </c>
      <c r="DR168" s="56">
        <v>0</v>
      </c>
      <c r="DS168" s="56">
        <v>0</v>
      </c>
      <c r="DT168" s="56">
        <v>0</v>
      </c>
      <c r="DU168" s="56">
        <v>0</v>
      </c>
      <c r="DV168" s="56">
        <v>0</v>
      </c>
      <c r="DW168" s="56">
        <v>0</v>
      </c>
      <c r="DX168" s="56">
        <v>0</v>
      </c>
      <c r="DY168" s="56">
        <v>0</v>
      </c>
      <c r="DZ168" s="56">
        <v>0</v>
      </c>
      <c r="EA168" s="56">
        <v>0</v>
      </c>
      <c r="EB168" s="56">
        <v>0</v>
      </c>
      <c r="EC168" s="56">
        <v>0</v>
      </c>
      <c r="ED168" s="56">
        <v>0</v>
      </c>
      <c r="EE168" s="56">
        <v>0</v>
      </c>
      <c r="EF168" s="56">
        <v>0</v>
      </c>
      <c r="EG168" s="56">
        <v>0</v>
      </c>
      <c r="EH168" s="56">
        <v>7.92</v>
      </c>
      <c r="EI168" s="56">
        <v>0</v>
      </c>
      <c r="EJ168" s="56">
        <v>0</v>
      </c>
      <c r="EK168" s="56">
        <v>0</v>
      </c>
      <c r="EL168" s="56">
        <v>0</v>
      </c>
      <c r="EM168" s="56">
        <v>0</v>
      </c>
      <c r="EN168" s="56">
        <v>0</v>
      </c>
      <c r="EO168" s="56">
        <v>0</v>
      </c>
      <c r="EP168" s="56">
        <v>0</v>
      </c>
      <c r="EQ168" s="56">
        <v>0</v>
      </c>
      <c r="ER168" s="56">
        <v>0</v>
      </c>
      <c r="ES168" s="56">
        <v>0</v>
      </c>
      <c r="ET168" s="56">
        <v>0</v>
      </c>
      <c r="EU168" s="56">
        <v>0</v>
      </c>
      <c r="EV168" s="56">
        <v>0</v>
      </c>
      <c r="EW168" s="56">
        <v>0</v>
      </c>
      <c r="EX168" s="56">
        <v>0</v>
      </c>
      <c r="EY168" s="56">
        <v>0</v>
      </c>
      <c r="EZ168" s="56">
        <v>0</v>
      </c>
      <c r="FA168" s="56">
        <v>0</v>
      </c>
      <c r="FB168" s="56">
        <v>0</v>
      </c>
      <c r="FC168" s="58">
        <v>0</v>
      </c>
      <c r="FD168" s="56">
        <v>0</v>
      </c>
      <c r="FE168" s="56">
        <v>0</v>
      </c>
      <c r="FF168" s="56">
        <v>0</v>
      </c>
      <c r="FG168" s="56">
        <v>0</v>
      </c>
      <c r="FH168" s="56">
        <v>0</v>
      </c>
      <c r="FI168" s="56">
        <v>0</v>
      </c>
      <c r="FJ168" s="56">
        <v>0</v>
      </c>
      <c r="FK168" s="56">
        <v>0</v>
      </c>
      <c r="FL168" s="56">
        <v>0</v>
      </c>
      <c r="FM168" s="56">
        <v>0</v>
      </c>
      <c r="FN168" s="56">
        <v>0</v>
      </c>
      <c r="FO168" s="56">
        <v>0</v>
      </c>
      <c r="FP168" s="56">
        <v>0</v>
      </c>
      <c r="FQ168" s="56">
        <v>0</v>
      </c>
      <c r="FR168" s="56">
        <v>0</v>
      </c>
      <c r="FS168" s="58">
        <v>0</v>
      </c>
      <c r="FT168" s="56">
        <v>0</v>
      </c>
      <c r="FU168" s="56">
        <v>0</v>
      </c>
      <c r="FV168" s="56">
        <v>0</v>
      </c>
      <c r="FW168" s="56">
        <v>0</v>
      </c>
      <c r="FX168" s="56">
        <v>0</v>
      </c>
      <c r="FY168" s="56">
        <v>0</v>
      </c>
      <c r="FZ168" s="54" t="s">
        <v>1083</v>
      </c>
      <c r="GA168" s="54" t="s">
        <v>1084</v>
      </c>
      <c r="GB168" s="54" t="s">
        <v>1072</v>
      </c>
      <c r="GC168" s="54" t="s">
        <v>1073</v>
      </c>
      <c r="GD168" s="54"/>
      <c r="GE168" s="54"/>
      <c r="GF168" s="54"/>
      <c r="GG168" s="55"/>
      <c r="GH168" s="54"/>
      <c r="GI168" s="54"/>
      <c r="GJ168" s="54" t="s">
        <v>1076</v>
      </c>
      <c r="GK168" s="54" t="s">
        <v>1077</v>
      </c>
      <c r="GL168" s="54"/>
      <c r="GM168" s="54"/>
      <c r="GN168" s="54" t="s">
        <v>1208</v>
      </c>
      <c r="GO168" s="54" t="s">
        <v>1209</v>
      </c>
      <c r="GP168" s="54"/>
      <c r="GQ168" s="56">
        <v>0</v>
      </c>
      <c r="GR168" s="54" t="s">
        <v>1210</v>
      </c>
      <c r="GS168" s="54"/>
    </row>
    <row r="169" spans="1:201" x14ac:dyDescent="0.25">
      <c r="A169" s="54" t="s">
        <v>1032</v>
      </c>
      <c r="B169" s="54" t="s">
        <v>1033</v>
      </c>
      <c r="C169" s="54" t="s">
        <v>1249</v>
      </c>
      <c r="D169" s="54" t="s">
        <v>1035</v>
      </c>
      <c r="E169" s="54" t="s">
        <v>1036</v>
      </c>
      <c r="F169" s="55">
        <v>46185</v>
      </c>
      <c r="G169" s="55">
        <v>46185</v>
      </c>
      <c r="H169" s="54" t="s">
        <v>1037</v>
      </c>
      <c r="I169" s="54" t="s">
        <v>1038</v>
      </c>
      <c r="J169" s="54" t="s">
        <v>1039</v>
      </c>
      <c r="K169" s="55"/>
      <c r="L169" s="54" t="s">
        <v>1040</v>
      </c>
      <c r="M169" s="54"/>
      <c r="N169" s="54" t="s">
        <v>1250</v>
      </c>
      <c r="O169" s="54" t="s">
        <v>1120</v>
      </c>
      <c r="P169" s="54" t="s">
        <v>709</v>
      </c>
      <c r="Q169" s="54" t="s">
        <v>711</v>
      </c>
      <c r="R169" s="54" t="s">
        <v>1043</v>
      </c>
      <c r="S169" s="56">
        <v>2895.48</v>
      </c>
      <c r="T169" s="56">
        <v>2895.48</v>
      </c>
      <c r="U169" s="56">
        <v>0</v>
      </c>
      <c r="V169" s="56">
        <v>0</v>
      </c>
      <c r="W169" s="56">
        <v>0</v>
      </c>
      <c r="X169" s="56">
        <v>0</v>
      </c>
      <c r="Y169" s="56">
        <v>0</v>
      </c>
      <c r="Z169" s="56">
        <v>126</v>
      </c>
      <c r="AA169" s="56">
        <v>126</v>
      </c>
      <c r="AB169" s="59">
        <v>0</v>
      </c>
      <c r="AC169" s="56">
        <v>0</v>
      </c>
      <c r="AD169" s="56">
        <v>0</v>
      </c>
      <c r="AE169" s="56">
        <v>0</v>
      </c>
      <c r="AF169" s="54" t="s">
        <v>1199</v>
      </c>
      <c r="AG169" s="57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 t="s">
        <v>1045</v>
      </c>
      <c r="AS169" s="54" t="s">
        <v>1046</v>
      </c>
      <c r="AT169" s="54" t="s">
        <v>1047</v>
      </c>
      <c r="AU169" s="54" t="s">
        <v>1048</v>
      </c>
      <c r="AV169" s="54"/>
      <c r="AW169" s="55">
        <v>46198</v>
      </c>
      <c r="AX169" s="55">
        <v>46185</v>
      </c>
      <c r="AY169" s="55">
        <v>46185</v>
      </c>
      <c r="AZ169" s="55">
        <v>46188</v>
      </c>
      <c r="BA169" s="55">
        <v>46198</v>
      </c>
      <c r="BB169" s="56">
        <v>0</v>
      </c>
      <c r="BC169" s="56">
        <v>0</v>
      </c>
      <c r="BD169" s="56">
        <v>0</v>
      </c>
      <c r="BE169" s="56">
        <v>0</v>
      </c>
      <c r="BF169" s="56">
        <v>0</v>
      </c>
      <c r="BG169" s="56">
        <v>0</v>
      </c>
      <c r="BH169" s="56">
        <v>0</v>
      </c>
      <c r="BI169" s="56">
        <v>0</v>
      </c>
      <c r="BJ169" s="56">
        <v>0</v>
      </c>
      <c r="BK169" s="56">
        <v>0</v>
      </c>
      <c r="BL169" s="56">
        <v>0</v>
      </c>
      <c r="BM169" s="56">
        <v>0</v>
      </c>
      <c r="BN169" s="56">
        <v>0</v>
      </c>
      <c r="BO169" s="56">
        <v>0</v>
      </c>
      <c r="BP169" s="54" t="s">
        <v>1049</v>
      </c>
      <c r="BQ169" s="54" t="s">
        <v>1050</v>
      </c>
      <c r="BR169" s="54" t="s">
        <v>1049</v>
      </c>
      <c r="BS169" s="54" t="s">
        <v>1050</v>
      </c>
      <c r="BT169" s="54" t="s">
        <v>1051</v>
      </c>
      <c r="BU169" s="54" t="s">
        <v>1043</v>
      </c>
      <c r="BV169" s="58">
        <v>126</v>
      </c>
      <c r="BW169" s="54" t="s">
        <v>1052</v>
      </c>
      <c r="BX169" s="54" t="s">
        <v>1053</v>
      </c>
      <c r="BY169" s="54" t="s">
        <v>1054</v>
      </c>
      <c r="BZ169" s="54" t="s">
        <v>1055</v>
      </c>
      <c r="CA169" s="55"/>
      <c r="CB169" s="54" t="s">
        <v>1056</v>
      </c>
      <c r="CC169" s="54" t="s">
        <v>1057</v>
      </c>
      <c r="CD169" s="54" t="s">
        <v>1200</v>
      </c>
      <c r="CE169" s="54" t="s">
        <v>1201</v>
      </c>
      <c r="CF169" s="54" t="s">
        <v>1202</v>
      </c>
      <c r="CG169" s="54" t="s">
        <v>1203</v>
      </c>
      <c r="CH169" s="54" t="s">
        <v>1204</v>
      </c>
      <c r="CI169" s="54" t="s">
        <v>1203</v>
      </c>
      <c r="CJ169" s="54" t="s">
        <v>1064</v>
      </c>
      <c r="CK169" s="54" t="s">
        <v>1065</v>
      </c>
      <c r="CL169" s="54" t="s">
        <v>1205</v>
      </c>
      <c r="CM169" s="54" t="s">
        <v>1206</v>
      </c>
      <c r="CN169" s="54" t="s">
        <v>1068</v>
      </c>
      <c r="CO169" s="54" t="s">
        <v>1069</v>
      </c>
      <c r="CP169" s="56">
        <v>0</v>
      </c>
      <c r="CQ169" s="56">
        <v>0</v>
      </c>
      <c r="CR169" s="56">
        <v>0</v>
      </c>
      <c r="CS169" s="56">
        <v>0</v>
      </c>
      <c r="CT169" s="56">
        <v>0</v>
      </c>
      <c r="CU169" s="56">
        <v>0</v>
      </c>
      <c r="CV169" s="56">
        <v>0</v>
      </c>
      <c r="CW169" s="56">
        <v>0</v>
      </c>
      <c r="CX169" s="56">
        <v>0</v>
      </c>
      <c r="CY169" s="56">
        <v>0</v>
      </c>
      <c r="CZ169" s="56">
        <v>0</v>
      </c>
      <c r="DA169" s="56">
        <v>0</v>
      </c>
      <c r="DB169" s="56">
        <v>0</v>
      </c>
      <c r="DC169" s="56">
        <v>0</v>
      </c>
      <c r="DD169" s="56">
        <v>0</v>
      </c>
      <c r="DE169" s="56">
        <v>0</v>
      </c>
      <c r="DF169" s="56">
        <v>0</v>
      </c>
      <c r="DG169" s="56">
        <v>0</v>
      </c>
      <c r="DH169" s="56">
        <v>0</v>
      </c>
      <c r="DI169" s="56">
        <v>0</v>
      </c>
      <c r="DJ169" s="56">
        <v>0</v>
      </c>
      <c r="DK169" s="56">
        <v>0</v>
      </c>
      <c r="DL169" s="56">
        <v>0</v>
      </c>
      <c r="DM169" s="56">
        <v>0</v>
      </c>
      <c r="DN169" s="56">
        <v>0</v>
      </c>
      <c r="DO169" s="56">
        <v>0</v>
      </c>
      <c r="DP169" s="56">
        <v>0</v>
      </c>
      <c r="DQ169" s="56">
        <v>0</v>
      </c>
      <c r="DR169" s="56">
        <v>0</v>
      </c>
      <c r="DS169" s="56">
        <v>0</v>
      </c>
      <c r="DT169" s="56">
        <v>0</v>
      </c>
      <c r="DU169" s="56">
        <v>0</v>
      </c>
      <c r="DV169" s="56">
        <v>0</v>
      </c>
      <c r="DW169" s="56">
        <v>0</v>
      </c>
      <c r="DX169" s="56">
        <v>0</v>
      </c>
      <c r="DY169" s="56">
        <v>0</v>
      </c>
      <c r="DZ169" s="56">
        <v>0</v>
      </c>
      <c r="EA169" s="56">
        <v>0</v>
      </c>
      <c r="EB169" s="56">
        <v>0</v>
      </c>
      <c r="EC169" s="56">
        <v>0</v>
      </c>
      <c r="ED169" s="56">
        <v>0</v>
      </c>
      <c r="EE169" s="56">
        <v>0</v>
      </c>
      <c r="EF169" s="56">
        <v>0</v>
      </c>
      <c r="EG169" s="56">
        <v>0</v>
      </c>
      <c r="EH169" s="56">
        <v>115.82</v>
      </c>
      <c r="EI169" s="56">
        <v>0</v>
      </c>
      <c r="EJ169" s="56">
        <v>0</v>
      </c>
      <c r="EK169" s="56">
        <v>0</v>
      </c>
      <c r="EL169" s="56">
        <v>0</v>
      </c>
      <c r="EM169" s="56">
        <v>0</v>
      </c>
      <c r="EN169" s="56">
        <v>0</v>
      </c>
      <c r="EO169" s="56">
        <v>0</v>
      </c>
      <c r="EP169" s="56">
        <v>0</v>
      </c>
      <c r="EQ169" s="56">
        <v>0</v>
      </c>
      <c r="ER169" s="56">
        <v>0</v>
      </c>
      <c r="ES169" s="56">
        <v>0</v>
      </c>
      <c r="ET169" s="56">
        <v>0</v>
      </c>
      <c r="EU169" s="56">
        <v>0</v>
      </c>
      <c r="EV169" s="56">
        <v>0</v>
      </c>
      <c r="EW169" s="56">
        <v>0</v>
      </c>
      <c r="EX169" s="56">
        <v>0</v>
      </c>
      <c r="EY169" s="56">
        <v>0</v>
      </c>
      <c r="EZ169" s="56">
        <v>0</v>
      </c>
      <c r="FA169" s="56">
        <v>0</v>
      </c>
      <c r="FB169" s="56">
        <v>0</v>
      </c>
      <c r="FC169" s="58">
        <v>0</v>
      </c>
      <c r="FD169" s="56">
        <v>0</v>
      </c>
      <c r="FE169" s="56">
        <v>0</v>
      </c>
      <c r="FF169" s="56">
        <v>0</v>
      </c>
      <c r="FG169" s="56">
        <v>0</v>
      </c>
      <c r="FH169" s="56">
        <v>0</v>
      </c>
      <c r="FI169" s="56">
        <v>0</v>
      </c>
      <c r="FJ169" s="56">
        <v>0</v>
      </c>
      <c r="FK169" s="56">
        <v>0</v>
      </c>
      <c r="FL169" s="56">
        <v>0</v>
      </c>
      <c r="FM169" s="56">
        <v>0</v>
      </c>
      <c r="FN169" s="56">
        <v>0</v>
      </c>
      <c r="FO169" s="56">
        <v>0</v>
      </c>
      <c r="FP169" s="56">
        <v>0</v>
      </c>
      <c r="FQ169" s="56">
        <v>0</v>
      </c>
      <c r="FR169" s="56">
        <v>0</v>
      </c>
      <c r="FS169" s="58">
        <v>0</v>
      </c>
      <c r="FT169" s="56">
        <v>0</v>
      </c>
      <c r="FU169" s="56">
        <v>0</v>
      </c>
      <c r="FV169" s="56">
        <v>0</v>
      </c>
      <c r="FW169" s="56">
        <v>0</v>
      </c>
      <c r="FX169" s="56">
        <v>0</v>
      </c>
      <c r="FY169" s="56">
        <v>0</v>
      </c>
      <c r="FZ169" s="54" t="s">
        <v>1070</v>
      </c>
      <c r="GA169" s="54" t="s">
        <v>1071</v>
      </c>
      <c r="GB169" s="54" t="s">
        <v>1072</v>
      </c>
      <c r="GC169" s="54" t="s">
        <v>1073</v>
      </c>
      <c r="GD169" s="54"/>
      <c r="GE169" s="54"/>
      <c r="GF169" s="54"/>
      <c r="GG169" s="55"/>
      <c r="GH169" s="54"/>
      <c r="GI169" s="54"/>
      <c r="GJ169" s="54" t="s">
        <v>1076</v>
      </c>
      <c r="GK169" s="54" t="s">
        <v>1077</v>
      </c>
      <c r="GL169" s="54"/>
      <c r="GM169" s="54"/>
      <c r="GN169" s="54" t="s">
        <v>1208</v>
      </c>
      <c r="GO169" s="54" t="s">
        <v>1209</v>
      </c>
      <c r="GP169" s="54"/>
      <c r="GQ169" s="56">
        <v>0</v>
      </c>
      <c r="GR169" s="54" t="s">
        <v>1210</v>
      </c>
      <c r="GS169" s="54"/>
    </row>
    <row r="170" spans="1:201" x14ac:dyDescent="0.25">
      <c r="A170" s="54" t="s">
        <v>1032</v>
      </c>
      <c r="B170" s="54" t="s">
        <v>1033</v>
      </c>
      <c r="C170" s="54" t="s">
        <v>1249</v>
      </c>
      <c r="D170" s="54" t="s">
        <v>1035</v>
      </c>
      <c r="E170" s="54" t="s">
        <v>1036</v>
      </c>
      <c r="F170" s="55">
        <v>46185</v>
      </c>
      <c r="G170" s="55">
        <v>46185</v>
      </c>
      <c r="H170" s="54" t="s">
        <v>1037</v>
      </c>
      <c r="I170" s="54" t="s">
        <v>1038</v>
      </c>
      <c r="J170" s="54" t="s">
        <v>1039</v>
      </c>
      <c r="K170" s="55"/>
      <c r="L170" s="54" t="s">
        <v>1040</v>
      </c>
      <c r="M170" s="54"/>
      <c r="N170" s="54" t="s">
        <v>1250</v>
      </c>
      <c r="O170" s="54" t="s">
        <v>1121</v>
      </c>
      <c r="P170" s="54" t="s">
        <v>275</v>
      </c>
      <c r="Q170" s="54" t="s">
        <v>116</v>
      </c>
      <c r="R170" s="54" t="s">
        <v>1043</v>
      </c>
      <c r="S170" s="56">
        <v>506.4</v>
      </c>
      <c r="T170" s="56">
        <v>506.4</v>
      </c>
      <c r="U170" s="56">
        <v>0</v>
      </c>
      <c r="V170" s="56">
        <v>0</v>
      </c>
      <c r="W170" s="56">
        <v>0</v>
      </c>
      <c r="X170" s="56">
        <v>0</v>
      </c>
      <c r="Y170" s="56">
        <v>0</v>
      </c>
      <c r="Z170" s="56">
        <v>120</v>
      </c>
      <c r="AA170" s="56">
        <v>120</v>
      </c>
      <c r="AB170" s="59">
        <v>0</v>
      </c>
      <c r="AC170" s="56">
        <v>0</v>
      </c>
      <c r="AD170" s="56">
        <v>0</v>
      </c>
      <c r="AE170" s="56">
        <v>0</v>
      </c>
      <c r="AF170" s="54" t="s">
        <v>1199</v>
      </c>
      <c r="AG170" s="57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 t="s">
        <v>1045</v>
      </c>
      <c r="AS170" s="54" t="s">
        <v>1046</v>
      </c>
      <c r="AT170" s="54" t="s">
        <v>1047</v>
      </c>
      <c r="AU170" s="54" t="s">
        <v>1048</v>
      </c>
      <c r="AV170" s="54"/>
      <c r="AW170" s="55">
        <v>46198</v>
      </c>
      <c r="AX170" s="55">
        <v>46185</v>
      </c>
      <c r="AY170" s="55">
        <v>46185</v>
      </c>
      <c r="AZ170" s="55">
        <v>46188</v>
      </c>
      <c r="BA170" s="55">
        <v>46198</v>
      </c>
      <c r="BB170" s="56">
        <v>0</v>
      </c>
      <c r="BC170" s="56">
        <v>0</v>
      </c>
      <c r="BD170" s="56">
        <v>0</v>
      </c>
      <c r="BE170" s="56">
        <v>0</v>
      </c>
      <c r="BF170" s="56">
        <v>0</v>
      </c>
      <c r="BG170" s="56">
        <v>0</v>
      </c>
      <c r="BH170" s="56">
        <v>0</v>
      </c>
      <c r="BI170" s="56">
        <v>0</v>
      </c>
      <c r="BJ170" s="56">
        <v>0</v>
      </c>
      <c r="BK170" s="56">
        <v>0</v>
      </c>
      <c r="BL170" s="56">
        <v>0</v>
      </c>
      <c r="BM170" s="56">
        <v>0</v>
      </c>
      <c r="BN170" s="56">
        <v>0</v>
      </c>
      <c r="BO170" s="56">
        <v>0</v>
      </c>
      <c r="BP170" s="54" t="s">
        <v>1049</v>
      </c>
      <c r="BQ170" s="54" t="s">
        <v>1050</v>
      </c>
      <c r="BR170" s="54" t="s">
        <v>1049</v>
      </c>
      <c r="BS170" s="54" t="s">
        <v>1050</v>
      </c>
      <c r="BT170" s="54" t="s">
        <v>1051</v>
      </c>
      <c r="BU170" s="54" t="s">
        <v>1043</v>
      </c>
      <c r="BV170" s="58">
        <v>120</v>
      </c>
      <c r="BW170" s="54" t="s">
        <v>1052</v>
      </c>
      <c r="BX170" s="54" t="s">
        <v>1053</v>
      </c>
      <c r="BY170" s="54" t="s">
        <v>1054</v>
      </c>
      <c r="BZ170" s="54" t="s">
        <v>1055</v>
      </c>
      <c r="CA170" s="55"/>
      <c r="CB170" s="54" t="s">
        <v>1056</v>
      </c>
      <c r="CC170" s="54" t="s">
        <v>1057</v>
      </c>
      <c r="CD170" s="54" t="s">
        <v>1200</v>
      </c>
      <c r="CE170" s="54" t="s">
        <v>1201</v>
      </c>
      <c r="CF170" s="54" t="s">
        <v>1202</v>
      </c>
      <c r="CG170" s="54" t="s">
        <v>1203</v>
      </c>
      <c r="CH170" s="54" t="s">
        <v>1204</v>
      </c>
      <c r="CI170" s="54" t="s">
        <v>1203</v>
      </c>
      <c r="CJ170" s="54" t="s">
        <v>1064</v>
      </c>
      <c r="CK170" s="54" t="s">
        <v>1065</v>
      </c>
      <c r="CL170" s="54" t="s">
        <v>1205</v>
      </c>
      <c r="CM170" s="54" t="s">
        <v>1206</v>
      </c>
      <c r="CN170" s="54" t="s">
        <v>1068</v>
      </c>
      <c r="CO170" s="54" t="s">
        <v>1069</v>
      </c>
      <c r="CP170" s="56">
        <v>0</v>
      </c>
      <c r="CQ170" s="56">
        <v>0</v>
      </c>
      <c r="CR170" s="56">
        <v>0</v>
      </c>
      <c r="CS170" s="56">
        <v>0</v>
      </c>
      <c r="CT170" s="56">
        <v>0</v>
      </c>
      <c r="CU170" s="56">
        <v>0</v>
      </c>
      <c r="CV170" s="56">
        <v>0</v>
      </c>
      <c r="CW170" s="56">
        <v>0</v>
      </c>
      <c r="CX170" s="56">
        <v>0</v>
      </c>
      <c r="CY170" s="56">
        <v>0</v>
      </c>
      <c r="CZ170" s="56">
        <v>0</v>
      </c>
      <c r="DA170" s="56">
        <v>0</v>
      </c>
      <c r="DB170" s="56">
        <v>0</v>
      </c>
      <c r="DC170" s="56">
        <v>0</v>
      </c>
      <c r="DD170" s="56">
        <v>0</v>
      </c>
      <c r="DE170" s="56">
        <v>0</v>
      </c>
      <c r="DF170" s="56">
        <v>0</v>
      </c>
      <c r="DG170" s="56">
        <v>0</v>
      </c>
      <c r="DH170" s="56">
        <v>0</v>
      </c>
      <c r="DI170" s="56">
        <v>0</v>
      </c>
      <c r="DJ170" s="56">
        <v>0</v>
      </c>
      <c r="DK170" s="56">
        <v>0</v>
      </c>
      <c r="DL170" s="56">
        <v>0</v>
      </c>
      <c r="DM170" s="56">
        <v>0</v>
      </c>
      <c r="DN170" s="56">
        <v>0</v>
      </c>
      <c r="DO170" s="56">
        <v>0</v>
      </c>
      <c r="DP170" s="56">
        <v>0</v>
      </c>
      <c r="DQ170" s="56">
        <v>0</v>
      </c>
      <c r="DR170" s="56">
        <v>0</v>
      </c>
      <c r="DS170" s="56">
        <v>0</v>
      </c>
      <c r="DT170" s="56">
        <v>0</v>
      </c>
      <c r="DU170" s="56">
        <v>0</v>
      </c>
      <c r="DV170" s="56">
        <v>0</v>
      </c>
      <c r="DW170" s="56">
        <v>0</v>
      </c>
      <c r="DX170" s="56">
        <v>0</v>
      </c>
      <c r="DY170" s="56">
        <v>0</v>
      </c>
      <c r="DZ170" s="56">
        <v>0</v>
      </c>
      <c r="EA170" s="56">
        <v>0</v>
      </c>
      <c r="EB170" s="56">
        <v>0</v>
      </c>
      <c r="EC170" s="56">
        <v>0</v>
      </c>
      <c r="ED170" s="56">
        <v>0</v>
      </c>
      <c r="EE170" s="56">
        <v>0</v>
      </c>
      <c r="EF170" s="56">
        <v>0</v>
      </c>
      <c r="EG170" s="56">
        <v>0</v>
      </c>
      <c r="EH170" s="56">
        <v>60.77</v>
      </c>
      <c r="EI170" s="56">
        <v>0</v>
      </c>
      <c r="EJ170" s="56">
        <v>0</v>
      </c>
      <c r="EK170" s="56">
        <v>0</v>
      </c>
      <c r="EL170" s="56">
        <v>0</v>
      </c>
      <c r="EM170" s="56">
        <v>0</v>
      </c>
      <c r="EN170" s="56">
        <v>0</v>
      </c>
      <c r="EO170" s="56">
        <v>0</v>
      </c>
      <c r="EP170" s="56">
        <v>0</v>
      </c>
      <c r="EQ170" s="56">
        <v>0</v>
      </c>
      <c r="ER170" s="56">
        <v>0</v>
      </c>
      <c r="ES170" s="56">
        <v>0</v>
      </c>
      <c r="ET170" s="56">
        <v>0</v>
      </c>
      <c r="EU170" s="56">
        <v>0</v>
      </c>
      <c r="EV170" s="56">
        <v>0</v>
      </c>
      <c r="EW170" s="56">
        <v>0</v>
      </c>
      <c r="EX170" s="56">
        <v>0</v>
      </c>
      <c r="EY170" s="56">
        <v>0</v>
      </c>
      <c r="EZ170" s="56">
        <v>0</v>
      </c>
      <c r="FA170" s="56">
        <v>0</v>
      </c>
      <c r="FB170" s="56">
        <v>0</v>
      </c>
      <c r="FC170" s="58">
        <v>0</v>
      </c>
      <c r="FD170" s="56">
        <v>0</v>
      </c>
      <c r="FE170" s="56">
        <v>0</v>
      </c>
      <c r="FF170" s="56">
        <v>0</v>
      </c>
      <c r="FG170" s="56">
        <v>0</v>
      </c>
      <c r="FH170" s="56">
        <v>0</v>
      </c>
      <c r="FI170" s="56">
        <v>0</v>
      </c>
      <c r="FJ170" s="56">
        <v>0</v>
      </c>
      <c r="FK170" s="56">
        <v>0</v>
      </c>
      <c r="FL170" s="56">
        <v>0</v>
      </c>
      <c r="FM170" s="56">
        <v>0</v>
      </c>
      <c r="FN170" s="56">
        <v>0</v>
      </c>
      <c r="FO170" s="56">
        <v>0</v>
      </c>
      <c r="FP170" s="56">
        <v>0</v>
      </c>
      <c r="FQ170" s="56">
        <v>0</v>
      </c>
      <c r="FR170" s="56">
        <v>0</v>
      </c>
      <c r="FS170" s="58">
        <v>0</v>
      </c>
      <c r="FT170" s="56">
        <v>0</v>
      </c>
      <c r="FU170" s="56">
        <v>0</v>
      </c>
      <c r="FV170" s="56">
        <v>0</v>
      </c>
      <c r="FW170" s="56">
        <v>0</v>
      </c>
      <c r="FX170" s="56">
        <v>0</v>
      </c>
      <c r="FY170" s="56">
        <v>0</v>
      </c>
      <c r="FZ170" s="54" t="s">
        <v>1083</v>
      </c>
      <c r="GA170" s="54" t="s">
        <v>1084</v>
      </c>
      <c r="GB170" s="54" t="s">
        <v>1072</v>
      </c>
      <c r="GC170" s="54" t="s">
        <v>1073</v>
      </c>
      <c r="GD170" s="54" t="s">
        <v>1256</v>
      </c>
      <c r="GE170" s="54" t="s">
        <v>1201</v>
      </c>
      <c r="GF170" s="54"/>
      <c r="GG170" s="55"/>
      <c r="GH170" s="54"/>
      <c r="GI170" s="54"/>
      <c r="GJ170" s="54" t="s">
        <v>1076</v>
      </c>
      <c r="GK170" s="54" t="s">
        <v>1077</v>
      </c>
      <c r="GL170" s="54"/>
      <c r="GM170" s="54"/>
      <c r="GN170" s="54" t="s">
        <v>1208</v>
      </c>
      <c r="GO170" s="54" t="s">
        <v>1209</v>
      </c>
      <c r="GP170" s="54"/>
      <c r="GQ170" s="56">
        <v>0</v>
      </c>
      <c r="GR170" s="54" t="s">
        <v>1210</v>
      </c>
      <c r="GS170" s="54"/>
    </row>
    <row r="171" spans="1:201" x14ac:dyDescent="0.25">
      <c r="A171" s="54" t="s">
        <v>1032</v>
      </c>
      <c r="B171" s="54" t="s">
        <v>1033</v>
      </c>
      <c r="C171" s="54" t="s">
        <v>1249</v>
      </c>
      <c r="D171" s="54" t="s">
        <v>1035</v>
      </c>
      <c r="E171" s="54" t="s">
        <v>1036</v>
      </c>
      <c r="F171" s="55">
        <v>46185</v>
      </c>
      <c r="G171" s="55">
        <v>46185</v>
      </c>
      <c r="H171" s="54" t="s">
        <v>1037</v>
      </c>
      <c r="I171" s="54" t="s">
        <v>1038</v>
      </c>
      <c r="J171" s="54" t="s">
        <v>1039</v>
      </c>
      <c r="K171" s="55"/>
      <c r="L171" s="54" t="s">
        <v>1040</v>
      </c>
      <c r="M171" s="54"/>
      <c r="N171" s="54" t="s">
        <v>1250</v>
      </c>
      <c r="O171" s="54" t="s">
        <v>1122</v>
      </c>
      <c r="P171" s="54" t="s">
        <v>274</v>
      </c>
      <c r="Q171" s="54" t="s">
        <v>115</v>
      </c>
      <c r="R171" s="54" t="s">
        <v>1043</v>
      </c>
      <c r="S171" s="56">
        <v>366</v>
      </c>
      <c r="T171" s="56">
        <v>366</v>
      </c>
      <c r="U171" s="56">
        <v>0</v>
      </c>
      <c r="V171" s="56">
        <v>0</v>
      </c>
      <c r="W171" s="56">
        <v>0</v>
      </c>
      <c r="X171" s="56">
        <v>0</v>
      </c>
      <c r="Y171" s="56">
        <v>0</v>
      </c>
      <c r="Z171" s="56">
        <v>120</v>
      </c>
      <c r="AA171" s="56">
        <v>120</v>
      </c>
      <c r="AB171" s="59">
        <v>0</v>
      </c>
      <c r="AC171" s="56">
        <v>0</v>
      </c>
      <c r="AD171" s="56">
        <v>0</v>
      </c>
      <c r="AE171" s="56">
        <v>0</v>
      </c>
      <c r="AF171" s="54" t="s">
        <v>1199</v>
      </c>
      <c r="AG171" s="57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 t="s">
        <v>1045</v>
      </c>
      <c r="AS171" s="54" t="s">
        <v>1046</v>
      </c>
      <c r="AT171" s="54" t="s">
        <v>1047</v>
      </c>
      <c r="AU171" s="54" t="s">
        <v>1048</v>
      </c>
      <c r="AV171" s="54"/>
      <c r="AW171" s="55">
        <v>46198</v>
      </c>
      <c r="AX171" s="55">
        <v>46185</v>
      </c>
      <c r="AY171" s="55">
        <v>46185</v>
      </c>
      <c r="AZ171" s="55">
        <v>46188</v>
      </c>
      <c r="BA171" s="55">
        <v>46198</v>
      </c>
      <c r="BB171" s="56">
        <v>0</v>
      </c>
      <c r="BC171" s="56">
        <v>0</v>
      </c>
      <c r="BD171" s="56">
        <v>0</v>
      </c>
      <c r="BE171" s="56">
        <v>0</v>
      </c>
      <c r="BF171" s="56">
        <v>0</v>
      </c>
      <c r="BG171" s="56">
        <v>0</v>
      </c>
      <c r="BH171" s="56">
        <v>0</v>
      </c>
      <c r="BI171" s="56">
        <v>0</v>
      </c>
      <c r="BJ171" s="56">
        <v>0</v>
      </c>
      <c r="BK171" s="56">
        <v>0</v>
      </c>
      <c r="BL171" s="56">
        <v>0</v>
      </c>
      <c r="BM171" s="56">
        <v>0</v>
      </c>
      <c r="BN171" s="56">
        <v>0</v>
      </c>
      <c r="BO171" s="56">
        <v>0</v>
      </c>
      <c r="BP171" s="54" t="s">
        <v>1049</v>
      </c>
      <c r="BQ171" s="54" t="s">
        <v>1050</v>
      </c>
      <c r="BR171" s="54" t="s">
        <v>1049</v>
      </c>
      <c r="BS171" s="54" t="s">
        <v>1050</v>
      </c>
      <c r="BT171" s="54" t="s">
        <v>1051</v>
      </c>
      <c r="BU171" s="54" t="s">
        <v>1043</v>
      </c>
      <c r="BV171" s="58">
        <v>120</v>
      </c>
      <c r="BW171" s="54" t="s">
        <v>1052</v>
      </c>
      <c r="BX171" s="54" t="s">
        <v>1053</v>
      </c>
      <c r="BY171" s="54" t="s">
        <v>1054</v>
      </c>
      <c r="BZ171" s="54" t="s">
        <v>1055</v>
      </c>
      <c r="CA171" s="55"/>
      <c r="CB171" s="54" t="s">
        <v>1056</v>
      </c>
      <c r="CC171" s="54" t="s">
        <v>1057</v>
      </c>
      <c r="CD171" s="54" t="s">
        <v>1200</v>
      </c>
      <c r="CE171" s="54" t="s">
        <v>1201</v>
      </c>
      <c r="CF171" s="54" t="s">
        <v>1202</v>
      </c>
      <c r="CG171" s="54" t="s">
        <v>1203</v>
      </c>
      <c r="CH171" s="54" t="s">
        <v>1204</v>
      </c>
      <c r="CI171" s="54" t="s">
        <v>1203</v>
      </c>
      <c r="CJ171" s="54" t="s">
        <v>1064</v>
      </c>
      <c r="CK171" s="54" t="s">
        <v>1065</v>
      </c>
      <c r="CL171" s="54" t="s">
        <v>1205</v>
      </c>
      <c r="CM171" s="54" t="s">
        <v>1206</v>
      </c>
      <c r="CN171" s="54" t="s">
        <v>1068</v>
      </c>
      <c r="CO171" s="54" t="s">
        <v>1069</v>
      </c>
      <c r="CP171" s="56">
        <v>0</v>
      </c>
      <c r="CQ171" s="56">
        <v>0</v>
      </c>
      <c r="CR171" s="56">
        <v>0</v>
      </c>
      <c r="CS171" s="56">
        <v>0</v>
      </c>
      <c r="CT171" s="56">
        <v>0</v>
      </c>
      <c r="CU171" s="56">
        <v>0</v>
      </c>
      <c r="CV171" s="56">
        <v>0</v>
      </c>
      <c r="CW171" s="56">
        <v>0</v>
      </c>
      <c r="CX171" s="56">
        <v>0</v>
      </c>
      <c r="CY171" s="56">
        <v>0</v>
      </c>
      <c r="CZ171" s="56">
        <v>0</v>
      </c>
      <c r="DA171" s="56">
        <v>0</v>
      </c>
      <c r="DB171" s="56">
        <v>0</v>
      </c>
      <c r="DC171" s="56">
        <v>0</v>
      </c>
      <c r="DD171" s="56">
        <v>0</v>
      </c>
      <c r="DE171" s="56">
        <v>0</v>
      </c>
      <c r="DF171" s="56">
        <v>0</v>
      </c>
      <c r="DG171" s="56">
        <v>0</v>
      </c>
      <c r="DH171" s="56">
        <v>0</v>
      </c>
      <c r="DI171" s="56">
        <v>0</v>
      </c>
      <c r="DJ171" s="56">
        <v>0</v>
      </c>
      <c r="DK171" s="56">
        <v>0</v>
      </c>
      <c r="DL171" s="56">
        <v>0</v>
      </c>
      <c r="DM171" s="56">
        <v>0</v>
      </c>
      <c r="DN171" s="56">
        <v>0</v>
      </c>
      <c r="DO171" s="56">
        <v>0</v>
      </c>
      <c r="DP171" s="56">
        <v>0</v>
      </c>
      <c r="DQ171" s="56">
        <v>0</v>
      </c>
      <c r="DR171" s="56">
        <v>0</v>
      </c>
      <c r="DS171" s="56">
        <v>0</v>
      </c>
      <c r="DT171" s="56">
        <v>0</v>
      </c>
      <c r="DU171" s="56">
        <v>0</v>
      </c>
      <c r="DV171" s="56">
        <v>0</v>
      </c>
      <c r="DW171" s="56">
        <v>0</v>
      </c>
      <c r="DX171" s="56">
        <v>0</v>
      </c>
      <c r="DY171" s="56">
        <v>0</v>
      </c>
      <c r="DZ171" s="56">
        <v>0</v>
      </c>
      <c r="EA171" s="56">
        <v>0</v>
      </c>
      <c r="EB171" s="56">
        <v>0</v>
      </c>
      <c r="EC171" s="56">
        <v>0</v>
      </c>
      <c r="ED171" s="56">
        <v>0</v>
      </c>
      <c r="EE171" s="56">
        <v>0</v>
      </c>
      <c r="EF171" s="56">
        <v>0</v>
      </c>
      <c r="EG171" s="56">
        <v>0</v>
      </c>
      <c r="EH171" s="56">
        <v>43.92</v>
      </c>
      <c r="EI171" s="56">
        <v>0</v>
      </c>
      <c r="EJ171" s="56">
        <v>0</v>
      </c>
      <c r="EK171" s="56">
        <v>0</v>
      </c>
      <c r="EL171" s="56">
        <v>0</v>
      </c>
      <c r="EM171" s="56">
        <v>0</v>
      </c>
      <c r="EN171" s="56">
        <v>0</v>
      </c>
      <c r="EO171" s="56">
        <v>0</v>
      </c>
      <c r="EP171" s="56">
        <v>0</v>
      </c>
      <c r="EQ171" s="56">
        <v>0</v>
      </c>
      <c r="ER171" s="56">
        <v>0</v>
      </c>
      <c r="ES171" s="56">
        <v>0</v>
      </c>
      <c r="ET171" s="56">
        <v>0</v>
      </c>
      <c r="EU171" s="56">
        <v>0</v>
      </c>
      <c r="EV171" s="56">
        <v>0</v>
      </c>
      <c r="EW171" s="56">
        <v>0</v>
      </c>
      <c r="EX171" s="56">
        <v>0</v>
      </c>
      <c r="EY171" s="56">
        <v>0</v>
      </c>
      <c r="EZ171" s="56">
        <v>0</v>
      </c>
      <c r="FA171" s="56">
        <v>0</v>
      </c>
      <c r="FB171" s="56">
        <v>0</v>
      </c>
      <c r="FC171" s="58">
        <v>0</v>
      </c>
      <c r="FD171" s="56">
        <v>0</v>
      </c>
      <c r="FE171" s="56">
        <v>0</v>
      </c>
      <c r="FF171" s="56">
        <v>0</v>
      </c>
      <c r="FG171" s="56">
        <v>0</v>
      </c>
      <c r="FH171" s="56">
        <v>0</v>
      </c>
      <c r="FI171" s="56">
        <v>0</v>
      </c>
      <c r="FJ171" s="56">
        <v>0</v>
      </c>
      <c r="FK171" s="56">
        <v>0</v>
      </c>
      <c r="FL171" s="56">
        <v>0</v>
      </c>
      <c r="FM171" s="56">
        <v>0</v>
      </c>
      <c r="FN171" s="56">
        <v>0</v>
      </c>
      <c r="FO171" s="56">
        <v>0</v>
      </c>
      <c r="FP171" s="56">
        <v>0</v>
      </c>
      <c r="FQ171" s="56">
        <v>0</v>
      </c>
      <c r="FR171" s="56">
        <v>0</v>
      </c>
      <c r="FS171" s="58">
        <v>0</v>
      </c>
      <c r="FT171" s="56">
        <v>0</v>
      </c>
      <c r="FU171" s="56">
        <v>0</v>
      </c>
      <c r="FV171" s="56">
        <v>0</v>
      </c>
      <c r="FW171" s="56">
        <v>0</v>
      </c>
      <c r="FX171" s="56">
        <v>0</v>
      </c>
      <c r="FY171" s="56">
        <v>0</v>
      </c>
      <c r="FZ171" s="54" t="s">
        <v>1083</v>
      </c>
      <c r="GA171" s="54" t="s">
        <v>1084</v>
      </c>
      <c r="GB171" s="54" t="s">
        <v>1072</v>
      </c>
      <c r="GC171" s="54" t="s">
        <v>1073</v>
      </c>
      <c r="GD171" s="54" t="s">
        <v>1256</v>
      </c>
      <c r="GE171" s="54" t="s">
        <v>1201</v>
      </c>
      <c r="GF171" s="54"/>
      <c r="GG171" s="55"/>
      <c r="GH171" s="54"/>
      <c r="GI171" s="54"/>
      <c r="GJ171" s="54" t="s">
        <v>1076</v>
      </c>
      <c r="GK171" s="54" t="s">
        <v>1077</v>
      </c>
      <c r="GL171" s="54"/>
      <c r="GM171" s="54"/>
      <c r="GN171" s="54" t="s">
        <v>1208</v>
      </c>
      <c r="GO171" s="54" t="s">
        <v>1209</v>
      </c>
      <c r="GP171" s="54"/>
      <c r="GQ171" s="56">
        <v>0</v>
      </c>
      <c r="GR171" s="54" t="s">
        <v>1210</v>
      </c>
      <c r="GS171" s="54"/>
    </row>
    <row r="172" spans="1:201" x14ac:dyDescent="0.25">
      <c r="A172" s="54" t="s">
        <v>1032</v>
      </c>
      <c r="B172" s="54" t="s">
        <v>1033</v>
      </c>
      <c r="C172" s="54" t="s">
        <v>1249</v>
      </c>
      <c r="D172" s="54" t="s">
        <v>1035</v>
      </c>
      <c r="E172" s="54" t="s">
        <v>1036</v>
      </c>
      <c r="F172" s="55">
        <v>46185</v>
      </c>
      <c r="G172" s="55">
        <v>46185</v>
      </c>
      <c r="H172" s="54" t="s">
        <v>1037</v>
      </c>
      <c r="I172" s="54" t="s">
        <v>1038</v>
      </c>
      <c r="J172" s="54" t="s">
        <v>1039</v>
      </c>
      <c r="K172" s="55"/>
      <c r="L172" s="54" t="s">
        <v>1040</v>
      </c>
      <c r="M172" s="54"/>
      <c r="N172" s="54" t="s">
        <v>1250</v>
      </c>
      <c r="O172" s="54" t="s">
        <v>1126</v>
      </c>
      <c r="P172" s="54" t="s">
        <v>278</v>
      </c>
      <c r="Q172" s="54" t="s">
        <v>119</v>
      </c>
      <c r="R172" s="54" t="s">
        <v>1043</v>
      </c>
      <c r="S172" s="56">
        <v>590.4</v>
      </c>
      <c r="T172" s="56">
        <v>590.4</v>
      </c>
      <c r="U172" s="56">
        <v>0</v>
      </c>
      <c r="V172" s="56">
        <v>0</v>
      </c>
      <c r="W172" s="56">
        <v>0</v>
      </c>
      <c r="X172" s="56">
        <v>0</v>
      </c>
      <c r="Y172" s="56">
        <v>0</v>
      </c>
      <c r="Z172" s="56">
        <v>120</v>
      </c>
      <c r="AA172" s="56">
        <v>120</v>
      </c>
      <c r="AB172" s="59">
        <v>0</v>
      </c>
      <c r="AC172" s="56">
        <v>0</v>
      </c>
      <c r="AD172" s="56">
        <v>0</v>
      </c>
      <c r="AE172" s="56">
        <v>0</v>
      </c>
      <c r="AF172" s="54" t="s">
        <v>1199</v>
      </c>
      <c r="AG172" s="57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 t="s">
        <v>1045</v>
      </c>
      <c r="AS172" s="54" t="s">
        <v>1046</v>
      </c>
      <c r="AT172" s="54" t="s">
        <v>1047</v>
      </c>
      <c r="AU172" s="54" t="s">
        <v>1048</v>
      </c>
      <c r="AV172" s="54"/>
      <c r="AW172" s="55">
        <v>46198</v>
      </c>
      <c r="AX172" s="55">
        <v>46185</v>
      </c>
      <c r="AY172" s="55">
        <v>46185</v>
      </c>
      <c r="AZ172" s="55">
        <v>46188</v>
      </c>
      <c r="BA172" s="55">
        <v>46198</v>
      </c>
      <c r="BB172" s="56">
        <v>0</v>
      </c>
      <c r="BC172" s="56">
        <v>0</v>
      </c>
      <c r="BD172" s="56">
        <v>0</v>
      </c>
      <c r="BE172" s="56">
        <v>0</v>
      </c>
      <c r="BF172" s="56">
        <v>0</v>
      </c>
      <c r="BG172" s="56">
        <v>0</v>
      </c>
      <c r="BH172" s="56">
        <v>0</v>
      </c>
      <c r="BI172" s="56">
        <v>0</v>
      </c>
      <c r="BJ172" s="56">
        <v>0</v>
      </c>
      <c r="BK172" s="56">
        <v>0</v>
      </c>
      <c r="BL172" s="56">
        <v>0</v>
      </c>
      <c r="BM172" s="56">
        <v>0</v>
      </c>
      <c r="BN172" s="56">
        <v>0</v>
      </c>
      <c r="BO172" s="56">
        <v>0</v>
      </c>
      <c r="BP172" s="54" t="s">
        <v>1049</v>
      </c>
      <c r="BQ172" s="54" t="s">
        <v>1050</v>
      </c>
      <c r="BR172" s="54" t="s">
        <v>1049</v>
      </c>
      <c r="BS172" s="54" t="s">
        <v>1050</v>
      </c>
      <c r="BT172" s="54" t="s">
        <v>1051</v>
      </c>
      <c r="BU172" s="54" t="s">
        <v>1043</v>
      </c>
      <c r="BV172" s="58">
        <v>120</v>
      </c>
      <c r="BW172" s="54" t="s">
        <v>1052</v>
      </c>
      <c r="BX172" s="54" t="s">
        <v>1053</v>
      </c>
      <c r="BY172" s="54" t="s">
        <v>1054</v>
      </c>
      <c r="BZ172" s="54" t="s">
        <v>1055</v>
      </c>
      <c r="CA172" s="55"/>
      <c r="CB172" s="54" t="s">
        <v>1056</v>
      </c>
      <c r="CC172" s="54" t="s">
        <v>1057</v>
      </c>
      <c r="CD172" s="54" t="s">
        <v>1200</v>
      </c>
      <c r="CE172" s="54" t="s">
        <v>1201</v>
      </c>
      <c r="CF172" s="54" t="s">
        <v>1202</v>
      </c>
      <c r="CG172" s="54" t="s">
        <v>1203</v>
      </c>
      <c r="CH172" s="54" t="s">
        <v>1204</v>
      </c>
      <c r="CI172" s="54" t="s">
        <v>1203</v>
      </c>
      <c r="CJ172" s="54" t="s">
        <v>1064</v>
      </c>
      <c r="CK172" s="54" t="s">
        <v>1065</v>
      </c>
      <c r="CL172" s="54" t="s">
        <v>1205</v>
      </c>
      <c r="CM172" s="54" t="s">
        <v>1206</v>
      </c>
      <c r="CN172" s="54" t="s">
        <v>1068</v>
      </c>
      <c r="CO172" s="54" t="s">
        <v>1069</v>
      </c>
      <c r="CP172" s="56">
        <v>0</v>
      </c>
      <c r="CQ172" s="56">
        <v>0</v>
      </c>
      <c r="CR172" s="56">
        <v>0</v>
      </c>
      <c r="CS172" s="56">
        <v>0</v>
      </c>
      <c r="CT172" s="56">
        <v>0</v>
      </c>
      <c r="CU172" s="56">
        <v>0</v>
      </c>
      <c r="CV172" s="56">
        <v>0</v>
      </c>
      <c r="CW172" s="56">
        <v>0</v>
      </c>
      <c r="CX172" s="56">
        <v>0</v>
      </c>
      <c r="CY172" s="56">
        <v>0</v>
      </c>
      <c r="CZ172" s="56">
        <v>0</v>
      </c>
      <c r="DA172" s="56">
        <v>0</v>
      </c>
      <c r="DB172" s="56">
        <v>0</v>
      </c>
      <c r="DC172" s="56">
        <v>0</v>
      </c>
      <c r="DD172" s="56">
        <v>0</v>
      </c>
      <c r="DE172" s="56">
        <v>0</v>
      </c>
      <c r="DF172" s="56">
        <v>0</v>
      </c>
      <c r="DG172" s="56">
        <v>0</v>
      </c>
      <c r="DH172" s="56">
        <v>0</v>
      </c>
      <c r="DI172" s="56">
        <v>0</v>
      </c>
      <c r="DJ172" s="56">
        <v>0</v>
      </c>
      <c r="DK172" s="56">
        <v>0</v>
      </c>
      <c r="DL172" s="56">
        <v>0</v>
      </c>
      <c r="DM172" s="56">
        <v>0</v>
      </c>
      <c r="DN172" s="56">
        <v>0</v>
      </c>
      <c r="DO172" s="56">
        <v>0</v>
      </c>
      <c r="DP172" s="56">
        <v>0</v>
      </c>
      <c r="DQ172" s="56">
        <v>0</v>
      </c>
      <c r="DR172" s="56">
        <v>0</v>
      </c>
      <c r="DS172" s="56">
        <v>0</v>
      </c>
      <c r="DT172" s="56">
        <v>0</v>
      </c>
      <c r="DU172" s="56">
        <v>0</v>
      </c>
      <c r="DV172" s="56">
        <v>0</v>
      </c>
      <c r="DW172" s="56">
        <v>0</v>
      </c>
      <c r="DX172" s="56">
        <v>0</v>
      </c>
      <c r="DY172" s="56">
        <v>0</v>
      </c>
      <c r="DZ172" s="56">
        <v>0</v>
      </c>
      <c r="EA172" s="56">
        <v>0</v>
      </c>
      <c r="EB172" s="56">
        <v>0</v>
      </c>
      <c r="EC172" s="56">
        <v>0</v>
      </c>
      <c r="ED172" s="56">
        <v>0</v>
      </c>
      <c r="EE172" s="56">
        <v>0</v>
      </c>
      <c r="EF172" s="56">
        <v>0</v>
      </c>
      <c r="EG172" s="56">
        <v>0</v>
      </c>
      <c r="EH172" s="56">
        <v>70.849999999999994</v>
      </c>
      <c r="EI172" s="56">
        <v>0</v>
      </c>
      <c r="EJ172" s="56">
        <v>0</v>
      </c>
      <c r="EK172" s="56">
        <v>0</v>
      </c>
      <c r="EL172" s="56">
        <v>0</v>
      </c>
      <c r="EM172" s="56">
        <v>0</v>
      </c>
      <c r="EN172" s="56">
        <v>0</v>
      </c>
      <c r="EO172" s="56">
        <v>0</v>
      </c>
      <c r="EP172" s="56">
        <v>0</v>
      </c>
      <c r="EQ172" s="56">
        <v>0</v>
      </c>
      <c r="ER172" s="56">
        <v>0</v>
      </c>
      <c r="ES172" s="56">
        <v>0</v>
      </c>
      <c r="ET172" s="56">
        <v>0</v>
      </c>
      <c r="EU172" s="56">
        <v>0</v>
      </c>
      <c r="EV172" s="56">
        <v>0</v>
      </c>
      <c r="EW172" s="56">
        <v>0</v>
      </c>
      <c r="EX172" s="56">
        <v>0</v>
      </c>
      <c r="EY172" s="56">
        <v>0</v>
      </c>
      <c r="EZ172" s="56">
        <v>0</v>
      </c>
      <c r="FA172" s="56">
        <v>0</v>
      </c>
      <c r="FB172" s="56">
        <v>0</v>
      </c>
      <c r="FC172" s="58">
        <v>0</v>
      </c>
      <c r="FD172" s="56">
        <v>0</v>
      </c>
      <c r="FE172" s="56">
        <v>0</v>
      </c>
      <c r="FF172" s="56">
        <v>0</v>
      </c>
      <c r="FG172" s="56">
        <v>0</v>
      </c>
      <c r="FH172" s="56">
        <v>0</v>
      </c>
      <c r="FI172" s="56">
        <v>0</v>
      </c>
      <c r="FJ172" s="56">
        <v>0</v>
      </c>
      <c r="FK172" s="56">
        <v>0</v>
      </c>
      <c r="FL172" s="56">
        <v>0</v>
      </c>
      <c r="FM172" s="56">
        <v>0</v>
      </c>
      <c r="FN172" s="56">
        <v>0</v>
      </c>
      <c r="FO172" s="56">
        <v>0</v>
      </c>
      <c r="FP172" s="56">
        <v>0</v>
      </c>
      <c r="FQ172" s="56">
        <v>0</v>
      </c>
      <c r="FR172" s="56">
        <v>0</v>
      </c>
      <c r="FS172" s="58">
        <v>0</v>
      </c>
      <c r="FT172" s="56">
        <v>0</v>
      </c>
      <c r="FU172" s="56">
        <v>0</v>
      </c>
      <c r="FV172" s="56">
        <v>0</v>
      </c>
      <c r="FW172" s="56">
        <v>0</v>
      </c>
      <c r="FX172" s="56">
        <v>0</v>
      </c>
      <c r="FY172" s="56">
        <v>0</v>
      </c>
      <c r="FZ172" s="54" t="s">
        <v>1070</v>
      </c>
      <c r="GA172" s="54" t="s">
        <v>1071</v>
      </c>
      <c r="GB172" s="54" t="s">
        <v>1072</v>
      </c>
      <c r="GC172" s="54" t="s">
        <v>1073</v>
      </c>
      <c r="GD172" s="54" t="s">
        <v>1257</v>
      </c>
      <c r="GE172" s="54" t="s">
        <v>1201</v>
      </c>
      <c r="GF172" s="54"/>
      <c r="GG172" s="55"/>
      <c r="GH172" s="54"/>
      <c r="GI172" s="54"/>
      <c r="GJ172" s="54" t="s">
        <v>1076</v>
      </c>
      <c r="GK172" s="54" t="s">
        <v>1077</v>
      </c>
      <c r="GL172" s="54"/>
      <c r="GM172" s="54"/>
      <c r="GN172" s="54" t="s">
        <v>1208</v>
      </c>
      <c r="GO172" s="54" t="s">
        <v>1209</v>
      </c>
      <c r="GP172" s="54"/>
      <c r="GQ172" s="56">
        <v>0</v>
      </c>
      <c r="GR172" s="54" t="s">
        <v>1210</v>
      </c>
      <c r="GS172" s="54"/>
    </row>
    <row r="173" spans="1:201" x14ac:dyDescent="0.25">
      <c r="A173" s="54" t="s">
        <v>1032</v>
      </c>
      <c r="B173" s="54" t="s">
        <v>1033</v>
      </c>
      <c r="C173" s="54" t="s">
        <v>1249</v>
      </c>
      <c r="D173" s="54" t="s">
        <v>1035</v>
      </c>
      <c r="E173" s="54" t="s">
        <v>1036</v>
      </c>
      <c r="F173" s="55">
        <v>46185</v>
      </c>
      <c r="G173" s="55">
        <v>46185</v>
      </c>
      <c r="H173" s="54" t="s">
        <v>1037</v>
      </c>
      <c r="I173" s="54" t="s">
        <v>1038</v>
      </c>
      <c r="J173" s="54" t="s">
        <v>1039</v>
      </c>
      <c r="K173" s="55"/>
      <c r="L173" s="54" t="s">
        <v>1040</v>
      </c>
      <c r="M173" s="54"/>
      <c r="N173" s="54" t="s">
        <v>1250</v>
      </c>
      <c r="O173" s="54" t="s">
        <v>1128</v>
      </c>
      <c r="P173" s="54" t="s">
        <v>277</v>
      </c>
      <c r="Q173" s="54" t="s">
        <v>118</v>
      </c>
      <c r="R173" s="54" t="s">
        <v>1043</v>
      </c>
      <c r="S173" s="56">
        <v>1867.2</v>
      </c>
      <c r="T173" s="56">
        <v>1867.2</v>
      </c>
      <c r="U173" s="56">
        <v>0</v>
      </c>
      <c r="V173" s="56">
        <v>0</v>
      </c>
      <c r="W173" s="56">
        <v>0</v>
      </c>
      <c r="X173" s="56">
        <v>0</v>
      </c>
      <c r="Y173" s="56">
        <v>0</v>
      </c>
      <c r="Z173" s="56">
        <v>240</v>
      </c>
      <c r="AA173" s="56">
        <v>240</v>
      </c>
      <c r="AB173" s="59">
        <v>0</v>
      </c>
      <c r="AC173" s="56">
        <v>0</v>
      </c>
      <c r="AD173" s="56">
        <v>0</v>
      </c>
      <c r="AE173" s="56">
        <v>0</v>
      </c>
      <c r="AF173" s="54" t="s">
        <v>1199</v>
      </c>
      <c r="AG173" s="57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 t="s">
        <v>1045</v>
      </c>
      <c r="AS173" s="54" t="s">
        <v>1046</v>
      </c>
      <c r="AT173" s="54" t="s">
        <v>1047</v>
      </c>
      <c r="AU173" s="54" t="s">
        <v>1048</v>
      </c>
      <c r="AV173" s="54"/>
      <c r="AW173" s="55">
        <v>46198</v>
      </c>
      <c r="AX173" s="55">
        <v>46185</v>
      </c>
      <c r="AY173" s="55">
        <v>46185</v>
      </c>
      <c r="AZ173" s="55">
        <v>46188</v>
      </c>
      <c r="BA173" s="55">
        <v>46198</v>
      </c>
      <c r="BB173" s="56">
        <v>0</v>
      </c>
      <c r="BC173" s="56">
        <v>0</v>
      </c>
      <c r="BD173" s="56">
        <v>0</v>
      </c>
      <c r="BE173" s="56">
        <v>0</v>
      </c>
      <c r="BF173" s="56">
        <v>0</v>
      </c>
      <c r="BG173" s="56">
        <v>0</v>
      </c>
      <c r="BH173" s="56">
        <v>0</v>
      </c>
      <c r="BI173" s="56">
        <v>0</v>
      </c>
      <c r="BJ173" s="56">
        <v>0</v>
      </c>
      <c r="BK173" s="56">
        <v>0</v>
      </c>
      <c r="BL173" s="56">
        <v>0</v>
      </c>
      <c r="BM173" s="56">
        <v>0</v>
      </c>
      <c r="BN173" s="56">
        <v>0</v>
      </c>
      <c r="BO173" s="56">
        <v>0</v>
      </c>
      <c r="BP173" s="54" t="s">
        <v>1049</v>
      </c>
      <c r="BQ173" s="54" t="s">
        <v>1050</v>
      </c>
      <c r="BR173" s="54" t="s">
        <v>1049</v>
      </c>
      <c r="BS173" s="54" t="s">
        <v>1050</v>
      </c>
      <c r="BT173" s="54" t="s">
        <v>1051</v>
      </c>
      <c r="BU173" s="54" t="s">
        <v>1043</v>
      </c>
      <c r="BV173" s="58">
        <v>240</v>
      </c>
      <c r="BW173" s="54" t="s">
        <v>1052</v>
      </c>
      <c r="BX173" s="54" t="s">
        <v>1053</v>
      </c>
      <c r="BY173" s="54" t="s">
        <v>1054</v>
      </c>
      <c r="BZ173" s="54" t="s">
        <v>1055</v>
      </c>
      <c r="CA173" s="55"/>
      <c r="CB173" s="54" t="s">
        <v>1056</v>
      </c>
      <c r="CC173" s="54" t="s">
        <v>1057</v>
      </c>
      <c r="CD173" s="54" t="s">
        <v>1200</v>
      </c>
      <c r="CE173" s="54" t="s">
        <v>1201</v>
      </c>
      <c r="CF173" s="54" t="s">
        <v>1202</v>
      </c>
      <c r="CG173" s="54" t="s">
        <v>1203</v>
      </c>
      <c r="CH173" s="54" t="s">
        <v>1204</v>
      </c>
      <c r="CI173" s="54" t="s">
        <v>1203</v>
      </c>
      <c r="CJ173" s="54" t="s">
        <v>1064</v>
      </c>
      <c r="CK173" s="54" t="s">
        <v>1065</v>
      </c>
      <c r="CL173" s="54" t="s">
        <v>1205</v>
      </c>
      <c r="CM173" s="54" t="s">
        <v>1206</v>
      </c>
      <c r="CN173" s="54" t="s">
        <v>1068</v>
      </c>
      <c r="CO173" s="54" t="s">
        <v>1069</v>
      </c>
      <c r="CP173" s="56">
        <v>0</v>
      </c>
      <c r="CQ173" s="56">
        <v>0</v>
      </c>
      <c r="CR173" s="56">
        <v>0</v>
      </c>
      <c r="CS173" s="56">
        <v>0</v>
      </c>
      <c r="CT173" s="56">
        <v>0</v>
      </c>
      <c r="CU173" s="56">
        <v>0</v>
      </c>
      <c r="CV173" s="56">
        <v>0</v>
      </c>
      <c r="CW173" s="56">
        <v>0</v>
      </c>
      <c r="CX173" s="56">
        <v>0</v>
      </c>
      <c r="CY173" s="56">
        <v>0</v>
      </c>
      <c r="CZ173" s="56">
        <v>0</v>
      </c>
      <c r="DA173" s="56">
        <v>0</v>
      </c>
      <c r="DB173" s="56">
        <v>0</v>
      </c>
      <c r="DC173" s="56">
        <v>0</v>
      </c>
      <c r="DD173" s="56">
        <v>0</v>
      </c>
      <c r="DE173" s="56">
        <v>0</v>
      </c>
      <c r="DF173" s="56">
        <v>0</v>
      </c>
      <c r="DG173" s="56">
        <v>0</v>
      </c>
      <c r="DH173" s="56">
        <v>0</v>
      </c>
      <c r="DI173" s="56">
        <v>0</v>
      </c>
      <c r="DJ173" s="56">
        <v>0</v>
      </c>
      <c r="DK173" s="56">
        <v>0</v>
      </c>
      <c r="DL173" s="56">
        <v>0</v>
      </c>
      <c r="DM173" s="56">
        <v>0</v>
      </c>
      <c r="DN173" s="56">
        <v>0</v>
      </c>
      <c r="DO173" s="56">
        <v>0</v>
      </c>
      <c r="DP173" s="56">
        <v>0</v>
      </c>
      <c r="DQ173" s="56">
        <v>0</v>
      </c>
      <c r="DR173" s="56">
        <v>0</v>
      </c>
      <c r="DS173" s="56">
        <v>0</v>
      </c>
      <c r="DT173" s="56">
        <v>0</v>
      </c>
      <c r="DU173" s="56">
        <v>0</v>
      </c>
      <c r="DV173" s="56">
        <v>0</v>
      </c>
      <c r="DW173" s="56">
        <v>0</v>
      </c>
      <c r="DX173" s="56">
        <v>0</v>
      </c>
      <c r="DY173" s="56">
        <v>0</v>
      </c>
      <c r="DZ173" s="56">
        <v>0</v>
      </c>
      <c r="EA173" s="56">
        <v>0</v>
      </c>
      <c r="EB173" s="56">
        <v>0</v>
      </c>
      <c r="EC173" s="56">
        <v>0</v>
      </c>
      <c r="ED173" s="56">
        <v>0</v>
      </c>
      <c r="EE173" s="56">
        <v>0</v>
      </c>
      <c r="EF173" s="56">
        <v>0</v>
      </c>
      <c r="EG173" s="56">
        <v>0</v>
      </c>
      <c r="EH173" s="56">
        <v>224.06</v>
      </c>
      <c r="EI173" s="56">
        <v>0</v>
      </c>
      <c r="EJ173" s="56">
        <v>0</v>
      </c>
      <c r="EK173" s="56">
        <v>0</v>
      </c>
      <c r="EL173" s="56">
        <v>0</v>
      </c>
      <c r="EM173" s="56">
        <v>0</v>
      </c>
      <c r="EN173" s="56">
        <v>0</v>
      </c>
      <c r="EO173" s="56">
        <v>0</v>
      </c>
      <c r="EP173" s="56">
        <v>0</v>
      </c>
      <c r="EQ173" s="56">
        <v>0</v>
      </c>
      <c r="ER173" s="56">
        <v>0</v>
      </c>
      <c r="ES173" s="56">
        <v>0</v>
      </c>
      <c r="ET173" s="56">
        <v>0</v>
      </c>
      <c r="EU173" s="56">
        <v>0</v>
      </c>
      <c r="EV173" s="56">
        <v>0</v>
      </c>
      <c r="EW173" s="56">
        <v>0</v>
      </c>
      <c r="EX173" s="56">
        <v>0</v>
      </c>
      <c r="EY173" s="56">
        <v>0</v>
      </c>
      <c r="EZ173" s="56">
        <v>0</v>
      </c>
      <c r="FA173" s="56">
        <v>0</v>
      </c>
      <c r="FB173" s="56">
        <v>0</v>
      </c>
      <c r="FC173" s="58">
        <v>0</v>
      </c>
      <c r="FD173" s="56">
        <v>0</v>
      </c>
      <c r="FE173" s="56">
        <v>0</v>
      </c>
      <c r="FF173" s="56">
        <v>0</v>
      </c>
      <c r="FG173" s="56">
        <v>0</v>
      </c>
      <c r="FH173" s="56">
        <v>0</v>
      </c>
      <c r="FI173" s="56">
        <v>0</v>
      </c>
      <c r="FJ173" s="56">
        <v>0</v>
      </c>
      <c r="FK173" s="56">
        <v>0</v>
      </c>
      <c r="FL173" s="56">
        <v>0</v>
      </c>
      <c r="FM173" s="56">
        <v>0</v>
      </c>
      <c r="FN173" s="56">
        <v>0</v>
      </c>
      <c r="FO173" s="56">
        <v>0</v>
      </c>
      <c r="FP173" s="56">
        <v>0</v>
      </c>
      <c r="FQ173" s="56">
        <v>0</v>
      </c>
      <c r="FR173" s="56">
        <v>0</v>
      </c>
      <c r="FS173" s="58">
        <v>0</v>
      </c>
      <c r="FT173" s="56">
        <v>0</v>
      </c>
      <c r="FU173" s="56">
        <v>0</v>
      </c>
      <c r="FV173" s="56">
        <v>0</v>
      </c>
      <c r="FW173" s="56">
        <v>0</v>
      </c>
      <c r="FX173" s="56">
        <v>0</v>
      </c>
      <c r="FY173" s="56">
        <v>0</v>
      </c>
      <c r="FZ173" s="54" t="s">
        <v>1070</v>
      </c>
      <c r="GA173" s="54" t="s">
        <v>1071</v>
      </c>
      <c r="GB173" s="54" t="s">
        <v>1072</v>
      </c>
      <c r="GC173" s="54" t="s">
        <v>1073</v>
      </c>
      <c r="GD173" s="54" t="s">
        <v>1257</v>
      </c>
      <c r="GE173" s="54" t="s">
        <v>1201</v>
      </c>
      <c r="GF173" s="54"/>
      <c r="GG173" s="55"/>
      <c r="GH173" s="54"/>
      <c r="GI173" s="54"/>
      <c r="GJ173" s="54" t="s">
        <v>1076</v>
      </c>
      <c r="GK173" s="54" t="s">
        <v>1077</v>
      </c>
      <c r="GL173" s="54"/>
      <c r="GM173" s="54"/>
      <c r="GN173" s="54" t="s">
        <v>1208</v>
      </c>
      <c r="GO173" s="54" t="s">
        <v>1209</v>
      </c>
      <c r="GP173" s="54"/>
      <c r="GQ173" s="56">
        <v>0</v>
      </c>
      <c r="GR173" s="54" t="s">
        <v>1210</v>
      </c>
      <c r="GS173" s="54"/>
    </row>
    <row r="174" spans="1:201" x14ac:dyDescent="0.25">
      <c r="A174" s="54" t="s">
        <v>1032</v>
      </c>
      <c r="B174" s="54" t="s">
        <v>1033</v>
      </c>
      <c r="C174" s="54" t="s">
        <v>1249</v>
      </c>
      <c r="D174" s="54" t="s">
        <v>1035</v>
      </c>
      <c r="E174" s="54" t="s">
        <v>1036</v>
      </c>
      <c r="F174" s="55">
        <v>46185</v>
      </c>
      <c r="G174" s="55">
        <v>46185</v>
      </c>
      <c r="H174" s="54" t="s">
        <v>1037</v>
      </c>
      <c r="I174" s="54" t="s">
        <v>1038</v>
      </c>
      <c r="J174" s="54" t="s">
        <v>1039</v>
      </c>
      <c r="K174" s="55"/>
      <c r="L174" s="54" t="s">
        <v>1040</v>
      </c>
      <c r="M174" s="54"/>
      <c r="N174" s="54" t="s">
        <v>1250</v>
      </c>
      <c r="O174" s="54" t="s">
        <v>1130</v>
      </c>
      <c r="P174" s="54" t="s">
        <v>321</v>
      </c>
      <c r="Q174" s="54" t="s">
        <v>379</v>
      </c>
      <c r="R174" s="54" t="s">
        <v>1043</v>
      </c>
      <c r="S174" s="56">
        <v>335</v>
      </c>
      <c r="T174" s="56">
        <v>335</v>
      </c>
      <c r="U174" s="56">
        <v>0</v>
      </c>
      <c r="V174" s="56">
        <v>0</v>
      </c>
      <c r="W174" s="56">
        <v>0</v>
      </c>
      <c r="X174" s="56">
        <v>0</v>
      </c>
      <c r="Y174" s="56">
        <v>0</v>
      </c>
      <c r="Z174" s="56">
        <v>100</v>
      </c>
      <c r="AA174" s="56">
        <v>100</v>
      </c>
      <c r="AB174" s="59">
        <v>0</v>
      </c>
      <c r="AC174" s="56">
        <v>0</v>
      </c>
      <c r="AD174" s="56">
        <v>0</v>
      </c>
      <c r="AE174" s="56">
        <v>0</v>
      </c>
      <c r="AF174" s="54" t="s">
        <v>1199</v>
      </c>
      <c r="AG174" s="57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 t="s">
        <v>1045</v>
      </c>
      <c r="AS174" s="54" t="s">
        <v>1046</v>
      </c>
      <c r="AT174" s="54" t="s">
        <v>1047</v>
      </c>
      <c r="AU174" s="54" t="s">
        <v>1048</v>
      </c>
      <c r="AV174" s="54"/>
      <c r="AW174" s="55">
        <v>46198</v>
      </c>
      <c r="AX174" s="55">
        <v>46185</v>
      </c>
      <c r="AY174" s="55">
        <v>46185</v>
      </c>
      <c r="AZ174" s="55">
        <v>46188</v>
      </c>
      <c r="BA174" s="55">
        <v>46198</v>
      </c>
      <c r="BB174" s="56">
        <v>0</v>
      </c>
      <c r="BC174" s="56">
        <v>0</v>
      </c>
      <c r="BD174" s="56">
        <v>0</v>
      </c>
      <c r="BE174" s="56">
        <v>0</v>
      </c>
      <c r="BF174" s="56">
        <v>0</v>
      </c>
      <c r="BG174" s="56">
        <v>0</v>
      </c>
      <c r="BH174" s="56">
        <v>0</v>
      </c>
      <c r="BI174" s="56">
        <v>0</v>
      </c>
      <c r="BJ174" s="56">
        <v>0</v>
      </c>
      <c r="BK174" s="56">
        <v>0</v>
      </c>
      <c r="BL174" s="56">
        <v>0</v>
      </c>
      <c r="BM174" s="56">
        <v>0</v>
      </c>
      <c r="BN174" s="56">
        <v>0</v>
      </c>
      <c r="BO174" s="56">
        <v>0</v>
      </c>
      <c r="BP174" s="54" t="s">
        <v>1049</v>
      </c>
      <c r="BQ174" s="54" t="s">
        <v>1050</v>
      </c>
      <c r="BR174" s="54" t="s">
        <v>1049</v>
      </c>
      <c r="BS174" s="54" t="s">
        <v>1050</v>
      </c>
      <c r="BT174" s="54" t="s">
        <v>1051</v>
      </c>
      <c r="BU174" s="54" t="s">
        <v>1043</v>
      </c>
      <c r="BV174" s="58">
        <v>100</v>
      </c>
      <c r="BW174" s="54" t="s">
        <v>1052</v>
      </c>
      <c r="BX174" s="54" t="s">
        <v>1053</v>
      </c>
      <c r="BY174" s="54" t="s">
        <v>1054</v>
      </c>
      <c r="BZ174" s="54" t="s">
        <v>1055</v>
      </c>
      <c r="CA174" s="55"/>
      <c r="CB174" s="54" t="s">
        <v>1056</v>
      </c>
      <c r="CC174" s="54" t="s">
        <v>1057</v>
      </c>
      <c r="CD174" s="54" t="s">
        <v>1200</v>
      </c>
      <c r="CE174" s="54" t="s">
        <v>1201</v>
      </c>
      <c r="CF174" s="54" t="s">
        <v>1202</v>
      </c>
      <c r="CG174" s="54" t="s">
        <v>1203</v>
      </c>
      <c r="CH174" s="54" t="s">
        <v>1204</v>
      </c>
      <c r="CI174" s="54" t="s">
        <v>1203</v>
      </c>
      <c r="CJ174" s="54" t="s">
        <v>1064</v>
      </c>
      <c r="CK174" s="54" t="s">
        <v>1065</v>
      </c>
      <c r="CL174" s="54" t="s">
        <v>1205</v>
      </c>
      <c r="CM174" s="54" t="s">
        <v>1206</v>
      </c>
      <c r="CN174" s="54" t="s">
        <v>1068</v>
      </c>
      <c r="CO174" s="54" t="s">
        <v>1069</v>
      </c>
      <c r="CP174" s="56">
        <v>0</v>
      </c>
      <c r="CQ174" s="56">
        <v>0</v>
      </c>
      <c r="CR174" s="56">
        <v>0</v>
      </c>
      <c r="CS174" s="56">
        <v>0</v>
      </c>
      <c r="CT174" s="56">
        <v>0</v>
      </c>
      <c r="CU174" s="56">
        <v>0</v>
      </c>
      <c r="CV174" s="56">
        <v>0</v>
      </c>
      <c r="CW174" s="56">
        <v>0</v>
      </c>
      <c r="CX174" s="56">
        <v>0</v>
      </c>
      <c r="CY174" s="56">
        <v>0</v>
      </c>
      <c r="CZ174" s="56">
        <v>0</v>
      </c>
      <c r="DA174" s="56">
        <v>0</v>
      </c>
      <c r="DB174" s="56">
        <v>0</v>
      </c>
      <c r="DC174" s="56">
        <v>0</v>
      </c>
      <c r="DD174" s="56">
        <v>0</v>
      </c>
      <c r="DE174" s="56">
        <v>0</v>
      </c>
      <c r="DF174" s="56">
        <v>0</v>
      </c>
      <c r="DG174" s="56">
        <v>0</v>
      </c>
      <c r="DH174" s="56">
        <v>0</v>
      </c>
      <c r="DI174" s="56">
        <v>0</v>
      </c>
      <c r="DJ174" s="56">
        <v>0</v>
      </c>
      <c r="DK174" s="56">
        <v>0</v>
      </c>
      <c r="DL174" s="56">
        <v>0</v>
      </c>
      <c r="DM174" s="56">
        <v>0</v>
      </c>
      <c r="DN174" s="56">
        <v>0</v>
      </c>
      <c r="DO174" s="56">
        <v>0</v>
      </c>
      <c r="DP174" s="56">
        <v>0</v>
      </c>
      <c r="DQ174" s="56">
        <v>0</v>
      </c>
      <c r="DR174" s="56">
        <v>0</v>
      </c>
      <c r="DS174" s="56">
        <v>0</v>
      </c>
      <c r="DT174" s="56">
        <v>0</v>
      </c>
      <c r="DU174" s="56">
        <v>0</v>
      </c>
      <c r="DV174" s="56">
        <v>0</v>
      </c>
      <c r="DW174" s="56">
        <v>0</v>
      </c>
      <c r="DX174" s="56">
        <v>0</v>
      </c>
      <c r="DY174" s="56">
        <v>0</v>
      </c>
      <c r="DZ174" s="56">
        <v>0</v>
      </c>
      <c r="EA174" s="56">
        <v>0</v>
      </c>
      <c r="EB174" s="56">
        <v>0</v>
      </c>
      <c r="EC174" s="56">
        <v>0</v>
      </c>
      <c r="ED174" s="56">
        <v>0</v>
      </c>
      <c r="EE174" s="56">
        <v>0</v>
      </c>
      <c r="EF174" s="56">
        <v>0</v>
      </c>
      <c r="EG174" s="56">
        <v>0</v>
      </c>
      <c r="EH174" s="56">
        <v>40.200000000000003</v>
      </c>
      <c r="EI174" s="56">
        <v>0</v>
      </c>
      <c r="EJ174" s="56">
        <v>0</v>
      </c>
      <c r="EK174" s="56">
        <v>0</v>
      </c>
      <c r="EL174" s="56">
        <v>0</v>
      </c>
      <c r="EM174" s="56">
        <v>0</v>
      </c>
      <c r="EN174" s="56">
        <v>0</v>
      </c>
      <c r="EO174" s="56">
        <v>0</v>
      </c>
      <c r="EP174" s="56">
        <v>0</v>
      </c>
      <c r="EQ174" s="56">
        <v>0</v>
      </c>
      <c r="ER174" s="56">
        <v>0</v>
      </c>
      <c r="ES174" s="56">
        <v>0</v>
      </c>
      <c r="ET174" s="56">
        <v>0</v>
      </c>
      <c r="EU174" s="56">
        <v>0</v>
      </c>
      <c r="EV174" s="56">
        <v>0</v>
      </c>
      <c r="EW174" s="56">
        <v>0</v>
      </c>
      <c r="EX174" s="56">
        <v>0</v>
      </c>
      <c r="EY174" s="56">
        <v>0</v>
      </c>
      <c r="EZ174" s="56">
        <v>0</v>
      </c>
      <c r="FA174" s="56">
        <v>0</v>
      </c>
      <c r="FB174" s="56">
        <v>0</v>
      </c>
      <c r="FC174" s="58">
        <v>0</v>
      </c>
      <c r="FD174" s="56">
        <v>0</v>
      </c>
      <c r="FE174" s="56">
        <v>0</v>
      </c>
      <c r="FF174" s="56">
        <v>0</v>
      </c>
      <c r="FG174" s="56">
        <v>0</v>
      </c>
      <c r="FH174" s="56">
        <v>0</v>
      </c>
      <c r="FI174" s="56">
        <v>0</v>
      </c>
      <c r="FJ174" s="56">
        <v>0</v>
      </c>
      <c r="FK174" s="56">
        <v>0</v>
      </c>
      <c r="FL174" s="56">
        <v>0</v>
      </c>
      <c r="FM174" s="56">
        <v>0</v>
      </c>
      <c r="FN174" s="56">
        <v>0</v>
      </c>
      <c r="FO174" s="56">
        <v>0</v>
      </c>
      <c r="FP174" s="56">
        <v>0</v>
      </c>
      <c r="FQ174" s="56">
        <v>0</v>
      </c>
      <c r="FR174" s="56">
        <v>0</v>
      </c>
      <c r="FS174" s="58">
        <v>0</v>
      </c>
      <c r="FT174" s="56">
        <v>0</v>
      </c>
      <c r="FU174" s="56">
        <v>0</v>
      </c>
      <c r="FV174" s="56">
        <v>0</v>
      </c>
      <c r="FW174" s="56">
        <v>0</v>
      </c>
      <c r="FX174" s="56">
        <v>0</v>
      </c>
      <c r="FY174" s="56">
        <v>0</v>
      </c>
      <c r="FZ174" s="54" t="s">
        <v>1070</v>
      </c>
      <c r="GA174" s="54" t="s">
        <v>1071</v>
      </c>
      <c r="GB174" s="54" t="s">
        <v>1072</v>
      </c>
      <c r="GC174" s="54" t="s">
        <v>1073</v>
      </c>
      <c r="GD174" s="54" t="s">
        <v>1230</v>
      </c>
      <c r="GE174" s="54" t="s">
        <v>1201</v>
      </c>
      <c r="GF174" s="54"/>
      <c r="GG174" s="55"/>
      <c r="GH174" s="54"/>
      <c r="GI174" s="54"/>
      <c r="GJ174" s="54" t="s">
        <v>1076</v>
      </c>
      <c r="GK174" s="54" t="s">
        <v>1077</v>
      </c>
      <c r="GL174" s="54"/>
      <c r="GM174" s="54"/>
      <c r="GN174" s="54" t="s">
        <v>1208</v>
      </c>
      <c r="GO174" s="54" t="s">
        <v>1209</v>
      </c>
      <c r="GP174" s="54"/>
      <c r="GQ174" s="56">
        <v>0</v>
      </c>
      <c r="GR174" s="54" t="s">
        <v>1210</v>
      </c>
      <c r="GS174" s="54"/>
    </row>
    <row r="175" spans="1:201" x14ac:dyDescent="0.25">
      <c r="A175" s="54" t="s">
        <v>1032</v>
      </c>
      <c r="B175" s="54" t="s">
        <v>1033</v>
      </c>
      <c r="C175" s="54" t="s">
        <v>1249</v>
      </c>
      <c r="D175" s="54" t="s">
        <v>1035</v>
      </c>
      <c r="E175" s="54" t="s">
        <v>1036</v>
      </c>
      <c r="F175" s="55">
        <v>46185</v>
      </c>
      <c r="G175" s="55">
        <v>46185</v>
      </c>
      <c r="H175" s="54" t="s">
        <v>1037</v>
      </c>
      <c r="I175" s="54" t="s">
        <v>1038</v>
      </c>
      <c r="J175" s="54" t="s">
        <v>1039</v>
      </c>
      <c r="K175" s="55"/>
      <c r="L175" s="54" t="s">
        <v>1040</v>
      </c>
      <c r="M175" s="54"/>
      <c r="N175" s="54" t="s">
        <v>1250</v>
      </c>
      <c r="O175" s="54" t="s">
        <v>1131</v>
      </c>
      <c r="P175" s="54" t="s">
        <v>284</v>
      </c>
      <c r="Q175" s="54" t="s">
        <v>124</v>
      </c>
      <c r="R175" s="54" t="s">
        <v>1043</v>
      </c>
      <c r="S175" s="56">
        <v>483.6</v>
      </c>
      <c r="T175" s="56">
        <v>483.6</v>
      </c>
      <c r="U175" s="56">
        <v>0</v>
      </c>
      <c r="V175" s="56">
        <v>0</v>
      </c>
      <c r="W175" s="56">
        <v>0</v>
      </c>
      <c r="X175" s="56">
        <v>0</v>
      </c>
      <c r="Y175" s="56">
        <v>0</v>
      </c>
      <c r="Z175" s="56">
        <v>120</v>
      </c>
      <c r="AA175" s="56">
        <v>120</v>
      </c>
      <c r="AB175" s="59">
        <v>0</v>
      </c>
      <c r="AC175" s="56">
        <v>0</v>
      </c>
      <c r="AD175" s="56">
        <v>0</v>
      </c>
      <c r="AE175" s="56">
        <v>0</v>
      </c>
      <c r="AF175" s="54" t="s">
        <v>1199</v>
      </c>
      <c r="AG175" s="57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 t="s">
        <v>1045</v>
      </c>
      <c r="AS175" s="54" t="s">
        <v>1046</v>
      </c>
      <c r="AT175" s="54" t="s">
        <v>1047</v>
      </c>
      <c r="AU175" s="54" t="s">
        <v>1048</v>
      </c>
      <c r="AV175" s="54"/>
      <c r="AW175" s="55">
        <v>46198</v>
      </c>
      <c r="AX175" s="55">
        <v>46185</v>
      </c>
      <c r="AY175" s="55">
        <v>46185</v>
      </c>
      <c r="AZ175" s="55">
        <v>46188</v>
      </c>
      <c r="BA175" s="55">
        <v>46198</v>
      </c>
      <c r="BB175" s="56">
        <v>0</v>
      </c>
      <c r="BC175" s="56">
        <v>0</v>
      </c>
      <c r="BD175" s="56">
        <v>0</v>
      </c>
      <c r="BE175" s="56">
        <v>0</v>
      </c>
      <c r="BF175" s="56">
        <v>0</v>
      </c>
      <c r="BG175" s="56">
        <v>0</v>
      </c>
      <c r="BH175" s="56">
        <v>0</v>
      </c>
      <c r="BI175" s="56">
        <v>0</v>
      </c>
      <c r="BJ175" s="56">
        <v>0</v>
      </c>
      <c r="BK175" s="56">
        <v>0</v>
      </c>
      <c r="BL175" s="56">
        <v>0</v>
      </c>
      <c r="BM175" s="56">
        <v>0</v>
      </c>
      <c r="BN175" s="56">
        <v>0</v>
      </c>
      <c r="BO175" s="56">
        <v>0</v>
      </c>
      <c r="BP175" s="54" t="s">
        <v>1049</v>
      </c>
      <c r="BQ175" s="54" t="s">
        <v>1050</v>
      </c>
      <c r="BR175" s="54" t="s">
        <v>1049</v>
      </c>
      <c r="BS175" s="54" t="s">
        <v>1050</v>
      </c>
      <c r="BT175" s="54" t="s">
        <v>1051</v>
      </c>
      <c r="BU175" s="54" t="s">
        <v>1043</v>
      </c>
      <c r="BV175" s="58">
        <v>120</v>
      </c>
      <c r="BW175" s="54" t="s">
        <v>1052</v>
      </c>
      <c r="BX175" s="54" t="s">
        <v>1053</v>
      </c>
      <c r="BY175" s="54" t="s">
        <v>1054</v>
      </c>
      <c r="BZ175" s="54" t="s">
        <v>1055</v>
      </c>
      <c r="CA175" s="55"/>
      <c r="CB175" s="54" t="s">
        <v>1056</v>
      </c>
      <c r="CC175" s="54" t="s">
        <v>1057</v>
      </c>
      <c r="CD175" s="54" t="s">
        <v>1200</v>
      </c>
      <c r="CE175" s="54" t="s">
        <v>1201</v>
      </c>
      <c r="CF175" s="54" t="s">
        <v>1202</v>
      </c>
      <c r="CG175" s="54" t="s">
        <v>1203</v>
      </c>
      <c r="CH175" s="54" t="s">
        <v>1204</v>
      </c>
      <c r="CI175" s="54" t="s">
        <v>1203</v>
      </c>
      <c r="CJ175" s="54" t="s">
        <v>1064</v>
      </c>
      <c r="CK175" s="54" t="s">
        <v>1065</v>
      </c>
      <c r="CL175" s="54" t="s">
        <v>1205</v>
      </c>
      <c r="CM175" s="54" t="s">
        <v>1206</v>
      </c>
      <c r="CN175" s="54" t="s">
        <v>1068</v>
      </c>
      <c r="CO175" s="54" t="s">
        <v>1069</v>
      </c>
      <c r="CP175" s="56">
        <v>0</v>
      </c>
      <c r="CQ175" s="56">
        <v>0</v>
      </c>
      <c r="CR175" s="56">
        <v>0</v>
      </c>
      <c r="CS175" s="56">
        <v>0</v>
      </c>
      <c r="CT175" s="56">
        <v>0</v>
      </c>
      <c r="CU175" s="56">
        <v>0</v>
      </c>
      <c r="CV175" s="56">
        <v>0</v>
      </c>
      <c r="CW175" s="56">
        <v>0</v>
      </c>
      <c r="CX175" s="56">
        <v>0</v>
      </c>
      <c r="CY175" s="56">
        <v>0</v>
      </c>
      <c r="CZ175" s="56">
        <v>0</v>
      </c>
      <c r="DA175" s="56">
        <v>0</v>
      </c>
      <c r="DB175" s="56">
        <v>0</v>
      </c>
      <c r="DC175" s="56">
        <v>0</v>
      </c>
      <c r="DD175" s="56">
        <v>0</v>
      </c>
      <c r="DE175" s="56">
        <v>0</v>
      </c>
      <c r="DF175" s="56">
        <v>0</v>
      </c>
      <c r="DG175" s="56">
        <v>0</v>
      </c>
      <c r="DH175" s="56">
        <v>0</v>
      </c>
      <c r="DI175" s="56">
        <v>0</v>
      </c>
      <c r="DJ175" s="56">
        <v>0</v>
      </c>
      <c r="DK175" s="56">
        <v>0</v>
      </c>
      <c r="DL175" s="56">
        <v>0</v>
      </c>
      <c r="DM175" s="56">
        <v>0</v>
      </c>
      <c r="DN175" s="56">
        <v>0</v>
      </c>
      <c r="DO175" s="56">
        <v>0</v>
      </c>
      <c r="DP175" s="56">
        <v>0</v>
      </c>
      <c r="DQ175" s="56">
        <v>0</v>
      </c>
      <c r="DR175" s="56">
        <v>0</v>
      </c>
      <c r="DS175" s="56">
        <v>0</v>
      </c>
      <c r="DT175" s="56">
        <v>0</v>
      </c>
      <c r="DU175" s="56">
        <v>0</v>
      </c>
      <c r="DV175" s="56">
        <v>0</v>
      </c>
      <c r="DW175" s="56">
        <v>0</v>
      </c>
      <c r="DX175" s="56">
        <v>0</v>
      </c>
      <c r="DY175" s="56">
        <v>0</v>
      </c>
      <c r="DZ175" s="56">
        <v>0</v>
      </c>
      <c r="EA175" s="56">
        <v>0</v>
      </c>
      <c r="EB175" s="56">
        <v>0</v>
      </c>
      <c r="EC175" s="56">
        <v>0</v>
      </c>
      <c r="ED175" s="56">
        <v>0</v>
      </c>
      <c r="EE175" s="56">
        <v>0</v>
      </c>
      <c r="EF175" s="56">
        <v>0</v>
      </c>
      <c r="EG175" s="56">
        <v>0</v>
      </c>
      <c r="EH175" s="56">
        <v>58.03</v>
      </c>
      <c r="EI175" s="56">
        <v>0</v>
      </c>
      <c r="EJ175" s="56">
        <v>0</v>
      </c>
      <c r="EK175" s="56">
        <v>0</v>
      </c>
      <c r="EL175" s="56">
        <v>0</v>
      </c>
      <c r="EM175" s="56">
        <v>0</v>
      </c>
      <c r="EN175" s="56">
        <v>0</v>
      </c>
      <c r="EO175" s="56">
        <v>0</v>
      </c>
      <c r="EP175" s="56">
        <v>0</v>
      </c>
      <c r="EQ175" s="56">
        <v>0</v>
      </c>
      <c r="ER175" s="56">
        <v>0</v>
      </c>
      <c r="ES175" s="56">
        <v>0</v>
      </c>
      <c r="ET175" s="56">
        <v>0</v>
      </c>
      <c r="EU175" s="56">
        <v>0</v>
      </c>
      <c r="EV175" s="56">
        <v>0</v>
      </c>
      <c r="EW175" s="56">
        <v>0</v>
      </c>
      <c r="EX175" s="56">
        <v>0</v>
      </c>
      <c r="EY175" s="56">
        <v>0</v>
      </c>
      <c r="EZ175" s="56">
        <v>0</v>
      </c>
      <c r="FA175" s="56">
        <v>0</v>
      </c>
      <c r="FB175" s="56">
        <v>0</v>
      </c>
      <c r="FC175" s="58">
        <v>0</v>
      </c>
      <c r="FD175" s="56">
        <v>0</v>
      </c>
      <c r="FE175" s="56">
        <v>0</v>
      </c>
      <c r="FF175" s="56">
        <v>0</v>
      </c>
      <c r="FG175" s="56">
        <v>0</v>
      </c>
      <c r="FH175" s="56">
        <v>0</v>
      </c>
      <c r="FI175" s="56">
        <v>0</v>
      </c>
      <c r="FJ175" s="56">
        <v>0</v>
      </c>
      <c r="FK175" s="56">
        <v>0</v>
      </c>
      <c r="FL175" s="56">
        <v>0</v>
      </c>
      <c r="FM175" s="56">
        <v>0</v>
      </c>
      <c r="FN175" s="56">
        <v>0</v>
      </c>
      <c r="FO175" s="56">
        <v>0</v>
      </c>
      <c r="FP175" s="56">
        <v>0</v>
      </c>
      <c r="FQ175" s="56">
        <v>0</v>
      </c>
      <c r="FR175" s="56">
        <v>0</v>
      </c>
      <c r="FS175" s="58">
        <v>0</v>
      </c>
      <c r="FT175" s="56">
        <v>0</v>
      </c>
      <c r="FU175" s="56">
        <v>0</v>
      </c>
      <c r="FV175" s="56">
        <v>0</v>
      </c>
      <c r="FW175" s="56">
        <v>0</v>
      </c>
      <c r="FX175" s="56">
        <v>0</v>
      </c>
      <c r="FY175" s="56">
        <v>0</v>
      </c>
      <c r="FZ175" s="54" t="s">
        <v>1070</v>
      </c>
      <c r="GA175" s="54" t="s">
        <v>1071</v>
      </c>
      <c r="GB175" s="54" t="s">
        <v>1072</v>
      </c>
      <c r="GC175" s="54" t="s">
        <v>1073</v>
      </c>
      <c r="GD175" s="54" t="s">
        <v>1231</v>
      </c>
      <c r="GE175" s="54" t="s">
        <v>1201</v>
      </c>
      <c r="GF175" s="54"/>
      <c r="GG175" s="55"/>
      <c r="GH175" s="54"/>
      <c r="GI175" s="54"/>
      <c r="GJ175" s="54" t="s">
        <v>1076</v>
      </c>
      <c r="GK175" s="54" t="s">
        <v>1077</v>
      </c>
      <c r="GL175" s="54"/>
      <c r="GM175" s="54"/>
      <c r="GN175" s="54" t="s">
        <v>1208</v>
      </c>
      <c r="GO175" s="54" t="s">
        <v>1209</v>
      </c>
      <c r="GP175" s="54"/>
      <c r="GQ175" s="56">
        <v>0</v>
      </c>
      <c r="GR175" s="54" t="s">
        <v>1210</v>
      </c>
      <c r="GS175" s="54"/>
    </row>
    <row r="176" spans="1:201" x14ac:dyDescent="0.25">
      <c r="A176" s="54" t="s">
        <v>1032</v>
      </c>
      <c r="B176" s="54" t="s">
        <v>1033</v>
      </c>
      <c r="C176" s="54" t="s">
        <v>1249</v>
      </c>
      <c r="D176" s="54" t="s">
        <v>1035</v>
      </c>
      <c r="E176" s="54" t="s">
        <v>1036</v>
      </c>
      <c r="F176" s="55">
        <v>46185</v>
      </c>
      <c r="G176" s="55">
        <v>46185</v>
      </c>
      <c r="H176" s="54" t="s">
        <v>1037</v>
      </c>
      <c r="I176" s="54" t="s">
        <v>1038</v>
      </c>
      <c r="J176" s="54" t="s">
        <v>1039</v>
      </c>
      <c r="K176" s="55"/>
      <c r="L176" s="54" t="s">
        <v>1040</v>
      </c>
      <c r="M176" s="54"/>
      <c r="N176" s="54" t="s">
        <v>1250</v>
      </c>
      <c r="O176" s="54" t="s">
        <v>1132</v>
      </c>
      <c r="P176" s="54" t="s">
        <v>285</v>
      </c>
      <c r="Q176" s="54" t="s">
        <v>125</v>
      </c>
      <c r="R176" s="54" t="s">
        <v>1043</v>
      </c>
      <c r="S176" s="56">
        <v>21726</v>
      </c>
      <c r="T176" s="56">
        <v>21726</v>
      </c>
      <c r="U176" s="56">
        <v>0</v>
      </c>
      <c r="V176" s="56">
        <v>0</v>
      </c>
      <c r="W176" s="56">
        <v>0</v>
      </c>
      <c r="X176" s="56">
        <v>0</v>
      </c>
      <c r="Y176" s="56">
        <v>0</v>
      </c>
      <c r="Z176" s="56">
        <v>1800</v>
      </c>
      <c r="AA176" s="56">
        <v>1800</v>
      </c>
      <c r="AB176" s="59">
        <v>0</v>
      </c>
      <c r="AC176" s="56">
        <v>0</v>
      </c>
      <c r="AD176" s="56">
        <v>0</v>
      </c>
      <c r="AE176" s="56">
        <v>0</v>
      </c>
      <c r="AF176" s="54" t="s">
        <v>1199</v>
      </c>
      <c r="AG176" s="57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 t="s">
        <v>1045</v>
      </c>
      <c r="AS176" s="54" t="s">
        <v>1081</v>
      </c>
      <c r="AT176" s="54" t="s">
        <v>1082</v>
      </c>
      <c r="AU176" s="54" t="s">
        <v>1048</v>
      </c>
      <c r="AV176" s="54"/>
      <c r="AW176" s="55">
        <v>46198</v>
      </c>
      <c r="AX176" s="55">
        <v>46185</v>
      </c>
      <c r="AY176" s="55">
        <v>46185</v>
      </c>
      <c r="AZ176" s="55"/>
      <c r="BA176" s="55">
        <v>46198</v>
      </c>
      <c r="BB176" s="56">
        <v>0</v>
      </c>
      <c r="BC176" s="56">
        <v>0</v>
      </c>
      <c r="BD176" s="56">
        <v>0</v>
      </c>
      <c r="BE176" s="56">
        <v>0</v>
      </c>
      <c r="BF176" s="56">
        <v>0</v>
      </c>
      <c r="BG176" s="56">
        <v>0</v>
      </c>
      <c r="BH176" s="56">
        <v>0</v>
      </c>
      <c r="BI176" s="56">
        <v>0</v>
      </c>
      <c r="BJ176" s="56">
        <v>0</v>
      </c>
      <c r="BK176" s="56">
        <v>0</v>
      </c>
      <c r="BL176" s="56">
        <v>0</v>
      </c>
      <c r="BM176" s="56">
        <v>0</v>
      </c>
      <c r="BN176" s="56">
        <v>0</v>
      </c>
      <c r="BO176" s="56">
        <v>0</v>
      </c>
      <c r="BP176" s="54" t="s">
        <v>1049</v>
      </c>
      <c r="BQ176" s="54" t="s">
        <v>1050</v>
      </c>
      <c r="BR176" s="54" t="s">
        <v>1049</v>
      </c>
      <c r="BS176" s="54" t="s">
        <v>1050</v>
      </c>
      <c r="BT176" s="54" t="s">
        <v>1051</v>
      </c>
      <c r="BU176" s="54" t="s">
        <v>1043</v>
      </c>
      <c r="BV176" s="58">
        <v>1800</v>
      </c>
      <c r="BW176" s="54" t="s">
        <v>1052</v>
      </c>
      <c r="BX176" s="54" t="s">
        <v>1053</v>
      </c>
      <c r="BY176" s="54" t="s">
        <v>1054</v>
      </c>
      <c r="BZ176" s="54" t="s">
        <v>1055</v>
      </c>
      <c r="CA176" s="55"/>
      <c r="CB176" s="54" t="s">
        <v>1056</v>
      </c>
      <c r="CC176" s="54" t="s">
        <v>1057</v>
      </c>
      <c r="CD176" s="54" t="s">
        <v>1200</v>
      </c>
      <c r="CE176" s="54" t="s">
        <v>1201</v>
      </c>
      <c r="CF176" s="54" t="s">
        <v>1202</v>
      </c>
      <c r="CG176" s="54" t="s">
        <v>1203</v>
      </c>
      <c r="CH176" s="54" t="s">
        <v>1204</v>
      </c>
      <c r="CI176" s="54" t="s">
        <v>1203</v>
      </c>
      <c r="CJ176" s="54" t="s">
        <v>1064</v>
      </c>
      <c r="CK176" s="54" t="s">
        <v>1065</v>
      </c>
      <c r="CL176" s="54" t="s">
        <v>1205</v>
      </c>
      <c r="CM176" s="54" t="s">
        <v>1206</v>
      </c>
      <c r="CN176" s="54" t="s">
        <v>1068</v>
      </c>
      <c r="CO176" s="54" t="s">
        <v>1069</v>
      </c>
      <c r="CP176" s="56">
        <v>0</v>
      </c>
      <c r="CQ176" s="56">
        <v>0</v>
      </c>
      <c r="CR176" s="56">
        <v>0</v>
      </c>
      <c r="CS176" s="56">
        <v>0</v>
      </c>
      <c r="CT176" s="56">
        <v>0</v>
      </c>
      <c r="CU176" s="56">
        <v>0</v>
      </c>
      <c r="CV176" s="56">
        <v>0</v>
      </c>
      <c r="CW176" s="56">
        <v>0</v>
      </c>
      <c r="CX176" s="56">
        <v>0</v>
      </c>
      <c r="CY176" s="56">
        <v>0</v>
      </c>
      <c r="CZ176" s="56">
        <v>0</v>
      </c>
      <c r="DA176" s="56">
        <v>0</v>
      </c>
      <c r="DB176" s="56">
        <v>0</v>
      </c>
      <c r="DC176" s="56">
        <v>0</v>
      </c>
      <c r="DD176" s="56">
        <v>0</v>
      </c>
      <c r="DE176" s="56">
        <v>0</v>
      </c>
      <c r="DF176" s="56">
        <v>0</v>
      </c>
      <c r="DG176" s="56">
        <v>0</v>
      </c>
      <c r="DH176" s="56">
        <v>0</v>
      </c>
      <c r="DI176" s="56">
        <v>0</v>
      </c>
      <c r="DJ176" s="56">
        <v>0</v>
      </c>
      <c r="DK176" s="56">
        <v>0</v>
      </c>
      <c r="DL176" s="56">
        <v>0</v>
      </c>
      <c r="DM176" s="56">
        <v>0</v>
      </c>
      <c r="DN176" s="56">
        <v>0</v>
      </c>
      <c r="DO176" s="56">
        <v>0</v>
      </c>
      <c r="DP176" s="56">
        <v>0</v>
      </c>
      <c r="DQ176" s="56">
        <v>0</v>
      </c>
      <c r="DR176" s="56">
        <v>0</v>
      </c>
      <c r="DS176" s="56">
        <v>0</v>
      </c>
      <c r="DT176" s="56">
        <v>0</v>
      </c>
      <c r="DU176" s="56">
        <v>0</v>
      </c>
      <c r="DV176" s="56">
        <v>0</v>
      </c>
      <c r="DW176" s="56">
        <v>0</v>
      </c>
      <c r="DX176" s="56">
        <v>0</v>
      </c>
      <c r="DY176" s="56">
        <v>0</v>
      </c>
      <c r="DZ176" s="56">
        <v>0</v>
      </c>
      <c r="EA176" s="56">
        <v>0</v>
      </c>
      <c r="EB176" s="56">
        <v>0</v>
      </c>
      <c r="EC176" s="56">
        <v>0</v>
      </c>
      <c r="ED176" s="56">
        <v>0</v>
      </c>
      <c r="EE176" s="56">
        <v>0</v>
      </c>
      <c r="EF176" s="56">
        <v>0</v>
      </c>
      <c r="EG176" s="56">
        <v>0</v>
      </c>
      <c r="EH176" s="56">
        <v>2607.12</v>
      </c>
      <c r="EI176" s="56">
        <v>0</v>
      </c>
      <c r="EJ176" s="56">
        <v>0</v>
      </c>
      <c r="EK176" s="56">
        <v>0</v>
      </c>
      <c r="EL176" s="56">
        <v>0</v>
      </c>
      <c r="EM176" s="56">
        <v>0</v>
      </c>
      <c r="EN176" s="56">
        <v>0</v>
      </c>
      <c r="EO176" s="56">
        <v>0</v>
      </c>
      <c r="EP176" s="56">
        <v>0</v>
      </c>
      <c r="EQ176" s="56">
        <v>0</v>
      </c>
      <c r="ER176" s="56">
        <v>0</v>
      </c>
      <c r="ES176" s="56">
        <v>0</v>
      </c>
      <c r="ET176" s="56">
        <v>0</v>
      </c>
      <c r="EU176" s="56">
        <v>0</v>
      </c>
      <c r="EV176" s="56">
        <v>0</v>
      </c>
      <c r="EW176" s="56">
        <v>0</v>
      </c>
      <c r="EX176" s="56">
        <v>0</v>
      </c>
      <c r="EY176" s="56">
        <v>0</v>
      </c>
      <c r="EZ176" s="56">
        <v>0</v>
      </c>
      <c r="FA176" s="56">
        <v>0</v>
      </c>
      <c r="FB176" s="56">
        <v>0</v>
      </c>
      <c r="FC176" s="58">
        <v>0</v>
      </c>
      <c r="FD176" s="56">
        <v>0</v>
      </c>
      <c r="FE176" s="56">
        <v>0</v>
      </c>
      <c r="FF176" s="56">
        <v>0</v>
      </c>
      <c r="FG176" s="56">
        <v>0</v>
      </c>
      <c r="FH176" s="56">
        <v>0</v>
      </c>
      <c r="FI176" s="56">
        <v>0</v>
      </c>
      <c r="FJ176" s="56">
        <v>0</v>
      </c>
      <c r="FK176" s="56">
        <v>0</v>
      </c>
      <c r="FL176" s="56">
        <v>0</v>
      </c>
      <c r="FM176" s="56">
        <v>0</v>
      </c>
      <c r="FN176" s="56">
        <v>0</v>
      </c>
      <c r="FO176" s="56">
        <v>0</v>
      </c>
      <c r="FP176" s="56">
        <v>0</v>
      </c>
      <c r="FQ176" s="56">
        <v>0</v>
      </c>
      <c r="FR176" s="56">
        <v>0</v>
      </c>
      <c r="FS176" s="58">
        <v>0</v>
      </c>
      <c r="FT176" s="56">
        <v>0</v>
      </c>
      <c r="FU176" s="56">
        <v>0</v>
      </c>
      <c r="FV176" s="56">
        <v>0</v>
      </c>
      <c r="FW176" s="56">
        <v>0</v>
      </c>
      <c r="FX176" s="56">
        <v>0</v>
      </c>
      <c r="FY176" s="56">
        <v>0</v>
      </c>
      <c r="FZ176" s="54" t="s">
        <v>1083</v>
      </c>
      <c r="GA176" s="54" t="s">
        <v>1084</v>
      </c>
      <c r="GB176" s="54" t="s">
        <v>1072</v>
      </c>
      <c r="GC176" s="54" t="s">
        <v>1073</v>
      </c>
      <c r="GD176" s="54" t="s">
        <v>1258</v>
      </c>
      <c r="GE176" s="54" t="s">
        <v>1201</v>
      </c>
      <c r="GF176" s="54"/>
      <c r="GG176" s="55"/>
      <c r="GH176" s="54"/>
      <c r="GI176" s="54"/>
      <c r="GJ176" s="54" t="s">
        <v>1076</v>
      </c>
      <c r="GK176" s="54" t="s">
        <v>1077</v>
      </c>
      <c r="GL176" s="54"/>
      <c r="GM176" s="54"/>
      <c r="GN176" s="54" t="s">
        <v>1208</v>
      </c>
      <c r="GO176" s="54" t="s">
        <v>1209</v>
      </c>
      <c r="GP176" s="54"/>
      <c r="GQ176" s="56">
        <v>0</v>
      </c>
      <c r="GR176" s="54" t="s">
        <v>1210</v>
      </c>
      <c r="GS176" s="54"/>
    </row>
    <row r="177" spans="1:201" x14ac:dyDescent="0.25">
      <c r="A177" s="54" t="s">
        <v>1032</v>
      </c>
      <c r="B177" s="54" t="s">
        <v>1033</v>
      </c>
      <c r="C177" s="54" t="s">
        <v>1249</v>
      </c>
      <c r="D177" s="54" t="s">
        <v>1035</v>
      </c>
      <c r="E177" s="54" t="s">
        <v>1036</v>
      </c>
      <c r="F177" s="55">
        <v>46185</v>
      </c>
      <c r="G177" s="55">
        <v>46185</v>
      </c>
      <c r="H177" s="54" t="s">
        <v>1037</v>
      </c>
      <c r="I177" s="54" t="s">
        <v>1038</v>
      </c>
      <c r="J177" s="54" t="s">
        <v>1039</v>
      </c>
      <c r="K177" s="55"/>
      <c r="L177" s="54" t="s">
        <v>1040</v>
      </c>
      <c r="M177" s="54"/>
      <c r="N177" s="54" t="s">
        <v>1250</v>
      </c>
      <c r="O177" s="54" t="s">
        <v>1133</v>
      </c>
      <c r="P177" s="54" t="s">
        <v>288</v>
      </c>
      <c r="Q177" s="54" t="s">
        <v>128</v>
      </c>
      <c r="R177" s="54" t="s">
        <v>1043</v>
      </c>
      <c r="S177" s="56">
        <v>961.2</v>
      </c>
      <c r="T177" s="56">
        <v>961.2</v>
      </c>
      <c r="U177" s="56">
        <v>0</v>
      </c>
      <c r="V177" s="56">
        <v>0</v>
      </c>
      <c r="W177" s="56">
        <v>0</v>
      </c>
      <c r="X177" s="56">
        <v>0</v>
      </c>
      <c r="Y177" s="56">
        <v>0</v>
      </c>
      <c r="Z177" s="56">
        <v>120</v>
      </c>
      <c r="AA177" s="56">
        <v>120</v>
      </c>
      <c r="AB177" s="59">
        <v>0</v>
      </c>
      <c r="AC177" s="56">
        <v>0</v>
      </c>
      <c r="AD177" s="56">
        <v>0</v>
      </c>
      <c r="AE177" s="56">
        <v>0</v>
      </c>
      <c r="AF177" s="54" t="s">
        <v>1199</v>
      </c>
      <c r="AG177" s="57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 t="s">
        <v>1045</v>
      </c>
      <c r="AS177" s="54" t="s">
        <v>1046</v>
      </c>
      <c r="AT177" s="54" t="s">
        <v>1047</v>
      </c>
      <c r="AU177" s="54" t="s">
        <v>1048</v>
      </c>
      <c r="AV177" s="54"/>
      <c r="AW177" s="55">
        <v>46198</v>
      </c>
      <c r="AX177" s="55">
        <v>46185</v>
      </c>
      <c r="AY177" s="55">
        <v>46185</v>
      </c>
      <c r="AZ177" s="55">
        <v>46188</v>
      </c>
      <c r="BA177" s="55">
        <v>46198</v>
      </c>
      <c r="BB177" s="56">
        <v>0</v>
      </c>
      <c r="BC177" s="56">
        <v>0</v>
      </c>
      <c r="BD177" s="56">
        <v>0</v>
      </c>
      <c r="BE177" s="56">
        <v>0</v>
      </c>
      <c r="BF177" s="56">
        <v>0</v>
      </c>
      <c r="BG177" s="56">
        <v>0</v>
      </c>
      <c r="BH177" s="56">
        <v>0</v>
      </c>
      <c r="BI177" s="56">
        <v>0</v>
      </c>
      <c r="BJ177" s="56">
        <v>0</v>
      </c>
      <c r="BK177" s="56">
        <v>0</v>
      </c>
      <c r="BL177" s="56">
        <v>0</v>
      </c>
      <c r="BM177" s="56">
        <v>0</v>
      </c>
      <c r="BN177" s="56">
        <v>0</v>
      </c>
      <c r="BO177" s="56">
        <v>0</v>
      </c>
      <c r="BP177" s="54" t="s">
        <v>1049</v>
      </c>
      <c r="BQ177" s="54" t="s">
        <v>1050</v>
      </c>
      <c r="BR177" s="54" t="s">
        <v>1049</v>
      </c>
      <c r="BS177" s="54" t="s">
        <v>1050</v>
      </c>
      <c r="BT177" s="54" t="s">
        <v>1051</v>
      </c>
      <c r="BU177" s="54" t="s">
        <v>1043</v>
      </c>
      <c r="BV177" s="58">
        <v>120</v>
      </c>
      <c r="BW177" s="54" t="s">
        <v>1052</v>
      </c>
      <c r="BX177" s="54" t="s">
        <v>1053</v>
      </c>
      <c r="BY177" s="54" t="s">
        <v>1054</v>
      </c>
      <c r="BZ177" s="54" t="s">
        <v>1055</v>
      </c>
      <c r="CA177" s="55"/>
      <c r="CB177" s="54" t="s">
        <v>1056</v>
      </c>
      <c r="CC177" s="54" t="s">
        <v>1057</v>
      </c>
      <c r="CD177" s="54" t="s">
        <v>1200</v>
      </c>
      <c r="CE177" s="54" t="s">
        <v>1201</v>
      </c>
      <c r="CF177" s="54" t="s">
        <v>1202</v>
      </c>
      <c r="CG177" s="54" t="s">
        <v>1203</v>
      </c>
      <c r="CH177" s="54" t="s">
        <v>1204</v>
      </c>
      <c r="CI177" s="54" t="s">
        <v>1203</v>
      </c>
      <c r="CJ177" s="54" t="s">
        <v>1064</v>
      </c>
      <c r="CK177" s="54" t="s">
        <v>1065</v>
      </c>
      <c r="CL177" s="54" t="s">
        <v>1205</v>
      </c>
      <c r="CM177" s="54" t="s">
        <v>1206</v>
      </c>
      <c r="CN177" s="54" t="s">
        <v>1068</v>
      </c>
      <c r="CO177" s="54" t="s">
        <v>1069</v>
      </c>
      <c r="CP177" s="56">
        <v>0</v>
      </c>
      <c r="CQ177" s="56">
        <v>0</v>
      </c>
      <c r="CR177" s="56">
        <v>0</v>
      </c>
      <c r="CS177" s="56">
        <v>0</v>
      </c>
      <c r="CT177" s="56">
        <v>0</v>
      </c>
      <c r="CU177" s="56">
        <v>0</v>
      </c>
      <c r="CV177" s="56">
        <v>0</v>
      </c>
      <c r="CW177" s="56">
        <v>0</v>
      </c>
      <c r="CX177" s="56">
        <v>0</v>
      </c>
      <c r="CY177" s="56">
        <v>0</v>
      </c>
      <c r="CZ177" s="56">
        <v>0</v>
      </c>
      <c r="DA177" s="56">
        <v>0</v>
      </c>
      <c r="DB177" s="56">
        <v>0</v>
      </c>
      <c r="DC177" s="56">
        <v>0</v>
      </c>
      <c r="DD177" s="56">
        <v>0</v>
      </c>
      <c r="DE177" s="56">
        <v>0</v>
      </c>
      <c r="DF177" s="56">
        <v>0</v>
      </c>
      <c r="DG177" s="56">
        <v>0</v>
      </c>
      <c r="DH177" s="56">
        <v>0</v>
      </c>
      <c r="DI177" s="56">
        <v>0</v>
      </c>
      <c r="DJ177" s="56">
        <v>0</v>
      </c>
      <c r="DK177" s="56">
        <v>0</v>
      </c>
      <c r="DL177" s="56">
        <v>0</v>
      </c>
      <c r="DM177" s="56">
        <v>0</v>
      </c>
      <c r="DN177" s="56">
        <v>0</v>
      </c>
      <c r="DO177" s="56">
        <v>0</v>
      </c>
      <c r="DP177" s="56">
        <v>0</v>
      </c>
      <c r="DQ177" s="56">
        <v>0</v>
      </c>
      <c r="DR177" s="56">
        <v>0</v>
      </c>
      <c r="DS177" s="56">
        <v>0</v>
      </c>
      <c r="DT177" s="56">
        <v>0</v>
      </c>
      <c r="DU177" s="56">
        <v>0</v>
      </c>
      <c r="DV177" s="56">
        <v>0</v>
      </c>
      <c r="DW177" s="56">
        <v>0</v>
      </c>
      <c r="DX177" s="56">
        <v>0</v>
      </c>
      <c r="DY177" s="56">
        <v>0</v>
      </c>
      <c r="DZ177" s="56">
        <v>0</v>
      </c>
      <c r="EA177" s="56">
        <v>0</v>
      </c>
      <c r="EB177" s="56">
        <v>0</v>
      </c>
      <c r="EC177" s="56">
        <v>0</v>
      </c>
      <c r="ED177" s="56">
        <v>0</v>
      </c>
      <c r="EE177" s="56">
        <v>0</v>
      </c>
      <c r="EF177" s="56">
        <v>0</v>
      </c>
      <c r="EG177" s="56">
        <v>0</v>
      </c>
      <c r="EH177" s="56">
        <v>115.34</v>
      </c>
      <c r="EI177" s="56">
        <v>0</v>
      </c>
      <c r="EJ177" s="56">
        <v>0</v>
      </c>
      <c r="EK177" s="56">
        <v>0</v>
      </c>
      <c r="EL177" s="56">
        <v>0</v>
      </c>
      <c r="EM177" s="56">
        <v>0</v>
      </c>
      <c r="EN177" s="56">
        <v>0</v>
      </c>
      <c r="EO177" s="56">
        <v>0</v>
      </c>
      <c r="EP177" s="56">
        <v>0</v>
      </c>
      <c r="EQ177" s="56">
        <v>0</v>
      </c>
      <c r="ER177" s="56">
        <v>0</v>
      </c>
      <c r="ES177" s="56">
        <v>0</v>
      </c>
      <c r="ET177" s="56">
        <v>0</v>
      </c>
      <c r="EU177" s="56">
        <v>0</v>
      </c>
      <c r="EV177" s="56">
        <v>0</v>
      </c>
      <c r="EW177" s="56">
        <v>0</v>
      </c>
      <c r="EX177" s="56">
        <v>0</v>
      </c>
      <c r="EY177" s="56">
        <v>0</v>
      </c>
      <c r="EZ177" s="56">
        <v>0</v>
      </c>
      <c r="FA177" s="56">
        <v>0</v>
      </c>
      <c r="FB177" s="56">
        <v>0</v>
      </c>
      <c r="FC177" s="58">
        <v>0</v>
      </c>
      <c r="FD177" s="56">
        <v>0</v>
      </c>
      <c r="FE177" s="56">
        <v>0</v>
      </c>
      <c r="FF177" s="56">
        <v>0</v>
      </c>
      <c r="FG177" s="56">
        <v>0</v>
      </c>
      <c r="FH177" s="56">
        <v>0</v>
      </c>
      <c r="FI177" s="56">
        <v>0</v>
      </c>
      <c r="FJ177" s="56">
        <v>0</v>
      </c>
      <c r="FK177" s="56">
        <v>0</v>
      </c>
      <c r="FL177" s="56">
        <v>0</v>
      </c>
      <c r="FM177" s="56">
        <v>0</v>
      </c>
      <c r="FN177" s="56">
        <v>0</v>
      </c>
      <c r="FO177" s="56">
        <v>0</v>
      </c>
      <c r="FP177" s="56">
        <v>0</v>
      </c>
      <c r="FQ177" s="56">
        <v>0</v>
      </c>
      <c r="FR177" s="56">
        <v>0</v>
      </c>
      <c r="FS177" s="58">
        <v>0</v>
      </c>
      <c r="FT177" s="56">
        <v>0</v>
      </c>
      <c r="FU177" s="56">
        <v>0</v>
      </c>
      <c r="FV177" s="56">
        <v>0</v>
      </c>
      <c r="FW177" s="56">
        <v>0</v>
      </c>
      <c r="FX177" s="56">
        <v>0</v>
      </c>
      <c r="FY177" s="56">
        <v>0</v>
      </c>
      <c r="FZ177" s="54" t="s">
        <v>1083</v>
      </c>
      <c r="GA177" s="54" t="s">
        <v>1084</v>
      </c>
      <c r="GB177" s="54" t="s">
        <v>1072</v>
      </c>
      <c r="GC177" s="54" t="s">
        <v>1073</v>
      </c>
      <c r="GD177" s="54" t="s">
        <v>1232</v>
      </c>
      <c r="GE177" s="54" t="s">
        <v>1201</v>
      </c>
      <c r="GF177" s="54"/>
      <c r="GG177" s="55"/>
      <c r="GH177" s="54"/>
      <c r="GI177" s="54"/>
      <c r="GJ177" s="54" t="s">
        <v>1076</v>
      </c>
      <c r="GK177" s="54" t="s">
        <v>1077</v>
      </c>
      <c r="GL177" s="54"/>
      <c r="GM177" s="54"/>
      <c r="GN177" s="54" t="s">
        <v>1208</v>
      </c>
      <c r="GO177" s="54" t="s">
        <v>1209</v>
      </c>
      <c r="GP177" s="54"/>
      <c r="GQ177" s="56">
        <v>0</v>
      </c>
      <c r="GR177" s="54" t="s">
        <v>1210</v>
      </c>
      <c r="GS177" s="54"/>
    </row>
    <row r="178" spans="1:201" x14ac:dyDescent="0.25">
      <c r="A178" s="54" t="s">
        <v>1032</v>
      </c>
      <c r="B178" s="54" t="s">
        <v>1033</v>
      </c>
      <c r="C178" s="54" t="s">
        <v>1249</v>
      </c>
      <c r="D178" s="54" t="s">
        <v>1035</v>
      </c>
      <c r="E178" s="54" t="s">
        <v>1036</v>
      </c>
      <c r="F178" s="55">
        <v>46185</v>
      </c>
      <c r="G178" s="55">
        <v>46185</v>
      </c>
      <c r="H178" s="54" t="s">
        <v>1037</v>
      </c>
      <c r="I178" s="54" t="s">
        <v>1038</v>
      </c>
      <c r="J178" s="54" t="s">
        <v>1039</v>
      </c>
      <c r="K178" s="55"/>
      <c r="L178" s="54" t="s">
        <v>1040</v>
      </c>
      <c r="M178" s="54"/>
      <c r="N178" s="54" t="s">
        <v>1250</v>
      </c>
      <c r="O178" s="54" t="s">
        <v>1134</v>
      </c>
      <c r="P178" s="54" t="s">
        <v>287</v>
      </c>
      <c r="Q178" s="54" t="s">
        <v>127</v>
      </c>
      <c r="R178" s="54" t="s">
        <v>1043</v>
      </c>
      <c r="S178" s="56">
        <v>211.2</v>
      </c>
      <c r="T178" s="56">
        <v>0</v>
      </c>
      <c r="U178" s="56">
        <v>211.2</v>
      </c>
      <c r="V178" s="56">
        <v>0</v>
      </c>
      <c r="W178" s="56">
        <v>0</v>
      </c>
      <c r="X178" s="56">
        <v>0</v>
      </c>
      <c r="Y178" s="56">
        <v>0</v>
      </c>
      <c r="Z178" s="56">
        <v>120</v>
      </c>
      <c r="AA178" s="56">
        <v>0</v>
      </c>
      <c r="AB178" s="59">
        <v>120</v>
      </c>
      <c r="AC178" s="56">
        <v>0</v>
      </c>
      <c r="AD178" s="56">
        <v>0</v>
      </c>
      <c r="AE178" s="56">
        <v>0</v>
      </c>
      <c r="AF178" s="54" t="s">
        <v>1199</v>
      </c>
      <c r="AG178" s="57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 t="s">
        <v>1045</v>
      </c>
      <c r="AS178" s="54" t="s">
        <v>1046</v>
      </c>
      <c r="AT178" s="54" t="s">
        <v>1047</v>
      </c>
      <c r="AU178" s="54" t="s">
        <v>1048</v>
      </c>
      <c r="AV178" s="54"/>
      <c r="AW178" s="55">
        <v>46198</v>
      </c>
      <c r="AX178" s="55">
        <v>46185</v>
      </c>
      <c r="AY178" s="55">
        <v>46185</v>
      </c>
      <c r="AZ178" s="55"/>
      <c r="BA178" s="55">
        <v>46198</v>
      </c>
      <c r="BB178" s="56">
        <v>0</v>
      </c>
      <c r="BC178" s="56">
        <v>0</v>
      </c>
      <c r="BD178" s="56">
        <v>0</v>
      </c>
      <c r="BE178" s="56">
        <v>0</v>
      </c>
      <c r="BF178" s="56">
        <v>0</v>
      </c>
      <c r="BG178" s="56">
        <v>0</v>
      </c>
      <c r="BH178" s="56">
        <v>0</v>
      </c>
      <c r="BI178" s="56">
        <v>0</v>
      </c>
      <c r="BJ178" s="56">
        <v>0</v>
      </c>
      <c r="BK178" s="56">
        <v>0</v>
      </c>
      <c r="BL178" s="56">
        <v>0</v>
      </c>
      <c r="BM178" s="56">
        <v>0</v>
      </c>
      <c r="BN178" s="56">
        <v>0</v>
      </c>
      <c r="BO178" s="56">
        <v>0</v>
      </c>
      <c r="BP178" s="54" t="s">
        <v>1049</v>
      </c>
      <c r="BQ178" s="54" t="s">
        <v>1050</v>
      </c>
      <c r="BR178" s="54" t="s">
        <v>1049</v>
      </c>
      <c r="BS178" s="54" t="s">
        <v>1050</v>
      </c>
      <c r="BT178" s="54" t="s">
        <v>1051</v>
      </c>
      <c r="BU178" s="54" t="s">
        <v>1043</v>
      </c>
      <c r="BV178" s="58">
        <v>0</v>
      </c>
      <c r="BW178" s="54" t="s">
        <v>1052</v>
      </c>
      <c r="BX178" s="54" t="s">
        <v>1053</v>
      </c>
      <c r="BY178" s="54" t="s">
        <v>1054</v>
      </c>
      <c r="BZ178" s="54" t="s">
        <v>1055</v>
      </c>
      <c r="CA178" s="55"/>
      <c r="CB178" s="54" t="s">
        <v>1056</v>
      </c>
      <c r="CC178" s="54" t="s">
        <v>1057</v>
      </c>
      <c r="CD178" s="54" t="s">
        <v>1200</v>
      </c>
      <c r="CE178" s="54" t="s">
        <v>1201</v>
      </c>
      <c r="CF178" s="54" t="s">
        <v>1202</v>
      </c>
      <c r="CG178" s="54" t="s">
        <v>1203</v>
      </c>
      <c r="CH178" s="54" t="s">
        <v>1204</v>
      </c>
      <c r="CI178" s="54" t="s">
        <v>1203</v>
      </c>
      <c r="CJ178" s="54" t="s">
        <v>1064</v>
      </c>
      <c r="CK178" s="54" t="s">
        <v>1065</v>
      </c>
      <c r="CL178" s="54" t="s">
        <v>1205</v>
      </c>
      <c r="CM178" s="54" t="s">
        <v>1206</v>
      </c>
      <c r="CN178" s="54" t="s">
        <v>1068</v>
      </c>
      <c r="CO178" s="54" t="s">
        <v>1069</v>
      </c>
      <c r="CP178" s="56">
        <v>0</v>
      </c>
      <c r="CQ178" s="56">
        <v>0</v>
      </c>
      <c r="CR178" s="56">
        <v>0</v>
      </c>
      <c r="CS178" s="56">
        <v>0</v>
      </c>
      <c r="CT178" s="56">
        <v>0</v>
      </c>
      <c r="CU178" s="56">
        <v>0</v>
      </c>
      <c r="CV178" s="56">
        <v>0</v>
      </c>
      <c r="CW178" s="56">
        <v>0</v>
      </c>
      <c r="CX178" s="56">
        <v>0</v>
      </c>
      <c r="CY178" s="56">
        <v>0</v>
      </c>
      <c r="CZ178" s="56">
        <v>0</v>
      </c>
      <c r="DA178" s="56">
        <v>0</v>
      </c>
      <c r="DB178" s="56">
        <v>0</v>
      </c>
      <c r="DC178" s="56">
        <v>0</v>
      </c>
      <c r="DD178" s="56">
        <v>0</v>
      </c>
      <c r="DE178" s="56">
        <v>0</v>
      </c>
      <c r="DF178" s="56">
        <v>0</v>
      </c>
      <c r="DG178" s="56">
        <v>0</v>
      </c>
      <c r="DH178" s="56">
        <v>0</v>
      </c>
      <c r="DI178" s="56">
        <v>0</v>
      </c>
      <c r="DJ178" s="56">
        <v>0</v>
      </c>
      <c r="DK178" s="56">
        <v>0</v>
      </c>
      <c r="DL178" s="56">
        <v>0</v>
      </c>
      <c r="DM178" s="56">
        <v>0</v>
      </c>
      <c r="DN178" s="56">
        <v>0</v>
      </c>
      <c r="DO178" s="56">
        <v>0</v>
      </c>
      <c r="DP178" s="56">
        <v>0</v>
      </c>
      <c r="DQ178" s="56">
        <v>0</v>
      </c>
      <c r="DR178" s="56">
        <v>0</v>
      </c>
      <c r="DS178" s="56">
        <v>0</v>
      </c>
      <c r="DT178" s="56">
        <v>0</v>
      </c>
      <c r="DU178" s="56">
        <v>0</v>
      </c>
      <c r="DV178" s="56">
        <v>0</v>
      </c>
      <c r="DW178" s="56">
        <v>0</v>
      </c>
      <c r="DX178" s="56">
        <v>0</v>
      </c>
      <c r="DY178" s="56">
        <v>0</v>
      </c>
      <c r="DZ178" s="56">
        <v>0</v>
      </c>
      <c r="EA178" s="56">
        <v>0</v>
      </c>
      <c r="EB178" s="56">
        <v>0</v>
      </c>
      <c r="EC178" s="56">
        <v>25.34</v>
      </c>
      <c r="ED178" s="56">
        <v>0</v>
      </c>
      <c r="EE178" s="56">
        <v>0</v>
      </c>
      <c r="EF178" s="56">
        <v>0</v>
      </c>
      <c r="EG178" s="56">
        <v>0</v>
      </c>
      <c r="EH178" s="56">
        <v>25.34</v>
      </c>
      <c r="EI178" s="56">
        <v>0</v>
      </c>
      <c r="EJ178" s="56">
        <v>0</v>
      </c>
      <c r="EK178" s="56">
        <v>0</v>
      </c>
      <c r="EL178" s="56">
        <v>0</v>
      </c>
      <c r="EM178" s="56">
        <v>0</v>
      </c>
      <c r="EN178" s="56">
        <v>0</v>
      </c>
      <c r="EO178" s="56">
        <v>0</v>
      </c>
      <c r="EP178" s="56">
        <v>211.2</v>
      </c>
      <c r="EQ178" s="56">
        <v>0</v>
      </c>
      <c r="ER178" s="56">
        <v>0</v>
      </c>
      <c r="ES178" s="56">
        <v>120</v>
      </c>
      <c r="ET178" s="56">
        <v>0</v>
      </c>
      <c r="EU178" s="56">
        <v>0</v>
      </c>
      <c r="EV178" s="56">
        <v>0</v>
      </c>
      <c r="EW178" s="56">
        <v>0</v>
      </c>
      <c r="EX178" s="56">
        <v>0</v>
      </c>
      <c r="EY178" s="56">
        <v>0</v>
      </c>
      <c r="EZ178" s="56">
        <v>0</v>
      </c>
      <c r="FA178" s="56">
        <v>0</v>
      </c>
      <c r="FB178" s="56">
        <v>0</v>
      </c>
      <c r="FC178" s="58">
        <v>0</v>
      </c>
      <c r="FD178" s="56">
        <v>0</v>
      </c>
      <c r="FE178" s="56">
        <v>0</v>
      </c>
      <c r="FF178" s="56">
        <v>0</v>
      </c>
      <c r="FG178" s="56">
        <v>0</v>
      </c>
      <c r="FH178" s="56">
        <v>0</v>
      </c>
      <c r="FI178" s="56">
        <v>0</v>
      </c>
      <c r="FJ178" s="56">
        <v>0</v>
      </c>
      <c r="FK178" s="56">
        <v>0</v>
      </c>
      <c r="FL178" s="56">
        <v>0</v>
      </c>
      <c r="FM178" s="56">
        <v>0</v>
      </c>
      <c r="FN178" s="56">
        <v>0</v>
      </c>
      <c r="FO178" s="56">
        <v>0</v>
      </c>
      <c r="FP178" s="56">
        <v>0</v>
      </c>
      <c r="FQ178" s="56">
        <v>0</v>
      </c>
      <c r="FR178" s="56">
        <v>0</v>
      </c>
      <c r="FS178" s="58">
        <v>0</v>
      </c>
      <c r="FT178" s="56">
        <v>0</v>
      </c>
      <c r="FU178" s="56">
        <v>0</v>
      </c>
      <c r="FV178" s="56">
        <v>0</v>
      </c>
      <c r="FW178" s="56">
        <v>0</v>
      </c>
      <c r="FX178" s="56">
        <v>0</v>
      </c>
      <c r="FY178" s="56">
        <v>0</v>
      </c>
      <c r="FZ178" s="54" t="s">
        <v>1070</v>
      </c>
      <c r="GA178" s="54" t="s">
        <v>1071</v>
      </c>
      <c r="GB178" s="54" t="s">
        <v>1072</v>
      </c>
      <c r="GC178" s="54" t="s">
        <v>1073</v>
      </c>
      <c r="GD178" s="54" t="s">
        <v>1232</v>
      </c>
      <c r="GE178" s="54" t="s">
        <v>1201</v>
      </c>
      <c r="GF178" s="54" t="s">
        <v>1259</v>
      </c>
      <c r="GG178" s="55">
        <v>46205</v>
      </c>
      <c r="GH178" s="54"/>
      <c r="GI178" s="54"/>
      <c r="GJ178" s="54" t="s">
        <v>1076</v>
      </c>
      <c r="GK178" s="54" t="s">
        <v>1077</v>
      </c>
      <c r="GL178" s="54"/>
      <c r="GM178" s="54"/>
      <c r="GN178" s="54" t="s">
        <v>1208</v>
      </c>
      <c r="GO178" s="54" t="s">
        <v>1209</v>
      </c>
      <c r="GP178" s="54"/>
      <c r="GQ178" s="56">
        <v>0</v>
      </c>
      <c r="GR178" s="54" t="s">
        <v>1210</v>
      </c>
      <c r="GS178" s="54" t="s">
        <v>1101</v>
      </c>
    </row>
    <row r="179" spans="1:201" x14ac:dyDescent="0.25">
      <c r="A179" s="54" t="s">
        <v>1032</v>
      </c>
      <c r="B179" s="54" t="s">
        <v>1033</v>
      </c>
      <c r="C179" s="54" t="s">
        <v>1249</v>
      </c>
      <c r="D179" s="54" t="s">
        <v>1035</v>
      </c>
      <c r="E179" s="54" t="s">
        <v>1036</v>
      </c>
      <c r="F179" s="55">
        <v>46185</v>
      </c>
      <c r="G179" s="55">
        <v>46185</v>
      </c>
      <c r="H179" s="54" t="s">
        <v>1037</v>
      </c>
      <c r="I179" s="54" t="s">
        <v>1038</v>
      </c>
      <c r="J179" s="54" t="s">
        <v>1039</v>
      </c>
      <c r="K179" s="55"/>
      <c r="L179" s="54" t="s">
        <v>1040</v>
      </c>
      <c r="M179" s="54"/>
      <c r="N179" s="54" t="s">
        <v>1250</v>
      </c>
      <c r="O179" s="54" t="s">
        <v>1135</v>
      </c>
      <c r="P179" s="54" t="s">
        <v>636</v>
      </c>
      <c r="Q179" s="54" t="s">
        <v>1260</v>
      </c>
      <c r="R179" s="54" t="s">
        <v>1043</v>
      </c>
      <c r="S179" s="56">
        <v>1645.8</v>
      </c>
      <c r="T179" s="56">
        <v>1645.8</v>
      </c>
      <c r="U179" s="56">
        <v>0</v>
      </c>
      <c r="V179" s="56">
        <v>0</v>
      </c>
      <c r="W179" s="56">
        <v>0</v>
      </c>
      <c r="X179" s="56">
        <v>0</v>
      </c>
      <c r="Y179" s="56">
        <v>0</v>
      </c>
      <c r="Z179" s="56">
        <v>60</v>
      </c>
      <c r="AA179" s="56">
        <v>60</v>
      </c>
      <c r="AB179" s="59">
        <v>0</v>
      </c>
      <c r="AC179" s="56">
        <v>0</v>
      </c>
      <c r="AD179" s="56">
        <v>0</v>
      </c>
      <c r="AE179" s="56">
        <v>0</v>
      </c>
      <c r="AF179" s="54" t="s">
        <v>1199</v>
      </c>
      <c r="AG179" s="57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 t="s">
        <v>1045</v>
      </c>
      <c r="AS179" s="54" t="s">
        <v>1081</v>
      </c>
      <c r="AT179" s="54" t="s">
        <v>1082</v>
      </c>
      <c r="AU179" s="54" t="s">
        <v>1048</v>
      </c>
      <c r="AV179" s="54"/>
      <c r="AW179" s="55">
        <v>46198</v>
      </c>
      <c r="AX179" s="55">
        <v>46185</v>
      </c>
      <c r="AY179" s="55">
        <v>46185</v>
      </c>
      <c r="AZ179" s="55">
        <v>46188</v>
      </c>
      <c r="BA179" s="55">
        <v>46198</v>
      </c>
      <c r="BB179" s="56">
        <v>0</v>
      </c>
      <c r="BC179" s="56">
        <v>0</v>
      </c>
      <c r="BD179" s="56">
        <v>0</v>
      </c>
      <c r="BE179" s="56">
        <v>0</v>
      </c>
      <c r="BF179" s="56">
        <v>0</v>
      </c>
      <c r="BG179" s="56">
        <v>0</v>
      </c>
      <c r="BH179" s="56">
        <v>0</v>
      </c>
      <c r="BI179" s="56">
        <v>0</v>
      </c>
      <c r="BJ179" s="56">
        <v>0</v>
      </c>
      <c r="BK179" s="56">
        <v>0</v>
      </c>
      <c r="BL179" s="56">
        <v>0</v>
      </c>
      <c r="BM179" s="56">
        <v>0</v>
      </c>
      <c r="BN179" s="56">
        <v>0</v>
      </c>
      <c r="BO179" s="56">
        <v>0</v>
      </c>
      <c r="BP179" s="54" t="s">
        <v>1049</v>
      </c>
      <c r="BQ179" s="54" t="s">
        <v>1050</v>
      </c>
      <c r="BR179" s="54" t="s">
        <v>1049</v>
      </c>
      <c r="BS179" s="54" t="s">
        <v>1050</v>
      </c>
      <c r="BT179" s="54" t="s">
        <v>1051</v>
      </c>
      <c r="BU179" s="54" t="s">
        <v>1043</v>
      </c>
      <c r="BV179" s="58">
        <v>60</v>
      </c>
      <c r="BW179" s="54" t="s">
        <v>1052</v>
      </c>
      <c r="BX179" s="54" t="s">
        <v>1053</v>
      </c>
      <c r="BY179" s="54" t="s">
        <v>1054</v>
      </c>
      <c r="BZ179" s="54" t="s">
        <v>1055</v>
      </c>
      <c r="CA179" s="55"/>
      <c r="CB179" s="54" t="s">
        <v>1056</v>
      </c>
      <c r="CC179" s="54" t="s">
        <v>1057</v>
      </c>
      <c r="CD179" s="54" t="s">
        <v>1200</v>
      </c>
      <c r="CE179" s="54" t="s">
        <v>1201</v>
      </c>
      <c r="CF179" s="54" t="s">
        <v>1202</v>
      </c>
      <c r="CG179" s="54" t="s">
        <v>1203</v>
      </c>
      <c r="CH179" s="54" t="s">
        <v>1204</v>
      </c>
      <c r="CI179" s="54" t="s">
        <v>1203</v>
      </c>
      <c r="CJ179" s="54" t="s">
        <v>1064</v>
      </c>
      <c r="CK179" s="54" t="s">
        <v>1065</v>
      </c>
      <c r="CL179" s="54" t="s">
        <v>1205</v>
      </c>
      <c r="CM179" s="54" t="s">
        <v>1206</v>
      </c>
      <c r="CN179" s="54" t="s">
        <v>1068</v>
      </c>
      <c r="CO179" s="54" t="s">
        <v>1069</v>
      </c>
      <c r="CP179" s="56">
        <v>0</v>
      </c>
      <c r="CQ179" s="56">
        <v>0</v>
      </c>
      <c r="CR179" s="56">
        <v>0</v>
      </c>
      <c r="CS179" s="56">
        <v>0</v>
      </c>
      <c r="CT179" s="56">
        <v>0</v>
      </c>
      <c r="CU179" s="56">
        <v>0</v>
      </c>
      <c r="CV179" s="56">
        <v>0</v>
      </c>
      <c r="CW179" s="56">
        <v>0</v>
      </c>
      <c r="CX179" s="56">
        <v>0</v>
      </c>
      <c r="CY179" s="56">
        <v>0</v>
      </c>
      <c r="CZ179" s="56">
        <v>0</v>
      </c>
      <c r="DA179" s="56">
        <v>0</v>
      </c>
      <c r="DB179" s="56">
        <v>0</v>
      </c>
      <c r="DC179" s="56">
        <v>0</v>
      </c>
      <c r="DD179" s="56">
        <v>0</v>
      </c>
      <c r="DE179" s="56">
        <v>0</v>
      </c>
      <c r="DF179" s="56">
        <v>0</v>
      </c>
      <c r="DG179" s="56">
        <v>0</v>
      </c>
      <c r="DH179" s="56">
        <v>0</v>
      </c>
      <c r="DI179" s="56">
        <v>0</v>
      </c>
      <c r="DJ179" s="56">
        <v>0</v>
      </c>
      <c r="DK179" s="56">
        <v>0</v>
      </c>
      <c r="DL179" s="56">
        <v>0</v>
      </c>
      <c r="DM179" s="56">
        <v>0</v>
      </c>
      <c r="DN179" s="56">
        <v>0</v>
      </c>
      <c r="DO179" s="56">
        <v>0</v>
      </c>
      <c r="DP179" s="56">
        <v>0</v>
      </c>
      <c r="DQ179" s="56">
        <v>0</v>
      </c>
      <c r="DR179" s="56">
        <v>0</v>
      </c>
      <c r="DS179" s="56">
        <v>0</v>
      </c>
      <c r="DT179" s="56">
        <v>0</v>
      </c>
      <c r="DU179" s="56">
        <v>0</v>
      </c>
      <c r="DV179" s="56">
        <v>0</v>
      </c>
      <c r="DW179" s="56">
        <v>0</v>
      </c>
      <c r="DX179" s="56">
        <v>0</v>
      </c>
      <c r="DY179" s="56">
        <v>0</v>
      </c>
      <c r="DZ179" s="56">
        <v>0</v>
      </c>
      <c r="EA179" s="56">
        <v>0</v>
      </c>
      <c r="EB179" s="56">
        <v>0</v>
      </c>
      <c r="EC179" s="56">
        <v>0</v>
      </c>
      <c r="ED179" s="56">
        <v>0</v>
      </c>
      <c r="EE179" s="56">
        <v>0</v>
      </c>
      <c r="EF179" s="56">
        <v>0</v>
      </c>
      <c r="EG179" s="56">
        <v>0</v>
      </c>
      <c r="EH179" s="56">
        <v>197.5</v>
      </c>
      <c r="EI179" s="56">
        <v>0</v>
      </c>
      <c r="EJ179" s="56">
        <v>0</v>
      </c>
      <c r="EK179" s="56">
        <v>0</v>
      </c>
      <c r="EL179" s="56">
        <v>0</v>
      </c>
      <c r="EM179" s="56">
        <v>0</v>
      </c>
      <c r="EN179" s="56">
        <v>0</v>
      </c>
      <c r="EO179" s="56">
        <v>0</v>
      </c>
      <c r="EP179" s="56">
        <v>0</v>
      </c>
      <c r="EQ179" s="56">
        <v>0</v>
      </c>
      <c r="ER179" s="56">
        <v>0</v>
      </c>
      <c r="ES179" s="56">
        <v>0</v>
      </c>
      <c r="ET179" s="56">
        <v>0</v>
      </c>
      <c r="EU179" s="56">
        <v>0</v>
      </c>
      <c r="EV179" s="56">
        <v>0</v>
      </c>
      <c r="EW179" s="56">
        <v>0</v>
      </c>
      <c r="EX179" s="56">
        <v>0</v>
      </c>
      <c r="EY179" s="56">
        <v>0</v>
      </c>
      <c r="EZ179" s="56">
        <v>0</v>
      </c>
      <c r="FA179" s="56">
        <v>0</v>
      </c>
      <c r="FB179" s="56">
        <v>0</v>
      </c>
      <c r="FC179" s="58">
        <v>0</v>
      </c>
      <c r="FD179" s="56">
        <v>0</v>
      </c>
      <c r="FE179" s="56">
        <v>0</v>
      </c>
      <c r="FF179" s="56">
        <v>0</v>
      </c>
      <c r="FG179" s="56">
        <v>0</v>
      </c>
      <c r="FH179" s="56">
        <v>0</v>
      </c>
      <c r="FI179" s="56">
        <v>0</v>
      </c>
      <c r="FJ179" s="56">
        <v>0</v>
      </c>
      <c r="FK179" s="56">
        <v>0</v>
      </c>
      <c r="FL179" s="56">
        <v>0</v>
      </c>
      <c r="FM179" s="56">
        <v>0</v>
      </c>
      <c r="FN179" s="56">
        <v>0</v>
      </c>
      <c r="FO179" s="56">
        <v>0</v>
      </c>
      <c r="FP179" s="56">
        <v>0</v>
      </c>
      <c r="FQ179" s="56">
        <v>0</v>
      </c>
      <c r="FR179" s="56">
        <v>0</v>
      </c>
      <c r="FS179" s="58">
        <v>0</v>
      </c>
      <c r="FT179" s="56">
        <v>0</v>
      </c>
      <c r="FU179" s="56">
        <v>0</v>
      </c>
      <c r="FV179" s="56">
        <v>0</v>
      </c>
      <c r="FW179" s="56">
        <v>0</v>
      </c>
      <c r="FX179" s="56">
        <v>0</v>
      </c>
      <c r="FY179" s="56">
        <v>0</v>
      </c>
      <c r="FZ179" s="54" t="s">
        <v>1083</v>
      </c>
      <c r="GA179" s="54" t="s">
        <v>1084</v>
      </c>
      <c r="GB179" s="54" t="s">
        <v>1072</v>
      </c>
      <c r="GC179" s="54" t="s">
        <v>1073</v>
      </c>
      <c r="GD179" s="54"/>
      <c r="GE179" s="54"/>
      <c r="GF179" s="54"/>
      <c r="GG179" s="55"/>
      <c r="GH179" s="54"/>
      <c r="GI179" s="54"/>
      <c r="GJ179" s="54" t="s">
        <v>1076</v>
      </c>
      <c r="GK179" s="54" t="s">
        <v>1077</v>
      </c>
      <c r="GL179" s="54"/>
      <c r="GM179" s="54"/>
      <c r="GN179" s="54" t="s">
        <v>1208</v>
      </c>
      <c r="GO179" s="54" t="s">
        <v>1209</v>
      </c>
      <c r="GP179" s="54"/>
      <c r="GQ179" s="56">
        <v>0</v>
      </c>
      <c r="GR179" s="54" t="s">
        <v>1210</v>
      </c>
      <c r="GS179" s="54"/>
    </row>
    <row r="180" spans="1:201" x14ac:dyDescent="0.25">
      <c r="A180" s="54" t="s">
        <v>1032</v>
      </c>
      <c r="B180" s="54" t="s">
        <v>1033</v>
      </c>
      <c r="C180" s="54" t="s">
        <v>1249</v>
      </c>
      <c r="D180" s="54" t="s">
        <v>1035</v>
      </c>
      <c r="E180" s="54" t="s">
        <v>1036</v>
      </c>
      <c r="F180" s="55">
        <v>46185</v>
      </c>
      <c r="G180" s="55">
        <v>46185</v>
      </c>
      <c r="H180" s="54" t="s">
        <v>1037</v>
      </c>
      <c r="I180" s="54" t="s">
        <v>1038</v>
      </c>
      <c r="J180" s="54" t="s">
        <v>1039</v>
      </c>
      <c r="K180" s="55"/>
      <c r="L180" s="54" t="s">
        <v>1040</v>
      </c>
      <c r="M180" s="54"/>
      <c r="N180" s="54" t="s">
        <v>1250</v>
      </c>
      <c r="O180" s="54" t="s">
        <v>1137</v>
      </c>
      <c r="P180" s="54" t="s">
        <v>586</v>
      </c>
      <c r="Q180" s="54" t="s">
        <v>593</v>
      </c>
      <c r="R180" s="54" t="s">
        <v>1043</v>
      </c>
      <c r="S180" s="56">
        <v>244.8</v>
      </c>
      <c r="T180" s="56">
        <v>0</v>
      </c>
      <c r="U180" s="56">
        <v>244.8</v>
      </c>
      <c r="V180" s="56">
        <v>0</v>
      </c>
      <c r="W180" s="56">
        <v>0</v>
      </c>
      <c r="X180" s="56">
        <v>0</v>
      </c>
      <c r="Y180" s="56">
        <v>0</v>
      </c>
      <c r="Z180" s="56">
        <v>60</v>
      </c>
      <c r="AA180" s="56">
        <v>0</v>
      </c>
      <c r="AB180" s="59">
        <v>60</v>
      </c>
      <c r="AC180" s="56">
        <v>0</v>
      </c>
      <c r="AD180" s="56">
        <v>0</v>
      </c>
      <c r="AE180" s="56">
        <v>0</v>
      </c>
      <c r="AF180" s="54" t="s">
        <v>1199</v>
      </c>
      <c r="AG180" s="57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 t="s">
        <v>1045</v>
      </c>
      <c r="AS180" s="54" t="s">
        <v>1046</v>
      </c>
      <c r="AT180" s="54" t="s">
        <v>1047</v>
      </c>
      <c r="AU180" s="54" t="s">
        <v>1048</v>
      </c>
      <c r="AV180" s="54"/>
      <c r="AW180" s="55">
        <v>46198</v>
      </c>
      <c r="AX180" s="55">
        <v>46185</v>
      </c>
      <c r="AY180" s="55">
        <v>46185</v>
      </c>
      <c r="AZ180" s="55"/>
      <c r="BA180" s="55">
        <v>46198</v>
      </c>
      <c r="BB180" s="56">
        <v>0</v>
      </c>
      <c r="BC180" s="56">
        <v>0</v>
      </c>
      <c r="BD180" s="56">
        <v>0</v>
      </c>
      <c r="BE180" s="56">
        <v>0</v>
      </c>
      <c r="BF180" s="56">
        <v>0</v>
      </c>
      <c r="BG180" s="56">
        <v>0</v>
      </c>
      <c r="BH180" s="56">
        <v>0</v>
      </c>
      <c r="BI180" s="56">
        <v>0</v>
      </c>
      <c r="BJ180" s="56">
        <v>0</v>
      </c>
      <c r="BK180" s="56">
        <v>0</v>
      </c>
      <c r="BL180" s="56">
        <v>0</v>
      </c>
      <c r="BM180" s="56">
        <v>0</v>
      </c>
      <c r="BN180" s="56">
        <v>0</v>
      </c>
      <c r="BO180" s="56">
        <v>0</v>
      </c>
      <c r="BP180" s="54" t="s">
        <v>1049</v>
      </c>
      <c r="BQ180" s="54" t="s">
        <v>1050</v>
      </c>
      <c r="BR180" s="54" t="s">
        <v>1049</v>
      </c>
      <c r="BS180" s="54" t="s">
        <v>1050</v>
      </c>
      <c r="BT180" s="54" t="s">
        <v>1051</v>
      </c>
      <c r="BU180" s="54" t="s">
        <v>1043</v>
      </c>
      <c r="BV180" s="58">
        <v>0</v>
      </c>
      <c r="BW180" s="54" t="s">
        <v>1052</v>
      </c>
      <c r="BX180" s="54" t="s">
        <v>1053</v>
      </c>
      <c r="BY180" s="54" t="s">
        <v>1054</v>
      </c>
      <c r="BZ180" s="54" t="s">
        <v>1055</v>
      </c>
      <c r="CA180" s="55"/>
      <c r="CB180" s="54" t="s">
        <v>1056</v>
      </c>
      <c r="CC180" s="54" t="s">
        <v>1057</v>
      </c>
      <c r="CD180" s="54" t="s">
        <v>1200</v>
      </c>
      <c r="CE180" s="54" t="s">
        <v>1201</v>
      </c>
      <c r="CF180" s="54" t="s">
        <v>1202</v>
      </c>
      <c r="CG180" s="54" t="s">
        <v>1203</v>
      </c>
      <c r="CH180" s="54" t="s">
        <v>1204</v>
      </c>
      <c r="CI180" s="54" t="s">
        <v>1203</v>
      </c>
      <c r="CJ180" s="54" t="s">
        <v>1064</v>
      </c>
      <c r="CK180" s="54" t="s">
        <v>1065</v>
      </c>
      <c r="CL180" s="54" t="s">
        <v>1205</v>
      </c>
      <c r="CM180" s="54" t="s">
        <v>1206</v>
      </c>
      <c r="CN180" s="54" t="s">
        <v>1068</v>
      </c>
      <c r="CO180" s="54" t="s">
        <v>1069</v>
      </c>
      <c r="CP180" s="56">
        <v>0</v>
      </c>
      <c r="CQ180" s="56">
        <v>0</v>
      </c>
      <c r="CR180" s="56">
        <v>0</v>
      </c>
      <c r="CS180" s="56">
        <v>0</v>
      </c>
      <c r="CT180" s="56">
        <v>0</v>
      </c>
      <c r="CU180" s="56">
        <v>0</v>
      </c>
      <c r="CV180" s="56">
        <v>0</v>
      </c>
      <c r="CW180" s="56">
        <v>0</v>
      </c>
      <c r="CX180" s="56">
        <v>0</v>
      </c>
      <c r="CY180" s="56">
        <v>0</v>
      </c>
      <c r="CZ180" s="56">
        <v>0</v>
      </c>
      <c r="DA180" s="56">
        <v>0</v>
      </c>
      <c r="DB180" s="56">
        <v>0</v>
      </c>
      <c r="DC180" s="56">
        <v>0</v>
      </c>
      <c r="DD180" s="56">
        <v>0</v>
      </c>
      <c r="DE180" s="56">
        <v>0</v>
      </c>
      <c r="DF180" s="56">
        <v>0</v>
      </c>
      <c r="DG180" s="56">
        <v>0</v>
      </c>
      <c r="DH180" s="56">
        <v>0</v>
      </c>
      <c r="DI180" s="56">
        <v>0</v>
      </c>
      <c r="DJ180" s="56">
        <v>0</v>
      </c>
      <c r="DK180" s="56">
        <v>0</v>
      </c>
      <c r="DL180" s="56">
        <v>0</v>
      </c>
      <c r="DM180" s="56">
        <v>0</v>
      </c>
      <c r="DN180" s="56">
        <v>0</v>
      </c>
      <c r="DO180" s="56">
        <v>0</v>
      </c>
      <c r="DP180" s="56">
        <v>0</v>
      </c>
      <c r="DQ180" s="56">
        <v>0</v>
      </c>
      <c r="DR180" s="56">
        <v>0</v>
      </c>
      <c r="DS180" s="56">
        <v>0</v>
      </c>
      <c r="DT180" s="56">
        <v>0</v>
      </c>
      <c r="DU180" s="56">
        <v>0</v>
      </c>
      <c r="DV180" s="56">
        <v>0</v>
      </c>
      <c r="DW180" s="56">
        <v>0</v>
      </c>
      <c r="DX180" s="56">
        <v>0</v>
      </c>
      <c r="DY180" s="56">
        <v>0</v>
      </c>
      <c r="DZ180" s="56">
        <v>0</v>
      </c>
      <c r="EA180" s="56">
        <v>0</v>
      </c>
      <c r="EB180" s="56">
        <v>0</v>
      </c>
      <c r="EC180" s="56">
        <v>29.38</v>
      </c>
      <c r="ED180" s="56">
        <v>0</v>
      </c>
      <c r="EE180" s="56">
        <v>0</v>
      </c>
      <c r="EF180" s="56">
        <v>0</v>
      </c>
      <c r="EG180" s="56">
        <v>0</v>
      </c>
      <c r="EH180" s="56">
        <v>29.38</v>
      </c>
      <c r="EI180" s="56">
        <v>0</v>
      </c>
      <c r="EJ180" s="56">
        <v>0</v>
      </c>
      <c r="EK180" s="56">
        <v>0</v>
      </c>
      <c r="EL180" s="56">
        <v>0</v>
      </c>
      <c r="EM180" s="56">
        <v>0</v>
      </c>
      <c r="EN180" s="56">
        <v>0</v>
      </c>
      <c r="EO180" s="56">
        <v>0</v>
      </c>
      <c r="EP180" s="56">
        <v>244.8</v>
      </c>
      <c r="EQ180" s="56">
        <v>0</v>
      </c>
      <c r="ER180" s="56">
        <v>0</v>
      </c>
      <c r="ES180" s="56">
        <v>60</v>
      </c>
      <c r="ET180" s="56">
        <v>0</v>
      </c>
      <c r="EU180" s="56">
        <v>0</v>
      </c>
      <c r="EV180" s="56">
        <v>0</v>
      </c>
      <c r="EW180" s="56">
        <v>0</v>
      </c>
      <c r="EX180" s="56">
        <v>0</v>
      </c>
      <c r="EY180" s="56">
        <v>0</v>
      </c>
      <c r="EZ180" s="56">
        <v>0</v>
      </c>
      <c r="FA180" s="56">
        <v>0</v>
      </c>
      <c r="FB180" s="56">
        <v>0</v>
      </c>
      <c r="FC180" s="58">
        <v>0</v>
      </c>
      <c r="FD180" s="56">
        <v>0</v>
      </c>
      <c r="FE180" s="56">
        <v>0</v>
      </c>
      <c r="FF180" s="56">
        <v>0</v>
      </c>
      <c r="FG180" s="56">
        <v>0</v>
      </c>
      <c r="FH180" s="56">
        <v>0</v>
      </c>
      <c r="FI180" s="56">
        <v>0</v>
      </c>
      <c r="FJ180" s="56">
        <v>0</v>
      </c>
      <c r="FK180" s="56">
        <v>0</v>
      </c>
      <c r="FL180" s="56">
        <v>0</v>
      </c>
      <c r="FM180" s="56">
        <v>0</v>
      </c>
      <c r="FN180" s="56">
        <v>0</v>
      </c>
      <c r="FO180" s="56">
        <v>0</v>
      </c>
      <c r="FP180" s="56">
        <v>0</v>
      </c>
      <c r="FQ180" s="56">
        <v>0</v>
      </c>
      <c r="FR180" s="56">
        <v>0</v>
      </c>
      <c r="FS180" s="58">
        <v>0</v>
      </c>
      <c r="FT180" s="56">
        <v>0</v>
      </c>
      <c r="FU180" s="56">
        <v>0</v>
      </c>
      <c r="FV180" s="56">
        <v>0</v>
      </c>
      <c r="FW180" s="56">
        <v>0</v>
      </c>
      <c r="FX180" s="56">
        <v>0</v>
      </c>
      <c r="FY180" s="56">
        <v>0</v>
      </c>
      <c r="FZ180" s="54" t="s">
        <v>1070</v>
      </c>
      <c r="GA180" s="54" t="s">
        <v>1071</v>
      </c>
      <c r="GB180" s="54" t="s">
        <v>1072</v>
      </c>
      <c r="GC180" s="54" t="s">
        <v>1073</v>
      </c>
      <c r="GD180" s="54"/>
      <c r="GE180" s="54"/>
      <c r="GF180" s="54" t="s">
        <v>1261</v>
      </c>
      <c r="GG180" s="55">
        <v>46205</v>
      </c>
      <c r="GH180" s="54"/>
      <c r="GI180" s="54"/>
      <c r="GJ180" s="54" t="s">
        <v>1076</v>
      </c>
      <c r="GK180" s="54" t="s">
        <v>1077</v>
      </c>
      <c r="GL180" s="54"/>
      <c r="GM180" s="54"/>
      <c r="GN180" s="54" t="s">
        <v>1208</v>
      </c>
      <c r="GO180" s="54" t="s">
        <v>1209</v>
      </c>
      <c r="GP180" s="54"/>
      <c r="GQ180" s="56">
        <v>0</v>
      </c>
      <c r="GR180" s="54" t="s">
        <v>1210</v>
      </c>
      <c r="GS180" s="54" t="s">
        <v>1101</v>
      </c>
    </row>
    <row r="181" spans="1:201" x14ac:dyDescent="0.25">
      <c r="A181" s="54" t="s">
        <v>1032</v>
      </c>
      <c r="B181" s="54" t="s">
        <v>1033</v>
      </c>
      <c r="C181" s="54" t="s">
        <v>1249</v>
      </c>
      <c r="D181" s="54" t="s">
        <v>1035</v>
      </c>
      <c r="E181" s="54" t="s">
        <v>1036</v>
      </c>
      <c r="F181" s="55">
        <v>46185</v>
      </c>
      <c r="G181" s="55">
        <v>46185</v>
      </c>
      <c r="H181" s="54" t="s">
        <v>1037</v>
      </c>
      <c r="I181" s="54" t="s">
        <v>1038</v>
      </c>
      <c r="J181" s="54" t="s">
        <v>1039</v>
      </c>
      <c r="K181" s="55"/>
      <c r="L181" s="54" t="s">
        <v>1040</v>
      </c>
      <c r="M181" s="54"/>
      <c r="N181" s="54" t="s">
        <v>1250</v>
      </c>
      <c r="O181" s="54" t="s">
        <v>1139</v>
      </c>
      <c r="P181" s="54" t="s">
        <v>581</v>
      </c>
      <c r="Q181" s="54" t="s">
        <v>588</v>
      </c>
      <c r="R181" s="54" t="s">
        <v>1043</v>
      </c>
      <c r="S181" s="56">
        <v>556.79999999999995</v>
      </c>
      <c r="T181" s="56">
        <v>556.79999999999995</v>
      </c>
      <c r="U181" s="56">
        <v>0</v>
      </c>
      <c r="V181" s="56">
        <v>0</v>
      </c>
      <c r="W181" s="56">
        <v>0</v>
      </c>
      <c r="X181" s="56">
        <v>0</v>
      </c>
      <c r="Y181" s="56">
        <v>0</v>
      </c>
      <c r="Z181" s="56">
        <v>120</v>
      </c>
      <c r="AA181" s="56">
        <v>120</v>
      </c>
      <c r="AB181" s="59">
        <v>0</v>
      </c>
      <c r="AC181" s="56">
        <v>0</v>
      </c>
      <c r="AD181" s="56">
        <v>0</v>
      </c>
      <c r="AE181" s="56">
        <v>0</v>
      </c>
      <c r="AF181" s="54" t="s">
        <v>1199</v>
      </c>
      <c r="AG181" s="57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 t="s">
        <v>1045</v>
      </c>
      <c r="AS181" s="54" t="s">
        <v>1046</v>
      </c>
      <c r="AT181" s="54" t="s">
        <v>1047</v>
      </c>
      <c r="AU181" s="54" t="s">
        <v>1048</v>
      </c>
      <c r="AV181" s="54"/>
      <c r="AW181" s="55">
        <v>46198</v>
      </c>
      <c r="AX181" s="55">
        <v>46185</v>
      </c>
      <c r="AY181" s="55">
        <v>46185</v>
      </c>
      <c r="AZ181" s="55">
        <v>46188</v>
      </c>
      <c r="BA181" s="55">
        <v>46198</v>
      </c>
      <c r="BB181" s="56">
        <v>0</v>
      </c>
      <c r="BC181" s="56">
        <v>0</v>
      </c>
      <c r="BD181" s="56">
        <v>0</v>
      </c>
      <c r="BE181" s="56">
        <v>0</v>
      </c>
      <c r="BF181" s="56">
        <v>0</v>
      </c>
      <c r="BG181" s="56">
        <v>0</v>
      </c>
      <c r="BH181" s="56">
        <v>0</v>
      </c>
      <c r="BI181" s="56">
        <v>0</v>
      </c>
      <c r="BJ181" s="56">
        <v>0</v>
      </c>
      <c r="BK181" s="56">
        <v>0</v>
      </c>
      <c r="BL181" s="56">
        <v>0</v>
      </c>
      <c r="BM181" s="56">
        <v>0</v>
      </c>
      <c r="BN181" s="56">
        <v>0</v>
      </c>
      <c r="BO181" s="56">
        <v>0</v>
      </c>
      <c r="BP181" s="54" t="s">
        <v>1049</v>
      </c>
      <c r="BQ181" s="54" t="s">
        <v>1050</v>
      </c>
      <c r="BR181" s="54" t="s">
        <v>1049</v>
      </c>
      <c r="BS181" s="54" t="s">
        <v>1050</v>
      </c>
      <c r="BT181" s="54" t="s">
        <v>1051</v>
      </c>
      <c r="BU181" s="54" t="s">
        <v>1043</v>
      </c>
      <c r="BV181" s="58">
        <v>120</v>
      </c>
      <c r="BW181" s="54" t="s">
        <v>1052</v>
      </c>
      <c r="BX181" s="54" t="s">
        <v>1053</v>
      </c>
      <c r="BY181" s="54" t="s">
        <v>1054</v>
      </c>
      <c r="BZ181" s="54" t="s">
        <v>1055</v>
      </c>
      <c r="CA181" s="55"/>
      <c r="CB181" s="54" t="s">
        <v>1056</v>
      </c>
      <c r="CC181" s="54" t="s">
        <v>1057</v>
      </c>
      <c r="CD181" s="54" t="s">
        <v>1200</v>
      </c>
      <c r="CE181" s="54" t="s">
        <v>1201</v>
      </c>
      <c r="CF181" s="54" t="s">
        <v>1202</v>
      </c>
      <c r="CG181" s="54" t="s">
        <v>1203</v>
      </c>
      <c r="CH181" s="54" t="s">
        <v>1204</v>
      </c>
      <c r="CI181" s="54" t="s">
        <v>1203</v>
      </c>
      <c r="CJ181" s="54" t="s">
        <v>1064</v>
      </c>
      <c r="CK181" s="54" t="s">
        <v>1065</v>
      </c>
      <c r="CL181" s="54" t="s">
        <v>1205</v>
      </c>
      <c r="CM181" s="54" t="s">
        <v>1206</v>
      </c>
      <c r="CN181" s="54" t="s">
        <v>1068</v>
      </c>
      <c r="CO181" s="54" t="s">
        <v>1069</v>
      </c>
      <c r="CP181" s="56">
        <v>0</v>
      </c>
      <c r="CQ181" s="56">
        <v>0</v>
      </c>
      <c r="CR181" s="56">
        <v>0</v>
      </c>
      <c r="CS181" s="56">
        <v>0</v>
      </c>
      <c r="CT181" s="56">
        <v>0</v>
      </c>
      <c r="CU181" s="56">
        <v>0</v>
      </c>
      <c r="CV181" s="56">
        <v>0</v>
      </c>
      <c r="CW181" s="56">
        <v>0</v>
      </c>
      <c r="CX181" s="56">
        <v>0</v>
      </c>
      <c r="CY181" s="56">
        <v>0</v>
      </c>
      <c r="CZ181" s="56">
        <v>0</v>
      </c>
      <c r="DA181" s="56">
        <v>0</v>
      </c>
      <c r="DB181" s="56">
        <v>0</v>
      </c>
      <c r="DC181" s="56">
        <v>0</v>
      </c>
      <c r="DD181" s="56">
        <v>0</v>
      </c>
      <c r="DE181" s="56">
        <v>0</v>
      </c>
      <c r="DF181" s="56">
        <v>0</v>
      </c>
      <c r="DG181" s="56">
        <v>0</v>
      </c>
      <c r="DH181" s="56">
        <v>0</v>
      </c>
      <c r="DI181" s="56">
        <v>0</v>
      </c>
      <c r="DJ181" s="56">
        <v>0</v>
      </c>
      <c r="DK181" s="56">
        <v>0</v>
      </c>
      <c r="DL181" s="56">
        <v>0</v>
      </c>
      <c r="DM181" s="56">
        <v>0</v>
      </c>
      <c r="DN181" s="56">
        <v>0</v>
      </c>
      <c r="DO181" s="56">
        <v>0</v>
      </c>
      <c r="DP181" s="56">
        <v>0</v>
      </c>
      <c r="DQ181" s="56">
        <v>0</v>
      </c>
      <c r="DR181" s="56">
        <v>0</v>
      </c>
      <c r="DS181" s="56">
        <v>0</v>
      </c>
      <c r="DT181" s="56">
        <v>0</v>
      </c>
      <c r="DU181" s="56">
        <v>0</v>
      </c>
      <c r="DV181" s="56">
        <v>0</v>
      </c>
      <c r="DW181" s="56">
        <v>0</v>
      </c>
      <c r="DX181" s="56">
        <v>0</v>
      </c>
      <c r="DY181" s="56">
        <v>0</v>
      </c>
      <c r="DZ181" s="56">
        <v>0</v>
      </c>
      <c r="EA181" s="56">
        <v>0</v>
      </c>
      <c r="EB181" s="56">
        <v>0</v>
      </c>
      <c r="EC181" s="56">
        <v>0</v>
      </c>
      <c r="ED181" s="56">
        <v>0</v>
      </c>
      <c r="EE181" s="56">
        <v>0</v>
      </c>
      <c r="EF181" s="56">
        <v>0</v>
      </c>
      <c r="EG181" s="56">
        <v>0</v>
      </c>
      <c r="EH181" s="56">
        <v>66.819999999999993</v>
      </c>
      <c r="EI181" s="56">
        <v>0</v>
      </c>
      <c r="EJ181" s="56">
        <v>0</v>
      </c>
      <c r="EK181" s="56">
        <v>0</v>
      </c>
      <c r="EL181" s="56">
        <v>0</v>
      </c>
      <c r="EM181" s="56">
        <v>0</v>
      </c>
      <c r="EN181" s="56">
        <v>0</v>
      </c>
      <c r="EO181" s="56">
        <v>0</v>
      </c>
      <c r="EP181" s="56">
        <v>0</v>
      </c>
      <c r="EQ181" s="56">
        <v>0</v>
      </c>
      <c r="ER181" s="56">
        <v>0</v>
      </c>
      <c r="ES181" s="56">
        <v>0</v>
      </c>
      <c r="ET181" s="56">
        <v>0</v>
      </c>
      <c r="EU181" s="56">
        <v>0</v>
      </c>
      <c r="EV181" s="56">
        <v>0</v>
      </c>
      <c r="EW181" s="56">
        <v>0</v>
      </c>
      <c r="EX181" s="56">
        <v>0</v>
      </c>
      <c r="EY181" s="56">
        <v>0</v>
      </c>
      <c r="EZ181" s="56">
        <v>0</v>
      </c>
      <c r="FA181" s="56">
        <v>0</v>
      </c>
      <c r="FB181" s="56">
        <v>0</v>
      </c>
      <c r="FC181" s="58">
        <v>0</v>
      </c>
      <c r="FD181" s="56">
        <v>0</v>
      </c>
      <c r="FE181" s="56">
        <v>0</v>
      </c>
      <c r="FF181" s="56">
        <v>0</v>
      </c>
      <c r="FG181" s="56">
        <v>0</v>
      </c>
      <c r="FH181" s="56">
        <v>0</v>
      </c>
      <c r="FI181" s="56">
        <v>0</v>
      </c>
      <c r="FJ181" s="56">
        <v>0</v>
      </c>
      <c r="FK181" s="56">
        <v>0</v>
      </c>
      <c r="FL181" s="56">
        <v>0</v>
      </c>
      <c r="FM181" s="56">
        <v>0</v>
      </c>
      <c r="FN181" s="56">
        <v>0</v>
      </c>
      <c r="FO181" s="56">
        <v>0</v>
      </c>
      <c r="FP181" s="56">
        <v>0</v>
      </c>
      <c r="FQ181" s="56">
        <v>0</v>
      </c>
      <c r="FR181" s="56">
        <v>0</v>
      </c>
      <c r="FS181" s="58">
        <v>0</v>
      </c>
      <c r="FT181" s="56">
        <v>0</v>
      </c>
      <c r="FU181" s="56">
        <v>0</v>
      </c>
      <c r="FV181" s="56">
        <v>0</v>
      </c>
      <c r="FW181" s="56">
        <v>0</v>
      </c>
      <c r="FX181" s="56">
        <v>0</v>
      </c>
      <c r="FY181" s="56">
        <v>0</v>
      </c>
      <c r="FZ181" s="54" t="s">
        <v>1070</v>
      </c>
      <c r="GA181" s="54" t="s">
        <v>1071</v>
      </c>
      <c r="GB181" s="54" t="s">
        <v>1072</v>
      </c>
      <c r="GC181" s="54" t="s">
        <v>1073</v>
      </c>
      <c r="GD181" s="54"/>
      <c r="GE181" s="54"/>
      <c r="GF181" s="54"/>
      <c r="GG181" s="55"/>
      <c r="GH181" s="54"/>
      <c r="GI181" s="54"/>
      <c r="GJ181" s="54" t="s">
        <v>1076</v>
      </c>
      <c r="GK181" s="54" t="s">
        <v>1077</v>
      </c>
      <c r="GL181" s="54"/>
      <c r="GM181" s="54"/>
      <c r="GN181" s="54" t="s">
        <v>1208</v>
      </c>
      <c r="GO181" s="54" t="s">
        <v>1209</v>
      </c>
      <c r="GP181" s="54"/>
      <c r="GQ181" s="56">
        <v>0</v>
      </c>
      <c r="GR181" s="54" t="s">
        <v>1210</v>
      </c>
      <c r="GS181" s="54"/>
    </row>
    <row r="182" spans="1:201" x14ac:dyDescent="0.25">
      <c r="A182" s="54" t="s">
        <v>1032</v>
      </c>
      <c r="B182" s="54" t="s">
        <v>1033</v>
      </c>
      <c r="C182" s="54" t="s">
        <v>1249</v>
      </c>
      <c r="D182" s="54" t="s">
        <v>1035</v>
      </c>
      <c r="E182" s="54" t="s">
        <v>1036</v>
      </c>
      <c r="F182" s="55">
        <v>46185</v>
      </c>
      <c r="G182" s="55">
        <v>46185</v>
      </c>
      <c r="H182" s="54" t="s">
        <v>1037</v>
      </c>
      <c r="I182" s="54" t="s">
        <v>1038</v>
      </c>
      <c r="J182" s="54" t="s">
        <v>1039</v>
      </c>
      <c r="K182" s="55"/>
      <c r="L182" s="54" t="s">
        <v>1040</v>
      </c>
      <c r="M182" s="54"/>
      <c r="N182" s="54" t="s">
        <v>1250</v>
      </c>
      <c r="O182" s="54" t="s">
        <v>1141</v>
      </c>
      <c r="P182" s="54" t="s">
        <v>583</v>
      </c>
      <c r="Q182" s="54" t="s">
        <v>590</v>
      </c>
      <c r="R182" s="54" t="s">
        <v>1043</v>
      </c>
      <c r="S182" s="56">
        <v>682.8</v>
      </c>
      <c r="T182" s="56">
        <v>682.8</v>
      </c>
      <c r="U182" s="56">
        <v>0</v>
      </c>
      <c r="V182" s="56">
        <v>0</v>
      </c>
      <c r="W182" s="56">
        <v>0</v>
      </c>
      <c r="X182" s="56">
        <v>0</v>
      </c>
      <c r="Y182" s="56">
        <v>0</v>
      </c>
      <c r="Z182" s="56">
        <v>60</v>
      </c>
      <c r="AA182" s="56">
        <v>60</v>
      </c>
      <c r="AB182" s="59">
        <v>0</v>
      </c>
      <c r="AC182" s="56">
        <v>0</v>
      </c>
      <c r="AD182" s="56">
        <v>0</v>
      </c>
      <c r="AE182" s="56">
        <v>0</v>
      </c>
      <c r="AF182" s="54" t="s">
        <v>1199</v>
      </c>
      <c r="AG182" s="57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 t="s">
        <v>1045</v>
      </c>
      <c r="AS182" s="54" t="s">
        <v>1046</v>
      </c>
      <c r="AT182" s="54" t="s">
        <v>1047</v>
      </c>
      <c r="AU182" s="54" t="s">
        <v>1048</v>
      </c>
      <c r="AV182" s="54"/>
      <c r="AW182" s="55">
        <v>46198</v>
      </c>
      <c r="AX182" s="55">
        <v>46185</v>
      </c>
      <c r="AY182" s="55">
        <v>46185</v>
      </c>
      <c r="AZ182" s="55">
        <v>46190</v>
      </c>
      <c r="BA182" s="55">
        <v>46198</v>
      </c>
      <c r="BB182" s="56">
        <v>0</v>
      </c>
      <c r="BC182" s="56">
        <v>0</v>
      </c>
      <c r="BD182" s="56">
        <v>0</v>
      </c>
      <c r="BE182" s="56">
        <v>0</v>
      </c>
      <c r="BF182" s="56">
        <v>0</v>
      </c>
      <c r="BG182" s="56">
        <v>0</v>
      </c>
      <c r="BH182" s="56">
        <v>0</v>
      </c>
      <c r="BI182" s="56">
        <v>0</v>
      </c>
      <c r="BJ182" s="56">
        <v>0</v>
      </c>
      <c r="BK182" s="56">
        <v>0</v>
      </c>
      <c r="BL182" s="56">
        <v>0</v>
      </c>
      <c r="BM182" s="56">
        <v>0</v>
      </c>
      <c r="BN182" s="56">
        <v>0</v>
      </c>
      <c r="BO182" s="56">
        <v>0</v>
      </c>
      <c r="BP182" s="54" t="s">
        <v>1049</v>
      </c>
      <c r="BQ182" s="54" t="s">
        <v>1050</v>
      </c>
      <c r="BR182" s="54" t="s">
        <v>1049</v>
      </c>
      <c r="BS182" s="54" t="s">
        <v>1050</v>
      </c>
      <c r="BT182" s="54" t="s">
        <v>1051</v>
      </c>
      <c r="BU182" s="54" t="s">
        <v>1043</v>
      </c>
      <c r="BV182" s="58">
        <v>60</v>
      </c>
      <c r="BW182" s="54" t="s">
        <v>1052</v>
      </c>
      <c r="BX182" s="54" t="s">
        <v>1053</v>
      </c>
      <c r="BY182" s="54" t="s">
        <v>1054</v>
      </c>
      <c r="BZ182" s="54" t="s">
        <v>1055</v>
      </c>
      <c r="CA182" s="55"/>
      <c r="CB182" s="54" t="s">
        <v>1056</v>
      </c>
      <c r="CC182" s="54" t="s">
        <v>1057</v>
      </c>
      <c r="CD182" s="54" t="s">
        <v>1200</v>
      </c>
      <c r="CE182" s="54" t="s">
        <v>1201</v>
      </c>
      <c r="CF182" s="54" t="s">
        <v>1202</v>
      </c>
      <c r="CG182" s="54" t="s">
        <v>1203</v>
      </c>
      <c r="CH182" s="54" t="s">
        <v>1204</v>
      </c>
      <c r="CI182" s="54" t="s">
        <v>1203</v>
      </c>
      <c r="CJ182" s="54" t="s">
        <v>1064</v>
      </c>
      <c r="CK182" s="54" t="s">
        <v>1065</v>
      </c>
      <c r="CL182" s="54" t="s">
        <v>1205</v>
      </c>
      <c r="CM182" s="54" t="s">
        <v>1206</v>
      </c>
      <c r="CN182" s="54" t="s">
        <v>1068</v>
      </c>
      <c r="CO182" s="54" t="s">
        <v>1069</v>
      </c>
      <c r="CP182" s="56">
        <v>0</v>
      </c>
      <c r="CQ182" s="56">
        <v>0</v>
      </c>
      <c r="CR182" s="56">
        <v>0</v>
      </c>
      <c r="CS182" s="56">
        <v>0</v>
      </c>
      <c r="CT182" s="56">
        <v>0</v>
      </c>
      <c r="CU182" s="56">
        <v>0</v>
      </c>
      <c r="CV182" s="56">
        <v>0</v>
      </c>
      <c r="CW182" s="56">
        <v>0</v>
      </c>
      <c r="CX182" s="56">
        <v>0</v>
      </c>
      <c r="CY182" s="56">
        <v>0</v>
      </c>
      <c r="CZ182" s="56">
        <v>0</v>
      </c>
      <c r="DA182" s="56">
        <v>0</v>
      </c>
      <c r="DB182" s="56">
        <v>0</v>
      </c>
      <c r="DC182" s="56">
        <v>0</v>
      </c>
      <c r="DD182" s="56">
        <v>0</v>
      </c>
      <c r="DE182" s="56">
        <v>0</v>
      </c>
      <c r="DF182" s="56">
        <v>0</v>
      </c>
      <c r="DG182" s="56">
        <v>0</v>
      </c>
      <c r="DH182" s="56">
        <v>0</v>
      </c>
      <c r="DI182" s="56">
        <v>0</v>
      </c>
      <c r="DJ182" s="56">
        <v>0</v>
      </c>
      <c r="DK182" s="56">
        <v>0</v>
      </c>
      <c r="DL182" s="56">
        <v>0</v>
      </c>
      <c r="DM182" s="56">
        <v>0</v>
      </c>
      <c r="DN182" s="56">
        <v>0</v>
      </c>
      <c r="DO182" s="56">
        <v>0</v>
      </c>
      <c r="DP182" s="56">
        <v>0</v>
      </c>
      <c r="DQ182" s="56">
        <v>0</v>
      </c>
      <c r="DR182" s="56">
        <v>0</v>
      </c>
      <c r="DS182" s="56">
        <v>0</v>
      </c>
      <c r="DT182" s="56">
        <v>0</v>
      </c>
      <c r="DU182" s="56">
        <v>0</v>
      </c>
      <c r="DV182" s="56">
        <v>0</v>
      </c>
      <c r="DW182" s="56">
        <v>0</v>
      </c>
      <c r="DX182" s="56">
        <v>0</v>
      </c>
      <c r="DY182" s="56">
        <v>0</v>
      </c>
      <c r="DZ182" s="56">
        <v>0</v>
      </c>
      <c r="EA182" s="56">
        <v>0</v>
      </c>
      <c r="EB182" s="56">
        <v>0</v>
      </c>
      <c r="EC182" s="56">
        <v>0</v>
      </c>
      <c r="ED182" s="56">
        <v>0</v>
      </c>
      <c r="EE182" s="56">
        <v>0</v>
      </c>
      <c r="EF182" s="56">
        <v>0</v>
      </c>
      <c r="EG182" s="56">
        <v>0</v>
      </c>
      <c r="EH182" s="56">
        <v>81.94</v>
      </c>
      <c r="EI182" s="56">
        <v>0</v>
      </c>
      <c r="EJ182" s="56">
        <v>0</v>
      </c>
      <c r="EK182" s="56">
        <v>0</v>
      </c>
      <c r="EL182" s="56">
        <v>0</v>
      </c>
      <c r="EM182" s="56">
        <v>0</v>
      </c>
      <c r="EN182" s="56">
        <v>0</v>
      </c>
      <c r="EO182" s="56">
        <v>0</v>
      </c>
      <c r="EP182" s="56">
        <v>0</v>
      </c>
      <c r="EQ182" s="56">
        <v>0</v>
      </c>
      <c r="ER182" s="56">
        <v>0</v>
      </c>
      <c r="ES182" s="56">
        <v>0</v>
      </c>
      <c r="ET182" s="56">
        <v>0</v>
      </c>
      <c r="EU182" s="56">
        <v>0</v>
      </c>
      <c r="EV182" s="56">
        <v>0</v>
      </c>
      <c r="EW182" s="56">
        <v>0</v>
      </c>
      <c r="EX182" s="56">
        <v>0</v>
      </c>
      <c r="EY182" s="56">
        <v>0</v>
      </c>
      <c r="EZ182" s="56">
        <v>0</v>
      </c>
      <c r="FA182" s="56">
        <v>0</v>
      </c>
      <c r="FB182" s="56">
        <v>0</v>
      </c>
      <c r="FC182" s="58">
        <v>0</v>
      </c>
      <c r="FD182" s="56">
        <v>0</v>
      </c>
      <c r="FE182" s="56">
        <v>0</v>
      </c>
      <c r="FF182" s="56">
        <v>0</v>
      </c>
      <c r="FG182" s="56">
        <v>0</v>
      </c>
      <c r="FH182" s="56">
        <v>0</v>
      </c>
      <c r="FI182" s="56">
        <v>0</v>
      </c>
      <c r="FJ182" s="56">
        <v>0</v>
      </c>
      <c r="FK182" s="56">
        <v>0</v>
      </c>
      <c r="FL182" s="56">
        <v>0</v>
      </c>
      <c r="FM182" s="56">
        <v>0</v>
      </c>
      <c r="FN182" s="56">
        <v>0</v>
      </c>
      <c r="FO182" s="56">
        <v>0</v>
      </c>
      <c r="FP182" s="56">
        <v>0</v>
      </c>
      <c r="FQ182" s="56">
        <v>0</v>
      </c>
      <c r="FR182" s="56">
        <v>0</v>
      </c>
      <c r="FS182" s="58">
        <v>0</v>
      </c>
      <c r="FT182" s="56">
        <v>0</v>
      </c>
      <c r="FU182" s="56">
        <v>0</v>
      </c>
      <c r="FV182" s="56">
        <v>0</v>
      </c>
      <c r="FW182" s="56">
        <v>0</v>
      </c>
      <c r="FX182" s="56">
        <v>0</v>
      </c>
      <c r="FY182" s="56">
        <v>0</v>
      </c>
      <c r="FZ182" s="54" t="s">
        <v>1070</v>
      </c>
      <c r="GA182" s="54" t="s">
        <v>1071</v>
      </c>
      <c r="GB182" s="54" t="s">
        <v>1072</v>
      </c>
      <c r="GC182" s="54" t="s">
        <v>1073</v>
      </c>
      <c r="GD182" s="54"/>
      <c r="GE182" s="54"/>
      <c r="GF182" s="54"/>
      <c r="GG182" s="55"/>
      <c r="GH182" s="54"/>
      <c r="GI182" s="54"/>
      <c r="GJ182" s="54" t="s">
        <v>1076</v>
      </c>
      <c r="GK182" s="54" t="s">
        <v>1077</v>
      </c>
      <c r="GL182" s="54"/>
      <c r="GM182" s="54"/>
      <c r="GN182" s="54" t="s">
        <v>1208</v>
      </c>
      <c r="GO182" s="54" t="s">
        <v>1209</v>
      </c>
      <c r="GP182" s="54"/>
      <c r="GQ182" s="56">
        <v>0</v>
      </c>
      <c r="GR182" s="54" t="s">
        <v>1210</v>
      </c>
      <c r="GS182" s="54"/>
    </row>
    <row r="183" spans="1:201" x14ac:dyDescent="0.25">
      <c r="A183" s="54" t="s">
        <v>1032</v>
      </c>
      <c r="B183" s="54" t="s">
        <v>1033</v>
      </c>
      <c r="C183" s="54" t="s">
        <v>1249</v>
      </c>
      <c r="D183" s="54" t="s">
        <v>1035</v>
      </c>
      <c r="E183" s="54" t="s">
        <v>1036</v>
      </c>
      <c r="F183" s="55">
        <v>46185</v>
      </c>
      <c r="G183" s="55">
        <v>46185</v>
      </c>
      <c r="H183" s="54" t="s">
        <v>1037</v>
      </c>
      <c r="I183" s="54" t="s">
        <v>1038</v>
      </c>
      <c r="J183" s="54" t="s">
        <v>1039</v>
      </c>
      <c r="K183" s="55"/>
      <c r="L183" s="54" t="s">
        <v>1040</v>
      </c>
      <c r="M183" s="54"/>
      <c r="N183" s="54" t="s">
        <v>1250</v>
      </c>
      <c r="O183" s="54" t="s">
        <v>1142</v>
      </c>
      <c r="P183" s="54" t="s">
        <v>297</v>
      </c>
      <c r="Q183" s="54" t="s">
        <v>144</v>
      </c>
      <c r="R183" s="54" t="s">
        <v>1043</v>
      </c>
      <c r="S183" s="56">
        <v>493</v>
      </c>
      <c r="T183" s="56">
        <v>493</v>
      </c>
      <c r="U183" s="56">
        <v>0</v>
      </c>
      <c r="V183" s="56">
        <v>0</v>
      </c>
      <c r="W183" s="56">
        <v>0</v>
      </c>
      <c r="X183" s="56">
        <v>0</v>
      </c>
      <c r="Y183" s="56">
        <v>0</v>
      </c>
      <c r="Z183" s="56">
        <v>100</v>
      </c>
      <c r="AA183" s="56">
        <v>100</v>
      </c>
      <c r="AB183" s="59">
        <v>0</v>
      </c>
      <c r="AC183" s="56">
        <v>0</v>
      </c>
      <c r="AD183" s="56">
        <v>0</v>
      </c>
      <c r="AE183" s="56">
        <v>0</v>
      </c>
      <c r="AF183" s="54" t="s">
        <v>1199</v>
      </c>
      <c r="AG183" s="57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 t="s">
        <v>1045</v>
      </c>
      <c r="AS183" s="54" t="s">
        <v>1046</v>
      </c>
      <c r="AT183" s="54" t="s">
        <v>1047</v>
      </c>
      <c r="AU183" s="54" t="s">
        <v>1048</v>
      </c>
      <c r="AV183" s="54"/>
      <c r="AW183" s="55">
        <v>46198</v>
      </c>
      <c r="AX183" s="55">
        <v>46185</v>
      </c>
      <c r="AY183" s="55">
        <v>46185</v>
      </c>
      <c r="AZ183" s="55">
        <v>46188</v>
      </c>
      <c r="BA183" s="55">
        <v>46198</v>
      </c>
      <c r="BB183" s="56">
        <v>0</v>
      </c>
      <c r="BC183" s="56">
        <v>0</v>
      </c>
      <c r="BD183" s="56">
        <v>0</v>
      </c>
      <c r="BE183" s="56">
        <v>0</v>
      </c>
      <c r="BF183" s="56">
        <v>0</v>
      </c>
      <c r="BG183" s="56">
        <v>0</v>
      </c>
      <c r="BH183" s="56">
        <v>0</v>
      </c>
      <c r="BI183" s="56">
        <v>0</v>
      </c>
      <c r="BJ183" s="56">
        <v>0</v>
      </c>
      <c r="BK183" s="56">
        <v>0</v>
      </c>
      <c r="BL183" s="56">
        <v>0</v>
      </c>
      <c r="BM183" s="56">
        <v>0</v>
      </c>
      <c r="BN183" s="56">
        <v>0</v>
      </c>
      <c r="BO183" s="56">
        <v>0</v>
      </c>
      <c r="BP183" s="54" t="s">
        <v>1049</v>
      </c>
      <c r="BQ183" s="54" t="s">
        <v>1050</v>
      </c>
      <c r="BR183" s="54" t="s">
        <v>1049</v>
      </c>
      <c r="BS183" s="54" t="s">
        <v>1050</v>
      </c>
      <c r="BT183" s="54" t="s">
        <v>1051</v>
      </c>
      <c r="BU183" s="54" t="s">
        <v>1043</v>
      </c>
      <c r="BV183" s="58">
        <v>100</v>
      </c>
      <c r="BW183" s="54" t="s">
        <v>1052</v>
      </c>
      <c r="BX183" s="54" t="s">
        <v>1053</v>
      </c>
      <c r="BY183" s="54" t="s">
        <v>1054</v>
      </c>
      <c r="BZ183" s="54" t="s">
        <v>1055</v>
      </c>
      <c r="CA183" s="55"/>
      <c r="CB183" s="54" t="s">
        <v>1056</v>
      </c>
      <c r="CC183" s="54" t="s">
        <v>1057</v>
      </c>
      <c r="CD183" s="54" t="s">
        <v>1200</v>
      </c>
      <c r="CE183" s="54" t="s">
        <v>1201</v>
      </c>
      <c r="CF183" s="54" t="s">
        <v>1202</v>
      </c>
      <c r="CG183" s="54" t="s">
        <v>1203</v>
      </c>
      <c r="CH183" s="54" t="s">
        <v>1204</v>
      </c>
      <c r="CI183" s="54" t="s">
        <v>1203</v>
      </c>
      <c r="CJ183" s="54" t="s">
        <v>1064</v>
      </c>
      <c r="CK183" s="54" t="s">
        <v>1065</v>
      </c>
      <c r="CL183" s="54" t="s">
        <v>1205</v>
      </c>
      <c r="CM183" s="54" t="s">
        <v>1206</v>
      </c>
      <c r="CN183" s="54" t="s">
        <v>1068</v>
      </c>
      <c r="CO183" s="54" t="s">
        <v>1069</v>
      </c>
      <c r="CP183" s="56">
        <v>0</v>
      </c>
      <c r="CQ183" s="56">
        <v>0</v>
      </c>
      <c r="CR183" s="56">
        <v>0</v>
      </c>
      <c r="CS183" s="56">
        <v>0</v>
      </c>
      <c r="CT183" s="56">
        <v>0</v>
      </c>
      <c r="CU183" s="56">
        <v>0</v>
      </c>
      <c r="CV183" s="56">
        <v>0</v>
      </c>
      <c r="CW183" s="56">
        <v>0</v>
      </c>
      <c r="CX183" s="56">
        <v>0</v>
      </c>
      <c r="CY183" s="56">
        <v>0</v>
      </c>
      <c r="CZ183" s="56">
        <v>0</v>
      </c>
      <c r="DA183" s="56">
        <v>0</v>
      </c>
      <c r="DB183" s="56">
        <v>0</v>
      </c>
      <c r="DC183" s="56">
        <v>0</v>
      </c>
      <c r="DD183" s="56">
        <v>0</v>
      </c>
      <c r="DE183" s="56">
        <v>0</v>
      </c>
      <c r="DF183" s="56">
        <v>0</v>
      </c>
      <c r="DG183" s="56">
        <v>0</v>
      </c>
      <c r="DH183" s="56">
        <v>0</v>
      </c>
      <c r="DI183" s="56">
        <v>0</v>
      </c>
      <c r="DJ183" s="56">
        <v>0</v>
      </c>
      <c r="DK183" s="56">
        <v>0</v>
      </c>
      <c r="DL183" s="56">
        <v>0</v>
      </c>
      <c r="DM183" s="56">
        <v>0</v>
      </c>
      <c r="DN183" s="56">
        <v>0</v>
      </c>
      <c r="DO183" s="56">
        <v>0</v>
      </c>
      <c r="DP183" s="56">
        <v>0</v>
      </c>
      <c r="DQ183" s="56">
        <v>0</v>
      </c>
      <c r="DR183" s="56">
        <v>0</v>
      </c>
      <c r="DS183" s="56">
        <v>0</v>
      </c>
      <c r="DT183" s="56">
        <v>0</v>
      </c>
      <c r="DU183" s="56">
        <v>0</v>
      </c>
      <c r="DV183" s="56">
        <v>0</v>
      </c>
      <c r="DW183" s="56">
        <v>0</v>
      </c>
      <c r="DX183" s="56">
        <v>0</v>
      </c>
      <c r="DY183" s="56">
        <v>0</v>
      </c>
      <c r="DZ183" s="56">
        <v>0</v>
      </c>
      <c r="EA183" s="56">
        <v>0</v>
      </c>
      <c r="EB183" s="56">
        <v>0</v>
      </c>
      <c r="EC183" s="56">
        <v>0</v>
      </c>
      <c r="ED183" s="56">
        <v>0</v>
      </c>
      <c r="EE183" s="56">
        <v>0</v>
      </c>
      <c r="EF183" s="56">
        <v>0</v>
      </c>
      <c r="EG183" s="56">
        <v>0</v>
      </c>
      <c r="EH183" s="56">
        <v>59.16</v>
      </c>
      <c r="EI183" s="56">
        <v>0</v>
      </c>
      <c r="EJ183" s="56">
        <v>0</v>
      </c>
      <c r="EK183" s="56">
        <v>0</v>
      </c>
      <c r="EL183" s="56">
        <v>0</v>
      </c>
      <c r="EM183" s="56">
        <v>0</v>
      </c>
      <c r="EN183" s="56">
        <v>0</v>
      </c>
      <c r="EO183" s="56">
        <v>0</v>
      </c>
      <c r="EP183" s="56">
        <v>0</v>
      </c>
      <c r="EQ183" s="56">
        <v>0</v>
      </c>
      <c r="ER183" s="56">
        <v>0</v>
      </c>
      <c r="ES183" s="56">
        <v>0</v>
      </c>
      <c r="ET183" s="56">
        <v>0</v>
      </c>
      <c r="EU183" s="56">
        <v>0</v>
      </c>
      <c r="EV183" s="56">
        <v>0</v>
      </c>
      <c r="EW183" s="56">
        <v>0</v>
      </c>
      <c r="EX183" s="56">
        <v>0</v>
      </c>
      <c r="EY183" s="56">
        <v>0</v>
      </c>
      <c r="EZ183" s="56">
        <v>0</v>
      </c>
      <c r="FA183" s="56">
        <v>0</v>
      </c>
      <c r="FB183" s="56">
        <v>0</v>
      </c>
      <c r="FC183" s="58">
        <v>0</v>
      </c>
      <c r="FD183" s="56">
        <v>0</v>
      </c>
      <c r="FE183" s="56">
        <v>0</v>
      </c>
      <c r="FF183" s="56">
        <v>0</v>
      </c>
      <c r="FG183" s="56">
        <v>0</v>
      </c>
      <c r="FH183" s="56">
        <v>0</v>
      </c>
      <c r="FI183" s="56">
        <v>0</v>
      </c>
      <c r="FJ183" s="56">
        <v>0</v>
      </c>
      <c r="FK183" s="56">
        <v>0</v>
      </c>
      <c r="FL183" s="56">
        <v>0</v>
      </c>
      <c r="FM183" s="56">
        <v>0</v>
      </c>
      <c r="FN183" s="56">
        <v>0</v>
      </c>
      <c r="FO183" s="56">
        <v>0</v>
      </c>
      <c r="FP183" s="56">
        <v>0</v>
      </c>
      <c r="FQ183" s="56">
        <v>0</v>
      </c>
      <c r="FR183" s="56">
        <v>0</v>
      </c>
      <c r="FS183" s="58">
        <v>0</v>
      </c>
      <c r="FT183" s="56">
        <v>0</v>
      </c>
      <c r="FU183" s="56">
        <v>0</v>
      </c>
      <c r="FV183" s="56">
        <v>0</v>
      </c>
      <c r="FW183" s="56">
        <v>0</v>
      </c>
      <c r="FX183" s="56">
        <v>0</v>
      </c>
      <c r="FY183" s="56">
        <v>0</v>
      </c>
      <c r="FZ183" s="54" t="s">
        <v>1070</v>
      </c>
      <c r="GA183" s="54" t="s">
        <v>1071</v>
      </c>
      <c r="GB183" s="54" t="s">
        <v>1072</v>
      </c>
      <c r="GC183" s="54" t="s">
        <v>1073</v>
      </c>
      <c r="GD183" s="54" t="s">
        <v>1237</v>
      </c>
      <c r="GE183" s="54" t="s">
        <v>1201</v>
      </c>
      <c r="GF183" s="54"/>
      <c r="GG183" s="55"/>
      <c r="GH183" s="54"/>
      <c r="GI183" s="54"/>
      <c r="GJ183" s="54" t="s">
        <v>1076</v>
      </c>
      <c r="GK183" s="54" t="s">
        <v>1077</v>
      </c>
      <c r="GL183" s="54"/>
      <c r="GM183" s="54"/>
      <c r="GN183" s="54" t="s">
        <v>1208</v>
      </c>
      <c r="GO183" s="54" t="s">
        <v>1209</v>
      </c>
      <c r="GP183" s="54"/>
      <c r="GQ183" s="56">
        <v>0</v>
      </c>
      <c r="GR183" s="54" t="s">
        <v>1210</v>
      </c>
      <c r="GS183" s="54"/>
    </row>
    <row r="184" spans="1:201" x14ac:dyDescent="0.25">
      <c r="A184" s="54" t="s">
        <v>1032</v>
      </c>
      <c r="B184" s="54" t="s">
        <v>1033</v>
      </c>
      <c r="C184" s="54" t="s">
        <v>1249</v>
      </c>
      <c r="D184" s="54" t="s">
        <v>1035</v>
      </c>
      <c r="E184" s="54" t="s">
        <v>1036</v>
      </c>
      <c r="F184" s="55">
        <v>46185</v>
      </c>
      <c r="G184" s="55">
        <v>46185</v>
      </c>
      <c r="H184" s="54" t="s">
        <v>1037</v>
      </c>
      <c r="I184" s="54" t="s">
        <v>1038</v>
      </c>
      <c r="J184" s="54" t="s">
        <v>1039</v>
      </c>
      <c r="K184" s="55"/>
      <c r="L184" s="54" t="s">
        <v>1040</v>
      </c>
      <c r="M184" s="54"/>
      <c r="N184" s="54" t="s">
        <v>1250</v>
      </c>
      <c r="O184" s="54" t="s">
        <v>1144</v>
      </c>
      <c r="P184" s="54" t="s">
        <v>299</v>
      </c>
      <c r="Q184" s="54" t="s">
        <v>146</v>
      </c>
      <c r="R184" s="54" t="s">
        <v>1043</v>
      </c>
      <c r="S184" s="56">
        <v>147</v>
      </c>
      <c r="T184" s="56">
        <v>0</v>
      </c>
      <c r="U184" s="56">
        <v>0</v>
      </c>
      <c r="V184" s="56">
        <v>147</v>
      </c>
      <c r="W184" s="56">
        <v>0</v>
      </c>
      <c r="X184" s="56">
        <v>0</v>
      </c>
      <c r="Y184" s="56">
        <v>0</v>
      </c>
      <c r="Z184" s="56">
        <v>60</v>
      </c>
      <c r="AA184" s="56">
        <v>0</v>
      </c>
      <c r="AB184" s="59">
        <v>0</v>
      </c>
      <c r="AC184" s="56">
        <v>60</v>
      </c>
      <c r="AD184" s="56">
        <v>0</v>
      </c>
      <c r="AE184" s="56">
        <v>0</v>
      </c>
      <c r="AF184" s="54" t="s">
        <v>1199</v>
      </c>
      <c r="AG184" s="57"/>
      <c r="AH184" s="54" t="s">
        <v>1123</v>
      </c>
      <c r="AI184" s="54" t="s">
        <v>1124</v>
      </c>
      <c r="AJ184" s="54"/>
      <c r="AK184" s="54"/>
      <c r="AL184" s="54"/>
      <c r="AM184" s="54"/>
      <c r="AN184" s="54"/>
      <c r="AO184" s="54"/>
      <c r="AP184" s="54"/>
      <c r="AQ184" s="54"/>
      <c r="AR184" s="54" t="s">
        <v>1045</v>
      </c>
      <c r="AS184" s="54" t="s">
        <v>1081</v>
      </c>
      <c r="AT184" s="54" t="s">
        <v>1082</v>
      </c>
      <c r="AU184" s="54" t="s">
        <v>1048</v>
      </c>
      <c r="AV184" s="54"/>
      <c r="AW184" s="55">
        <v>46198</v>
      </c>
      <c r="AX184" s="55">
        <v>46185</v>
      </c>
      <c r="AY184" s="55">
        <v>46185</v>
      </c>
      <c r="AZ184" s="55"/>
      <c r="BA184" s="55">
        <v>46198</v>
      </c>
      <c r="BB184" s="56">
        <v>0</v>
      </c>
      <c r="BC184" s="56">
        <v>0</v>
      </c>
      <c r="BD184" s="56">
        <v>0</v>
      </c>
      <c r="BE184" s="56">
        <v>0</v>
      </c>
      <c r="BF184" s="56">
        <v>0</v>
      </c>
      <c r="BG184" s="56">
        <v>0</v>
      </c>
      <c r="BH184" s="56">
        <v>0</v>
      </c>
      <c r="BI184" s="56">
        <v>0</v>
      </c>
      <c r="BJ184" s="56">
        <v>0</v>
      </c>
      <c r="BK184" s="56">
        <v>0</v>
      </c>
      <c r="BL184" s="56">
        <v>0</v>
      </c>
      <c r="BM184" s="56">
        <v>0</v>
      </c>
      <c r="BN184" s="56">
        <v>0</v>
      </c>
      <c r="BO184" s="56">
        <v>0</v>
      </c>
      <c r="BP184" s="54" t="s">
        <v>1049</v>
      </c>
      <c r="BQ184" s="54" t="s">
        <v>1050</v>
      </c>
      <c r="BR184" s="54" t="s">
        <v>1049</v>
      </c>
      <c r="BS184" s="54" t="s">
        <v>1050</v>
      </c>
      <c r="BT184" s="54" t="s">
        <v>1051</v>
      </c>
      <c r="BU184" s="54" t="s">
        <v>1043</v>
      </c>
      <c r="BV184" s="58">
        <v>0</v>
      </c>
      <c r="BW184" s="54" t="s">
        <v>1052</v>
      </c>
      <c r="BX184" s="54" t="s">
        <v>1053</v>
      </c>
      <c r="BY184" s="54" t="s">
        <v>1054</v>
      </c>
      <c r="BZ184" s="54" t="s">
        <v>1055</v>
      </c>
      <c r="CA184" s="55"/>
      <c r="CB184" s="54" t="s">
        <v>1056</v>
      </c>
      <c r="CC184" s="54" t="s">
        <v>1057</v>
      </c>
      <c r="CD184" s="54" t="s">
        <v>1200</v>
      </c>
      <c r="CE184" s="54" t="s">
        <v>1201</v>
      </c>
      <c r="CF184" s="54" t="s">
        <v>1202</v>
      </c>
      <c r="CG184" s="54" t="s">
        <v>1203</v>
      </c>
      <c r="CH184" s="54" t="s">
        <v>1204</v>
      </c>
      <c r="CI184" s="54" t="s">
        <v>1203</v>
      </c>
      <c r="CJ184" s="54" t="s">
        <v>1064</v>
      </c>
      <c r="CK184" s="54" t="s">
        <v>1065</v>
      </c>
      <c r="CL184" s="54" t="s">
        <v>1205</v>
      </c>
      <c r="CM184" s="54" t="s">
        <v>1206</v>
      </c>
      <c r="CN184" s="54" t="s">
        <v>1068</v>
      </c>
      <c r="CO184" s="54" t="s">
        <v>1069</v>
      </c>
      <c r="CP184" s="56">
        <v>0</v>
      </c>
      <c r="CQ184" s="56">
        <v>0</v>
      </c>
      <c r="CR184" s="56">
        <v>0</v>
      </c>
      <c r="CS184" s="56">
        <v>0</v>
      </c>
      <c r="CT184" s="56">
        <v>0</v>
      </c>
      <c r="CU184" s="56">
        <v>0</v>
      </c>
      <c r="CV184" s="56">
        <v>0</v>
      </c>
      <c r="CW184" s="56">
        <v>0</v>
      </c>
      <c r="CX184" s="56">
        <v>0</v>
      </c>
      <c r="CY184" s="56">
        <v>0</v>
      </c>
      <c r="CZ184" s="56">
        <v>0</v>
      </c>
      <c r="DA184" s="56">
        <v>0</v>
      </c>
      <c r="DB184" s="56">
        <v>0</v>
      </c>
      <c r="DC184" s="56">
        <v>0</v>
      </c>
      <c r="DD184" s="56">
        <v>0</v>
      </c>
      <c r="DE184" s="56">
        <v>0</v>
      </c>
      <c r="DF184" s="56">
        <v>0</v>
      </c>
      <c r="DG184" s="56">
        <v>0</v>
      </c>
      <c r="DH184" s="56">
        <v>0</v>
      </c>
      <c r="DI184" s="56">
        <v>0</v>
      </c>
      <c r="DJ184" s="56">
        <v>0</v>
      </c>
      <c r="DK184" s="56">
        <v>0</v>
      </c>
      <c r="DL184" s="56">
        <v>0</v>
      </c>
      <c r="DM184" s="56">
        <v>0</v>
      </c>
      <c r="DN184" s="56">
        <v>0</v>
      </c>
      <c r="DO184" s="56">
        <v>0</v>
      </c>
      <c r="DP184" s="56">
        <v>0</v>
      </c>
      <c r="DQ184" s="56">
        <v>0</v>
      </c>
      <c r="DR184" s="56">
        <v>0</v>
      </c>
      <c r="DS184" s="56">
        <v>0</v>
      </c>
      <c r="DT184" s="56">
        <v>0</v>
      </c>
      <c r="DU184" s="56">
        <v>0</v>
      </c>
      <c r="DV184" s="56">
        <v>0</v>
      </c>
      <c r="DW184" s="56">
        <v>0</v>
      </c>
      <c r="DX184" s="56">
        <v>0</v>
      </c>
      <c r="DY184" s="56">
        <v>0</v>
      </c>
      <c r="DZ184" s="56">
        <v>0</v>
      </c>
      <c r="EA184" s="56">
        <v>0</v>
      </c>
      <c r="EB184" s="56">
        <v>0</v>
      </c>
      <c r="EC184" s="56">
        <v>0</v>
      </c>
      <c r="ED184" s="56">
        <v>0</v>
      </c>
      <c r="EE184" s="56">
        <v>0</v>
      </c>
      <c r="EF184" s="56">
        <v>0</v>
      </c>
      <c r="EG184" s="56">
        <v>0</v>
      </c>
      <c r="EH184" s="56">
        <v>17.64</v>
      </c>
      <c r="EI184" s="56">
        <v>0</v>
      </c>
      <c r="EJ184" s="56">
        <v>0</v>
      </c>
      <c r="EK184" s="56">
        <v>0</v>
      </c>
      <c r="EL184" s="56">
        <v>0</v>
      </c>
      <c r="EM184" s="56">
        <v>0</v>
      </c>
      <c r="EN184" s="56">
        <v>0</v>
      </c>
      <c r="EO184" s="56">
        <v>0</v>
      </c>
      <c r="EP184" s="56">
        <v>0</v>
      </c>
      <c r="EQ184" s="56">
        <v>0</v>
      </c>
      <c r="ER184" s="56">
        <v>0</v>
      </c>
      <c r="ES184" s="56">
        <v>0</v>
      </c>
      <c r="ET184" s="56">
        <v>0</v>
      </c>
      <c r="EU184" s="56">
        <v>0</v>
      </c>
      <c r="EV184" s="56">
        <v>0</v>
      </c>
      <c r="EW184" s="56">
        <v>0</v>
      </c>
      <c r="EX184" s="56">
        <v>0</v>
      </c>
      <c r="EY184" s="56">
        <v>0</v>
      </c>
      <c r="EZ184" s="56">
        <v>0</v>
      </c>
      <c r="FA184" s="56">
        <v>0</v>
      </c>
      <c r="FB184" s="56">
        <v>0</v>
      </c>
      <c r="FC184" s="58">
        <v>0</v>
      </c>
      <c r="FD184" s="56">
        <v>0</v>
      </c>
      <c r="FE184" s="56">
        <v>0</v>
      </c>
      <c r="FF184" s="56">
        <v>0</v>
      </c>
      <c r="FG184" s="56">
        <v>0</v>
      </c>
      <c r="FH184" s="56">
        <v>0</v>
      </c>
      <c r="FI184" s="56">
        <v>0</v>
      </c>
      <c r="FJ184" s="56">
        <v>0</v>
      </c>
      <c r="FK184" s="56">
        <v>0</v>
      </c>
      <c r="FL184" s="56">
        <v>0</v>
      </c>
      <c r="FM184" s="56">
        <v>0</v>
      </c>
      <c r="FN184" s="56">
        <v>0</v>
      </c>
      <c r="FO184" s="56">
        <v>0</v>
      </c>
      <c r="FP184" s="56">
        <v>0</v>
      </c>
      <c r="FQ184" s="56">
        <v>0</v>
      </c>
      <c r="FR184" s="56">
        <v>0</v>
      </c>
      <c r="FS184" s="58">
        <v>0</v>
      </c>
      <c r="FT184" s="56">
        <v>0</v>
      </c>
      <c r="FU184" s="56">
        <v>0</v>
      </c>
      <c r="FV184" s="56">
        <v>0</v>
      </c>
      <c r="FW184" s="56">
        <v>0</v>
      </c>
      <c r="FX184" s="56">
        <v>0</v>
      </c>
      <c r="FY184" s="56">
        <v>0</v>
      </c>
      <c r="FZ184" s="54" t="s">
        <v>1083</v>
      </c>
      <c r="GA184" s="54" t="s">
        <v>1084</v>
      </c>
      <c r="GB184" s="54" t="s">
        <v>1072</v>
      </c>
      <c r="GC184" s="54" t="s">
        <v>1073</v>
      </c>
      <c r="GD184" s="54" t="s">
        <v>1262</v>
      </c>
      <c r="GE184" s="54" t="s">
        <v>1201</v>
      </c>
      <c r="GF184" s="54"/>
      <c r="GG184" s="55"/>
      <c r="GH184" s="54"/>
      <c r="GI184" s="54"/>
      <c r="GJ184" s="54" t="s">
        <v>1076</v>
      </c>
      <c r="GK184" s="54" t="s">
        <v>1077</v>
      </c>
      <c r="GL184" s="54"/>
      <c r="GM184" s="54"/>
      <c r="GN184" s="54" t="s">
        <v>1208</v>
      </c>
      <c r="GO184" s="54" t="s">
        <v>1209</v>
      </c>
      <c r="GP184" s="54"/>
      <c r="GQ184" s="56">
        <v>0</v>
      </c>
      <c r="GR184" s="54" t="s">
        <v>1210</v>
      </c>
      <c r="GS184" s="54"/>
    </row>
    <row r="185" spans="1:201" x14ac:dyDescent="0.25">
      <c r="A185" s="54" t="s">
        <v>1032</v>
      </c>
      <c r="B185" s="54" t="s">
        <v>1033</v>
      </c>
      <c r="C185" s="54" t="s">
        <v>1249</v>
      </c>
      <c r="D185" s="54" t="s">
        <v>1035</v>
      </c>
      <c r="E185" s="54" t="s">
        <v>1036</v>
      </c>
      <c r="F185" s="55">
        <v>46185</v>
      </c>
      <c r="G185" s="55">
        <v>46185</v>
      </c>
      <c r="H185" s="54" t="s">
        <v>1037</v>
      </c>
      <c r="I185" s="54" t="s">
        <v>1038</v>
      </c>
      <c r="J185" s="54" t="s">
        <v>1039</v>
      </c>
      <c r="K185" s="55"/>
      <c r="L185" s="54" t="s">
        <v>1040</v>
      </c>
      <c r="M185" s="54"/>
      <c r="N185" s="54" t="s">
        <v>1250</v>
      </c>
      <c r="O185" s="54" t="s">
        <v>1146</v>
      </c>
      <c r="P185" s="54" t="s">
        <v>644</v>
      </c>
      <c r="Q185" s="54" t="s">
        <v>150</v>
      </c>
      <c r="R185" s="54" t="s">
        <v>1043</v>
      </c>
      <c r="S185" s="56">
        <v>6292.8</v>
      </c>
      <c r="T185" s="56">
        <v>6292.8</v>
      </c>
      <c r="U185" s="56">
        <v>0</v>
      </c>
      <c r="V185" s="56">
        <v>0</v>
      </c>
      <c r="W185" s="56">
        <v>0</v>
      </c>
      <c r="X185" s="56">
        <v>0</v>
      </c>
      <c r="Y185" s="56">
        <v>0</v>
      </c>
      <c r="Z185" s="56">
        <v>360</v>
      </c>
      <c r="AA185" s="56">
        <v>360</v>
      </c>
      <c r="AB185" s="59">
        <v>0</v>
      </c>
      <c r="AC185" s="56">
        <v>0</v>
      </c>
      <c r="AD185" s="56">
        <v>0</v>
      </c>
      <c r="AE185" s="56">
        <v>0</v>
      </c>
      <c r="AF185" s="54" t="s">
        <v>1199</v>
      </c>
      <c r="AG185" s="57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 t="s">
        <v>1045</v>
      </c>
      <c r="AS185" s="54" t="s">
        <v>1046</v>
      </c>
      <c r="AT185" s="54" t="s">
        <v>1047</v>
      </c>
      <c r="AU185" s="54" t="s">
        <v>1048</v>
      </c>
      <c r="AV185" s="54"/>
      <c r="AW185" s="55">
        <v>46198</v>
      </c>
      <c r="AX185" s="55">
        <v>46185</v>
      </c>
      <c r="AY185" s="55">
        <v>46185</v>
      </c>
      <c r="AZ185" s="55">
        <v>46188</v>
      </c>
      <c r="BA185" s="55">
        <v>46198</v>
      </c>
      <c r="BB185" s="56">
        <v>0</v>
      </c>
      <c r="BC185" s="56">
        <v>0</v>
      </c>
      <c r="BD185" s="56">
        <v>0</v>
      </c>
      <c r="BE185" s="56">
        <v>0</v>
      </c>
      <c r="BF185" s="56">
        <v>0</v>
      </c>
      <c r="BG185" s="56">
        <v>0</v>
      </c>
      <c r="BH185" s="56">
        <v>0</v>
      </c>
      <c r="BI185" s="56">
        <v>0</v>
      </c>
      <c r="BJ185" s="56">
        <v>0</v>
      </c>
      <c r="BK185" s="56">
        <v>0</v>
      </c>
      <c r="BL185" s="56">
        <v>0</v>
      </c>
      <c r="BM185" s="56">
        <v>0</v>
      </c>
      <c r="BN185" s="56">
        <v>0</v>
      </c>
      <c r="BO185" s="56">
        <v>0</v>
      </c>
      <c r="BP185" s="54" t="s">
        <v>1049</v>
      </c>
      <c r="BQ185" s="54" t="s">
        <v>1050</v>
      </c>
      <c r="BR185" s="54" t="s">
        <v>1049</v>
      </c>
      <c r="BS185" s="54" t="s">
        <v>1050</v>
      </c>
      <c r="BT185" s="54" t="s">
        <v>1051</v>
      </c>
      <c r="BU185" s="54" t="s">
        <v>1043</v>
      </c>
      <c r="BV185" s="58">
        <v>360</v>
      </c>
      <c r="BW185" s="54" t="s">
        <v>1052</v>
      </c>
      <c r="BX185" s="54" t="s">
        <v>1053</v>
      </c>
      <c r="BY185" s="54" t="s">
        <v>1054</v>
      </c>
      <c r="BZ185" s="54" t="s">
        <v>1055</v>
      </c>
      <c r="CA185" s="55"/>
      <c r="CB185" s="54" t="s">
        <v>1056</v>
      </c>
      <c r="CC185" s="54" t="s">
        <v>1057</v>
      </c>
      <c r="CD185" s="54" t="s">
        <v>1200</v>
      </c>
      <c r="CE185" s="54" t="s">
        <v>1201</v>
      </c>
      <c r="CF185" s="54" t="s">
        <v>1202</v>
      </c>
      <c r="CG185" s="54" t="s">
        <v>1203</v>
      </c>
      <c r="CH185" s="54" t="s">
        <v>1204</v>
      </c>
      <c r="CI185" s="54" t="s">
        <v>1203</v>
      </c>
      <c r="CJ185" s="54" t="s">
        <v>1064</v>
      </c>
      <c r="CK185" s="54" t="s">
        <v>1065</v>
      </c>
      <c r="CL185" s="54" t="s">
        <v>1205</v>
      </c>
      <c r="CM185" s="54" t="s">
        <v>1206</v>
      </c>
      <c r="CN185" s="54" t="s">
        <v>1068</v>
      </c>
      <c r="CO185" s="54" t="s">
        <v>1069</v>
      </c>
      <c r="CP185" s="56">
        <v>0</v>
      </c>
      <c r="CQ185" s="56">
        <v>0</v>
      </c>
      <c r="CR185" s="56">
        <v>0</v>
      </c>
      <c r="CS185" s="56">
        <v>0</v>
      </c>
      <c r="CT185" s="56">
        <v>0</v>
      </c>
      <c r="CU185" s="56">
        <v>0</v>
      </c>
      <c r="CV185" s="56">
        <v>0</v>
      </c>
      <c r="CW185" s="56">
        <v>0</v>
      </c>
      <c r="CX185" s="56">
        <v>0</v>
      </c>
      <c r="CY185" s="56">
        <v>0</v>
      </c>
      <c r="CZ185" s="56">
        <v>0</v>
      </c>
      <c r="DA185" s="56">
        <v>0</v>
      </c>
      <c r="DB185" s="56">
        <v>0</v>
      </c>
      <c r="DC185" s="56">
        <v>0</v>
      </c>
      <c r="DD185" s="56">
        <v>0</v>
      </c>
      <c r="DE185" s="56">
        <v>0</v>
      </c>
      <c r="DF185" s="56">
        <v>0</v>
      </c>
      <c r="DG185" s="56">
        <v>0</v>
      </c>
      <c r="DH185" s="56">
        <v>0</v>
      </c>
      <c r="DI185" s="56">
        <v>0</v>
      </c>
      <c r="DJ185" s="56">
        <v>0</v>
      </c>
      <c r="DK185" s="56">
        <v>0</v>
      </c>
      <c r="DL185" s="56">
        <v>0</v>
      </c>
      <c r="DM185" s="56">
        <v>0</v>
      </c>
      <c r="DN185" s="56">
        <v>0</v>
      </c>
      <c r="DO185" s="56">
        <v>0</v>
      </c>
      <c r="DP185" s="56">
        <v>0</v>
      </c>
      <c r="DQ185" s="56">
        <v>0</v>
      </c>
      <c r="DR185" s="56">
        <v>0</v>
      </c>
      <c r="DS185" s="56">
        <v>0</v>
      </c>
      <c r="DT185" s="56">
        <v>0</v>
      </c>
      <c r="DU185" s="56">
        <v>0</v>
      </c>
      <c r="DV185" s="56">
        <v>0</v>
      </c>
      <c r="DW185" s="56">
        <v>0</v>
      </c>
      <c r="DX185" s="56">
        <v>0</v>
      </c>
      <c r="DY185" s="56">
        <v>0</v>
      </c>
      <c r="DZ185" s="56">
        <v>0</v>
      </c>
      <c r="EA185" s="56">
        <v>0</v>
      </c>
      <c r="EB185" s="56">
        <v>0</v>
      </c>
      <c r="EC185" s="56">
        <v>0</v>
      </c>
      <c r="ED185" s="56">
        <v>0</v>
      </c>
      <c r="EE185" s="56">
        <v>0</v>
      </c>
      <c r="EF185" s="56">
        <v>0</v>
      </c>
      <c r="EG185" s="56">
        <v>0</v>
      </c>
      <c r="EH185" s="56">
        <v>251.71</v>
      </c>
      <c r="EI185" s="56">
        <v>0</v>
      </c>
      <c r="EJ185" s="56">
        <v>0</v>
      </c>
      <c r="EK185" s="56">
        <v>0</v>
      </c>
      <c r="EL185" s="56">
        <v>0</v>
      </c>
      <c r="EM185" s="56">
        <v>0</v>
      </c>
      <c r="EN185" s="56">
        <v>0</v>
      </c>
      <c r="EO185" s="56">
        <v>0</v>
      </c>
      <c r="EP185" s="56">
        <v>0</v>
      </c>
      <c r="EQ185" s="56">
        <v>0</v>
      </c>
      <c r="ER185" s="56">
        <v>0</v>
      </c>
      <c r="ES185" s="56">
        <v>0</v>
      </c>
      <c r="ET185" s="56">
        <v>0</v>
      </c>
      <c r="EU185" s="56">
        <v>0</v>
      </c>
      <c r="EV185" s="56">
        <v>0</v>
      </c>
      <c r="EW185" s="56">
        <v>0</v>
      </c>
      <c r="EX185" s="56">
        <v>0</v>
      </c>
      <c r="EY185" s="56">
        <v>0</v>
      </c>
      <c r="EZ185" s="56">
        <v>0</v>
      </c>
      <c r="FA185" s="56">
        <v>0</v>
      </c>
      <c r="FB185" s="56">
        <v>0</v>
      </c>
      <c r="FC185" s="58">
        <v>0</v>
      </c>
      <c r="FD185" s="56">
        <v>0</v>
      </c>
      <c r="FE185" s="56">
        <v>0</v>
      </c>
      <c r="FF185" s="56">
        <v>0</v>
      </c>
      <c r="FG185" s="56">
        <v>0</v>
      </c>
      <c r="FH185" s="56">
        <v>0</v>
      </c>
      <c r="FI185" s="56">
        <v>0</v>
      </c>
      <c r="FJ185" s="56">
        <v>0</v>
      </c>
      <c r="FK185" s="56">
        <v>0</v>
      </c>
      <c r="FL185" s="56">
        <v>0</v>
      </c>
      <c r="FM185" s="56">
        <v>0</v>
      </c>
      <c r="FN185" s="56">
        <v>0</v>
      </c>
      <c r="FO185" s="56">
        <v>0</v>
      </c>
      <c r="FP185" s="56">
        <v>0</v>
      </c>
      <c r="FQ185" s="56">
        <v>0</v>
      </c>
      <c r="FR185" s="56">
        <v>0</v>
      </c>
      <c r="FS185" s="58">
        <v>0</v>
      </c>
      <c r="FT185" s="56">
        <v>0</v>
      </c>
      <c r="FU185" s="56">
        <v>0</v>
      </c>
      <c r="FV185" s="56">
        <v>0</v>
      </c>
      <c r="FW185" s="56">
        <v>0</v>
      </c>
      <c r="FX185" s="56">
        <v>0</v>
      </c>
      <c r="FY185" s="56">
        <v>0</v>
      </c>
      <c r="FZ185" s="54" t="s">
        <v>1070</v>
      </c>
      <c r="GA185" s="54" t="s">
        <v>1071</v>
      </c>
      <c r="GB185" s="54" t="s">
        <v>1072</v>
      </c>
      <c r="GC185" s="54" t="s">
        <v>1073</v>
      </c>
      <c r="GD185" s="54"/>
      <c r="GE185" s="54"/>
      <c r="GF185" s="54"/>
      <c r="GG185" s="55"/>
      <c r="GH185" s="54"/>
      <c r="GI185" s="54"/>
      <c r="GJ185" s="54" t="s">
        <v>1076</v>
      </c>
      <c r="GK185" s="54" t="s">
        <v>1077</v>
      </c>
      <c r="GL185" s="54"/>
      <c r="GM185" s="54"/>
      <c r="GN185" s="54" t="s">
        <v>1208</v>
      </c>
      <c r="GO185" s="54" t="s">
        <v>1209</v>
      </c>
      <c r="GP185" s="54"/>
      <c r="GQ185" s="56">
        <v>0</v>
      </c>
      <c r="GR185" s="54" t="s">
        <v>1210</v>
      </c>
      <c r="GS185" s="54"/>
    </row>
    <row r="186" spans="1:201" x14ac:dyDescent="0.25">
      <c r="A186" s="54" t="s">
        <v>1032</v>
      </c>
      <c r="B186" s="54" t="s">
        <v>1033</v>
      </c>
      <c r="C186" s="54" t="s">
        <v>1249</v>
      </c>
      <c r="D186" s="54" t="s">
        <v>1035</v>
      </c>
      <c r="E186" s="54" t="s">
        <v>1036</v>
      </c>
      <c r="F186" s="55">
        <v>46185</v>
      </c>
      <c r="G186" s="55">
        <v>46185</v>
      </c>
      <c r="H186" s="54" t="s">
        <v>1037</v>
      </c>
      <c r="I186" s="54" t="s">
        <v>1038</v>
      </c>
      <c r="J186" s="54" t="s">
        <v>1039</v>
      </c>
      <c r="K186" s="55"/>
      <c r="L186" s="54" t="s">
        <v>1040</v>
      </c>
      <c r="M186" s="54"/>
      <c r="N186" s="54" t="s">
        <v>1250</v>
      </c>
      <c r="O186" s="54" t="s">
        <v>1148</v>
      </c>
      <c r="P186" s="54" t="s">
        <v>305</v>
      </c>
      <c r="Q186" s="54" t="s">
        <v>155</v>
      </c>
      <c r="R186" s="54" t="s">
        <v>1043</v>
      </c>
      <c r="S186" s="56">
        <v>674.4</v>
      </c>
      <c r="T186" s="56">
        <v>674.4</v>
      </c>
      <c r="U186" s="56">
        <v>0</v>
      </c>
      <c r="V186" s="56">
        <v>0</v>
      </c>
      <c r="W186" s="56">
        <v>0</v>
      </c>
      <c r="X186" s="56">
        <v>0</v>
      </c>
      <c r="Y186" s="56">
        <v>0</v>
      </c>
      <c r="Z186" s="56">
        <v>120</v>
      </c>
      <c r="AA186" s="56">
        <v>120</v>
      </c>
      <c r="AB186" s="59">
        <v>0</v>
      </c>
      <c r="AC186" s="56">
        <v>0</v>
      </c>
      <c r="AD186" s="56">
        <v>0</v>
      </c>
      <c r="AE186" s="56">
        <v>0</v>
      </c>
      <c r="AF186" s="54" t="s">
        <v>1199</v>
      </c>
      <c r="AG186" s="57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 t="s">
        <v>1045</v>
      </c>
      <c r="AS186" s="54" t="s">
        <v>1046</v>
      </c>
      <c r="AT186" s="54" t="s">
        <v>1047</v>
      </c>
      <c r="AU186" s="54" t="s">
        <v>1048</v>
      </c>
      <c r="AV186" s="54"/>
      <c r="AW186" s="55">
        <v>46198</v>
      </c>
      <c r="AX186" s="55">
        <v>46185</v>
      </c>
      <c r="AY186" s="55">
        <v>46185</v>
      </c>
      <c r="AZ186" s="55">
        <v>46188</v>
      </c>
      <c r="BA186" s="55">
        <v>46198</v>
      </c>
      <c r="BB186" s="56">
        <v>0</v>
      </c>
      <c r="BC186" s="56">
        <v>0</v>
      </c>
      <c r="BD186" s="56">
        <v>0</v>
      </c>
      <c r="BE186" s="56">
        <v>0</v>
      </c>
      <c r="BF186" s="56">
        <v>0</v>
      </c>
      <c r="BG186" s="56">
        <v>0</v>
      </c>
      <c r="BH186" s="56">
        <v>0</v>
      </c>
      <c r="BI186" s="56">
        <v>0</v>
      </c>
      <c r="BJ186" s="56">
        <v>0</v>
      </c>
      <c r="BK186" s="56">
        <v>0</v>
      </c>
      <c r="BL186" s="56">
        <v>0</v>
      </c>
      <c r="BM186" s="56">
        <v>0</v>
      </c>
      <c r="BN186" s="56">
        <v>0</v>
      </c>
      <c r="BO186" s="56">
        <v>0</v>
      </c>
      <c r="BP186" s="54" t="s">
        <v>1049</v>
      </c>
      <c r="BQ186" s="54" t="s">
        <v>1050</v>
      </c>
      <c r="BR186" s="54" t="s">
        <v>1049</v>
      </c>
      <c r="BS186" s="54" t="s">
        <v>1050</v>
      </c>
      <c r="BT186" s="54" t="s">
        <v>1051</v>
      </c>
      <c r="BU186" s="54" t="s">
        <v>1043</v>
      </c>
      <c r="BV186" s="58">
        <v>120</v>
      </c>
      <c r="BW186" s="54" t="s">
        <v>1052</v>
      </c>
      <c r="BX186" s="54" t="s">
        <v>1053</v>
      </c>
      <c r="BY186" s="54" t="s">
        <v>1054</v>
      </c>
      <c r="BZ186" s="54" t="s">
        <v>1055</v>
      </c>
      <c r="CA186" s="55"/>
      <c r="CB186" s="54" t="s">
        <v>1056</v>
      </c>
      <c r="CC186" s="54" t="s">
        <v>1057</v>
      </c>
      <c r="CD186" s="54" t="s">
        <v>1200</v>
      </c>
      <c r="CE186" s="54" t="s">
        <v>1201</v>
      </c>
      <c r="CF186" s="54" t="s">
        <v>1202</v>
      </c>
      <c r="CG186" s="54" t="s">
        <v>1203</v>
      </c>
      <c r="CH186" s="54" t="s">
        <v>1204</v>
      </c>
      <c r="CI186" s="54" t="s">
        <v>1203</v>
      </c>
      <c r="CJ186" s="54" t="s">
        <v>1064</v>
      </c>
      <c r="CK186" s="54" t="s">
        <v>1065</v>
      </c>
      <c r="CL186" s="54" t="s">
        <v>1205</v>
      </c>
      <c r="CM186" s="54" t="s">
        <v>1206</v>
      </c>
      <c r="CN186" s="54" t="s">
        <v>1068</v>
      </c>
      <c r="CO186" s="54" t="s">
        <v>1069</v>
      </c>
      <c r="CP186" s="56">
        <v>0</v>
      </c>
      <c r="CQ186" s="56">
        <v>0</v>
      </c>
      <c r="CR186" s="56">
        <v>0</v>
      </c>
      <c r="CS186" s="56">
        <v>0</v>
      </c>
      <c r="CT186" s="56">
        <v>0</v>
      </c>
      <c r="CU186" s="56">
        <v>0</v>
      </c>
      <c r="CV186" s="56">
        <v>0</v>
      </c>
      <c r="CW186" s="56">
        <v>0</v>
      </c>
      <c r="CX186" s="56">
        <v>0</v>
      </c>
      <c r="CY186" s="56">
        <v>0</v>
      </c>
      <c r="CZ186" s="56">
        <v>0</v>
      </c>
      <c r="DA186" s="56">
        <v>0</v>
      </c>
      <c r="DB186" s="56">
        <v>0</v>
      </c>
      <c r="DC186" s="56">
        <v>0</v>
      </c>
      <c r="DD186" s="56">
        <v>0</v>
      </c>
      <c r="DE186" s="56">
        <v>0</v>
      </c>
      <c r="DF186" s="56">
        <v>0</v>
      </c>
      <c r="DG186" s="56">
        <v>0</v>
      </c>
      <c r="DH186" s="56">
        <v>0</v>
      </c>
      <c r="DI186" s="56">
        <v>0</v>
      </c>
      <c r="DJ186" s="56">
        <v>0</v>
      </c>
      <c r="DK186" s="56">
        <v>0</v>
      </c>
      <c r="DL186" s="56">
        <v>0</v>
      </c>
      <c r="DM186" s="56">
        <v>0</v>
      </c>
      <c r="DN186" s="56">
        <v>0</v>
      </c>
      <c r="DO186" s="56">
        <v>0</v>
      </c>
      <c r="DP186" s="56">
        <v>0</v>
      </c>
      <c r="DQ186" s="56">
        <v>0</v>
      </c>
      <c r="DR186" s="56">
        <v>0</v>
      </c>
      <c r="DS186" s="56">
        <v>0</v>
      </c>
      <c r="DT186" s="56">
        <v>0</v>
      </c>
      <c r="DU186" s="56">
        <v>0</v>
      </c>
      <c r="DV186" s="56">
        <v>0</v>
      </c>
      <c r="DW186" s="56">
        <v>0</v>
      </c>
      <c r="DX186" s="56">
        <v>0</v>
      </c>
      <c r="DY186" s="56">
        <v>0</v>
      </c>
      <c r="DZ186" s="56">
        <v>0</v>
      </c>
      <c r="EA186" s="56">
        <v>0</v>
      </c>
      <c r="EB186" s="56">
        <v>0</v>
      </c>
      <c r="EC186" s="56">
        <v>0</v>
      </c>
      <c r="ED186" s="56">
        <v>0</v>
      </c>
      <c r="EE186" s="56">
        <v>0</v>
      </c>
      <c r="EF186" s="56">
        <v>0</v>
      </c>
      <c r="EG186" s="56">
        <v>0</v>
      </c>
      <c r="EH186" s="56">
        <v>80.930000000000007</v>
      </c>
      <c r="EI186" s="56">
        <v>0</v>
      </c>
      <c r="EJ186" s="56">
        <v>0</v>
      </c>
      <c r="EK186" s="56">
        <v>0</v>
      </c>
      <c r="EL186" s="56">
        <v>0</v>
      </c>
      <c r="EM186" s="56">
        <v>0</v>
      </c>
      <c r="EN186" s="56">
        <v>0</v>
      </c>
      <c r="EO186" s="56">
        <v>0</v>
      </c>
      <c r="EP186" s="56">
        <v>0</v>
      </c>
      <c r="EQ186" s="56">
        <v>0</v>
      </c>
      <c r="ER186" s="56">
        <v>0</v>
      </c>
      <c r="ES186" s="56">
        <v>0</v>
      </c>
      <c r="ET186" s="56">
        <v>0</v>
      </c>
      <c r="EU186" s="56">
        <v>0</v>
      </c>
      <c r="EV186" s="56">
        <v>0</v>
      </c>
      <c r="EW186" s="56">
        <v>0</v>
      </c>
      <c r="EX186" s="56">
        <v>0</v>
      </c>
      <c r="EY186" s="56">
        <v>0</v>
      </c>
      <c r="EZ186" s="56">
        <v>0</v>
      </c>
      <c r="FA186" s="56">
        <v>0</v>
      </c>
      <c r="FB186" s="56">
        <v>0</v>
      </c>
      <c r="FC186" s="58">
        <v>0</v>
      </c>
      <c r="FD186" s="56">
        <v>0</v>
      </c>
      <c r="FE186" s="56">
        <v>0</v>
      </c>
      <c r="FF186" s="56">
        <v>0</v>
      </c>
      <c r="FG186" s="56">
        <v>0</v>
      </c>
      <c r="FH186" s="56">
        <v>0</v>
      </c>
      <c r="FI186" s="56">
        <v>0</v>
      </c>
      <c r="FJ186" s="56">
        <v>0</v>
      </c>
      <c r="FK186" s="56">
        <v>0</v>
      </c>
      <c r="FL186" s="56">
        <v>0</v>
      </c>
      <c r="FM186" s="56">
        <v>0</v>
      </c>
      <c r="FN186" s="56">
        <v>0</v>
      </c>
      <c r="FO186" s="56">
        <v>0</v>
      </c>
      <c r="FP186" s="56">
        <v>0</v>
      </c>
      <c r="FQ186" s="56">
        <v>0</v>
      </c>
      <c r="FR186" s="56">
        <v>0</v>
      </c>
      <c r="FS186" s="58">
        <v>0</v>
      </c>
      <c r="FT186" s="56">
        <v>0</v>
      </c>
      <c r="FU186" s="56">
        <v>0</v>
      </c>
      <c r="FV186" s="56">
        <v>0</v>
      </c>
      <c r="FW186" s="56">
        <v>0</v>
      </c>
      <c r="FX186" s="56">
        <v>0</v>
      </c>
      <c r="FY186" s="56">
        <v>0</v>
      </c>
      <c r="FZ186" s="54" t="s">
        <v>1070</v>
      </c>
      <c r="GA186" s="54" t="s">
        <v>1071</v>
      </c>
      <c r="GB186" s="54" t="s">
        <v>1072</v>
      </c>
      <c r="GC186" s="54" t="s">
        <v>1073</v>
      </c>
      <c r="GD186" s="54" t="s">
        <v>1263</v>
      </c>
      <c r="GE186" s="54" t="s">
        <v>1201</v>
      </c>
      <c r="GF186" s="54"/>
      <c r="GG186" s="55"/>
      <c r="GH186" s="54"/>
      <c r="GI186" s="54"/>
      <c r="GJ186" s="54" t="s">
        <v>1076</v>
      </c>
      <c r="GK186" s="54" t="s">
        <v>1077</v>
      </c>
      <c r="GL186" s="54"/>
      <c r="GM186" s="54"/>
      <c r="GN186" s="54" t="s">
        <v>1208</v>
      </c>
      <c r="GO186" s="54" t="s">
        <v>1209</v>
      </c>
      <c r="GP186" s="54"/>
      <c r="GQ186" s="56">
        <v>0</v>
      </c>
      <c r="GR186" s="54" t="s">
        <v>1210</v>
      </c>
      <c r="GS186" s="54"/>
    </row>
    <row r="187" spans="1:201" x14ac:dyDescent="0.25">
      <c r="A187" s="54" t="s">
        <v>1032</v>
      </c>
      <c r="B187" s="54" t="s">
        <v>1033</v>
      </c>
      <c r="C187" s="54" t="s">
        <v>1249</v>
      </c>
      <c r="D187" s="54" t="s">
        <v>1035</v>
      </c>
      <c r="E187" s="54" t="s">
        <v>1036</v>
      </c>
      <c r="F187" s="55">
        <v>46185</v>
      </c>
      <c r="G187" s="55">
        <v>46185</v>
      </c>
      <c r="H187" s="54" t="s">
        <v>1037</v>
      </c>
      <c r="I187" s="54" t="s">
        <v>1038</v>
      </c>
      <c r="J187" s="54" t="s">
        <v>1039</v>
      </c>
      <c r="K187" s="55"/>
      <c r="L187" s="54" t="s">
        <v>1040</v>
      </c>
      <c r="M187" s="54"/>
      <c r="N187" s="54" t="s">
        <v>1250</v>
      </c>
      <c r="O187" s="54" t="s">
        <v>1149</v>
      </c>
      <c r="P187" s="54" t="s">
        <v>717</v>
      </c>
      <c r="Q187" s="54" t="s">
        <v>723</v>
      </c>
      <c r="R187" s="54" t="s">
        <v>1043</v>
      </c>
      <c r="S187" s="56">
        <v>1041.3599999999999</v>
      </c>
      <c r="T187" s="56">
        <v>1041.3599999999999</v>
      </c>
      <c r="U187" s="56">
        <v>0</v>
      </c>
      <c r="V187" s="56">
        <v>0</v>
      </c>
      <c r="W187" s="56">
        <v>0</v>
      </c>
      <c r="X187" s="56">
        <v>0</v>
      </c>
      <c r="Y187" s="56">
        <v>0</v>
      </c>
      <c r="Z187" s="56">
        <v>24</v>
      </c>
      <c r="AA187" s="56">
        <v>24</v>
      </c>
      <c r="AB187" s="59">
        <v>0</v>
      </c>
      <c r="AC187" s="56">
        <v>0</v>
      </c>
      <c r="AD187" s="56">
        <v>0</v>
      </c>
      <c r="AE187" s="56">
        <v>0</v>
      </c>
      <c r="AF187" s="54" t="s">
        <v>1199</v>
      </c>
      <c r="AG187" s="57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 t="s">
        <v>1045</v>
      </c>
      <c r="AS187" s="54" t="s">
        <v>1046</v>
      </c>
      <c r="AT187" s="54" t="s">
        <v>1047</v>
      </c>
      <c r="AU187" s="54" t="s">
        <v>1048</v>
      </c>
      <c r="AV187" s="54"/>
      <c r="AW187" s="55">
        <v>46198</v>
      </c>
      <c r="AX187" s="55">
        <v>46185</v>
      </c>
      <c r="AY187" s="55">
        <v>46185</v>
      </c>
      <c r="AZ187" s="55">
        <v>46188</v>
      </c>
      <c r="BA187" s="55">
        <v>46198</v>
      </c>
      <c r="BB187" s="56">
        <v>0</v>
      </c>
      <c r="BC187" s="56">
        <v>0</v>
      </c>
      <c r="BD187" s="56">
        <v>0</v>
      </c>
      <c r="BE187" s="56">
        <v>0</v>
      </c>
      <c r="BF187" s="56">
        <v>0</v>
      </c>
      <c r="BG187" s="56">
        <v>0</v>
      </c>
      <c r="BH187" s="56">
        <v>0</v>
      </c>
      <c r="BI187" s="56">
        <v>0</v>
      </c>
      <c r="BJ187" s="56">
        <v>0</v>
      </c>
      <c r="BK187" s="56">
        <v>0</v>
      </c>
      <c r="BL187" s="56">
        <v>0</v>
      </c>
      <c r="BM187" s="56">
        <v>0</v>
      </c>
      <c r="BN187" s="56">
        <v>0</v>
      </c>
      <c r="BO187" s="56">
        <v>0</v>
      </c>
      <c r="BP187" s="54" t="s">
        <v>1049</v>
      </c>
      <c r="BQ187" s="54" t="s">
        <v>1050</v>
      </c>
      <c r="BR187" s="54" t="s">
        <v>1049</v>
      </c>
      <c r="BS187" s="54" t="s">
        <v>1050</v>
      </c>
      <c r="BT187" s="54" t="s">
        <v>1051</v>
      </c>
      <c r="BU187" s="54" t="s">
        <v>1043</v>
      </c>
      <c r="BV187" s="58">
        <v>24</v>
      </c>
      <c r="BW187" s="54" t="s">
        <v>1052</v>
      </c>
      <c r="BX187" s="54" t="s">
        <v>1053</v>
      </c>
      <c r="BY187" s="54" t="s">
        <v>1054</v>
      </c>
      <c r="BZ187" s="54" t="s">
        <v>1055</v>
      </c>
      <c r="CA187" s="55"/>
      <c r="CB187" s="54" t="s">
        <v>1056</v>
      </c>
      <c r="CC187" s="54" t="s">
        <v>1057</v>
      </c>
      <c r="CD187" s="54" t="s">
        <v>1200</v>
      </c>
      <c r="CE187" s="54" t="s">
        <v>1201</v>
      </c>
      <c r="CF187" s="54" t="s">
        <v>1202</v>
      </c>
      <c r="CG187" s="54" t="s">
        <v>1203</v>
      </c>
      <c r="CH187" s="54" t="s">
        <v>1204</v>
      </c>
      <c r="CI187" s="54" t="s">
        <v>1203</v>
      </c>
      <c r="CJ187" s="54" t="s">
        <v>1064</v>
      </c>
      <c r="CK187" s="54" t="s">
        <v>1065</v>
      </c>
      <c r="CL187" s="54" t="s">
        <v>1205</v>
      </c>
      <c r="CM187" s="54" t="s">
        <v>1206</v>
      </c>
      <c r="CN187" s="54" t="s">
        <v>1068</v>
      </c>
      <c r="CO187" s="54" t="s">
        <v>1069</v>
      </c>
      <c r="CP187" s="56">
        <v>0</v>
      </c>
      <c r="CQ187" s="56">
        <v>0</v>
      </c>
      <c r="CR187" s="56">
        <v>0</v>
      </c>
      <c r="CS187" s="56">
        <v>0</v>
      </c>
      <c r="CT187" s="56">
        <v>0</v>
      </c>
      <c r="CU187" s="56">
        <v>0</v>
      </c>
      <c r="CV187" s="56">
        <v>0</v>
      </c>
      <c r="CW187" s="56">
        <v>0</v>
      </c>
      <c r="CX187" s="56">
        <v>0</v>
      </c>
      <c r="CY187" s="56">
        <v>0</v>
      </c>
      <c r="CZ187" s="56">
        <v>0</v>
      </c>
      <c r="DA187" s="56">
        <v>0</v>
      </c>
      <c r="DB187" s="56">
        <v>0</v>
      </c>
      <c r="DC187" s="56">
        <v>0</v>
      </c>
      <c r="DD187" s="56">
        <v>0</v>
      </c>
      <c r="DE187" s="56">
        <v>0</v>
      </c>
      <c r="DF187" s="56">
        <v>0</v>
      </c>
      <c r="DG187" s="56">
        <v>0</v>
      </c>
      <c r="DH187" s="56">
        <v>0</v>
      </c>
      <c r="DI187" s="56">
        <v>0</v>
      </c>
      <c r="DJ187" s="56">
        <v>0</v>
      </c>
      <c r="DK187" s="56">
        <v>0</v>
      </c>
      <c r="DL187" s="56">
        <v>0</v>
      </c>
      <c r="DM187" s="56">
        <v>0</v>
      </c>
      <c r="DN187" s="56">
        <v>0</v>
      </c>
      <c r="DO187" s="56">
        <v>0</v>
      </c>
      <c r="DP187" s="56">
        <v>0</v>
      </c>
      <c r="DQ187" s="56">
        <v>0</v>
      </c>
      <c r="DR187" s="56">
        <v>0</v>
      </c>
      <c r="DS187" s="56">
        <v>0</v>
      </c>
      <c r="DT187" s="56">
        <v>0</v>
      </c>
      <c r="DU187" s="56">
        <v>0</v>
      </c>
      <c r="DV187" s="56">
        <v>0</v>
      </c>
      <c r="DW187" s="56">
        <v>0</v>
      </c>
      <c r="DX187" s="56">
        <v>0</v>
      </c>
      <c r="DY187" s="56">
        <v>0</v>
      </c>
      <c r="DZ187" s="56">
        <v>0</v>
      </c>
      <c r="EA187" s="56">
        <v>0</v>
      </c>
      <c r="EB187" s="56">
        <v>0</v>
      </c>
      <c r="EC187" s="56">
        <v>0</v>
      </c>
      <c r="ED187" s="56">
        <v>0</v>
      </c>
      <c r="EE187" s="56">
        <v>0</v>
      </c>
      <c r="EF187" s="56">
        <v>0</v>
      </c>
      <c r="EG187" s="56">
        <v>0</v>
      </c>
      <c r="EH187" s="56">
        <v>41.65</v>
      </c>
      <c r="EI187" s="56">
        <v>0</v>
      </c>
      <c r="EJ187" s="56">
        <v>0</v>
      </c>
      <c r="EK187" s="56">
        <v>0</v>
      </c>
      <c r="EL187" s="56">
        <v>0</v>
      </c>
      <c r="EM187" s="56">
        <v>0</v>
      </c>
      <c r="EN187" s="56">
        <v>0</v>
      </c>
      <c r="EO187" s="56">
        <v>0</v>
      </c>
      <c r="EP187" s="56">
        <v>0</v>
      </c>
      <c r="EQ187" s="56">
        <v>0</v>
      </c>
      <c r="ER187" s="56">
        <v>0</v>
      </c>
      <c r="ES187" s="56">
        <v>0</v>
      </c>
      <c r="ET187" s="56">
        <v>0</v>
      </c>
      <c r="EU187" s="56">
        <v>0</v>
      </c>
      <c r="EV187" s="56">
        <v>0</v>
      </c>
      <c r="EW187" s="56">
        <v>0</v>
      </c>
      <c r="EX187" s="56">
        <v>0</v>
      </c>
      <c r="EY187" s="56">
        <v>0</v>
      </c>
      <c r="EZ187" s="56">
        <v>0</v>
      </c>
      <c r="FA187" s="56">
        <v>0</v>
      </c>
      <c r="FB187" s="56">
        <v>0</v>
      </c>
      <c r="FC187" s="58">
        <v>0</v>
      </c>
      <c r="FD187" s="56">
        <v>0</v>
      </c>
      <c r="FE187" s="56">
        <v>0</v>
      </c>
      <c r="FF187" s="56">
        <v>0</v>
      </c>
      <c r="FG187" s="56">
        <v>0</v>
      </c>
      <c r="FH187" s="56">
        <v>0</v>
      </c>
      <c r="FI187" s="56">
        <v>0</v>
      </c>
      <c r="FJ187" s="56">
        <v>0</v>
      </c>
      <c r="FK187" s="56">
        <v>0</v>
      </c>
      <c r="FL187" s="56">
        <v>0</v>
      </c>
      <c r="FM187" s="56">
        <v>0</v>
      </c>
      <c r="FN187" s="56">
        <v>0</v>
      </c>
      <c r="FO187" s="56">
        <v>0</v>
      </c>
      <c r="FP187" s="56">
        <v>0</v>
      </c>
      <c r="FQ187" s="56">
        <v>0</v>
      </c>
      <c r="FR187" s="56">
        <v>0</v>
      </c>
      <c r="FS187" s="58">
        <v>0</v>
      </c>
      <c r="FT187" s="56">
        <v>0</v>
      </c>
      <c r="FU187" s="56">
        <v>0</v>
      </c>
      <c r="FV187" s="56">
        <v>0</v>
      </c>
      <c r="FW187" s="56">
        <v>0</v>
      </c>
      <c r="FX187" s="56">
        <v>0</v>
      </c>
      <c r="FY187" s="56">
        <v>0</v>
      </c>
      <c r="FZ187" s="54" t="s">
        <v>1070</v>
      </c>
      <c r="GA187" s="54" t="s">
        <v>1071</v>
      </c>
      <c r="GB187" s="54" t="s">
        <v>1072</v>
      </c>
      <c r="GC187" s="54" t="s">
        <v>1073</v>
      </c>
      <c r="GD187" s="54"/>
      <c r="GE187" s="54"/>
      <c r="GF187" s="54"/>
      <c r="GG187" s="55"/>
      <c r="GH187" s="54"/>
      <c r="GI187" s="54"/>
      <c r="GJ187" s="54" t="s">
        <v>1076</v>
      </c>
      <c r="GK187" s="54" t="s">
        <v>1077</v>
      </c>
      <c r="GL187" s="54"/>
      <c r="GM187" s="54"/>
      <c r="GN187" s="54" t="s">
        <v>1208</v>
      </c>
      <c r="GO187" s="54" t="s">
        <v>1209</v>
      </c>
      <c r="GP187" s="54"/>
      <c r="GQ187" s="56">
        <v>0</v>
      </c>
      <c r="GR187" s="54" t="s">
        <v>1210</v>
      </c>
      <c r="GS187" s="54"/>
    </row>
    <row r="188" spans="1:201" x14ac:dyDescent="0.25">
      <c r="A188" s="54" t="s">
        <v>1032</v>
      </c>
      <c r="B188" s="54" t="s">
        <v>1033</v>
      </c>
      <c r="C188" s="54" t="s">
        <v>1249</v>
      </c>
      <c r="D188" s="54" t="s">
        <v>1035</v>
      </c>
      <c r="E188" s="54" t="s">
        <v>1036</v>
      </c>
      <c r="F188" s="55">
        <v>46185</v>
      </c>
      <c r="G188" s="55">
        <v>46185</v>
      </c>
      <c r="H188" s="54" t="s">
        <v>1037</v>
      </c>
      <c r="I188" s="54" t="s">
        <v>1038</v>
      </c>
      <c r="J188" s="54" t="s">
        <v>1039</v>
      </c>
      <c r="K188" s="55"/>
      <c r="L188" s="54" t="s">
        <v>1040</v>
      </c>
      <c r="M188" s="54"/>
      <c r="N188" s="54" t="s">
        <v>1250</v>
      </c>
      <c r="O188" s="54" t="s">
        <v>1151</v>
      </c>
      <c r="P188" s="54" t="s">
        <v>306</v>
      </c>
      <c r="Q188" s="54" t="s">
        <v>156</v>
      </c>
      <c r="R188" s="54" t="s">
        <v>1043</v>
      </c>
      <c r="S188" s="56">
        <v>666</v>
      </c>
      <c r="T188" s="56">
        <v>666</v>
      </c>
      <c r="U188" s="56">
        <v>0</v>
      </c>
      <c r="V188" s="56">
        <v>0</v>
      </c>
      <c r="W188" s="56">
        <v>0</v>
      </c>
      <c r="X188" s="56">
        <v>0</v>
      </c>
      <c r="Y188" s="56">
        <v>0</v>
      </c>
      <c r="Z188" s="56">
        <v>60</v>
      </c>
      <c r="AA188" s="56">
        <v>60</v>
      </c>
      <c r="AB188" s="59">
        <v>0</v>
      </c>
      <c r="AC188" s="56">
        <v>0</v>
      </c>
      <c r="AD188" s="56">
        <v>0</v>
      </c>
      <c r="AE188" s="56">
        <v>0</v>
      </c>
      <c r="AF188" s="54" t="s">
        <v>1199</v>
      </c>
      <c r="AG188" s="57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 t="s">
        <v>1045</v>
      </c>
      <c r="AS188" s="54" t="s">
        <v>1046</v>
      </c>
      <c r="AT188" s="54" t="s">
        <v>1047</v>
      </c>
      <c r="AU188" s="54" t="s">
        <v>1048</v>
      </c>
      <c r="AV188" s="54"/>
      <c r="AW188" s="55">
        <v>46198</v>
      </c>
      <c r="AX188" s="55">
        <v>46185</v>
      </c>
      <c r="AY188" s="55">
        <v>46185</v>
      </c>
      <c r="AZ188" s="55">
        <v>46188</v>
      </c>
      <c r="BA188" s="55">
        <v>46198</v>
      </c>
      <c r="BB188" s="56">
        <v>0</v>
      </c>
      <c r="BC188" s="56">
        <v>0</v>
      </c>
      <c r="BD188" s="56">
        <v>0</v>
      </c>
      <c r="BE188" s="56">
        <v>0</v>
      </c>
      <c r="BF188" s="56">
        <v>0</v>
      </c>
      <c r="BG188" s="56">
        <v>0</v>
      </c>
      <c r="BH188" s="56">
        <v>0</v>
      </c>
      <c r="BI188" s="56">
        <v>0</v>
      </c>
      <c r="BJ188" s="56">
        <v>0</v>
      </c>
      <c r="BK188" s="56">
        <v>0</v>
      </c>
      <c r="BL188" s="56">
        <v>0</v>
      </c>
      <c r="BM188" s="56">
        <v>0</v>
      </c>
      <c r="BN188" s="56">
        <v>0</v>
      </c>
      <c r="BO188" s="56">
        <v>0</v>
      </c>
      <c r="BP188" s="54" t="s">
        <v>1049</v>
      </c>
      <c r="BQ188" s="54" t="s">
        <v>1050</v>
      </c>
      <c r="BR188" s="54" t="s">
        <v>1049</v>
      </c>
      <c r="BS188" s="54" t="s">
        <v>1050</v>
      </c>
      <c r="BT188" s="54" t="s">
        <v>1051</v>
      </c>
      <c r="BU188" s="54" t="s">
        <v>1043</v>
      </c>
      <c r="BV188" s="58">
        <v>60</v>
      </c>
      <c r="BW188" s="54" t="s">
        <v>1052</v>
      </c>
      <c r="BX188" s="54" t="s">
        <v>1053</v>
      </c>
      <c r="BY188" s="54" t="s">
        <v>1054</v>
      </c>
      <c r="BZ188" s="54" t="s">
        <v>1055</v>
      </c>
      <c r="CA188" s="55"/>
      <c r="CB188" s="54" t="s">
        <v>1056</v>
      </c>
      <c r="CC188" s="54" t="s">
        <v>1057</v>
      </c>
      <c r="CD188" s="54" t="s">
        <v>1200</v>
      </c>
      <c r="CE188" s="54" t="s">
        <v>1201</v>
      </c>
      <c r="CF188" s="54" t="s">
        <v>1202</v>
      </c>
      <c r="CG188" s="54" t="s">
        <v>1203</v>
      </c>
      <c r="CH188" s="54" t="s">
        <v>1204</v>
      </c>
      <c r="CI188" s="54" t="s">
        <v>1203</v>
      </c>
      <c r="CJ188" s="54" t="s">
        <v>1064</v>
      </c>
      <c r="CK188" s="54" t="s">
        <v>1065</v>
      </c>
      <c r="CL188" s="54" t="s">
        <v>1205</v>
      </c>
      <c r="CM188" s="54" t="s">
        <v>1206</v>
      </c>
      <c r="CN188" s="54" t="s">
        <v>1068</v>
      </c>
      <c r="CO188" s="54" t="s">
        <v>1069</v>
      </c>
      <c r="CP188" s="56">
        <v>0</v>
      </c>
      <c r="CQ188" s="56">
        <v>0</v>
      </c>
      <c r="CR188" s="56">
        <v>0</v>
      </c>
      <c r="CS188" s="56">
        <v>0</v>
      </c>
      <c r="CT188" s="56">
        <v>0</v>
      </c>
      <c r="CU188" s="56">
        <v>0</v>
      </c>
      <c r="CV188" s="56">
        <v>0</v>
      </c>
      <c r="CW188" s="56">
        <v>0</v>
      </c>
      <c r="CX188" s="56">
        <v>0</v>
      </c>
      <c r="CY188" s="56">
        <v>0</v>
      </c>
      <c r="CZ188" s="56">
        <v>0</v>
      </c>
      <c r="DA188" s="56">
        <v>0</v>
      </c>
      <c r="DB188" s="56">
        <v>0</v>
      </c>
      <c r="DC188" s="56">
        <v>0</v>
      </c>
      <c r="DD188" s="56">
        <v>0</v>
      </c>
      <c r="DE188" s="56">
        <v>0</v>
      </c>
      <c r="DF188" s="56">
        <v>0</v>
      </c>
      <c r="DG188" s="56">
        <v>0</v>
      </c>
      <c r="DH188" s="56">
        <v>0</v>
      </c>
      <c r="DI188" s="56">
        <v>0</v>
      </c>
      <c r="DJ188" s="56">
        <v>0</v>
      </c>
      <c r="DK188" s="56">
        <v>0</v>
      </c>
      <c r="DL188" s="56">
        <v>0</v>
      </c>
      <c r="DM188" s="56">
        <v>0</v>
      </c>
      <c r="DN188" s="56">
        <v>0</v>
      </c>
      <c r="DO188" s="56">
        <v>0</v>
      </c>
      <c r="DP188" s="56">
        <v>0</v>
      </c>
      <c r="DQ188" s="56">
        <v>0</v>
      </c>
      <c r="DR188" s="56">
        <v>0</v>
      </c>
      <c r="DS188" s="56">
        <v>0</v>
      </c>
      <c r="DT188" s="56">
        <v>0</v>
      </c>
      <c r="DU188" s="56">
        <v>0</v>
      </c>
      <c r="DV188" s="56">
        <v>0</v>
      </c>
      <c r="DW188" s="56">
        <v>0</v>
      </c>
      <c r="DX188" s="56">
        <v>0</v>
      </c>
      <c r="DY188" s="56">
        <v>0</v>
      </c>
      <c r="DZ188" s="56">
        <v>0</v>
      </c>
      <c r="EA188" s="56">
        <v>0</v>
      </c>
      <c r="EB188" s="56">
        <v>0</v>
      </c>
      <c r="EC188" s="56">
        <v>0</v>
      </c>
      <c r="ED188" s="56">
        <v>0</v>
      </c>
      <c r="EE188" s="56">
        <v>0</v>
      </c>
      <c r="EF188" s="56">
        <v>0</v>
      </c>
      <c r="EG188" s="56">
        <v>0</v>
      </c>
      <c r="EH188" s="56">
        <v>79.92</v>
      </c>
      <c r="EI188" s="56">
        <v>0</v>
      </c>
      <c r="EJ188" s="56">
        <v>0</v>
      </c>
      <c r="EK188" s="56">
        <v>0</v>
      </c>
      <c r="EL188" s="56">
        <v>0</v>
      </c>
      <c r="EM188" s="56">
        <v>0</v>
      </c>
      <c r="EN188" s="56">
        <v>0</v>
      </c>
      <c r="EO188" s="56">
        <v>0</v>
      </c>
      <c r="EP188" s="56">
        <v>0</v>
      </c>
      <c r="EQ188" s="56">
        <v>0</v>
      </c>
      <c r="ER188" s="56">
        <v>0</v>
      </c>
      <c r="ES188" s="56">
        <v>0</v>
      </c>
      <c r="ET188" s="56">
        <v>0</v>
      </c>
      <c r="EU188" s="56">
        <v>0</v>
      </c>
      <c r="EV188" s="56">
        <v>0</v>
      </c>
      <c r="EW188" s="56">
        <v>0</v>
      </c>
      <c r="EX188" s="56">
        <v>0</v>
      </c>
      <c r="EY188" s="56">
        <v>0</v>
      </c>
      <c r="EZ188" s="56">
        <v>0</v>
      </c>
      <c r="FA188" s="56">
        <v>0</v>
      </c>
      <c r="FB188" s="56">
        <v>0</v>
      </c>
      <c r="FC188" s="58">
        <v>0</v>
      </c>
      <c r="FD188" s="56">
        <v>0</v>
      </c>
      <c r="FE188" s="56">
        <v>0</v>
      </c>
      <c r="FF188" s="56">
        <v>0</v>
      </c>
      <c r="FG188" s="56">
        <v>0</v>
      </c>
      <c r="FH188" s="56">
        <v>0</v>
      </c>
      <c r="FI188" s="56">
        <v>0</v>
      </c>
      <c r="FJ188" s="56">
        <v>0</v>
      </c>
      <c r="FK188" s="56">
        <v>0</v>
      </c>
      <c r="FL188" s="56">
        <v>0</v>
      </c>
      <c r="FM188" s="56">
        <v>0</v>
      </c>
      <c r="FN188" s="56">
        <v>0</v>
      </c>
      <c r="FO188" s="56">
        <v>0</v>
      </c>
      <c r="FP188" s="56">
        <v>0</v>
      </c>
      <c r="FQ188" s="56">
        <v>0</v>
      </c>
      <c r="FR188" s="56">
        <v>0</v>
      </c>
      <c r="FS188" s="58">
        <v>0</v>
      </c>
      <c r="FT188" s="56">
        <v>0</v>
      </c>
      <c r="FU188" s="56">
        <v>0</v>
      </c>
      <c r="FV188" s="56">
        <v>0</v>
      </c>
      <c r="FW188" s="56">
        <v>0</v>
      </c>
      <c r="FX188" s="56">
        <v>0</v>
      </c>
      <c r="FY188" s="56">
        <v>0</v>
      </c>
      <c r="FZ188" s="54" t="s">
        <v>1070</v>
      </c>
      <c r="GA188" s="54" t="s">
        <v>1071</v>
      </c>
      <c r="GB188" s="54" t="s">
        <v>1072</v>
      </c>
      <c r="GC188" s="54" t="s">
        <v>1073</v>
      </c>
      <c r="GD188" s="54" t="s">
        <v>1264</v>
      </c>
      <c r="GE188" s="54" t="s">
        <v>1201</v>
      </c>
      <c r="GF188" s="54"/>
      <c r="GG188" s="55"/>
      <c r="GH188" s="54"/>
      <c r="GI188" s="54"/>
      <c r="GJ188" s="54" t="s">
        <v>1076</v>
      </c>
      <c r="GK188" s="54" t="s">
        <v>1077</v>
      </c>
      <c r="GL188" s="54"/>
      <c r="GM188" s="54"/>
      <c r="GN188" s="54" t="s">
        <v>1208</v>
      </c>
      <c r="GO188" s="54" t="s">
        <v>1209</v>
      </c>
      <c r="GP188" s="54"/>
      <c r="GQ188" s="56">
        <v>0</v>
      </c>
      <c r="GR188" s="54" t="s">
        <v>1210</v>
      </c>
      <c r="GS188" s="54"/>
    </row>
    <row r="189" spans="1:201" x14ac:dyDescent="0.25">
      <c r="A189" s="54" t="s">
        <v>1032</v>
      </c>
      <c r="B189" s="54" t="s">
        <v>1033</v>
      </c>
      <c r="C189" s="54" t="s">
        <v>1249</v>
      </c>
      <c r="D189" s="54" t="s">
        <v>1035</v>
      </c>
      <c r="E189" s="54" t="s">
        <v>1036</v>
      </c>
      <c r="F189" s="55">
        <v>46185</v>
      </c>
      <c r="G189" s="55">
        <v>46185</v>
      </c>
      <c r="H189" s="54" t="s">
        <v>1037</v>
      </c>
      <c r="I189" s="54" t="s">
        <v>1038</v>
      </c>
      <c r="J189" s="54" t="s">
        <v>1039</v>
      </c>
      <c r="K189" s="55"/>
      <c r="L189" s="54" t="s">
        <v>1040</v>
      </c>
      <c r="M189" s="54"/>
      <c r="N189" s="54" t="s">
        <v>1250</v>
      </c>
      <c r="O189" s="54" t="s">
        <v>1153</v>
      </c>
      <c r="P189" s="54" t="s">
        <v>328</v>
      </c>
      <c r="Q189" s="54" t="s">
        <v>158</v>
      </c>
      <c r="R189" s="54" t="s">
        <v>1043</v>
      </c>
      <c r="S189" s="56">
        <v>1255.2</v>
      </c>
      <c r="T189" s="56">
        <v>1255.2</v>
      </c>
      <c r="U189" s="56">
        <v>0</v>
      </c>
      <c r="V189" s="56">
        <v>0</v>
      </c>
      <c r="W189" s="56">
        <v>0</v>
      </c>
      <c r="X189" s="56">
        <v>0</v>
      </c>
      <c r="Y189" s="56">
        <v>0</v>
      </c>
      <c r="Z189" s="56">
        <v>120</v>
      </c>
      <c r="AA189" s="56">
        <v>120</v>
      </c>
      <c r="AB189" s="59">
        <v>0</v>
      </c>
      <c r="AC189" s="56">
        <v>0</v>
      </c>
      <c r="AD189" s="56">
        <v>0</v>
      </c>
      <c r="AE189" s="56">
        <v>0</v>
      </c>
      <c r="AF189" s="54" t="s">
        <v>1199</v>
      </c>
      <c r="AG189" s="57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 t="s">
        <v>1045</v>
      </c>
      <c r="AS189" s="54" t="s">
        <v>1046</v>
      </c>
      <c r="AT189" s="54" t="s">
        <v>1047</v>
      </c>
      <c r="AU189" s="54" t="s">
        <v>1048</v>
      </c>
      <c r="AV189" s="54"/>
      <c r="AW189" s="55">
        <v>46198</v>
      </c>
      <c r="AX189" s="55">
        <v>46185</v>
      </c>
      <c r="AY189" s="55">
        <v>46185</v>
      </c>
      <c r="AZ189" s="55">
        <v>46188</v>
      </c>
      <c r="BA189" s="55">
        <v>46198</v>
      </c>
      <c r="BB189" s="56">
        <v>0</v>
      </c>
      <c r="BC189" s="56">
        <v>0</v>
      </c>
      <c r="BD189" s="56">
        <v>0</v>
      </c>
      <c r="BE189" s="56">
        <v>0</v>
      </c>
      <c r="BF189" s="56">
        <v>0</v>
      </c>
      <c r="BG189" s="56">
        <v>0</v>
      </c>
      <c r="BH189" s="56">
        <v>0</v>
      </c>
      <c r="BI189" s="56">
        <v>0</v>
      </c>
      <c r="BJ189" s="56">
        <v>0</v>
      </c>
      <c r="BK189" s="56">
        <v>0</v>
      </c>
      <c r="BL189" s="56">
        <v>0</v>
      </c>
      <c r="BM189" s="56">
        <v>0</v>
      </c>
      <c r="BN189" s="56">
        <v>0</v>
      </c>
      <c r="BO189" s="56">
        <v>0</v>
      </c>
      <c r="BP189" s="54" t="s">
        <v>1049</v>
      </c>
      <c r="BQ189" s="54" t="s">
        <v>1050</v>
      </c>
      <c r="BR189" s="54" t="s">
        <v>1049</v>
      </c>
      <c r="BS189" s="54" t="s">
        <v>1050</v>
      </c>
      <c r="BT189" s="54" t="s">
        <v>1051</v>
      </c>
      <c r="BU189" s="54" t="s">
        <v>1043</v>
      </c>
      <c r="BV189" s="58">
        <v>120</v>
      </c>
      <c r="BW189" s="54" t="s">
        <v>1052</v>
      </c>
      <c r="BX189" s="54" t="s">
        <v>1053</v>
      </c>
      <c r="BY189" s="54" t="s">
        <v>1054</v>
      </c>
      <c r="BZ189" s="54" t="s">
        <v>1055</v>
      </c>
      <c r="CA189" s="55"/>
      <c r="CB189" s="54" t="s">
        <v>1056</v>
      </c>
      <c r="CC189" s="54" t="s">
        <v>1057</v>
      </c>
      <c r="CD189" s="54" t="s">
        <v>1200</v>
      </c>
      <c r="CE189" s="54" t="s">
        <v>1201</v>
      </c>
      <c r="CF189" s="54" t="s">
        <v>1202</v>
      </c>
      <c r="CG189" s="54" t="s">
        <v>1203</v>
      </c>
      <c r="CH189" s="54" t="s">
        <v>1204</v>
      </c>
      <c r="CI189" s="54" t="s">
        <v>1203</v>
      </c>
      <c r="CJ189" s="54" t="s">
        <v>1064</v>
      </c>
      <c r="CK189" s="54" t="s">
        <v>1065</v>
      </c>
      <c r="CL189" s="54" t="s">
        <v>1205</v>
      </c>
      <c r="CM189" s="54" t="s">
        <v>1206</v>
      </c>
      <c r="CN189" s="54" t="s">
        <v>1068</v>
      </c>
      <c r="CO189" s="54" t="s">
        <v>1069</v>
      </c>
      <c r="CP189" s="56">
        <v>0</v>
      </c>
      <c r="CQ189" s="56">
        <v>0</v>
      </c>
      <c r="CR189" s="56">
        <v>0</v>
      </c>
      <c r="CS189" s="56">
        <v>0</v>
      </c>
      <c r="CT189" s="56">
        <v>0</v>
      </c>
      <c r="CU189" s="56">
        <v>0</v>
      </c>
      <c r="CV189" s="56">
        <v>0</v>
      </c>
      <c r="CW189" s="56">
        <v>0</v>
      </c>
      <c r="CX189" s="56">
        <v>0</v>
      </c>
      <c r="CY189" s="56">
        <v>0</v>
      </c>
      <c r="CZ189" s="56">
        <v>0</v>
      </c>
      <c r="DA189" s="56">
        <v>0</v>
      </c>
      <c r="DB189" s="56">
        <v>0</v>
      </c>
      <c r="DC189" s="56">
        <v>0</v>
      </c>
      <c r="DD189" s="56">
        <v>0</v>
      </c>
      <c r="DE189" s="56">
        <v>0</v>
      </c>
      <c r="DF189" s="56">
        <v>0</v>
      </c>
      <c r="DG189" s="56">
        <v>0</v>
      </c>
      <c r="DH189" s="56">
        <v>0</v>
      </c>
      <c r="DI189" s="56">
        <v>0</v>
      </c>
      <c r="DJ189" s="56">
        <v>0</v>
      </c>
      <c r="DK189" s="56">
        <v>0</v>
      </c>
      <c r="DL189" s="56">
        <v>0</v>
      </c>
      <c r="DM189" s="56">
        <v>0</v>
      </c>
      <c r="DN189" s="56">
        <v>0</v>
      </c>
      <c r="DO189" s="56">
        <v>0</v>
      </c>
      <c r="DP189" s="56">
        <v>0</v>
      </c>
      <c r="DQ189" s="56">
        <v>0</v>
      </c>
      <c r="DR189" s="56">
        <v>0</v>
      </c>
      <c r="DS189" s="56">
        <v>0</v>
      </c>
      <c r="DT189" s="56">
        <v>0</v>
      </c>
      <c r="DU189" s="56">
        <v>0</v>
      </c>
      <c r="DV189" s="56">
        <v>0</v>
      </c>
      <c r="DW189" s="56">
        <v>0</v>
      </c>
      <c r="DX189" s="56">
        <v>0</v>
      </c>
      <c r="DY189" s="56">
        <v>0</v>
      </c>
      <c r="DZ189" s="56">
        <v>0</v>
      </c>
      <c r="EA189" s="56">
        <v>0</v>
      </c>
      <c r="EB189" s="56">
        <v>0</v>
      </c>
      <c r="EC189" s="56">
        <v>0</v>
      </c>
      <c r="ED189" s="56">
        <v>0</v>
      </c>
      <c r="EE189" s="56">
        <v>0</v>
      </c>
      <c r="EF189" s="56">
        <v>0</v>
      </c>
      <c r="EG189" s="56">
        <v>0</v>
      </c>
      <c r="EH189" s="56">
        <v>150.62</v>
      </c>
      <c r="EI189" s="56">
        <v>0</v>
      </c>
      <c r="EJ189" s="56">
        <v>0</v>
      </c>
      <c r="EK189" s="56">
        <v>0</v>
      </c>
      <c r="EL189" s="56">
        <v>0</v>
      </c>
      <c r="EM189" s="56">
        <v>0</v>
      </c>
      <c r="EN189" s="56">
        <v>0</v>
      </c>
      <c r="EO189" s="56">
        <v>0</v>
      </c>
      <c r="EP189" s="56">
        <v>0</v>
      </c>
      <c r="EQ189" s="56">
        <v>0</v>
      </c>
      <c r="ER189" s="56">
        <v>0</v>
      </c>
      <c r="ES189" s="56">
        <v>0</v>
      </c>
      <c r="ET189" s="56">
        <v>0</v>
      </c>
      <c r="EU189" s="56">
        <v>0</v>
      </c>
      <c r="EV189" s="56">
        <v>0</v>
      </c>
      <c r="EW189" s="56">
        <v>0</v>
      </c>
      <c r="EX189" s="56">
        <v>0</v>
      </c>
      <c r="EY189" s="56">
        <v>0</v>
      </c>
      <c r="EZ189" s="56">
        <v>0</v>
      </c>
      <c r="FA189" s="56">
        <v>0</v>
      </c>
      <c r="FB189" s="56">
        <v>0</v>
      </c>
      <c r="FC189" s="58">
        <v>0</v>
      </c>
      <c r="FD189" s="56">
        <v>0</v>
      </c>
      <c r="FE189" s="56">
        <v>0</v>
      </c>
      <c r="FF189" s="56">
        <v>0</v>
      </c>
      <c r="FG189" s="56">
        <v>0</v>
      </c>
      <c r="FH189" s="56">
        <v>0</v>
      </c>
      <c r="FI189" s="56">
        <v>0</v>
      </c>
      <c r="FJ189" s="56">
        <v>0</v>
      </c>
      <c r="FK189" s="56">
        <v>0</v>
      </c>
      <c r="FL189" s="56">
        <v>0</v>
      </c>
      <c r="FM189" s="56">
        <v>0</v>
      </c>
      <c r="FN189" s="56">
        <v>0</v>
      </c>
      <c r="FO189" s="56">
        <v>0</v>
      </c>
      <c r="FP189" s="56">
        <v>0</v>
      </c>
      <c r="FQ189" s="56">
        <v>0</v>
      </c>
      <c r="FR189" s="56">
        <v>0</v>
      </c>
      <c r="FS189" s="58">
        <v>0</v>
      </c>
      <c r="FT189" s="56">
        <v>0</v>
      </c>
      <c r="FU189" s="56">
        <v>0</v>
      </c>
      <c r="FV189" s="56">
        <v>0</v>
      </c>
      <c r="FW189" s="56">
        <v>0</v>
      </c>
      <c r="FX189" s="56">
        <v>0</v>
      </c>
      <c r="FY189" s="56">
        <v>0</v>
      </c>
      <c r="FZ189" s="54" t="s">
        <v>1083</v>
      </c>
      <c r="GA189" s="54" t="s">
        <v>1084</v>
      </c>
      <c r="GB189" s="54" t="s">
        <v>1072</v>
      </c>
      <c r="GC189" s="54" t="s">
        <v>1073</v>
      </c>
      <c r="GD189" s="54" t="s">
        <v>1265</v>
      </c>
      <c r="GE189" s="54" t="s">
        <v>1201</v>
      </c>
      <c r="GF189" s="54"/>
      <c r="GG189" s="55"/>
      <c r="GH189" s="54"/>
      <c r="GI189" s="54"/>
      <c r="GJ189" s="54" t="s">
        <v>1076</v>
      </c>
      <c r="GK189" s="54" t="s">
        <v>1077</v>
      </c>
      <c r="GL189" s="54"/>
      <c r="GM189" s="54"/>
      <c r="GN189" s="54" t="s">
        <v>1208</v>
      </c>
      <c r="GO189" s="54" t="s">
        <v>1209</v>
      </c>
      <c r="GP189" s="54"/>
      <c r="GQ189" s="56">
        <v>0</v>
      </c>
      <c r="GR189" s="54" t="s">
        <v>1210</v>
      </c>
      <c r="GS189" s="54"/>
    </row>
    <row r="190" spans="1:201" x14ac:dyDescent="0.25">
      <c r="A190" s="54" t="s">
        <v>1032</v>
      </c>
      <c r="B190" s="54" t="s">
        <v>1033</v>
      </c>
      <c r="C190" s="54" t="s">
        <v>1249</v>
      </c>
      <c r="D190" s="54" t="s">
        <v>1035</v>
      </c>
      <c r="E190" s="54" t="s">
        <v>1036</v>
      </c>
      <c r="F190" s="55">
        <v>46185</v>
      </c>
      <c r="G190" s="55">
        <v>46185</v>
      </c>
      <c r="H190" s="54" t="s">
        <v>1037</v>
      </c>
      <c r="I190" s="54" t="s">
        <v>1038</v>
      </c>
      <c r="J190" s="54" t="s">
        <v>1039</v>
      </c>
      <c r="K190" s="55"/>
      <c r="L190" s="54" t="s">
        <v>1040</v>
      </c>
      <c r="M190" s="54"/>
      <c r="N190" s="54" t="s">
        <v>1250</v>
      </c>
      <c r="O190" s="54" t="s">
        <v>1159</v>
      </c>
      <c r="P190" s="54" t="s">
        <v>329</v>
      </c>
      <c r="Q190" s="54" t="s">
        <v>330</v>
      </c>
      <c r="R190" s="54" t="s">
        <v>1043</v>
      </c>
      <c r="S190" s="56">
        <v>1118</v>
      </c>
      <c r="T190" s="56">
        <v>1118</v>
      </c>
      <c r="U190" s="56">
        <v>0</v>
      </c>
      <c r="V190" s="56">
        <v>0</v>
      </c>
      <c r="W190" s="56">
        <v>0</v>
      </c>
      <c r="X190" s="56">
        <v>0</v>
      </c>
      <c r="Y190" s="56">
        <v>0</v>
      </c>
      <c r="Z190" s="56">
        <v>200</v>
      </c>
      <c r="AA190" s="56">
        <v>200</v>
      </c>
      <c r="AB190" s="59">
        <v>0</v>
      </c>
      <c r="AC190" s="56">
        <v>0</v>
      </c>
      <c r="AD190" s="56">
        <v>0</v>
      </c>
      <c r="AE190" s="56">
        <v>0</v>
      </c>
      <c r="AF190" s="54" t="s">
        <v>1199</v>
      </c>
      <c r="AG190" s="57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 t="s">
        <v>1045</v>
      </c>
      <c r="AS190" s="54" t="s">
        <v>1046</v>
      </c>
      <c r="AT190" s="54" t="s">
        <v>1047</v>
      </c>
      <c r="AU190" s="54" t="s">
        <v>1048</v>
      </c>
      <c r="AV190" s="54"/>
      <c r="AW190" s="55">
        <v>46198</v>
      </c>
      <c r="AX190" s="55">
        <v>46185</v>
      </c>
      <c r="AY190" s="55">
        <v>46185</v>
      </c>
      <c r="AZ190" s="55">
        <v>46188</v>
      </c>
      <c r="BA190" s="55">
        <v>46198</v>
      </c>
      <c r="BB190" s="56">
        <v>0</v>
      </c>
      <c r="BC190" s="56">
        <v>0</v>
      </c>
      <c r="BD190" s="56">
        <v>0</v>
      </c>
      <c r="BE190" s="56">
        <v>0</v>
      </c>
      <c r="BF190" s="56">
        <v>0</v>
      </c>
      <c r="BG190" s="56">
        <v>0</v>
      </c>
      <c r="BH190" s="56">
        <v>0</v>
      </c>
      <c r="BI190" s="56">
        <v>0</v>
      </c>
      <c r="BJ190" s="56">
        <v>0</v>
      </c>
      <c r="BK190" s="56">
        <v>0</v>
      </c>
      <c r="BL190" s="56">
        <v>0</v>
      </c>
      <c r="BM190" s="56">
        <v>0</v>
      </c>
      <c r="BN190" s="56">
        <v>0</v>
      </c>
      <c r="BO190" s="56">
        <v>0</v>
      </c>
      <c r="BP190" s="54" t="s">
        <v>1049</v>
      </c>
      <c r="BQ190" s="54" t="s">
        <v>1050</v>
      </c>
      <c r="BR190" s="54" t="s">
        <v>1049</v>
      </c>
      <c r="BS190" s="54" t="s">
        <v>1050</v>
      </c>
      <c r="BT190" s="54" t="s">
        <v>1051</v>
      </c>
      <c r="BU190" s="54" t="s">
        <v>1043</v>
      </c>
      <c r="BV190" s="58">
        <v>200</v>
      </c>
      <c r="BW190" s="54" t="s">
        <v>1052</v>
      </c>
      <c r="BX190" s="54" t="s">
        <v>1053</v>
      </c>
      <c r="BY190" s="54" t="s">
        <v>1054</v>
      </c>
      <c r="BZ190" s="54" t="s">
        <v>1055</v>
      </c>
      <c r="CA190" s="55"/>
      <c r="CB190" s="54" t="s">
        <v>1056</v>
      </c>
      <c r="CC190" s="54" t="s">
        <v>1057</v>
      </c>
      <c r="CD190" s="54" t="s">
        <v>1200</v>
      </c>
      <c r="CE190" s="54" t="s">
        <v>1201</v>
      </c>
      <c r="CF190" s="54" t="s">
        <v>1202</v>
      </c>
      <c r="CG190" s="54" t="s">
        <v>1203</v>
      </c>
      <c r="CH190" s="54" t="s">
        <v>1204</v>
      </c>
      <c r="CI190" s="54" t="s">
        <v>1203</v>
      </c>
      <c r="CJ190" s="54" t="s">
        <v>1064</v>
      </c>
      <c r="CK190" s="54" t="s">
        <v>1065</v>
      </c>
      <c r="CL190" s="54" t="s">
        <v>1205</v>
      </c>
      <c r="CM190" s="54" t="s">
        <v>1206</v>
      </c>
      <c r="CN190" s="54" t="s">
        <v>1068</v>
      </c>
      <c r="CO190" s="54" t="s">
        <v>1069</v>
      </c>
      <c r="CP190" s="56">
        <v>0</v>
      </c>
      <c r="CQ190" s="56">
        <v>0</v>
      </c>
      <c r="CR190" s="56">
        <v>0</v>
      </c>
      <c r="CS190" s="56">
        <v>0</v>
      </c>
      <c r="CT190" s="56">
        <v>0</v>
      </c>
      <c r="CU190" s="56">
        <v>0</v>
      </c>
      <c r="CV190" s="56">
        <v>0</v>
      </c>
      <c r="CW190" s="56">
        <v>0</v>
      </c>
      <c r="CX190" s="56">
        <v>0</v>
      </c>
      <c r="CY190" s="56">
        <v>0</v>
      </c>
      <c r="CZ190" s="56">
        <v>0</v>
      </c>
      <c r="DA190" s="56">
        <v>0</v>
      </c>
      <c r="DB190" s="56">
        <v>0</v>
      </c>
      <c r="DC190" s="56">
        <v>0</v>
      </c>
      <c r="DD190" s="56">
        <v>0</v>
      </c>
      <c r="DE190" s="56">
        <v>0</v>
      </c>
      <c r="DF190" s="56">
        <v>0</v>
      </c>
      <c r="DG190" s="56">
        <v>0</v>
      </c>
      <c r="DH190" s="56">
        <v>0</v>
      </c>
      <c r="DI190" s="56">
        <v>0</v>
      </c>
      <c r="DJ190" s="56">
        <v>0</v>
      </c>
      <c r="DK190" s="56">
        <v>0</v>
      </c>
      <c r="DL190" s="56">
        <v>0</v>
      </c>
      <c r="DM190" s="56">
        <v>0</v>
      </c>
      <c r="DN190" s="56">
        <v>0</v>
      </c>
      <c r="DO190" s="56">
        <v>0</v>
      </c>
      <c r="DP190" s="56">
        <v>0</v>
      </c>
      <c r="DQ190" s="56">
        <v>0</v>
      </c>
      <c r="DR190" s="56">
        <v>0</v>
      </c>
      <c r="DS190" s="56">
        <v>0</v>
      </c>
      <c r="DT190" s="56">
        <v>0</v>
      </c>
      <c r="DU190" s="56">
        <v>0</v>
      </c>
      <c r="DV190" s="56">
        <v>0</v>
      </c>
      <c r="DW190" s="56">
        <v>0</v>
      </c>
      <c r="DX190" s="56">
        <v>0</v>
      </c>
      <c r="DY190" s="56">
        <v>0</v>
      </c>
      <c r="DZ190" s="56">
        <v>0</v>
      </c>
      <c r="EA190" s="56">
        <v>0</v>
      </c>
      <c r="EB190" s="56">
        <v>0</v>
      </c>
      <c r="EC190" s="56">
        <v>0</v>
      </c>
      <c r="ED190" s="56">
        <v>0</v>
      </c>
      <c r="EE190" s="56">
        <v>0</v>
      </c>
      <c r="EF190" s="56">
        <v>0</v>
      </c>
      <c r="EG190" s="56">
        <v>0</v>
      </c>
      <c r="EH190" s="56">
        <v>134.16</v>
      </c>
      <c r="EI190" s="56">
        <v>0</v>
      </c>
      <c r="EJ190" s="56">
        <v>0</v>
      </c>
      <c r="EK190" s="56">
        <v>0</v>
      </c>
      <c r="EL190" s="56">
        <v>0</v>
      </c>
      <c r="EM190" s="56">
        <v>0</v>
      </c>
      <c r="EN190" s="56">
        <v>0</v>
      </c>
      <c r="EO190" s="56">
        <v>0</v>
      </c>
      <c r="EP190" s="56">
        <v>0</v>
      </c>
      <c r="EQ190" s="56">
        <v>0</v>
      </c>
      <c r="ER190" s="56">
        <v>0</v>
      </c>
      <c r="ES190" s="56">
        <v>0</v>
      </c>
      <c r="ET190" s="56">
        <v>0</v>
      </c>
      <c r="EU190" s="56">
        <v>0</v>
      </c>
      <c r="EV190" s="56">
        <v>0</v>
      </c>
      <c r="EW190" s="56">
        <v>0</v>
      </c>
      <c r="EX190" s="56">
        <v>0</v>
      </c>
      <c r="EY190" s="56">
        <v>0</v>
      </c>
      <c r="EZ190" s="56">
        <v>0</v>
      </c>
      <c r="FA190" s="56">
        <v>0</v>
      </c>
      <c r="FB190" s="56">
        <v>0</v>
      </c>
      <c r="FC190" s="58">
        <v>0</v>
      </c>
      <c r="FD190" s="56">
        <v>0</v>
      </c>
      <c r="FE190" s="56">
        <v>0</v>
      </c>
      <c r="FF190" s="56">
        <v>0</v>
      </c>
      <c r="FG190" s="56">
        <v>0</v>
      </c>
      <c r="FH190" s="56">
        <v>0</v>
      </c>
      <c r="FI190" s="56">
        <v>0</v>
      </c>
      <c r="FJ190" s="56">
        <v>0</v>
      </c>
      <c r="FK190" s="56">
        <v>0</v>
      </c>
      <c r="FL190" s="56">
        <v>0</v>
      </c>
      <c r="FM190" s="56">
        <v>0</v>
      </c>
      <c r="FN190" s="56">
        <v>0</v>
      </c>
      <c r="FO190" s="56">
        <v>0</v>
      </c>
      <c r="FP190" s="56">
        <v>0</v>
      </c>
      <c r="FQ190" s="56">
        <v>0</v>
      </c>
      <c r="FR190" s="56">
        <v>0</v>
      </c>
      <c r="FS190" s="58">
        <v>0</v>
      </c>
      <c r="FT190" s="56">
        <v>0</v>
      </c>
      <c r="FU190" s="56">
        <v>0</v>
      </c>
      <c r="FV190" s="56">
        <v>0</v>
      </c>
      <c r="FW190" s="56">
        <v>0</v>
      </c>
      <c r="FX190" s="56">
        <v>0</v>
      </c>
      <c r="FY190" s="56">
        <v>0</v>
      </c>
      <c r="FZ190" s="54" t="s">
        <v>1070</v>
      </c>
      <c r="GA190" s="54" t="s">
        <v>1071</v>
      </c>
      <c r="GB190" s="54" t="s">
        <v>1072</v>
      </c>
      <c r="GC190" s="54" t="s">
        <v>1073</v>
      </c>
      <c r="GD190" s="54" t="s">
        <v>1266</v>
      </c>
      <c r="GE190" s="54" t="s">
        <v>1201</v>
      </c>
      <c r="GF190" s="54"/>
      <c r="GG190" s="55"/>
      <c r="GH190" s="54"/>
      <c r="GI190" s="54"/>
      <c r="GJ190" s="54" t="s">
        <v>1076</v>
      </c>
      <c r="GK190" s="54" t="s">
        <v>1077</v>
      </c>
      <c r="GL190" s="54"/>
      <c r="GM190" s="54"/>
      <c r="GN190" s="54" t="s">
        <v>1208</v>
      </c>
      <c r="GO190" s="54" t="s">
        <v>1209</v>
      </c>
      <c r="GP190" s="54"/>
      <c r="GQ190" s="56">
        <v>0</v>
      </c>
      <c r="GR190" s="54" t="s">
        <v>1210</v>
      </c>
      <c r="GS190" s="54"/>
    </row>
    <row r="191" spans="1:201" x14ac:dyDescent="0.25">
      <c r="A191" s="54" t="s">
        <v>1032</v>
      </c>
      <c r="B191" s="54" t="s">
        <v>1033</v>
      </c>
      <c r="C191" s="54" t="s">
        <v>1249</v>
      </c>
      <c r="D191" s="54" t="s">
        <v>1035</v>
      </c>
      <c r="E191" s="54" t="s">
        <v>1036</v>
      </c>
      <c r="F191" s="55">
        <v>46185</v>
      </c>
      <c r="G191" s="55">
        <v>46185</v>
      </c>
      <c r="H191" s="54" t="s">
        <v>1037</v>
      </c>
      <c r="I191" s="54" t="s">
        <v>1038</v>
      </c>
      <c r="J191" s="54" t="s">
        <v>1039</v>
      </c>
      <c r="K191" s="55"/>
      <c r="L191" s="54" t="s">
        <v>1040</v>
      </c>
      <c r="M191" s="54"/>
      <c r="N191" s="54" t="s">
        <v>1250</v>
      </c>
      <c r="O191" s="54" t="s">
        <v>1161</v>
      </c>
      <c r="P191" s="54" t="s">
        <v>310</v>
      </c>
      <c r="Q191" s="54" t="s">
        <v>162</v>
      </c>
      <c r="R191" s="54" t="s">
        <v>1043</v>
      </c>
      <c r="S191" s="56">
        <v>1902.6</v>
      </c>
      <c r="T191" s="56">
        <v>1902.6</v>
      </c>
      <c r="U191" s="56">
        <v>0</v>
      </c>
      <c r="V191" s="56">
        <v>0</v>
      </c>
      <c r="W191" s="56">
        <v>0</v>
      </c>
      <c r="X191" s="56">
        <v>0</v>
      </c>
      <c r="Y191" s="56">
        <v>0</v>
      </c>
      <c r="Z191" s="56">
        <v>60</v>
      </c>
      <c r="AA191" s="56">
        <v>60</v>
      </c>
      <c r="AB191" s="59">
        <v>0</v>
      </c>
      <c r="AC191" s="56">
        <v>0</v>
      </c>
      <c r="AD191" s="56">
        <v>0</v>
      </c>
      <c r="AE191" s="56">
        <v>0</v>
      </c>
      <c r="AF191" s="54" t="s">
        <v>1199</v>
      </c>
      <c r="AG191" s="57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 t="s">
        <v>1045</v>
      </c>
      <c r="AS191" s="54" t="s">
        <v>1046</v>
      </c>
      <c r="AT191" s="54" t="s">
        <v>1047</v>
      </c>
      <c r="AU191" s="54" t="s">
        <v>1048</v>
      </c>
      <c r="AV191" s="54"/>
      <c r="AW191" s="55">
        <v>46198</v>
      </c>
      <c r="AX191" s="55">
        <v>46185</v>
      </c>
      <c r="AY191" s="55">
        <v>46185</v>
      </c>
      <c r="AZ191" s="55">
        <v>46188</v>
      </c>
      <c r="BA191" s="55">
        <v>46198</v>
      </c>
      <c r="BB191" s="56">
        <v>0</v>
      </c>
      <c r="BC191" s="56">
        <v>0</v>
      </c>
      <c r="BD191" s="56">
        <v>0</v>
      </c>
      <c r="BE191" s="56">
        <v>0</v>
      </c>
      <c r="BF191" s="56">
        <v>0</v>
      </c>
      <c r="BG191" s="56">
        <v>0</v>
      </c>
      <c r="BH191" s="56">
        <v>0</v>
      </c>
      <c r="BI191" s="56">
        <v>0</v>
      </c>
      <c r="BJ191" s="56">
        <v>0</v>
      </c>
      <c r="BK191" s="56">
        <v>0</v>
      </c>
      <c r="BL191" s="56">
        <v>0</v>
      </c>
      <c r="BM191" s="56">
        <v>0</v>
      </c>
      <c r="BN191" s="56">
        <v>0</v>
      </c>
      <c r="BO191" s="56">
        <v>0</v>
      </c>
      <c r="BP191" s="54" t="s">
        <v>1049</v>
      </c>
      <c r="BQ191" s="54" t="s">
        <v>1050</v>
      </c>
      <c r="BR191" s="54" t="s">
        <v>1049</v>
      </c>
      <c r="BS191" s="54" t="s">
        <v>1050</v>
      </c>
      <c r="BT191" s="54" t="s">
        <v>1051</v>
      </c>
      <c r="BU191" s="54" t="s">
        <v>1043</v>
      </c>
      <c r="BV191" s="58">
        <v>60</v>
      </c>
      <c r="BW191" s="54" t="s">
        <v>1052</v>
      </c>
      <c r="BX191" s="54" t="s">
        <v>1053</v>
      </c>
      <c r="BY191" s="54" t="s">
        <v>1054</v>
      </c>
      <c r="BZ191" s="54" t="s">
        <v>1055</v>
      </c>
      <c r="CA191" s="55"/>
      <c r="CB191" s="54" t="s">
        <v>1056</v>
      </c>
      <c r="CC191" s="54" t="s">
        <v>1057</v>
      </c>
      <c r="CD191" s="54" t="s">
        <v>1200</v>
      </c>
      <c r="CE191" s="54" t="s">
        <v>1201</v>
      </c>
      <c r="CF191" s="54" t="s">
        <v>1202</v>
      </c>
      <c r="CG191" s="54" t="s">
        <v>1203</v>
      </c>
      <c r="CH191" s="54" t="s">
        <v>1204</v>
      </c>
      <c r="CI191" s="54" t="s">
        <v>1203</v>
      </c>
      <c r="CJ191" s="54" t="s">
        <v>1064</v>
      </c>
      <c r="CK191" s="54" t="s">
        <v>1065</v>
      </c>
      <c r="CL191" s="54" t="s">
        <v>1205</v>
      </c>
      <c r="CM191" s="54" t="s">
        <v>1206</v>
      </c>
      <c r="CN191" s="54" t="s">
        <v>1068</v>
      </c>
      <c r="CO191" s="54" t="s">
        <v>1069</v>
      </c>
      <c r="CP191" s="56">
        <v>0</v>
      </c>
      <c r="CQ191" s="56">
        <v>0</v>
      </c>
      <c r="CR191" s="56">
        <v>0</v>
      </c>
      <c r="CS191" s="56">
        <v>0</v>
      </c>
      <c r="CT191" s="56">
        <v>0</v>
      </c>
      <c r="CU191" s="56">
        <v>0</v>
      </c>
      <c r="CV191" s="56">
        <v>0</v>
      </c>
      <c r="CW191" s="56">
        <v>0</v>
      </c>
      <c r="CX191" s="56">
        <v>0</v>
      </c>
      <c r="CY191" s="56">
        <v>0</v>
      </c>
      <c r="CZ191" s="56">
        <v>0</v>
      </c>
      <c r="DA191" s="56">
        <v>0</v>
      </c>
      <c r="DB191" s="56">
        <v>0</v>
      </c>
      <c r="DC191" s="56">
        <v>0</v>
      </c>
      <c r="DD191" s="56">
        <v>0</v>
      </c>
      <c r="DE191" s="56">
        <v>0</v>
      </c>
      <c r="DF191" s="56">
        <v>0</v>
      </c>
      <c r="DG191" s="56">
        <v>0</v>
      </c>
      <c r="DH191" s="56">
        <v>0</v>
      </c>
      <c r="DI191" s="56">
        <v>0</v>
      </c>
      <c r="DJ191" s="56">
        <v>0</v>
      </c>
      <c r="DK191" s="56">
        <v>0</v>
      </c>
      <c r="DL191" s="56">
        <v>0</v>
      </c>
      <c r="DM191" s="56">
        <v>0</v>
      </c>
      <c r="DN191" s="56">
        <v>0</v>
      </c>
      <c r="DO191" s="56">
        <v>0</v>
      </c>
      <c r="DP191" s="56">
        <v>0</v>
      </c>
      <c r="DQ191" s="56">
        <v>0</v>
      </c>
      <c r="DR191" s="56">
        <v>0</v>
      </c>
      <c r="DS191" s="56">
        <v>0</v>
      </c>
      <c r="DT191" s="56">
        <v>0</v>
      </c>
      <c r="DU191" s="56">
        <v>0</v>
      </c>
      <c r="DV191" s="56">
        <v>0</v>
      </c>
      <c r="DW191" s="56">
        <v>0</v>
      </c>
      <c r="DX191" s="56">
        <v>0</v>
      </c>
      <c r="DY191" s="56">
        <v>0</v>
      </c>
      <c r="DZ191" s="56">
        <v>0</v>
      </c>
      <c r="EA191" s="56">
        <v>0</v>
      </c>
      <c r="EB191" s="56">
        <v>0</v>
      </c>
      <c r="EC191" s="56">
        <v>0</v>
      </c>
      <c r="ED191" s="56">
        <v>0</v>
      </c>
      <c r="EE191" s="56">
        <v>0</v>
      </c>
      <c r="EF191" s="56">
        <v>0</v>
      </c>
      <c r="EG191" s="56">
        <v>0</v>
      </c>
      <c r="EH191" s="56">
        <v>228.31</v>
      </c>
      <c r="EI191" s="56">
        <v>0</v>
      </c>
      <c r="EJ191" s="56">
        <v>0</v>
      </c>
      <c r="EK191" s="56">
        <v>0</v>
      </c>
      <c r="EL191" s="56">
        <v>0</v>
      </c>
      <c r="EM191" s="56">
        <v>0</v>
      </c>
      <c r="EN191" s="56">
        <v>0</v>
      </c>
      <c r="EO191" s="56">
        <v>0</v>
      </c>
      <c r="EP191" s="56">
        <v>0</v>
      </c>
      <c r="EQ191" s="56">
        <v>0</v>
      </c>
      <c r="ER191" s="56">
        <v>0</v>
      </c>
      <c r="ES191" s="56">
        <v>0</v>
      </c>
      <c r="ET191" s="56">
        <v>0</v>
      </c>
      <c r="EU191" s="56">
        <v>0</v>
      </c>
      <c r="EV191" s="56">
        <v>0</v>
      </c>
      <c r="EW191" s="56">
        <v>0</v>
      </c>
      <c r="EX191" s="56">
        <v>0</v>
      </c>
      <c r="EY191" s="56">
        <v>0</v>
      </c>
      <c r="EZ191" s="56">
        <v>0</v>
      </c>
      <c r="FA191" s="56">
        <v>0</v>
      </c>
      <c r="FB191" s="56">
        <v>0</v>
      </c>
      <c r="FC191" s="58">
        <v>0</v>
      </c>
      <c r="FD191" s="56">
        <v>0</v>
      </c>
      <c r="FE191" s="56">
        <v>0</v>
      </c>
      <c r="FF191" s="56">
        <v>0</v>
      </c>
      <c r="FG191" s="56">
        <v>0</v>
      </c>
      <c r="FH191" s="56">
        <v>0</v>
      </c>
      <c r="FI191" s="56">
        <v>0</v>
      </c>
      <c r="FJ191" s="56">
        <v>0</v>
      </c>
      <c r="FK191" s="56">
        <v>0</v>
      </c>
      <c r="FL191" s="56">
        <v>0</v>
      </c>
      <c r="FM191" s="56">
        <v>0</v>
      </c>
      <c r="FN191" s="56">
        <v>0</v>
      </c>
      <c r="FO191" s="56">
        <v>0</v>
      </c>
      <c r="FP191" s="56">
        <v>0</v>
      </c>
      <c r="FQ191" s="56">
        <v>0</v>
      </c>
      <c r="FR191" s="56">
        <v>0</v>
      </c>
      <c r="FS191" s="58">
        <v>0</v>
      </c>
      <c r="FT191" s="56">
        <v>0</v>
      </c>
      <c r="FU191" s="56">
        <v>0</v>
      </c>
      <c r="FV191" s="56">
        <v>0</v>
      </c>
      <c r="FW191" s="56">
        <v>0</v>
      </c>
      <c r="FX191" s="56">
        <v>0</v>
      </c>
      <c r="FY191" s="56">
        <v>0</v>
      </c>
      <c r="FZ191" s="54" t="s">
        <v>1070</v>
      </c>
      <c r="GA191" s="54" t="s">
        <v>1071</v>
      </c>
      <c r="GB191" s="54" t="s">
        <v>1072</v>
      </c>
      <c r="GC191" s="54" t="s">
        <v>1073</v>
      </c>
      <c r="GD191" s="54" t="s">
        <v>1240</v>
      </c>
      <c r="GE191" s="54" t="s">
        <v>1201</v>
      </c>
      <c r="GF191" s="54"/>
      <c r="GG191" s="55"/>
      <c r="GH191" s="54"/>
      <c r="GI191" s="54"/>
      <c r="GJ191" s="54" t="s">
        <v>1076</v>
      </c>
      <c r="GK191" s="54" t="s">
        <v>1077</v>
      </c>
      <c r="GL191" s="54"/>
      <c r="GM191" s="54"/>
      <c r="GN191" s="54" t="s">
        <v>1208</v>
      </c>
      <c r="GO191" s="54" t="s">
        <v>1209</v>
      </c>
      <c r="GP191" s="54"/>
      <c r="GQ191" s="56">
        <v>0</v>
      </c>
      <c r="GR191" s="54" t="s">
        <v>1210</v>
      </c>
      <c r="GS191" s="54"/>
    </row>
    <row r="192" spans="1:201" x14ac:dyDescent="0.25">
      <c r="A192" s="54" t="s">
        <v>1032</v>
      </c>
      <c r="B192" s="54" t="s">
        <v>1033</v>
      </c>
      <c r="C192" s="54" t="s">
        <v>1249</v>
      </c>
      <c r="D192" s="54" t="s">
        <v>1035</v>
      </c>
      <c r="E192" s="54" t="s">
        <v>1036</v>
      </c>
      <c r="F192" s="55">
        <v>46185</v>
      </c>
      <c r="G192" s="55">
        <v>46185</v>
      </c>
      <c r="H192" s="54" t="s">
        <v>1037</v>
      </c>
      <c r="I192" s="54" t="s">
        <v>1038</v>
      </c>
      <c r="J192" s="54" t="s">
        <v>1039</v>
      </c>
      <c r="K192" s="55"/>
      <c r="L192" s="54" t="s">
        <v>1040</v>
      </c>
      <c r="M192" s="54"/>
      <c r="N192" s="54" t="s">
        <v>1250</v>
      </c>
      <c r="O192" s="54" t="s">
        <v>1162</v>
      </c>
      <c r="P192" s="54" t="s">
        <v>421</v>
      </c>
      <c r="Q192" s="54" t="s">
        <v>422</v>
      </c>
      <c r="R192" s="54" t="s">
        <v>1043</v>
      </c>
      <c r="S192" s="56">
        <v>1743.71</v>
      </c>
      <c r="T192" s="56">
        <v>0</v>
      </c>
      <c r="U192" s="56">
        <v>1743.71</v>
      </c>
      <c r="V192" s="56">
        <v>0</v>
      </c>
      <c r="W192" s="56">
        <v>0</v>
      </c>
      <c r="X192" s="56">
        <v>0</v>
      </c>
      <c r="Y192" s="56">
        <v>0</v>
      </c>
      <c r="Z192" s="56">
        <v>127</v>
      </c>
      <c r="AA192" s="56">
        <v>0</v>
      </c>
      <c r="AB192" s="59">
        <v>127</v>
      </c>
      <c r="AC192" s="56">
        <v>0</v>
      </c>
      <c r="AD192" s="56">
        <v>0</v>
      </c>
      <c r="AE192" s="56">
        <v>0</v>
      </c>
      <c r="AF192" s="54" t="s">
        <v>1199</v>
      </c>
      <c r="AG192" s="57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 t="s">
        <v>1045</v>
      </c>
      <c r="AS192" s="54" t="s">
        <v>1046</v>
      </c>
      <c r="AT192" s="54" t="s">
        <v>1047</v>
      </c>
      <c r="AU192" s="54" t="s">
        <v>1048</v>
      </c>
      <c r="AV192" s="54"/>
      <c r="AW192" s="55">
        <v>46198</v>
      </c>
      <c r="AX192" s="55">
        <v>46185</v>
      </c>
      <c r="AY192" s="55">
        <v>46185</v>
      </c>
      <c r="AZ192" s="55"/>
      <c r="BA192" s="55">
        <v>46198</v>
      </c>
      <c r="BB192" s="56">
        <v>0</v>
      </c>
      <c r="BC192" s="56">
        <v>0</v>
      </c>
      <c r="BD192" s="56">
        <v>0</v>
      </c>
      <c r="BE192" s="56">
        <v>0</v>
      </c>
      <c r="BF192" s="56">
        <v>0</v>
      </c>
      <c r="BG192" s="56">
        <v>0</v>
      </c>
      <c r="BH192" s="56">
        <v>0</v>
      </c>
      <c r="BI192" s="56">
        <v>0</v>
      </c>
      <c r="BJ192" s="56">
        <v>0</v>
      </c>
      <c r="BK192" s="56">
        <v>0</v>
      </c>
      <c r="BL192" s="56">
        <v>0</v>
      </c>
      <c r="BM192" s="56">
        <v>0</v>
      </c>
      <c r="BN192" s="56">
        <v>0</v>
      </c>
      <c r="BO192" s="56">
        <v>0</v>
      </c>
      <c r="BP192" s="54" t="s">
        <v>1049</v>
      </c>
      <c r="BQ192" s="54" t="s">
        <v>1050</v>
      </c>
      <c r="BR192" s="54" t="s">
        <v>1049</v>
      </c>
      <c r="BS192" s="54" t="s">
        <v>1050</v>
      </c>
      <c r="BT192" s="54" t="s">
        <v>1051</v>
      </c>
      <c r="BU192" s="54" t="s">
        <v>1043</v>
      </c>
      <c r="BV192" s="58">
        <v>0</v>
      </c>
      <c r="BW192" s="54" t="s">
        <v>1052</v>
      </c>
      <c r="BX192" s="54" t="s">
        <v>1053</v>
      </c>
      <c r="BY192" s="54" t="s">
        <v>1054</v>
      </c>
      <c r="BZ192" s="54" t="s">
        <v>1055</v>
      </c>
      <c r="CA192" s="55"/>
      <c r="CB192" s="54" t="s">
        <v>1056</v>
      </c>
      <c r="CC192" s="54" t="s">
        <v>1057</v>
      </c>
      <c r="CD192" s="54" t="s">
        <v>1200</v>
      </c>
      <c r="CE192" s="54" t="s">
        <v>1201</v>
      </c>
      <c r="CF192" s="54" t="s">
        <v>1202</v>
      </c>
      <c r="CG192" s="54" t="s">
        <v>1203</v>
      </c>
      <c r="CH192" s="54" t="s">
        <v>1204</v>
      </c>
      <c r="CI192" s="54" t="s">
        <v>1203</v>
      </c>
      <c r="CJ192" s="54" t="s">
        <v>1064</v>
      </c>
      <c r="CK192" s="54" t="s">
        <v>1065</v>
      </c>
      <c r="CL192" s="54" t="s">
        <v>1205</v>
      </c>
      <c r="CM192" s="54" t="s">
        <v>1206</v>
      </c>
      <c r="CN192" s="54" t="s">
        <v>1068</v>
      </c>
      <c r="CO192" s="54" t="s">
        <v>1069</v>
      </c>
      <c r="CP192" s="56">
        <v>0</v>
      </c>
      <c r="CQ192" s="56">
        <v>0</v>
      </c>
      <c r="CR192" s="56">
        <v>0</v>
      </c>
      <c r="CS192" s="56">
        <v>0</v>
      </c>
      <c r="CT192" s="56">
        <v>0</v>
      </c>
      <c r="CU192" s="56">
        <v>0</v>
      </c>
      <c r="CV192" s="56">
        <v>0</v>
      </c>
      <c r="CW192" s="56">
        <v>0</v>
      </c>
      <c r="CX192" s="56">
        <v>0</v>
      </c>
      <c r="CY192" s="56">
        <v>0</v>
      </c>
      <c r="CZ192" s="56">
        <v>0</v>
      </c>
      <c r="DA192" s="56">
        <v>0</v>
      </c>
      <c r="DB192" s="56">
        <v>0</v>
      </c>
      <c r="DC192" s="56">
        <v>0</v>
      </c>
      <c r="DD192" s="56">
        <v>0</v>
      </c>
      <c r="DE192" s="56">
        <v>0</v>
      </c>
      <c r="DF192" s="56">
        <v>0</v>
      </c>
      <c r="DG192" s="56">
        <v>0</v>
      </c>
      <c r="DH192" s="56">
        <v>0</v>
      </c>
      <c r="DI192" s="56">
        <v>0</v>
      </c>
      <c r="DJ192" s="56">
        <v>0</v>
      </c>
      <c r="DK192" s="56">
        <v>0</v>
      </c>
      <c r="DL192" s="56">
        <v>0</v>
      </c>
      <c r="DM192" s="56">
        <v>0</v>
      </c>
      <c r="DN192" s="56">
        <v>0</v>
      </c>
      <c r="DO192" s="56">
        <v>0</v>
      </c>
      <c r="DP192" s="56">
        <v>0</v>
      </c>
      <c r="DQ192" s="56">
        <v>0</v>
      </c>
      <c r="DR192" s="56">
        <v>0</v>
      </c>
      <c r="DS192" s="56">
        <v>0</v>
      </c>
      <c r="DT192" s="56">
        <v>0</v>
      </c>
      <c r="DU192" s="56">
        <v>0</v>
      </c>
      <c r="DV192" s="56">
        <v>0</v>
      </c>
      <c r="DW192" s="56">
        <v>0</v>
      </c>
      <c r="DX192" s="56">
        <v>0</v>
      </c>
      <c r="DY192" s="56">
        <v>0</v>
      </c>
      <c r="DZ192" s="56">
        <v>0</v>
      </c>
      <c r="EA192" s="56">
        <v>0</v>
      </c>
      <c r="EB192" s="56">
        <v>0</v>
      </c>
      <c r="EC192" s="56">
        <v>209.25</v>
      </c>
      <c r="ED192" s="56">
        <v>0</v>
      </c>
      <c r="EE192" s="56">
        <v>0</v>
      </c>
      <c r="EF192" s="56">
        <v>0</v>
      </c>
      <c r="EG192" s="56">
        <v>0</v>
      </c>
      <c r="EH192" s="56">
        <v>209.25</v>
      </c>
      <c r="EI192" s="56">
        <v>0</v>
      </c>
      <c r="EJ192" s="56">
        <v>0</v>
      </c>
      <c r="EK192" s="56">
        <v>0</v>
      </c>
      <c r="EL192" s="56">
        <v>0</v>
      </c>
      <c r="EM192" s="56">
        <v>0</v>
      </c>
      <c r="EN192" s="56">
        <v>0</v>
      </c>
      <c r="EO192" s="56">
        <v>0</v>
      </c>
      <c r="EP192" s="56">
        <v>1743.71</v>
      </c>
      <c r="EQ192" s="56">
        <v>0</v>
      </c>
      <c r="ER192" s="56">
        <v>0</v>
      </c>
      <c r="ES192" s="56">
        <v>127</v>
      </c>
      <c r="ET192" s="56">
        <v>0</v>
      </c>
      <c r="EU192" s="56">
        <v>0</v>
      </c>
      <c r="EV192" s="56">
        <v>0</v>
      </c>
      <c r="EW192" s="56">
        <v>0</v>
      </c>
      <c r="EX192" s="56">
        <v>0</v>
      </c>
      <c r="EY192" s="56">
        <v>0</v>
      </c>
      <c r="EZ192" s="56">
        <v>0</v>
      </c>
      <c r="FA192" s="56">
        <v>0</v>
      </c>
      <c r="FB192" s="56">
        <v>0</v>
      </c>
      <c r="FC192" s="58">
        <v>0</v>
      </c>
      <c r="FD192" s="56">
        <v>0</v>
      </c>
      <c r="FE192" s="56">
        <v>0</v>
      </c>
      <c r="FF192" s="56">
        <v>0</v>
      </c>
      <c r="FG192" s="56">
        <v>0</v>
      </c>
      <c r="FH192" s="56">
        <v>0</v>
      </c>
      <c r="FI192" s="56">
        <v>0</v>
      </c>
      <c r="FJ192" s="56">
        <v>0</v>
      </c>
      <c r="FK192" s="56">
        <v>0</v>
      </c>
      <c r="FL192" s="56">
        <v>0</v>
      </c>
      <c r="FM192" s="56">
        <v>0</v>
      </c>
      <c r="FN192" s="56">
        <v>0</v>
      </c>
      <c r="FO192" s="56">
        <v>0</v>
      </c>
      <c r="FP192" s="56">
        <v>0</v>
      </c>
      <c r="FQ192" s="56">
        <v>0</v>
      </c>
      <c r="FR192" s="56">
        <v>0</v>
      </c>
      <c r="FS192" s="58">
        <v>0</v>
      </c>
      <c r="FT192" s="56">
        <v>0</v>
      </c>
      <c r="FU192" s="56">
        <v>0</v>
      </c>
      <c r="FV192" s="56">
        <v>0</v>
      </c>
      <c r="FW192" s="56">
        <v>0</v>
      </c>
      <c r="FX192" s="56">
        <v>0</v>
      </c>
      <c r="FY192" s="56">
        <v>0</v>
      </c>
      <c r="FZ192" s="54" t="s">
        <v>1083</v>
      </c>
      <c r="GA192" s="54" t="s">
        <v>1084</v>
      </c>
      <c r="GB192" s="54" t="s">
        <v>1072</v>
      </c>
      <c r="GC192" s="54" t="s">
        <v>1073</v>
      </c>
      <c r="GD192" s="54"/>
      <c r="GE192" s="54"/>
      <c r="GF192" s="54" t="s">
        <v>1254</v>
      </c>
      <c r="GG192" s="55">
        <v>46205</v>
      </c>
      <c r="GH192" s="54"/>
      <c r="GI192" s="54"/>
      <c r="GJ192" s="54" t="s">
        <v>1076</v>
      </c>
      <c r="GK192" s="54" t="s">
        <v>1077</v>
      </c>
      <c r="GL192" s="54"/>
      <c r="GM192" s="54"/>
      <c r="GN192" s="54" t="s">
        <v>1208</v>
      </c>
      <c r="GO192" s="54" t="s">
        <v>1209</v>
      </c>
      <c r="GP192" s="54"/>
      <c r="GQ192" s="56">
        <v>0</v>
      </c>
      <c r="GR192" s="54" t="s">
        <v>1210</v>
      </c>
      <c r="GS192" s="54" t="s">
        <v>1101</v>
      </c>
    </row>
    <row r="193" spans="1:201" x14ac:dyDescent="0.25">
      <c r="A193" s="54" t="s">
        <v>1032</v>
      </c>
      <c r="B193" s="54" t="s">
        <v>1033</v>
      </c>
      <c r="C193" s="54" t="s">
        <v>1267</v>
      </c>
      <c r="D193" s="54" t="s">
        <v>1035</v>
      </c>
      <c r="E193" s="54" t="s">
        <v>1036</v>
      </c>
      <c r="F193" s="55">
        <v>46189</v>
      </c>
      <c r="G193" s="55">
        <v>46189</v>
      </c>
      <c r="H193" s="54" t="s">
        <v>1037</v>
      </c>
      <c r="I193" s="54" t="s">
        <v>1038</v>
      </c>
      <c r="J193" s="54" t="s">
        <v>1039</v>
      </c>
      <c r="K193" s="55"/>
      <c r="L193" s="54" t="s">
        <v>1040</v>
      </c>
      <c r="M193" s="54"/>
      <c r="N193" s="54" t="s">
        <v>1268</v>
      </c>
      <c r="O193" s="54" t="s">
        <v>1042</v>
      </c>
      <c r="P193" s="54" t="s">
        <v>827</v>
      </c>
      <c r="Q193" s="54" t="s">
        <v>829</v>
      </c>
      <c r="R193" s="54" t="s">
        <v>1043</v>
      </c>
      <c r="S193" s="56">
        <v>9907.92</v>
      </c>
      <c r="T193" s="56">
        <v>9907.92</v>
      </c>
      <c r="U193" s="56">
        <v>0</v>
      </c>
      <c r="V193" s="56">
        <v>0</v>
      </c>
      <c r="W193" s="56">
        <v>0</v>
      </c>
      <c r="X193" s="56">
        <v>0</v>
      </c>
      <c r="Y193" s="56">
        <v>0</v>
      </c>
      <c r="Z193" s="56">
        <v>216</v>
      </c>
      <c r="AA193" s="56">
        <v>216</v>
      </c>
      <c r="AB193" s="59">
        <v>0</v>
      </c>
      <c r="AC193" s="56">
        <v>0</v>
      </c>
      <c r="AD193" s="56">
        <v>0</v>
      </c>
      <c r="AE193" s="56">
        <v>0</v>
      </c>
      <c r="AF193" s="54" t="s">
        <v>1044</v>
      </c>
      <c r="AG193" s="57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 t="s">
        <v>461</v>
      </c>
      <c r="AR193" s="54" t="s">
        <v>1045</v>
      </c>
      <c r="AS193" s="54" t="s">
        <v>1046</v>
      </c>
      <c r="AT193" s="54" t="s">
        <v>1047</v>
      </c>
      <c r="AU193" s="54" t="s">
        <v>1048</v>
      </c>
      <c r="AV193" s="54"/>
      <c r="AW193" s="55">
        <v>46202</v>
      </c>
      <c r="AX193" s="55">
        <v>46189</v>
      </c>
      <c r="AY193" s="55">
        <v>46189</v>
      </c>
      <c r="AZ193" s="55"/>
      <c r="BA193" s="55">
        <v>46202</v>
      </c>
      <c r="BB193" s="56">
        <v>0</v>
      </c>
      <c r="BC193" s="56">
        <v>0</v>
      </c>
      <c r="BD193" s="56">
        <v>0</v>
      </c>
      <c r="BE193" s="56">
        <v>0</v>
      </c>
      <c r="BF193" s="56">
        <v>0</v>
      </c>
      <c r="BG193" s="56">
        <v>0</v>
      </c>
      <c r="BH193" s="56">
        <v>0</v>
      </c>
      <c r="BI193" s="56">
        <v>0</v>
      </c>
      <c r="BJ193" s="56">
        <v>0</v>
      </c>
      <c r="BK193" s="56">
        <v>0</v>
      </c>
      <c r="BL193" s="56">
        <v>0</v>
      </c>
      <c r="BM193" s="56">
        <v>0</v>
      </c>
      <c r="BN193" s="56">
        <v>0</v>
      </c>
      <c r="BO193" s="56">
        <v>0</v>
      </c>
      <c r="BP193" s="54" t="s">
        <v>1049</v>
      </c>
      <c r="BQ193" s="54" t="s">
        <v>1050</v>
      </c>
      <c r="BR193" s="54" t="s">
        <v>1049</v>
      </c>
      <c r="BS193" s="54" t="s">
        <v>1050</v>
      </c>
      <c r="BT193" s="54" t="s">
        <v>1051</v>
      </c>
      <c r="BU193" s="54" t="s">
        <v>1043</v>
      </c>
      <c r="BV193" s="58">
        <v>216</v>
      </c>
      <c r="BW193" s="54" t="s">
        <v>1052</v>
      </c>
      <c r="BX193" s="54" t="s">
        <v>1053</v>
      </c>
      <c r="BY193" s="54" t="s">
        <v>1054</v>
      </c>
      <c r="BZ193" s="54" t="s">
        <v>1055</v>
      </c>
      <c r="CA193" s="55"/>
      <c r="CB193" s="54" t="s">
        <v>1056</v>
      </c>
      <c r="CC193" s="54" t="s">
        <v>1057</v>
      </c>
      <c r="CD193" s="54" t="s">
        <v>1200</v>
      </c>
      <c r="CE193" s="54" t="s">
        <v>1201</v>
      </c>
      <c r="CF193" s="54" t="s">
        <v>1202</v>
      </c>
      <c r="CG193" s="54" t="s">
        <v>1203</v>
      </c>
      <c r="CH193" s="54" t="s">
        <v>1204</v>
      </c>
      <c r="CI193" s="54" t="s">
        <v>1203</v>
      </c>
      <c r="CJ193" s="54" t="s">
        <v>1064</v>
      </c>
      <c r="CK193" s="54" t="s">
        <v>1065</v>
      </c>
      <c r="CL193" s="54" t="s">
        <v>1205</v>
      </c>
      <c r="CM193" s="54" t="s">
        <v>1206</v>
      </c>
      <c r="CN193" s="54" t="s">
        <v>1068</v>
      </c>
      <c r="CO193" s="54" t="s">
        <v>1069</v>
      </c>
      <c r="CP193" s="56">
        <v>0</v>
      </c>
      <c r="CQ193" s="56">
        <v>0</v>
      </c>
      <c r="CR193" s="56">
        <v>0</v>
      </c>
      <c r="CS193" s="56">
        <v>0</v>
      </c>
      <c r="CT193" s="56">
        <v>0</v>
      </c>
      <c r="CU193" s="56">
        <v>0</v>
      </c>
      <c r="CV193" s="56">
        <v>0</v>
      </c>
      <c r="CW193" s="56">
        <v>0</v>
      </c>
      <c r="CX193" s="56">
        <v>0</v>
      </c>
      <c r="CY193" s="56">
        <v>0</v>
      </c>
      <c r="CZ193" s="56">
        <v>0</v>
      </c>
      <c r="DA193" s="56">
        <v>0</v>
      </c>
      <c r="DB193" s="56">
        <v>0</v>
      </c>
      <c r="DC193" s="56">
        <v>0</v>
      </c>
      <c r="DD193" s="56">
        <v>0</v>
      </c>
      <c r="DE193" s="56">
        <v>0</v>
      </c>
      <c r="DF193" s="56">
        <v>0</v>
      </c>
      <c r="DG193" s="56">
        <v>0</v>
      </c>
      <c r="DH193" s="56">
        <v>0</v>
      </c>
      <c r="DI193" s="56">
        <v>0</v>
      </c>
      <c r="DJ193" s="56">
        <v>0</v>
      </c>
      <c r="DK193" s="56">
        <v>0</v>
      </c>
      <c r="DL193" s="56">
        <v>0</v>
      </c>
      <c r="DM193" s="56">
        <v>0</v>
      </c>
      <c r="DN193" s="56">
        <v>0</v>
      </c>
      <c r="DO193" s="56">
        <v>0</v>
      </c>
      <c r="DP193" s="56">
        <v>0</v>
      </c>
      <c r="DQ193" s="56">
        <v>0</v>
      </c>
      <c r="DR193" s="56">
        <v>0</v>
      </c>
      <c r="DS193" s="56">
        <v>0</v>
      </c>
      <c r="DT193" s="56">
        <v>0</v>
      </c>
      <c r="DU193" s="56">
        <v>0</v>
      </c>
      <c r="DV193" s="56">
        <v>0</v>
      </c>
      <c r="DW193" s="56">
        <v>0</v>
      </c>
      <c r="DX193" s="56">
        <v>0</v>
      </c>
      <c r="DY193" s="56">
        <v>0</v>
      </c>
      <c r="DZ193" s="56">
        <v>0</v>
      </c>
      <c r="EA193" s="56">
        <v>0</v>
      </c>
      <c r="EB193" s="56">
        <v>0</v>
      </c>
      <c r="EC193" s="56">
        <v>0</v>
      </c>
      <c r="ED193" s="56">
        <v>0</v>
      </c>
      <c r="EE193" s="56">
        <v>0</v>
      </c>
      <c r="EF193" s="56">
        <v>0</v>
      </c>
      <c r="EG193" s="56">
        <v>0</v>
      </c>
      <c r="EH193" s="56">
        <v>1188.95</v>
      </c>
      <c r="EI193" s="56">
        <v>0</v>
      </c>
      <c r="EJ193" s="56">
        <v>0</v>
      </c>
      <c r="EK193" s="56">
        <v>0</v>
      </c>
      <c r="EL193" s="56">
        <v>0</v>
      </c>
      <c r="EM193" s="56">
        <v>0</v>
      </c>
      <c r="EN193" s="56">
        <v>0</v>
      </c>
      <c r="EO193" s="56">
        <v>0</v>
      </c>
      <c r="EP193" s="56">
        <v>0</v>
      </c>
      <c r="EQ193" s="56">
        <v>0</v>
      </c>
      <c r="ER193" s="56">
        <v>0</v>
      </c>
      <c r="ES193" s="56">
        <v>0</v>
      </c>
      <c r="ET193" s="56">
        <v>0</v>
      </c>
      <c r="EU193" s="56">
        <v>0</v>
      </c>
      <c r="EV193" s="56">
        <v>0</v>
      </c>
      <c r="EW193" s="56">
        <v>0</v>
      </c>
      <c r="EX193" s="56">
        <v>0</v>
      </c>
      <c r="EY193" s="56">
        <v>0</v>
      </c>
      <c r="EZ193" s="56">
        <v>0</v>
      </c>
      <c r="FA193" s="56">
        <v>0</v>
      </c>
      <c r="FB193" s="56">
        <v>0</v>
      </c>
      <c r="FC193" s="58">
        <v>0</v>
      </c>
      <c r="FD193" s="56">
        <v>0</v>
      </c>
      <c r="FE193" s="56">
        <v>0</v>
      </c>
      <c r="FF193" s="56">
        <v>0</v>
      </c>
      <c r="FG193" s="56">
        <v>0</v>
      </c>
      <c r="FH193" s="56">
        <v>0</v>
      </c>
      <c r="FI193" s="56">
        <v>0</v>
      </c>
      <c r="FJ193" s="56">
        <v>0</v>
      </c>
      <c r="FK193" s="56">
        <v>0</v>
      </c>
      <c r="FL193" s="56">
        <v>0</v>
      </c>
      <c r="FM193" s="56">
        <v>0</v>
      </c>
      <c r="FN193" s="56">
        <v>0</v>
      </c>
      <c r="FO193" s="56">
        <v>0</v>
      </c>
      <c r="FP193" s="56">
        <v>0</v>
      </c>
      <c r="FQ193" s="56">
        <v>0</v>
      </c>
      <c r="FR193" s="56">
        <v>0</v>
      </c>
      <c r="FS193" s="58">
        <v>0</v>
      </c>
      <c r="FT193" s="56">
        <v>0</v>
      </c>
      <c r="FU193" s="56">
        <v>0</v>
      </c>
      <c r="FV193" s="56">
        <v>0</v>
      </c>
      <c r="FW193" s="56">
        <v>0</v>
      </c>
      <c r="FX193" s="56">
        <v>0</v>
      </c>
      <c r="FY193" s="56">
        <v>0</v>
      </c>
      <c r="FZ193" s="54" t="s">
        <v>1083</v>
      </c>
      <c r="GA193" s="54" t="s">
        <v>1084</v>
      </c>
      <c r="GB193" s="54" t="s">
        <v>1072</v>
      </c>
      <c r="GC193" s="54" t="s">
        <v>1073</v>
      </c>
      <c r="GD193" s="54"/>
      <c r="GE193" s="54"/>
      <c r="GF193" s="54"/>
      <c r="GG193" s="55"/>
      <c r="GH193" s="54"/>
      <c r="GI193" s="54"/>
      <c r="GJ193" s="54"/>
      <c r="GK193" s="54" t="s">
        <v>1077</v>
      </c>
      <c r="GL193" s="54"/>
      <c r="GM193" s="54"/>
      <c r="GN193" s="54" t="s">
        <v>1208</v>
      </c>
      <c r="GO193" s="54" t="s">
        <v>1209</v>
      </c>
      <c r="GP193" s="54"/>
      <c r="GQ193" s="56">
        <v>0</v>
      </c>
      <c r="GR193" s="54" t="s">
        <v>1079</v>
      </c>
      <c r="GS193" s="54"/>
    </row>
    <row r="194" spans="1:201" x14ac:dyDescent="0.25">
      <c r="A194" s="54" t="s">
        <v>1032</v>
      </c>
      <c r="B194" s="54" t="s">
        <v>1033</v>
      </c>
      <c r="C194" s="54" t="s">
        <v>1269</v>
      </c>
      <c r="D194" s="54" t="s">
        <v>1035</v>
      </c>
      <c r="E194" s="54" t="s">
        <v>1036</v>
      </c>
      <c r="F194" s="55">
        <v>46189</v>
      </c>
      <c r="G194" s="55">
        <v>46189</v>
      </c>
      <c r="H194" s="54" t="s">
        <v>1037</v>
      </c>
      <c r="I194" s="54" t="s">
        <v>1038</v>
      </c>
      <c r="J194" s="54" t="s">
        <v>1039</v>
      </c>
      <c r="K194" s="55"/>
      <c r="L194" s="54" t="s">
        <v>1040</v>
      </c>
      <c r="M194" s="54"/>
      <c r="N194" s="54" t="s">
        <v>1270</v>
      </c>
      <c r="O194" s="54" t="s">
        <v>1042</v>
      </c>
      <c r="P194" s="54" t="s">
        <v>172</v>
      </c>
      <c r="Q194" s="54" t="s">
        <v>3</v>
      </c>
      <c r="R194" s="54" t="s">
        <v>1043</v>
      </c>
      <c r="S194" s="56">
        <v>33960</v>
      </c>
      <c r="T194" s="56">
        <v>33960</v>
      </c>
      <c r="U194" s="56">
        <v>0</v>
      </c>
      <c r="V194" s="56">
        <v>0</v>
      </c>
      <c r="W194" s="56">
        <v>0</v>
      </c>
      <c r="X194" s="56">
        <v>0</v>
      </c>
      <c r="Y194" s="56">
        <v>0</v>
      </c>
      <c r="Z194" s="56">
        <v>6000</v>
      </c>
      <c r="AA194" s="56">
        <v>6000</v>
      </c>
      <c r="AB194" s="59">
        <v>0</v>
      </c>
      <c r="AC194" s="56">
        <v>0</v>
      </c>
      <c r="AD194" s="56">
        <v>0</v>
      </c>
      <c r="AE194" s="56">
        <v>0</v>
      </c>
      <c r="AF194" s="54" t="s">
        <v>1044</v>
      </c>
      <c r="AG194" s="57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 t="s">
        <v>1045</v>
      </c>
      <c r="AS194" s="54" t="s">
        <v>1046</v>
      </c>
      <c r="AT194" s="54" t="s">
        <v>1047</v>
      </c>
      <c r="AU194" s="54" t="s">
        <v>1048</v>
      </c>
      <c r="AV194" s="54"/>
      <c r="AW194" s="55">
        <v>46202</v>
      </c>
      <c r="AX194" s="55">
        <v>46189</v>
      </c>
      <c r="AY194" s="55">
        <v>46189</v>
      </c>
      <c r="AZ194" s="55"/>
      <c r="BA194" s="55">
        <v>46202</v>
      </c>
      <c r="BB194" s="56">
        <v>0</v>
      </c>
      <c r="BC194" s="56">
        <v>0</v>
      </c>
      <c r="BD194" s="56">
        <v>0</v>
      </c>
      <c r="BE194" s="56">
        <v>0</v>
      </c>
      <c r="BF194" s="56">
        <v>0</v>
      </c>
      <c r="BG194" s="56">
        <v>0</v>
      </c>
      <c r="BH194" s="56">
        <v>0</v>
      </c>
      <c r="BI194" s="56">
        <v>0</v>
      </c>
      <c r="BJ194" s="56">
        <v>0</v>
      </c>
      <c r="BK194" s="56">
        <v>0</v>
      </c>
      <c r="BL194" s="56">
        <v>0</v>
      </c>
      <c r="BM194" s="56">
        <v>0</v>
      </c>
      <c r="BN194" s="56">
        <v>0</v>
      </c>
      <c r="BO194" s="56">
        <v>0</v>
      </c>
      <c r="BP194" s="54" t="s">
        <v>1049</v>
      </c>
      <c r="BQ194" s="54" t="s">
        <v>1050</v>
      </c>
      <c r="BR194" s="54" t="s">
        <v>1049</v>
      </c>
      <c r="BS194" s="54" t="s">
        <v>1050</v>
      </c>
      <c r="BT194" s="54" t="s">
        <v>1051</v>
      </c>
      <c r="BU194" s="54" t="s">
        <v>1043</v>
      </c>
      <c r="BV194" s="58">
        <v>6000</v>
      </c>
      <c r="BW194" s="54" t="s">
        <v>1052</v>
      </c>
      <c r="BX194" s="54" t="s">
        <v>1053</v>
      </c>
      <c r="BY194" s="54" t="s">
        <v>1054</v>
      </c>
      <c r="BZ194" s="54" t="s">
        <v>1055</v>
      </c>
      <c r="CA194" s="55"/>
      <c r="CB194" s="54" t="s">
        <v>1056</v>
      </c>
      <c r="CC194" s="54" t="s">
        <v>1057</v>
      </c>
      <c r="CD194" s="54" t="s">
        <v>1058</v>
      </c>
      <c r="CE194" s="54" t="s">
        <v>1059</v>
      </c>
      <c r="CF194" s="54" t="s">
        <v>1060</v>
      </c>
      <c r="CG194" s="54" t="s">
        <v>1061</v>
      </c>
      <c r="CH194" s="54" t="s">
        <v>1062</v>
      </c>
      <c r="CI194" s="54" t="s">
        <v>1063</v>
      </c>
      <c r="CJ194" s="54" t="s">
        <v>1064</v>
      </c>
      <c r="CK194" s="54" t="s">
        <v>1065</v>
      </c>
      <c r="CL194" s="54" t="s">
        <v>1066</v>
      </c>
      <c r="CM194" s="54" t="s">
        <v>1067</v>
      </c>
      <c r="CN194" s="54" t="s">
        <v>1068</v>
      </c>
      <c r="CO194" s="54" t="s">
        <v>1069</v>
      </c>
      <c r="CP194" s="56">
        <v>0</v>
      </c>
      <c r="CQ194" s="56">
        <v>0</v>
      </c>
      <c r="CR194" s="56">
        <v>0</v>
      </c>
      <c r="CS194" s="56">
        <v>0</v>
      </c>
      <c r="CT194" s="56">
        <v>0</v>
      </c>
      <c r="CU194" s="56">
        <v>0</v>
      </c>
      <c r="CV194" s="56">
        <v>0</v>
      </c>
      <c r="CW194" s="56">
        <v>0</v>
      </c>
      <c r="CX194" s="56">
        <v>0</v>
      </c>
      <c r="CY194" s="56">
        <v>0</v>
      </c>
      <c r="CZ194" s="56">
        <v>0</v>
      </c>
      <c r="DA194" s="56">
        <v>0</v>
      </c>
      <c r="DB194" s="56">
        <v>0</v>
      </c>
      <c r="DC194" s="56">
        <v>0</v>
      </c>
      <c r="DD194" s="56">
        <v>0</v>
      </c>
      <c r="DE194" s="56">
        <v>0</v>
      </c>
      <c r="DF194" s="56">
        <v>0</v>
      </c>
      <c r="DG194" s="56">
        <v>0</v>
      </c>
      <c r="DH194" s="56">
        <v>0</v>
      </c>
      <c r="DI194" s="56">
        <v>0</v>
      </c>
      <c r="DJ194" s="56">
        <v>0</v>
      </c>
      <c r="DK194" s="56">
        <v>0</v>
      </c>
      <c r="DL194" s="56">
        <v>0</v>
      </c>
      <c r="DM194" s="56">
        <v>0</v>
      </c>
      <c r="DN194" s="56">
        <v>0</v>
      </c>
      <c r="DO194" s="56">
        <v>0</v>
      </c>
      <c r="DP194" s="56">
        <v>0</v>
      </c>
      <c r="DQ194" s="56">
        <v>0</v>
      </c>
      <c r="DR194" s="56">
        <v>0</v>
      </c>
      <c r="DS194" s="56">
        <v>0</v>
      </c>
      <c r="DT194" s="56">
        <v>0</v>
      </c>
      <c r="DU194" s="56">
        <v>0</v>
      </c>
      <c r="DV194" s="56">
        <v>0</v>
      </c>
      <c r="DW194" s="56">
        <v>0</v>
      </c>
      <c r="DX194" s="56">
        <v>0</v>
      </c>
      <c r="DY194" s="56">
        <v>0</v>
      </c>
      <c r="DZ194" s="56">
        <v>0</v>
      </c>
      <c r="EA194" s="56">
        <v>0</v>
      </c>
      <c r="EB194" s="56">
        <v>0</v>
      </c>
      <c r="EC194" s="56">
        <v>0</v>
      </c>
      <c r="ED194" s="56">
        <v>0</v>
      </c>
      <c r="EE194" s="56">
        <v>0</v>
      </c>
      <c r="EF194" s="56">
        <v>0</v>
      </c>
      <c r="EG194" s="56">
        <v>0</v>
      </c>
      <c r="EH194" s="56">
        <v>4075.2</v>
      </c>
      <c r="EI194" s="56">
        <v>0</v>
      </c>
      <c r="EJ194" s="56">
        <v>0</v>
      </c>
      <c r="EK194" s="56">
        <v>0</v>
      </c>
      <c r="EL194" s="56">
        <v>0</v>
      </c>
      <c r="EM194" s="56">
        <v>0</v>
      </c>
      <c r="EN194" s="56">
        <v>0</v>
      </c>
      <c r="EO194" s="56">
        <v>0</v>
      </c>
      <c r="EP194" s="56">
        <v>0</v>
      </c>
      <c r="EQ194" s="56">
        <v>0</v>
      </c>
      <c r="ER194" s="56">
        <v>0</v>
      </c>
      <c r="ES194" s="56">
        <v>0</v>
      </c>
      <c r="ET194" s="56">
        <v>0</v>
      </c>
      <c r="EU194" s="56">
        <v>0</v>
      </c>
      <c r="EV194" s="56">
        <v>0</v>
      </c>
      <c r="EW194" s="56">
        <v>0</v>
      </c>
      <c r="EX194" s="56">
        <v>0</v>
      </c>
      <c r="EY194" s="56">
        <v>0</v>
      </c>
      <c r="EZ194" s="56">
        <v>0</v>
      </c>
      <c r="FA194" s="56">
        <v>0</v>
      </c>
      <c r="FB194" s="56">
        <v>0</v>
      </c>
      <c r="FC194" s="58">
        <v>0</v>
      </c>
      <c r="FD194" s="56">
        <v>0</v>
      </c>
      <c r="FE194" s="56">
        <v>0</v>
      </c>
      <c r="FF194" s="56">
        <v>0</v>
      </c>
      <c r="FG194" s="56">
        <v>0</v>
      </c>
      <c r="FH194" s="56">
        <v>0</v>
      </c>
      <c r="FI194" s="56">
        <v>0</v>
      </c>
      <c r="FJ194" s="56">
        <v>0</v>
      </c>
      <c r="FK194" s="56">
        <v>0</v>
      </c>
      <c r="FL194" s="56">
        <v>0</v>
      </c>
      <c r="FM194" s="56">
        <v>0</v>
      </c>
      <c r="FN194" s="56">
        <v>0</v>
      </c>
      <c r="FO194" s="56">
        <v>0</v>
      </c>
      <c r="FP194" s="56">
        <v>0</v>
      </c>
      <c r="FQ194" s="56">
        <v>0</v>
      </c>
      <c r="FR194" s="56">
        <v>0</v>
      </c>
      <c r="FS194" s="58">
        <v>0</v>
      </c>
      <c r="FT194" s="56">
        <v>0</v>
      </c>
      <c r="FU194" s="56">
        <v>0</v>
      </c>
      <c r="FV194" s="56">
        <v>0</v>
      </c>
      <c r="FW194" s="56">
        <v>0</v>
      </c>
      <c r="FX194" s="56">
        <v>0</v>
      </c>
      <c r="FY194" s="56">
        <v>0</v>
      </c>
      <c r="FZ194" s="54" t="s">
        <v>1070</v>
      </c>
      <c r="GA194" s="54" t="s">
        <v>1071</v>
      </c>
      <c r="GB194" s="54" t="s">
        <v>1072</v>
      </c>
      <c r="GC194" s="54" t="s">
        <v>1073</v>
      </c>
      <c r="GD194" s="54" t="s">
        <v>1087</v>
      </c>
      <c r="GE194" s="54" t="s">
        <v>1075</v>
      </c>
      <c r="GF194" s="54"/>
      <c r="GG194" s="55"/>
      <c r="GH194" s="54"/>
      <c r="GI194" s="54"/>
      <c r="GJ194" s="54" t="s">
        <v>1076</v>
      </c>
      <c r="GK194" s="54" t="s">
        <v>1077</v>
      </c>
      <c r="GL194" s="54"/>
      <c r="GM194" s="54"/>
      <c r="GN194" s="54" t="s">
        <v>1078</v>
      </c>
      <c r="GO194" s="54" t="s">
        <v>1059</v>
      </c>
      <c r="GP194" s="54"/>
      <c r="GQ194" s="56">
        <v>0</v>
      </c>
      <c r="GR194" s="54" t="s">
        <v>1079</v>
      </c>
      <c r="GS194" s="54"/>
    </row>
    <row r="195" spans="1:201" x14ac:dyDescent="0.25">
      <c r="A195" s="54" t="s">
        <v>1032</v>
      </c>
      <c r="B195" s="54" t="s">
        <v>1033</v>
      </c>
      <c r="C195" s="54" t="s">
        <v>1269</v>
      </c>
      <c r="D195" s="54" t="s">
        <v>1035</v>
      </c>
      <c r="E195" s="54" t="s">
        <v>1036</v>
      </c>
      <c r="F195" s="55">
        <v>46189</v>
      </c>
      <c r="G195" s="55">
        <v>46189</v>
      </c>
      <c r="H195" s="54" t="s">
        <v>1037</v>
      </c>
      <c r="I195" s="54" t="s">
        <v>1038</v>
      </c>
      <c r="J195" s="54" t="s">
        <v>1039</v>
      </c>
      <c r="K195" s="55"/>
      <c r="L195" s="54" t="s">
        <v>1040</v>
      </c>
      <c r="M195" s="54"/>
      <c r="N195" s="54" t="s">
        <v>1270</v>
      </c>
      <c r="O195" s="54" t="s">
        <v>1080</v>
      </c>
      <c r="P195" s="54" t="s">
        <v>173</v>
      </c>
      <c r="Q195" s="54" t="s">
        <v>4</v>
      </c>
      <c r="R195" s="54" t="s">
        <v>1043</v>
      </c>
      <c r="S195" s="56">
        <v>4608</v>
      </c>
      <c r="T195" s="56">
        <v>4608</v>
      </c>
      <c r="U195" s="56">
        <v>0</v>
      </c>
      <c r="V195" s="56">
        <v>0</v>
      </c>
      <c r="W195" s="56">
        <v>0</v>
      </c>
      <c r="X195" s="56">
        <v>0</v>
      </c>
      <c r="Y195" s="56">
        <v>0</v>
      </c>
      <c r="Z195" s="56">
        <v>1200</v>
      </c>
      <c r="AA195" s="56">
        <v>1200</v>
      </c>
      <c r="AB195" s="59">
        <v>0</v>
      </c>
      <c r="AC195" s="56">
        <v>0</v>
      </c>
      <c r="AD195" s="56">
        <v>0</v>
      </c>
      <c r="AE195" s="56">
        <v>0</v>
      </c>
      <c r="AF195" s="54" t="s">
        <v>1044</v>
      </c>
      <c r="AG195" s="57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 t="s">
        <v>1045</v>
      </c>
      <c r="AS195" s="54" t="s">
        <v>1046</v>
      </c>
      <c r="AT195" s="54" t="s">
        <v>1047</v>
      </c>
      <c r="AU195" s="54" t="s">
        <v>1048</v>
      </c>
      <c r="AV195" s="54"/>
      <c r="AW195" s="55">
        <v>46202</v>
      </c>
      <c r="AX195" s="55">
        <v>46189</v>
      </c>
      <c r="AY195" s="55">
        <v>46189</v>
      </c>
      <c r="AZ195" s="55"/>
      <c r="BA195" s="55">
        <v>46202</v>
      </c>
      <c r="BB195" s="56">
        <v>0</v>
      </c>
      <c r="BC195" s="56">
        <v>0</v>
      </c>
      <c r="BD195" s="56">
        <v>0</v>
      </c>
      <c r="BE195" s="56">
        <v>0</v>
      </c>
      <c r="BF195" s="56">
        <v>0</v>
      </c>
      <c r="BG195" s="56">
        <v>0</v>
      </c>
      <c r="BH195" s="56">
        <v>0</v>
      </c>
      <c r="BI195" s="56">
        <v>0</v>
      </c>
      <c r="BJ195" s="56">
        <v>0</v>
      </c>
      <c r="BK195" s="56">
        <v>0</v>
      </c>
      <c r="BL195" s="56">
        <v>0</v>
      </c>
      <c r="BM195" s="56">
        <v>0</v>
      </c>
      <c r="BN195" s="56">
        <v>0</v>
      </c>
      <c r="BO195" s="56">
        <v>0</v>
      </c>
      <c r="BP195" s="54" t="s">
        <v>1049</v>
      </c>
      <c r="BQ195" s="54" t="s">
        <v>1050</v>
      </c>
      <c r="BR195" s="54" t="s">
        <v>1049</v>
      </c>
      <c r="BS195" s="54" t="s">
        <v>1050</v>
      </c>
      <c r="BT195" s="54" t="s">
        <v>1051</v>
      </c>
      <c r="BU195" s="54" t="s">
        <v>1043</v>
      </c>
      <c r="BV195" s="58">
        <v>1200</v>
      </c>
      <c r="BW195" s="54" t="s">
        <v>1052</v>
      </c>
      <c r="BX195" s="54" t="s">
        <v>1053</v>
      </c>
      <c r="BY195" s="54" t="s">
        <v>1054</v>
      </c>
      <c r="BZ195" s="54" t="s">
        <v>1055</v>
      </c>
      <c r="CA195" s="55"/>
      <c r="CB195" s="54" t="s">
        <v>1056</v>
      </c>
      <c r="CC195" s="54" t="s">
        <v>1057</v>
      </c>
      <c r="CD195" s="54" t="s">
        <v>1058</v>
      </c>
      <c r="CE195" s="54" t="s">
        <v>1059</v>
      </c>
      <c r="CF195" s="54" t="s">
        <v>1060</v>
      </c>
      <c r="CG195" s="54" t="s">
        <v>1061</v>
      </c>
      <c r="CH195" s="54" t="s">
        <v>1062</v>
      </c>
      <c r="CI195" s="54" t="s">
        <v>1063</v>
      </c>
      <c r="CJ195" s="54" t="s">
        <v>1064</v>
      </c>
      <c r="CK195" s="54" t="s">
        <v>1065</v>
      </c>
      <c r="CL195" s="54" t="s">
        <v>1066</v>
      </c>
      <c r="CM195" s="54" t="s">
        <v>1067</v>
      </c>
      <c r="CN195" s="54" t="s">
        <v>1068</v>
      </c>
      <c r="CO195" s="54" t="s">
        <v>1069</v>
      </c>
      <c r="CP195" s="56">
        <v>0</v>
      </c>
      <c r="CQ195" s="56">
        <v>0</v>
      </c>
      <c r="CR195" s="56">
        <v>0</v>
      </c>
      <c r="CS195" s="56">
        <v>0</v>
      </c>
      <c r="CT195" s="56">
        <v>0</v>
      </c>
      <c r="CU195" s="56">
        <v>0</v>
      </c>
      <c r="CV195" s="56">
        <v>0</v>
      </c>
      <c r="CW195" s="56">
        <v>0</v>
      </c>
      <c r="CX195" s="56">
        <v>0</v>
      </c>
      <c r="CY195" s="56">
        <v>0</v>
      </c>
      <c r="CZ195" s="56">
        <v>0</v>
      </c>
      <c r="DA195" s="56">
        <v>0</v>
      </c>
      <c r="DB195" s="56">
        <v>0</v>
      </c>
      <c r="DC195" s="56">
        <v>0</v>
      </c>
      <c r="DD195" s="56">
        <v>0</v>
      </c>
      <c r="DE195" s="56">
        <v>0</v>
      </c>
      <c r="DF195" s="56">
        <v>0</v>
      </c>
      <c r="DG195" s="56">
        <v>0</v>
      </c>
      <c r="DH195" s="56">
        <v>0</v>
      </c>
      <c r="DI195" s="56">
        <v>0</v>
      </c>
      <c r="DJ195" s="56">
        <v>0</v>
      </c>
      <c r="DK195" s="56">
        <v>0</v>
      </c>
      <c r="DL195" s="56">
        <v>0</v>
      </c>
      <c r="DM195" s="56">
        <v>0</v>
      </c>
      <c r="DN195" s="56">
        <v>0</v>
      </c>
      <c r="DO195" s="56">
        <v>0</v>
      </c>
      <c r="DP195" s="56">
        <v>0</v>
      </c>
      <c r="DQ195" s="56">
        <v>0</v>
      </c>
      <c r="DR195" s="56">
        <v>0</v>
      </c>
      <c r="DS195" s="56">
        <v>0</v>
      </c>
      <c r="DT195" s="56">
        <v>0</v>
      </c>
      <c r="DU195" s="56">
        <v>0</v>
      </c>
      <c r="DV195" s="56">
        <v>0</v>
      </c>
      <c r="DW195" s="56">
        <v>0</v>
      </c>
      <c r="DX195" s="56">
        <v>0</v>
      </c>
      <c r="DY195" s="56">
        <v>0</v>
      </c>
      <c r="DZ195" s="56">
        <v>0</v>
      </c>
      <c r="EA195" s="56">
        <v>0</v>
      </c>
      <c r="EB195" s="56">
        <v>0</v>
      </c>
      <c r="EC195" s="56">
        <v>0</v>
      </c>
      <c r="ED195" s="56">
        <v>0</v>
      </c>
      <c r="EE195" s="56">
        <v>0</v>
      </c>
      <c r="EF195" s="56">
        <v>0</v>
      </c>
      <c r="EG195" s="56">
        <v>0</v>
      </c>
      <c r="EH195" s="56">
        <v>552.96</v>
      </c>
      <c r="EI195" s="56">
        <v>0</v>
      </c>
      <c r="EJ195" s="56">
        <v>0</v>
      </c>
      <c r="EK195" s="56">
        <v>0</v>
      </c>
      <c r="EL195" s="56">
        <v>0</v>
      </c>
      <c r="EM195" s="56">
        <v>0</v>
      </c>
      <c r="EN195" s="56">
        <v>0</v>
      </c>
      <c r="EO195" s="56">
        <v>0</v>
      </c>
      <c r="EP195" s="56">
        <v>0</v>
      </c>
      <c r="EQ195" s="56">
        <v>0</v>
      </c>
      <c r="ER195" s="56">
        <v>0</v>
      </c>
      <c r="ES195" s="56">
        <v>0</v>
      </c>
      <c r="ET195" s="56">
        <v>0</v>
      </c>
      <c r="EU195" s="56">
        <v>0</v>
      </c>
      <c r="EV195" s="56">
        <v>0</v>
      </c>
      <c r="EW195" s="56">
        <v>0</v>
      </c>
      <c r="EX195" s="56">
        <v>0</v>
      </c>
      <c r="EY195" s="56">
        <v>0</v>
      </c>
      <c r="EZ195" s="56">
        <v>0</v>
      </c>
      <c r="FA195" s="56">
        <v>0</v>
      </c>
      <c r="FB195" s="56">
        <v>0</v>
      </c>
      <c r="FC195" s="58">
        <v>0</v>
      </c>
      <c r="FD195" s="56">
        <v>0</v>
      </c>
      <c r="FE195" s="56">
        <v>0</v>
      </c>
      <c r="FF195" s="56">
        <v>0</v>
      </c>
      <c r="FG195" s="56">
        <v>0</v>
      </c>
      <c r="FH195" s="56">
        <v>0</v>
      </c>
      <c r="FI195" s="56">
        <v>0</v>
      </c>
      <c r="FJ195" s="56">
        <v>0</v>
      </c>
      <c r="FK195" s="56">
        <v>0</v>
      </c>
      <c r="FL195" s="56">
        <v>0</v>
      </c>
      <c r="FM195" s="56">
        <v>0</v>
      </c>
      <c r="FN195" s="56">
        <v>0</v>
      </c>
      <c r="FO195" s="56">
        <v>0</v>
      </c>
      <c r="FP195" s="56">
        <v>0</v>
      </c>
      <c r="FQ195" s="56">
        <v>0</v>
      </c>
      <c r="FR195" s="56">
        <v>0</v>
      </c>
      <c r="FS195" s="58">
        <v>0</v>
      </c>
      <c r="FT195" s="56">
        <v>0</v>
      </c>
      <c r="FU195" s="56">
        <v>0</v>
      </c>
      <c r="FV195" s="56">
        <v>0</v>
      </c>
      <c r="FW195" s="56">
        <v>0</v>
      </c>
      <c r="FX195" s="56">
        <v>0</v>
      </c>
      <c r="FY195" s="56">
        <v>0</v>
      </c>
      <c r="FZ195" s="54" t="s">
        <v>1070</v>
      </c>
      <c r="GA195" s="54" t="s">
        <v>1071</v>
      </c>
      <c r="GB195" s="54" t="s">
        <v>1072</v>
      </c>
      <c r="GC195" s="54" t="s">
        <v>1073</v>
      </c>
      <c r="GD195" s="54" t="s">
        <v>1087</v>
      </c>
      <c r="GE195" s="54" t="s">
        <v>1075</v>
      </c>
      <c r="GF195" s="54"/>
      <c r="GG195" s="55"/>
      <c r="GH195" s="54"/>
      <c r="GI195" s="54"/>
      <c r="GJ195" s="54" t="s">
        <v>1076</v>
      </c>
      <c r="GK195" s="54" t="s">
        <v>1077</v>
      </c>
      <c r="GL195" s="54"/>
      <c r="GM195" s="54"/>
      <c r="GN195" s="54" t="s">
        <v>1078</v>
      </c>
      <c r="GO195" s="54" t="s">
        <v>1059</v>
      </c>
      <c r="GP195" s="54"/>
      <c r="GQ195" s="56">
        <v>0</v>
      </c>
      <c r="GR195" s="54" t="s">
        <v>1079</v>
      </c>
      <c r="GS195" s="54"/>
    </row>
    <row r="196" spans="1:201" x14ac:dyDescent="0.25">
      <c r="A196" s="54" t="s">
        <v>1032</v>
      </c>
      <c r="B196" s="54" t="s">
        <v>1033</v>
      </c>
      <c r="C196" s="54" t="s">
        <v>1269</v>
      </c>
      <c r="D196" s="54" t="s">
        <v>1035</v>
      </c>
      <c r="E196" s="54" t="s">
        <v>1036</v>
      </c>
      <c r="F196" s="55">
        <v>46189</v>
      </c>
      <c r="G196" s="55">
        <v>46189</v>
      </c>
      <c r="H196" s="54" t="s">
        <v>1037</v>
      </c>
      <c r="I196" s="54" t="s">
        <v>1038</v>
      </c>
      <c r="J196" s="54" t="s">
        <v>1039</v>
      </c>
      <c r="K196" s="55"/>
      <c r="L196" s="54" t="s">
        <v>1040</v>
      </c>
      <c r="M196" s="54"/>
      <c r="N196" s="54" t="s">
        <v>1270</v>
      </c>
      <c r="O196" s="54" t="s">
        <v>1086</v>
      </c>
      <c r="P196" s="54" t="s">
        <v>597</v>
      </c>
      <c r="Q196" s="54" t="s">
        <v>600</v>
      </c>
      <c r="R196" s="54" t="s">
        <v>1043</v>
      </c>
      <c r="S196" s="56">
        <v>7519.44</v>
      </c>
      <c r="T196" s="56">
        <v>7519.44</v>
      </c>
      <c r="U196" s="56">
        <v>0</v>
      </c>
      <c r="V196" s="56">
        <v>0</v>
      </c>
      <c r="W196" s="56">
        <v>0</v>
      </c>
      <c r="X196" s="56">
        <v>0</v>
      </c>
      <c r="Y196" s="56">
        <v>0</v>
      </c>
      <c r="Z196" s="56">
        <v>204</v>
      </c>
      <c r="AA196" s="56">
        <v>204</v>
      </c>
      <c r="AB196" s="59">
        <v>0</v>
      </c>
      <c r="AC196" s="56">
        <v>0</v>
      </c>
      <c r="AD196" s="56">
        <v>0</v>
      </c>
      <c r="AE196" s="56">
        <v>0</v>
      </c>
      <c r="AF196" s="54" t="s">
        <v>1044</v>
      </c>
      <c r="AG196" s="57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 t="s">
        <v>1045</v>
      </c>
      <c r="AS196" s="54" t="s">
        <v>1081</v>
      </c>
      <c r="AT196" s="54" t="s">
        <v>1082</v>
      </c>
      <c r="AU196" s="54" t="s">
        <v>1048</v>
      </c>
      <c r="AV196" s="54"/>
      <c r="AW196" s="55">
        <v>46202</v>
      </c>
      <c r="AX196" s="55">
        <v>46189</v>
      </c>
      <c r="AY196" s="55">
        <v>46189</v>
      </c>
      <c r="AZ196" s="55"/>
      <c r="BA196" s="55">
        <v>46202</v>
      </c>
      <c r="BB196" s="56">
        <v>0</v>
      </c>
      <c r="BC196" s="56">
        <v>0</v>
      </c>
      <c r="BD196" s="56">
        <v>0</v>
      </c>
      <c r="BE196" s="56">
        <v>0</v>
      </c>
      <c r="BF196" s="56">
        <v>0</v>
      </c>
      <c r="BG196" s="56">
        <v>0</v>
      </c>
      <c r="BH196" s="56">
        <v>0</v>
      </c>
      <c r="BI196" s="56">
        <v>0</v>
      </c>
      <c r="BJ196" s="56">
        <v>0</v>
      </c>
      <c r="BK196" s="56">
        <v>0</v>
      </c>
      <c r="BL196" s="56">
        <v>0</v>
      </c>
      <c r="BM196" s="56">
        <v>0</v>
      </c>
      <c r="BN196" s="56">
        <v>0</v>
      </c>
      <c r="BO196" s="56">
        <v>0</v>
      </c>
      <c r="BP196" s="54" t="s">
        <v>1049</v>
      </c>
      <c r="BQ196" s="54" t="s">
        <v>1050</v>
      </c>
      <c r="BR196" s="54" t="s">
        <v>1049</v>
      </c>
      <c r="BS196" s="54" t="s">
        <v>1050</v>
      </c>
      <c r="BT196" s="54" t="s">
        <v>1051</v>
      </c>
      <c r="BU196" s="54" t="s">
        <v>1043</v>
      </c>
      <c r="BV196" s="58">
        <v>204</v>
      </c>
      <c r="BW196" s="54" t="s">
        <v>1052</v>
      </c>
      <c r="BX196" s="54" t="s">
        <v>1053</v>
      </c>
      <c r="BY196" s="54" t="s">
        <v>1054</v>
      </c>
      <c r="BZ196" s="54" t="s">
        <v>1055</v>
      </c>
      <c r="CA196" s="55"/>
      <c r="CB196" s="54" t="s">
        <v>1056</v>
      </c>
      <c r="CC196" s="54" t="s">
        <v>1057</v>
      </c>
      <c r="CD196" s="54" t="s">
        <v>1058</v>
      </c>
      <c r="CE196" s="54" t="s">
        <v>1059</v>
      </c>
      <c r="CF196" s="54" t="s">
        <v>1060</v>
      </c>
      <c r="CG196" s="54" t="s">
        <v>1061</v>
      </c>
      <c r="CH196" s="54" t="s">
        <v>1062</v>
      </c>
      <c r="CI196" s="54" t="s">
        <v>1063</v>
      </c>
      <c r="CJ196" s="54" t="s">
        <v>1064</v>
      </c>
      <c r="CK196" s="54" t="s">
        <v>1065</v>
      </c>
      <c r="CL196" s="54" t="s">
        <v>1066</v>
      </c>
      <c r="CM196" s="54" t="s">
        <v>1067</v>
      </c>
      <c r="CN196" s="54" t="s">
        <v>1068</v>
      </c>
      <c r="CO196" s="54" t="s">
        <v>1069</v>
      </c>
      <c r="CP196" s="56">
        <v>0</v>
      </c>
      <c r="CQ196" s="56">
        <v>0</v>
      </c>
      <c r="CR196" s="56">
        <v>0</v>
      </c>
      <c r="CS196" s="56">
        <v>0</v>
      </c>
      <c r="CT196" s="56">
        <v>0</v>
      </c>
      <c r="CU196" s="56">
        <v>0</v>
      </c>
      <c r="CV196" s="56">
        <v>0</v>
      </c>
      <c r="CW196" s="56">
        <v>0</v>
      </c>
      <c r="CX196" s="56">
        <v>0</v>
      </c>
      <c r="CY196" s="56">
        <v>0</v>
      </c>
      <c r="CZ196" s="56">
        <v>0</v>
      </c>
      <c r="DA196" s="56">
        <v>0</v>
      </c>
      <c r="DB196" s="56">
        <v>0</v>
      </c>
      <c r="DC196" s="56">
        <v>0</v>
      </c>
      <c r="DD196" s="56">
        <v>0</v>
      </c>
      <c r="DE196" s="56">
        <v>0</v>
      </c>
      <c r="DF196" s="56">
        <v>0</v>
      </c>
      <c r="DG196" s="56">
        <v>0</v>
      </c>
      <c r="DH196" s="56">
        <v>0</v>
      </c>
      <c r="DI196" s="56">
        <v>0</v>
      </c>
      <c r="DJ196" s="56">
        <v>0</v>
      </c>
      <c r="DK196" s="56">
        <v>0</v>
      </c>
      <c r="DL196" s="56">
        <v>0</v>
      </c>
      <c r="DM196" s="56">
        <v>0</v>
      </c>
      <c r="DN196" s="56">
        <v>0</v>
      </c>
      <c r="DO196" s="56">
        <v>0</v>
      </c>
      <c r="DP196" s="56">
        <v>0</v>
      </c>
      <c r="DQ196" s="56">
        <v>0</v>
      </c>
      <c r="DR196" s="56">
        <v>0</v>
      </c>
      <c r="DS196" s="56">
        <v>0</v>
      </c>
      <c r="DT196" s="56">
        <v>0</v>
      </c>
      <c r="DU196" s="56">
        <v>0</v>
      </c>
      <c r="DV196" s="56">
        <v>0</v>
      </c>
      <c r="DW196" s="56">
        <v>0</v>
      </c>
      <c r="DX196" s="56">
        <v>0</v>
      </c>
      <c r="DY196" s="56">
        <v>0</v>
      </c>
      <c r="DZ196" s="56">
        <v>0</v>
      </c>
      <c r="EA196" s="56">
        <v>0</v>
      </c>
      <c r="EB196" s="56">
        <v>0</v>
      </c>
      <c r="EC196" s="56">
        <v>0</v>
      </c>
      <c r="ED196" s="56">
        <v>0</v>
      </c>
      <c r="EE196" s="56">
        <v>0</v>
      </c>
      <c r="EF196" s="56">
        <v>0</v>
      </c>
      <c r="EG196" s="56">
        <v>0</v>
      </c>
      <c r="EH196" s="56">
        <v>902.33</v>
      </c>
      <c r="EI196" s="56">
        <v>0</v>
      </c>
      <c r="EJ196" s="56">
        <v>0</v>
      </c>
      <c r="EK196" s="56">
        <v>0</v>
      </c>
      <c r="EL196" s="56">
        <v>0</v>
      </c>
      <c r="EM196" s="56">
        <v>0</v>
      </c>
      <c r="EN196" s="56">
        <v>0</v>
      </c>
      <c r="EO196" s="56">
        <v>0</v>
      </c>
      <c r="EP196" s="56">
        <v>0</v>
      </c>
      <c r="EQ196" s="56">
        <v>0</v>
      </c>
      <c r="ER196" s="56">
        <v>0</v>
      </c>
      <c r="ES196" s="56">
        <v>0</v>
      </c>
      <c r="ET196" s="56">
        <v>0</v>
      </c>
      <c r="EU196" s="56">
        <v>0</v>
      </c>
      <c r="EV196" s="56">
        <v>0</v>
      </c>
      <c r="EW196" s="56">
        <v>0</v>
      </c>
      <c r="EX196" s="56">
        <v>0</v>
      </c>
      <c r="EY196" s="56">
        <v>0</v>
      </c>
      <c r="EZ196" s="56">
        <v>0</v>
      </c>
      <c r="FA196" s="56">
        <v>0</v>
      </c>
      <c r="FB196" s="56">
        <v>0</v>
      </c>
      <c r="FC196" s="58">
        <v>0</v>
      </c>
      <c r="FD196" s="56">
        <v>0</v>
      </c>
      <c r="FE196" s="56">
        <v>0</v>
      </c>
      <c r="FF196" s="56">
        <v>0</v>
      </c>
      <c r="FG196" s="56">
        <v>0</v>
      </c>
      <c r="FH196" s="56">
        <v>0</v>
      </c>
      <c r="FI196" s="56">
        <v>0</v>
      </c>
      <c r="FJ196" s="56">
        <v>0</v>
      </c>
      <c r="FK196" s="56">
        <v>0</v>
      </c>
      <c r="FL196" s="56">
        <v>0</v>
      </c>
      <c r="FM196" s="56">
        <v>0</v>
      </c>
      <c r="FN196" s="56">
        <v>0</v>
      </c>
      <c r="FO196" s="56">
        <v>0</v>
      </c>
      <c r="FP196" s="56">
        <v>0</v>
      </c>
      <c r="FQ196" s="56">
        <v>0</v>
      </c>
      <c r="FR196" s="56">
        <v>0</v>
      </c>
      <c r="FS196" s="58">
        <v>0</v>
      </c>
      <c r="FT196" s="56">
        <v>0</v>
      </c>
      <c r="FU196" s="56">
        <v>0</v>
      </c>
      <c r="FV196" s="56">
        <v>0</v>
      </c>
      <c r="FW196" s="56">
        <v>0</v>
      </c>
      <c r="FX196" s="56">
        <v>0</v>
      </c>
      <c r="FY196" s="56">
        <v>0</v>
      </c>
      <c r="FZ196" s="54" t="s">
        <v>1083</v>
      </c>
      <c r="GA196" s="54" t="s">
        <v>1084</v>
      </c>
      <c r="GB196" s="54" t="s">
        <v>1072</v>
      </c>
      <c r="GC196" s="54" t="s">
        <v>1073</v>
      </c>
      <c r="GD196" s="54"/>
      <c r="GE196" s="54"/>
      <c r="GF196" s="54"/>
      <c r="GG196" s="55"/>
      <c r="GH196" s="54"/>
      <c r="GI196" s="54"/>
      <c r="GJ196" s="54" t="s">
        <v>1076</v>
      </c>
      <c r="GK196" s="54" t="s">
        <v>1077</v>
      </c>
      <c r="GL196" s="54"/>
      <c r="GM196" s="54"/>
      <c r="GN196" s="54" t="s">
        <v>1078</v>
      </c>
      <c r="GO196" s="54" t="s">
        <v>1059</v>
      </c>
      <c r="GP196" s="54"/>
      <c r="GQ196" s="56">
        <v>0</v>
      </c>
      <c r="GR196" s="54" t="s">
        <v>1079</v>
      </c>
      <c r="GS196" s="54"/>
    </row>
    <row r="197" spans="1:201" x14ac:dyDescent="0.25">
      <c r="A197" s="54" t="s">
        <v>1032</v>
      </c>
      <c r="B197" s="54" t="s">
        <v>1033</v>
      </c>
      <c r="C197" s="54" t="s">
        <v>1269</v>
      </c>
      <c r="D197" s="54" t="s">
        <v>1035</v>
      </c>
      <c r="E197" s="54" t="s">
        <v>1036</v>
      </c>
      <c r="F197" s="55">
        <v>46189</v>
      </c>
      <c r="G197" s="55">
        <v>46189</v>
      </c>
      <c r="H197" s="54" t="s">
        <v>1037</v>
      </c>
      <c r="I197" s="54" t="s">
        <v>1038</v>
      </c>
      <c r="J197" s="54" t="s">
        <v>1039</v>
      </c>
      <c r="K197" s="55"/>
      <c r="L197" s="54" t="s">
        <v>1040</v>
      </c>
      <c r="M197" s="54"/>
      <c r="N197" s="54" t="s">
        <v>1270</v>
      </c>
      <c r="O197" s="54" t="s">
        <v>1088</v>
      </c>
      <c r="P197" s="54" t="s">
        <v>596</v>
      </c>
      <c r="Q197" s="54" t="s">
        <v>599</v>
      </c>
      <c r="R197" s="54" t="s">
        <v>1043</v>
      </c>
      <c r="S197" s="56">
        <v>63090</v>
      </c>
      <c r="T197" s="56">
        <v>63090</v>
      </c>
      <c r="U197" s="56">
        <v>0</v>
      </c>
      <c r="V197" s="56">
        <v>0</v>
      </c>
      <c r="W197" s="56">
        <v>0</v>
      </c>
      <c r="X197" s="56">
        <v>0</v>
      </c>
      <c r="Y197" s="56">
        <v>0</v>
      </c>
      <c r="Z197" s="56">
        <v>9000</v>
      </c>
      <c r="AA197" s="56">
        <v>9000</v>
      </c>
      <c r="AB197" s="59">
        <v>0</v>
      </c>
      <c r="AC197" s="56">
        <v>0</v>
      </c>
      <c r="AD197" s="56">
        <v>0</v>
      </c>
      <c r="AE197" s="56">
        <v>0</v>
      </c>
      <c r="AF197" s="54" t="s">
        <v>1044</v>
      </c>
      <c r="AG197" s="57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 t="s">
        <v>1045</v>
      </c>
      <c r="AS197" s="54" t="s">
        <v>1081</v>
      </c>
      <c r="AT197" s="54" t="s">
        <v>1082</v>
      </c>
      <c r="AU197" s="54" t="s">
        <v>1048</v>
      </c>
      <c r="AV197" s="54"/>
      <c r="AW197" s="55">
        <v>46202</v>
      </c>
      <c r="AX197" s="55">
        <v>46189</v>
      </c>
      <c r="AY197" s="55">
        <v>46189</v>
      </c>
      <c r="AZ197" s="55"/>
      <c r="BA197" s="55">
        <v>46202</v>
      </c>
      <c r="BB197" s="56">
        <v>0</v>
      </c>
      <c r="BC197" s="56">
        <v>0</v>
      </c>
      <c r="BD197" s="56">
        <v>0</v>
      </c>
      <c r="BE197" s="56">
        <v>0</v>
      </c>
      <c r="BF197" s="56">
        <v>0</v>
      </c>
      <c r="BG197" s="56">
        <v>0</v>
      </c>
      <c r="BH197" s="56">
        <v>0</v>
      </c>
      <c r="BI197" s="56">
        <v>0</v>
      </c>
      <c r="BJ197" s="56">
        <v>0</v>
      </c>
      <c r="BK197" s="56">
        <v>0</v>
      </c>
      <c r="BL197" s="56">
        <v>0</v>
      </c>
      <c r="BM197" s="56">
        <v>0</v>
      </c>
      <c r="BN197" s="56">
        <v>0</v>
      </c>
      <c r="BO197" s="56">
        <v>0</v>
      </c>
      <c r="BP197" s="54" t="s">
        <v>1049</v>
      </c>
      <c r="BQ197" s="54" t="s">
        <v>1050</v>
      </c>
      <c r="BR197" s="54" t="s">
        <v>1049</v>
      </c>
      <c r="BS197" s="54" t="s">
        <v>1050</v>
      </c>
      <c r="BT197" s="54" t="s">
        <v>1051</v>
      </c>
      <c r="BU197" s="54" t="s">
        <v>1043</v>
      </c>
      <c r="BV197" s="58">
        <v>9000</v>
      </c>
      <c r="BW197" s="54" t="s">
        <v>1052</v>
      </c>
      <c r="BX197" s="54" t="s">
        <v>1053</v>
      </c>
      <c r="BY197" s="54" t="s">
        <v>1054</v>
      </c>
      <c r="BZ197" s="54" t="s">
        <v>1055</v>
      </c>
      <c r="CA197" s="55"/>
      <c r="CB197" s="54" t="s">
        <v>1056</v>
      </c>
      <c r="CC197" s="54" t="s">
        <v>1057</v>
      </c>
      <c r="CD197" s="54" t="s">
        <v>1058</v>
      </c>
      <c r="CE197" s="54" t="s">
        <v>1059</v>
      </c>
      <c r="CF197" s="54" t="s">
        <v>1060</v>
      </c>
      <c r="CG197" s="54" t="s">
        <v>1061</v>
      </c>
      <c r="CH197" s="54" t="s">
        <v>1062</v>
      </c>
      <c r="CI197" s="54" t="s">
        <v>1063</v>
      </c>
      <c r="CJ197" s="54" t="s">
        <v>1064</v>
      </c>
      <c r="CK197" s="54" t="s">
        <v>1065</v>
      </c>
      <c r="CL197" s="54" t="s">
        <v>1066</v>
      </c>
      <c r="CM197" s="54" t="s">
        <v>1067</v>
      </c>
      <c r="CN197" s="54" t="s">
        <v>1068</v>
      </c>
      <c r="CO197" s="54" t="s">
        <v>1069</v>
      </c>
      <c r="CP197" s="56">
        <v>0</v>
      </c>
      <c r="CQ197" s="56">
        <v>0</v>
      </c>
      <c r="CR197" s="56">
        <v>0</v>
      </c>
      <c r="CS197" s="56">
        <v>0</v>
      </c>
      <c r="CT197" s="56">
        <v>0</v>
      </c>
      <c r="CU197" s="56">
        <v>0</v>
      </c>
      <c r="CV197" s="56">
        <v>0</v>
      </c>
      <c r="CW197" s="56">
        <v>0</v>
      </c>
      <c r="CX197" s="56">
        <v>0</v>
      </c>
      <c r="CY197" s="56">
        <v>0</v>
      </c>
      <c r="CZ197" s="56">
        <v>0</v>
      </c>
      <c r="DA197" s="56">
        <v>0</v>
      </c>
      <c r="DB197" s="56">
        <v>0</v>
      </c>
      <c r="DC197" s="56">
        <v>0</v>
      </c>
      <c r="DD197" s="56">
        <v>0</v>
      </c>
      <c r="DE197" s="56">
        <v>0</v>
      </c>
      <c r="DF197" s="56">
        <v>0</v>
      </c>
      <c r="DG197" s="56">
        <v>0</v>
      </c>
      <c r="DH197" s="56">
        <v>0</v>
      </c>
      <c r="DI197" s="56">
        <v>0</v>
      </c>
      <c r="DJ197" s="56">
        <v>0</v>
      </c>
      <c r="DK197" s="56">
        <v>0</v>
      </c>
      <c r="DL197" s="56">
        <v>0</v>
      </c>
      <c r="DM197" s="56">
        <v>0</v>
      </c>
      <c r="DN197" s="56">
        <v>0</v>
      </c>
      <c r="DO197" s="56">
        <v>0</v>
      </c>
      <c r="DP197" s="56">
        <v>0</v>
      </c>
      <c r="DQ197" s="56">
        <v>0</v>
      </c>
      <c r="DR197" s="56">
        <v>0</v>
      </c>
      <c r="DS197" s="56">
        <v>0</v>
      </c>
      <c r="DT197" s="56">
        <v>0</v>
      </c>
      <c r="DU197" s="56">
        <v>0</v>
      </c>
      <c r="DV197" s="56">
        <v>0</v>
      </c>
      <c r="DW197" s="56">
        <v>0</v>
      </c>
      <c r="DX197" s="56">
        <v>0</v>
      </c>
      <c r="DY197" s="56">
        <v>0</v>
      </c>
      <c r="DZ197" s="56">
        <v>0</v>
      </c>
      <c r="EA197" s="56">
        <v>0</v>
      </c>
      <c r="EB197" s="56">
        <v>0</v>
      </c>
      <c r="EC197" s="56">
        <v>0</v>
      </c>
      <c r="ED197" s="56">
        <v>0</v>
      </c>
      <c r="EE197" s="56">
        <v>0</v>
      </c>
      <c r="EF197" s="56">
        <v>0</v>
      </c>
      <c r="EG197" s="56">
        <v>0</v>
      </c>
      <c r="EH197" s="56">
        <v>7570.8</v>
      </c>
      <c r="EI197" s="56">
        <v>0</v>
      </c>
      <c r="EJ197" s="56">
        <v>0</v>
      </c>
      <c r="EK197" s="56">
        <v>0</v>
      </c>
      <c r="EL197" s="56">
        <v>0</v>
      </c>
      <c r="EM197" s="56">
        <v>0</v>
      </c>
      <c r="EN197" s="56">
        <v>0</v>
      </c>
      <c r="EO197" s="56">
        <v>0</v>
      </c>
      <c r="EP197" s="56">
        <v>0</v>
      </c>
      <c r="EQ197" s="56">
        <v>0</v>
      </c>
      <c r="ER197" s="56">
        <v>0</v>
      </c>
      <c r="ES197" s="56">
        <v>0</v>
      </c>
      <c r="ET197" s="56">
        <v>0</v>
      </c>
      <c r="EU197" s="56">
        <v>0</v>
      </c>
      <c r="EV197" s="56">
        <v>0</v>
      </c>
      <c r="EW197" s="56">
        <v>0</v>
      </c>
      <c r="EX197" s="56">
        <v>0</v>
      </c>
      <c r="EY197" s="56">
        <v>0</v>
      </c>
      <c r="EZ197" s="56">
        <v>0</v>
      </c>
      <c r="FA197" s="56">
        <v>0</v>
      </c>
      <c r="FB197" s="56">
        <v>0</v>
      </c>
      <c r="FC197" s="58">
        <v>0</v>
      </c>
      <c r="FD197" s="56">
        <v>0</v>
      </c>
      <c r="FE197" s="56">
        <v>0</v>
      </c>
      <c r="FF197" s="56">
        <v>0</v>
      </c>
      <c r="FG197" s="56">
        <v>0</v>
      </c>
      <c r="FH197" s="56">
        <v>0</v>
      </c>
      <c r="FI197" s="56">
        <v>0</v>
      </c>
      <c r="FJ197" s="56">
        <v>0</v>
      </c>
      <c r="FK197" s="56">
        <v>0</v>
      </c>
      <c r="FL197" s="56">
        <v>0</v>
      </c>
      <c r="FM197" s="56">
        <v>0</v>
      </c>
      <c r="FN197" s="56">
        <v>0</v>
      </c>
      <c r="FO197" s="56">
        <v>0</v>
      </c>
      <c r="FP197" s="56">
        <v>0</v>
      </c>
      <c r="FQ197" s="56">
        <v>0</v>
      </c>
      <c r="FR197" s="56">
        <v>0</v>
      </c>
      <c r="FS197" s="58">
        <v>0</v>
      </c>
      <c r="FT197" s="56">
        <v>0</v>
      </c>
      <c r="FU197" s="56">
        <v>0</v>
      </c>
      <c r="FV197" s="56">
        <v>0</v>
      </c>
      <c r="FW197" s="56">
        <v>0</v>
      </c>
      <c r="FX197" s="56">
        <v>0</v>
      </c>
      <c r="FY197" s="56">
        <v>0</v>
      </c>
      <c r="FZ197" s="54" t="s">
        <v>1083</v>
      </c>
      <c r="GA197" s="54" t="s">
        <v>1084</v>
      </c>
      <c r="GB197" s="54" t="s">
        <v>1072</v>
      </c>
      <c r="GC197" s="54" t="s">
        <v>1073</v>
      </c>
      <c r="GD197" s="54"/>
      <c r="GE197" s="54"/>
      <c r="GF197" s="54"/>
      <c r="GG197" s="55"/>
      <c r="GH197" s="54"/>
      <c r="GI197" s="54"/>
      <c r="GJ197" s="54" t="s">
        <v>1076</v>
      </c>
      <c r="GK197" s="54" t="s">
        <v>1077</v>
      </c>
      <c r="GL197" s="54"/>
      <c r="GM197" s="54"/>
      <c r="GN197" s="54" t="s">
        <v>1078</v>
      </c>
      <c r="GO197" s="54" t="s">
        <v>1059</v>
      </c>
      <c r="GP197" s="54"/>
      <c r="GQ197" s="56">
        <v>0</v>
      </c>
      <c r="GR197" s="54" t="s">
        <v>1079</v>
      </c>
      <c r="GS197" s="54"/>
    </row>
    <row r="198" spans="1:201" x14ac:dyDescent="0.25">
      <c r="A198" s="54" t="s">
        <v>1032</v>
      </c>
      <c r="B198" s="54" t="s">
        <v>1033</v>
      </c>
      <c r="C198" s="54" t="s">
        <v>1269</v>
      </c>
      <c r="D198" s="54" t="s">
        <v>1035</v>
      </c>
      <c r="E198" s="54" t="s">
        <v>1036</v>
      </c>
      <c r="F198" s="55">
        <v>46189</v>
      </c>
      <c r="G198" s="55">
        <v>46189</v>
      </c>
      <c r="H198" s="54" t="s">
        <v>1037</v>
      </c>
      <c r="I198" s="54" t="s">
        <v>1038</v>
      </c>
      <c r="J198" s="54" t="s">
        <v>1039</v>
      </c>
      <c r="K198" s="55"/>
      <c r="L198" s="54" t="s">
        <v>1040</v>
      </c>
      <c r="M198" s="54"/>
      <c r="N198" s="54" t="s">
        <v>1270</v>
      </c>
      <c r="O198" s="54" t="s">
        <v>1089</v>
      </c>
      <c r="P198" s="54" t="s">
        <v>176</v>
      </c>
      <c r="Q198" s="54" t="s">
        <v>7</v>
      </c>
      <c r="R198" s="54" t="s">
        <v>1043</v>
      </c>
      <c r="S198" s="56">
        <v>546.84</v>
      </c>
      <c r="T198" s="56">
        <v>546.84</v>
      </c>
      <c r="U198" s="56">
        <v>0</v>
      </c>
      <c r="V198" s="56">
        <v>0</v>
      </c>
      <c r="W198" s="56">
        <v>0</v>
      </c>
      <c r="X198" s="56">
        <v>0</v>
      </c>
      <c r="Y198" s="56">
        <v>0</v>
      </c>
      <c r="Z198" s="56">
        <v>126</v>
      </c>
      <c r="AA198" s="56">
        <v>126</v>
      </c>
      <c r="AB198" s="59">
        <v>0</v>
      </c>
      <c r="AC198" s="56">
        <v>0</v>
      </c>
      <c r="AD198" s="56">
        <v>0</v>
      </c>
      <c r="AE198" s="56">
        <v>0</v>
      </c>
      <c r="AF198" s="54" t="s">
        <v>1044</v>
      </c>
      <c r="AG198" s="57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 t="s">
        <v>1045</v>
      </c>
      <c r="AS198" s="54" t="s">
        <v>1046</v>
      </c>
      <c r="AT198" s="54" t="s">
        <v>1047</v>
      </c>
      <c r="AU198" s="54" t="s">
        <v>1048</v>
      </c>
      <c r="AV198" s="54"/>
      <c r="AW198" s="55">
        <v>46202</v>
      </c>
      <c r="AX198" s="55">
        <v>46189</v>
      </c>
      <c r="AY198" s="55">
        <v>46189</v>
      </c>
      <c r="AZ198" s="55"/>
      <c r="BA198" s="55">
        <v>46202</v>
      </c>
      <c r="BB198" s="56">
        <v>0</v>
      </c>
      <c r="BC198" s="56">
        <v>0</v>
      </c>
      <c r="BD198" s="56">
        <v>0</v>
      </c>
      <c r="BE198" s="56">
        <v>0</v>
      </c>
      <c r="BF198" s="56">
        <v>0</v>
      </c>
      <c r="BG198" s="56">
        <v>0</v>
      </c>
      <c r="BH198" s="56">
        <v>0</v>
      </c>
      <c r="BI198" s="56">
        <v>0</v>
      </c>
      <c r="BJ198" s="56">
        <v>0</v>
      </c>
      <c r="BK198" s="56">
        <v>0</v>
      </c>
      <c r="BL198" s="56">
        <v>0</v>
      </c>
      <c r="BM198" s="56">
        <v>0</v>
      </c>
      <c r="BN198" s="56">
        <v>0</v>
      </c>
      <c r="BO198" s="56">
        <v>0</v>
      </c>
      <c r="BP198" s="54" t="s">
        <v>1049</v>
      </c>
      <c r="BQ198" s="54" t="s">
        <v>1050</v>
      </c>
      <c r="BR198" s="54" t="s">
        <v>1049</v>
      </c>
      <c r="BS198" s="54" t="s">
        <v>1050</v>
      </c>
      <c r="BT198" s="54" t="s">
        <v>1051</v>
      </c>
      <c r="BU198" s="54" t="s">
        <v>1043</v>
      </c>
      <c r="BV198" s="58">
        <v>126</v>
      </c>
      <c r="BW198" s="54" t="s">
        <v>1052</v>
      </c>
      <c r="BX198" s="54" t="s">
        <v>1053</v>
      </c>
      <c r="BY198" s="54" t="s">
        <v>1054</v>
      </c>
      <c r="BZ198" s="54" t="s">
        <v>1055</v>
      </c>
      <c r="CA198" s="55"/>
      <c r="CB198" s="54" t="s">
        <v>1056</v>
      </c>
      <c r="CC198" s="54" t="s">
        <v>1057</v>
      </c>
      <c r="CD198" s="54" t="s">
        <v>1058</v>
      </c>
      <c r="CE198" s="54" t="s">
        <v>1059</v>
      </c>
      <c r="CF198" s="54" t="s">
        <v>1060</v>
      </c>
      <c r="CG198" s="54" t="s">
        <v>1061</v>
      </c>
      <c r="CH198" s="54" t="s">
        <v>1062</v>
      </c>
      <c r="CI198" s="54" t="s">
        <v>1063</v>
      </c>
      <c r="CJ198" s="54" t="s">
        <v>1064</v>
      </c>
      <c r="CK198" s="54" t="s">
        <v>1065</v>
      </c>
      <c r="CL198" s="54" t="s">
        <v>1066</v>
      </c>
      <c r="CM198" s="54" t="s">
        <v>1067</v>
      </c>
      <c r="CN198" s="54" t="s">
        <v>1068</v>
      </c>
      <c r="CO198" s="54" t="s">
        <v>1069</v>
      </c>
      <c r="CP198" s="56">
        <v>0</v>
      </c>
      <c r="CQ198" s="56">
        <v>0</v>
      </c>
      <c r="CR198" s="56">
        <v>0</v>
      </c>
      <c r="CS198" s="56">
        <v>0</v>
      </c>
      <c r="CT198" s="56">
        <v>0</v>
      </c>
      <c r="CU198" s="56">
        <v>0</v>
      </c>
      <c r="CV198" s="56">
        <v>0</v>
      </c>
      <c r="CW198" s="56">
        <v>0</v>
      </c>
      <c r="CX198" s="56">
        <v>0</v>
      </c>
      <c r="CY198" s="56">
        <v>0</v>
      </c>
      <c r="CZ198" s="56">
        <v>0</v>
      </c>
      <c r="DA198" s="56">
        <v>0</v>
      </c>
      <c r="DB198" s="56">
        <v>0</v>
      </c>
      <c r="DC198" s="56">
        <v>0</v>
      </c>
      <c r="DD198" s="56">
        <v>0</v>
      </c>
      <c r="DE198" s="56">
        <v>0</v>
      </c>
      <c r="DF198" s="56">
        <v>0</v>
      </c>
      <c r="DG198" s="56">
        <v>0</v>
      </c>
      <c r="DH198" s="56">
        <v>0</v>
      </c>
      <c r="DI198" s="56">
        <v>0</v>
      </c>
      <c r="DJ198" s="56">
        <v>0</v>
      </c>
      <c r="DK198" s="56">
        <v>0</v>
      </c>
      <c r="DL198" s="56">
        <v>0</v>
      </c>
      <c r="DM198" s="56">
        <v>0</v>
      </c>
      <c r="DN198" s="56">
        <v>0</v>
      </c>
      <c r="DO198" s="56">
        <v>0</v>
      </c>
      <c r="DP198" s="56">
        <v>0</v>
      </c>
      <c r="DQ198" s="56">
        <v>0</v>
      </c>
      <c r="DR198" s="56">
        <v>0</v>
      </c>
      <c r="DS198" s="56">
        <v>0</v>
      </c>
      <c r="DT198" s="56">
        <v>0</v>
      </c>
      <c r="DU198" s="56">
        <v>0</v>
      </c>
      <c r="DV198" s="56">
        <v>0</v>
      </c>
      <c r="DW198" s="56">
        <v>0</v>
      </c>
      <c r="DX198" s="56">
        <v>0</v>
      </c>
      <c r="DY198" s="56">
        <v>0</v>
      </c>
      <c r="DZ198" s="56">
        <v>0</v>
      </c>
      <c r="EA198" s="56">
        <v>0</v>
      </c>
      <c r="EB198" s="56">
        <v>0</v>
      </c>
      <c r="EC198" s="56">
        <v>0</v>
      </c>
      <c r="ED198" s="56">
        <v>0</v>
      </c>
      <c r="EE198" s="56">
        <v>0</v>
      </c>
      <c r="EF198" s="56">
        <v>0</v>
      </c>
      <c r="EG198" s="56">
        <v>0</v>
      </c>
      <c r="EH198" s="56">
        <v>65.62</v>
      </c>
      <c r="EI198" s="56">
        <v>0</v>
      </c>
      <c r="EJ198" s="56">
        <v>0</v>
      </c>
      <c r="EK198" s="56">
        <v>0</v>
      </c>
      <c r="EL198" s="56">
        <v>0</v>
      </c>
      <c r="EM198" s="56">
        <v>0</v>
      </c>
      <c r="EN198" s="56">
        <v>0</v>
      </c>
      <c r="EO198" s="56">
        <v>0</v>
      </c>
      <c r="EP198" s="56">
        <v>0</v>
      </c>
      <c r="EQ198" s="56">
        <v>0</v>
      </c>
      <c r="ER198" s="56">
        <v>0</v>
      </c>
      <c r="ES198" s="56">
        <v>0</v>
      </c>
      <c r="ET198" s="56">
        <v>0</v>
      </c>
      <c r="EU198" s="56">
        <v>0</v>
      </c>
      <c r="EV198" s="56">
        <v>0</v>
      </c>
      <c r="EW198" s="56">
        <v>0</v>
      </c>
      <c r="EX198" s="56">
        <v>0</v>
      </c>
      <c r="EY198" s="56">
        <v>0</v>
      </c>
      <c r="EZ198" s="56">
        <v>0</v>
      </c>
      <c r="FA198" s="56">
        <v>0</v>
      </c>
      <c r="FB198" s="56">
        <v>0</v>
      </c>
      <c r="FC198" s="58">
        <v>0</v>
      </c>
      <c r="FD198" s="56">
        <v>0</v>
      </c>
      <c r="FE198" s="56">
        <v>0</v>
      </c>
      <c r="FF198" s="56">
        <v>0</v>
      </c>
      <c r="FG198" s="56">
        <v>0</v>
      </c>
      <c r="FH198" s="56">
        <v>0</v>
      </c>
      <c r="FI198" s="56">
        <v>0</v>
      </c>
      <c r="FJ198" s="56">
        <v>0</v>
      </c>
      <c r="FK198" s="56">
        <v>0</v>
      </c>
      <c r="FL198" s="56">
        <v>0</v>
      </c>
      <c r="FM198" s="56">
        <v>0</v>
      </c>
      <c r="FN198" s="56">
        <v>0</v>
      </c>
      <c r="FO198" s="56">
        <v>0</v>
      </c>
      <c r="FP198" s="56">
        <v>0</v>
      </c>
      <c r="FQ198" s="56">
        <v>0</v>
      </c>
      <c r="FR198" s="56">
        <v>0</v>
      </c>
      <c r="FS198" s="58">
        <v>0</v>
      </c>
      <c r="FT198" s="56">
        <v>0</v>
      </c>
      <c r="FU198" s="56">
        <v>0</v>
      </c>
      <c r="FV198" s="56">
        <v>0</v>
      </c>
      <c r="FW198" s="56">
        <v>0</v>
      </c>
      <c r="FX198" s="56">
        <v>0</v>
      </c>
      <c r="FY198" s="56">
        <v>0</v>
      </c>
      <c r="FZ198" s="54" t="s">
        <v>1083</v>
      </c>
      <c r="GA198" s="54" t="s">
        <v>1084</v>
      </c>
      <c r="GB198" s="54" t="s">
        <v>1072</v>
      </c>
      <c r="GC198" s="54" t="s">
        <v>1073</v>
      </c>
      <c r="GD198" s="54" t="s">
        <v>1271</v>
      </c>
      <c r="GE198" s="54" t="s">
        <v>1075</v>
      </c>
      <c r="GF198" s="54"/>
      <c r="GG198" s="55"/>
      <c r="GH198" s="54"/>
      <c r="GI198" s="54"/>
      <c r="GJ198" s="54" t="s">
        <v>1076</v>
      </c>
      <c r="GK198" s="54" t="s">
        <v>1077</v>
      </c>
      <c r="GL198" s="54"/>
      <c r="GM198" s="54"/>
      <c r="GN198" s="54" t="s">
        <v>1078</v>
      </c>
      <c r="GO198" s="54" t="s">
        <v>1059</v>
      </c>
      <c r="GP198" s="54"/>
      <c r="GQ198" s="56">
        <v>0</v>
      </c>
      <c r="GR198" s="54" t="s">
        <v>1079</v>
      </c>
      <c r="GS198" s="54"/>
    </row>
    <row r="199" spans="1:201" x14ac:dyDescent="0.25">
      <c r="A199" s="54" t="s">
        <v>1032</v>
      </c>
      <c r="B199" s="54" t="s">
        <v>1033</v>
      </c>
      <c r="C199" s="54" t="s">
        <v>1269</v>
      </c>
      <c r="D199" s="54" t="s">
        <v>1035</v>
      </c>
      <c r="E199" s="54" t="s">
        <v>1036</v>
      </c>
      <c r="F199" s="55">
        <v>46189</v>
      </c>
      <c r="G199" s="55">
        <v>46189</v>
      </c>
      <c r="H199" s="54" t="s">
        <v>1037</v>
      </c>
      <c r="I199" s="54" t="s">
        <v>1038</v>
      </c>
      <c r="J199" s="54" t="s">
        <v>1039</v>
      </c>
      <c r="K199" s="55"/>
      <c r="L199" s="54" t="s">
        <v>1040</v>
      </c>
      <c r="M199" s="54"/>
      <c r="N199" s="54" t="s">
        <v>1270</v>
      </c>
      <c r="O199" s="54" t="s">
        <v>1090</v>
      </c>
      <c r="P199" s="54" t="s">
        <v>773</v>
      </c>
      <c r="Q199" s="54" t="s">
        <v>780</v>
      </c>
      <c r="R199" s="54" t="s">
        <v>1043</v>
      </c>
      <c r="S199" s="56">
        <v>13858.56</v>
      </c>
      <c r="T199" s="56">
        <v>0</v>
      </c>
      <c r="U199" s="56">
        <v>13858.56</v>
      </c>
      <c r="V199" s="56">
        <v>0</v>
      </c>
      <c r="W199" s="56">
        <v>0</v>
      </c>
      <c r="X199" s="56">
        <v>0</v>
      </c>
      <c r="Y199" s="56">
        <v>0</v>
      </c>
      <c r="Z199" s="56">
        <v>1152</v>
      </c>
      <c r="AA199" s="56">
        <v>0</v>
      </c>
      <c r="AB199" s="59">
        <v>1152</v>
      </c>
      <c r="AC199" s="56">
        <v>0</v>
      </c>
      <c r="AD199" s="56">
        <v>0</v>
      </c>
      <c r="AE199" s="56">
        <v>0</v>
      </c>
      <c r="AF199" s="54" t="s">
        <v>1044</v>
      </c>
      <c r="AG199" s="57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 t="s">
        <v>1045</v>
      </c>
      <c r="AS199" s="54" t="s">
        <v>1081</v>
      </c>
      <c r="AT199" s="54" t="s">
        <v>1082</v>
      </c>
      <c r="AU199" s="54" t="s">
        <v>1048</v>
      </c>
      <c r="AV199" s="54"/>
      <c r="AW199" s="55">
        <v>46202</v>
      </c>
      <c r="AX199" s="55">
        <v>46189</v>
      </c>
      <c r="AY199" s="55">
        <v>46189</v>
      </c>
      <c r="AZ199" s="55"/>
      <c r="BA199" s="55">
        <v>46202</v>
      </c>
      <c r="BB199" s="56">
        <v>0</v>
      </c>
      <c r="BC199" s="56">
        <v>0</v>
      </c>
      <c r="BD199" s="56">
        <v>0</v>
      </c>
      <c r="BE199" s="56">
        <v>0</v>
      </c>
      <c r="BF199" s="56">
        <v>0</v>
      </c>
      <c r="BG199" s="56">
        <v>0</v>
      </c>
      <c r="BH199" s="56">
        <v>0</v>
      </c>
      <c r="BI199" s="56">
        <v>0</v>
      </c>
      <c r="BJ199" s="56">
        <v>0</v>
      </c>
      <c r="BK199" s="56">
        <v>0</v>
      </c>
      <c r="BL199" s="56">
        <v>0</v>
      </c>
      <c r="BM199" s="56">
        <v>0</v>
      </c>
      <c r="BN199" s="56">
        <v>0</v>
      </c>
      <c r="BO199" s="56">
        <v>0</v>
      </c>
      <c r="BP199" s="54" t="s">
        <v>1049</v>
      </c>
      <c r="BQ199" s="54" t="s">
        <v>1050</v>
      </c>
      <c r="BR199" s="54" t="s">
        <v>1049</v>
      </c>
      <c r="BS199" s="54" t="s">
        <v>1050</v>
      </c>
      <c r="BT199" s="54" t="s">
        <v>1051</v>
      </c>
      <c r="BU199" s="54" t="s">
        <v>1043</v>
      </c>
      <c r="BV199" s="58">
        <v>0</v>
      </c>
      <c r="BW199" s="54" t="s">
        <v>1052</v>
      </c>
      <c r="BX199" s="54" t="s">
        <v>1053</v>
      </c>
      <c r="BY199" s="54" t="s">
        <v>1054</v>
      </c>
      <c r="BZ199" s="54" t="s">
        <v>1055</v>
      </c>
      <c r="CA199" s="55"/>
      <c r="CB199" s="54" t="s">
        <v>1056</v>
      </c>
      <c r="CC199" s="54" t="s">
        <v>1057</v>
      </c>
      <c r="CD199" s="54" t="s">
        <v>1058</v>
      </c>
      <c r="CE199" s="54" t="s">
        <v>1059</v>
      </c>
      <c r="CF199" s="54" t="s">
        <v>1060</v>
      </c>
      <c r="CG199" s="54" t="s">
        <v>1061</v>
      </c>
      <c r="CH199" s="54" t="s">
        <v>1062</v>
      </c>
      <c r="CI199" s="54" t="s">
        <v>1063</v>
      </c>
      <c r="CJ199" s="54" t="s">
        <v>1064</v>
      </c>
      <c r="CK199" s="54" t="s">
        <v>1065</v>
      </c>
      <c r="CL199" s="54" t="s">
        <v>1066</v>
      </c>
      <c r="CM199" s="54" t="s">
        <v>1067</v>
      </c>
      <c r="CN199" s="54" t="s">
        <v>1068</v>
      </c>
      <c r="CO199" s="54" t="s">
        <v>1069</v>
      </c>
      <c r="CP199" s="56">
        <v>0</v>
      </c>
      <c r="CQ199" s="56">
        <v>0</v>
      </c>
      <c r="CR199" s="56">
        <v>0</v>
      </c>
      <c r="CS199" s="56">
        <v>0</v>
      </c>
      <c r="CT199" s="56">
        <v>0</v>
      </c>
      <c r="CU199" s="56">
        <v>0</v>
      </c>
      <c r="CV199" s="56">
        <v>0</v>
      </c>
      <c r="CW199" s="56">
        <v>0</v>
      </c>
      <c r="CX199" s="56">
        <v>0</v>
      </c>
      <c r="CY199" s="56">
        <v>0</v>
      </c>
      <c r="CZ199" s="56">
        <v>0</v>
      </c>
      <c r="DA199" s="56">
        <v>0</v>
      </c>
      <c r="DB199" s="56">
        <v>0</v>
      </c>
      <c r="DC199" s="56">
        <v>0</v>
      </c>
      <c r="DD199" s="56">
        <v>0</v>
      </c>
      <c r="DE199" s="56">
        <v>0</v>
      </c>
      <c r="DF199" s="56">
        <v>0</v>
      </c>
      <c r="DG199" s="56">
        <v>0</v>
      </c>
      <c r="DH199" s="56">
        <v>0</v>
      </c>
      <c r="DI199" s="56">
        <v>0</v>
      </c>
      <c r="DJ199" s="56">
        <v>0</v>
      </c>
      <c r="DK199" s="56">
        <v>0</v>
      </c>
      <c r="DL199" s="56">
        <v>0</v>
      </c>
      <c r="DM199" s="56">
        <v>0</v>
      </c>
      <c r="DN199" s="56">
        <v>0</v>
      </c>
      <c r="DO199" s="56">
        <v>0</v>
      </c>
      <c r="DP199" s="56">
        <v>0</v>
      </c>
      <c r="DQ199" s="56">
        <v>0</v>
      </c>
      <c r="DR199" s="56">
        <v>0</v>
      </c>
      <c r="DS199" s="56">
        <v>0</v>
      </c>
      <c r="DT199" s="56">
        <v>0</v>
      </c>
      <c r="DU199" s="56">
        <v>0</v>
      </c>
      <c r="DV199" s="56">
        <v>0</v>
      </c>
      <c r="DW199" s="56">
        <v>0</v>
      </c>
      <c r="DX199" s="56">
        <v>0</v>
      </c>
      <c r="DY199" s="56">
        <v>0</v>
      </c>
      <c r="DZ199" s="56">
        <v>0</v>
      </c>
      <c r="EA199" s="56">
        <v>0</v>
      </c>
      <c r="EB199" s="56">
        <v>0</v>
      </c>
      <c r="EC199" s="56">
        <v>1663.03</v>
      </c>
      <c r="ED199" s="56">
        <v>0</v>
      </c>
      <c r="EE199" s="56">
        <v>0</v>
      </c>
      <c r="EF199" s="56">
        <v>0</v>
      </c>
      <c r="EG199" s="56">
        <v>0</v>
      </c>
      <c r="EH199" s="56">
        <v>1663.03</v>
      </c>
      <c r="EI199" s="56">
        <v>0</v>
      </c>
      <c r="EJ199" s="56">
        <v>0</v>
      </c>
      <c r="EK199" s="56">
        <v>0</v>
      </c>
      <c r="EL199" s="56">
        <v>0</v>
      </c>
      <c r="EM199" s="56">
        <v>0</v>
      </c>
      <c r="EN199" s="56">
        <v>0</v>
      </c>
      <c r="EO199" s="56">
        <v>0</v>
      </c>
      <c r="EP199" s="56">
        <v>13858.56</v>
      </c>
      <c r="EQ199" s="56">
        <v>0</v>
      </c>
      <c r="ER199" s="56">
        <v>0</v>
      </c>
      <c r="ES199" s="56">
        <v>1152</v>
      </c>
      <c r="ET199" s="56">
        <v>0</v>
      </c>
      <c r="EU199" s="56">
        <v>0</v>
      </c>
      <c r="EV199" s="56">
        <v>0</v>
      </c>
      <c r="EW199" s="56">
        <v>0</v>
      </c>
      <c r="EX199" s="56">
        <v>0</v>
      </c>
      <c r="EY199" s="56">
        <v>0</v>
      </c>
      <c r="EZ199" s="56">
        <v>0</v>
      </c>
      <c r="FA199" s="56">
        <v>0</v>
      </c>
      <c r="FB199" s="56">
        <v>0</v>
      </c>
      <c r="FC199" s="58">
        <v>0</v>
      </c>
      <c r="FD199" s="56">
        <v>0</v>
      </c>
      <c r="FE199" s="56">
        <v>0</v>
      </c>
      <c r="FF199" s="56">
        <v>0</v>
      </c>
      <c r="FG199" s="56">
        <v>0</v>
      </c>
      <c r="FH199" s="56">
        <v>0</v>
      </c>
      <c r="FI199" s="56">
        <v>0</v>
      </c>
      <c r="FJ199" s="56">
        <v>0</v>
      </c>
      <c r="FK199" s="56">
        <v>0</v>
      </c>
      <c r="FL199" s="56">
        <v>0</v>
      </c>
      <c r="FM199" s="56">
        <v>0</v>
      </c>
      <c r="FN199" s="56">
        <v>0</v>
      </c>
      <c r="FO199" s="56">
        <v>0</v>
      </c>
      <c r="FP199" s="56">
        <v>0</v>
      </c>
      <c r="FQ199" s="56">
        <v>0</v>
      </c>
      <c r="FR199" s="56">
        <v>0</v>
      </c>
      <c r="FS199" s="58">
        <v>0</v>
      </c>
      <c r="FT199" s="56">
        <v>0</v>
      </c>
      <c r="FU199" s="56">
        <v>0</v>
      </c>
      <c r="FV199" s="56">
        <v>0</v>
      </c>
      <c r="FW199" s="56">
        <v>0</v>
      </c>
      <c r="FX199" s="56">
        <v>0</v>
      </c>
      <c r="FY199" s="56">
        <v>0</v>
      </c>
      <c r="FZ199" s="54" t="s">
        <v>1083</v>
      </c>
      <c r="GA199" s="54" t="s">
        <v>1084</v>
      </c>
      <c r="GB199" s="54" t="s">
        <v>1072</v>
      </c>
      <c r="GC199" s="54" t="s">
        <v>1073</v>
      </c>
      <c r="GD199" s="54"/>
      <c r="GE199" s="54"/>
      <c r="GF199" s="54" t="s">
        <v>1272</v>
      </c>
      <c r="GG199" s="55">
        <v>46205</v>
      </c>
      <c r="GH199" s="54"/>
      <c r="GI199" s="54"/>
      <c r="GJ199" s="54" t="s">
        <v>1076</v>
      </c>
      <c r="GK199" s="54" t="s">
        <v>1077</v>
      </c>
      <c r="GL199" s="54"/>
      <c r="GM199" s="54"/>
      <c r="GN199" s="54" t="s">
        <v>1078</v>
      </c>
      <c r="GO199" s="54" t="s">
        <v>1059</v>
      </c>
      <c r="GP199" s="54"/>
      <c r="GQ199" s="56">
        <v>0</v>
      </c>
      <c r="GR199" s="54" t="s">
        <v>1079</v>
      </c>
      <c r="GS199" s="54" t="s">
        <v>1101</v>
      </c>
    </row>
    <row r="200" spans="1:201" x14ac:dyDescent="0.25">
      <c r="A200" s="54" t="s">
        <v>1032</v>
      </c>
      <c r="B200" s="54" t="s">
        <v>1033</v>
      </c>
      <c r="C200" s="54" t="s">
        <v>1269</v>
      </c>
      <c r="D200" s="54" t="s">
        <v>1035</v>
      </c>
      <c r="E200" s="54" t="s">
        <v>1036</v>
      </c>
      <c r="F200" s="55">
        <v>46189</v>
      </c>
      <c r="G200" s="55">
        <v>46189</v>
      </c>
      <c r="H200" s="54" t="s">
        <v>1037</v>
      </c>
      <c r="I200" s="54" t="s">
        <v>1038</v>
      </c>
      <c r="J200" s="54" t="s">
        <v>1039</v>
      </c>
      <c r="K200" s="55"/>
      <c r="L200" s="54" t="s">
        <v>1040</v>
      </c>
      <c r="M200" s="54"/>
      <c r="N200" s="54" t="s">
        <v>1270</v>
      </c>
      <c r="O200" s="54" t="s">
        <v>1081</v>
      </c>
      <c r="P200" s="54" t="s">
        <v>179</v>
      </c>
      <c r="Q200" s="54" t="s">
        <v>439</v>
      </c>
      <c r="R200" s="54" t="s">
        <v>1043</v>
      </c>
      <c r="S200" s="56">
        <v>9379.44</v>
      </c>
      <c r="T200" s="56">
        <v>9379.44</v>
      </c>
      <c r="U200" s="56">
        <v>0</v>
      </c>
      <c r="V200" s="56">
        <v>0</v>
      </c>
      <c r="W200" s="56">
        <v>0</v>
      </c>
      <c r="X200" s="56">
        <v>0</v>
      </c>
      <c r="Y200" s="56">
        <v>0</v>
      </c>
      <c r="Z200" s="56">
        <v>252</v>
      </c>
      <c r="AA200" s="56">
        <v>252</v>
      </c>
      <c r="AB200" s="59">
        <v>0</v>
      </c>
      <c r="AC200" s="56">
        <v>0</v>
      </c>
      <c r="AD200" s="56">
        <v>0</v>
      </c>
      <c r="AE200" s="56">
        <v>0</v>
      </c>
      <c r="AF200" s="54" t="s">
        <v>1044</v>
      </c>
      <c r="AG200" s="57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 t="s">
        <v>1045</v>
      </c>
      <c r="AS200" s="54" t="s">
        <v>1046</v>
      </c>
      <c r="AT200" s="54" t="s">
        <v>1047</v>
      </c>
      <c r="AU200" s="54" t="s">
        <v>1048</v>
      </c>
      <c r="AV200" s="54"/>
      <c r="AW200" s="55">
        <v>46202</v>
      </c>
      <c r="AX200" s="55">
        <v>46189</v>
      </c>
      <c r="AY200" s="55">
        <v>46189</v>
      </c>
      <c r="AZ200" s="55"/>
      <c r="BA200" s="55">
        <v>46202</v>
      </c>
      <c r="BB200" s="56">
        <v>0</v>
      </c>
      <c r="BC200" s="56">
        <v>0</v>
      </c>
      <c r="BD200" s="56">
        <v>0</v>
      </c>
      <c r="BE200" s="56">
        <v>0</v>
      </c>
      <c r="BF200" s="56">
        <v>0</v>
      </c>
      <c r="BG200" s="56">
        <v>0</v>
      </c>
      <c r="BH200" s="56">
        <v>0</v>
      </c>
      <c r="BI200" s="56">
        <v>0</v>
      </c>
      <c r="BJ200" s="56">
        <v>0</v>
      </c>
      <c r="BK200" s="56">
        <v>0</v>
      </c>
      <c r="BL200" s="56">
        <v>0</v>
      </c>
      <c r="BM200" s="56">
        <v>0</v>
      </c>
      <c r="BN200" s="56">
        <v>0</v>
      </c>
      <c r="BO200" s="56">
        <v>0</v>
      </c>
      <c r="BP200" s="54" t="s">
        <v>1049</v>
      </c>
      <c r="BQ200" s="54" t="s">
        <v>1050</v>
      </c>
      <c r="BR200" s="54" t="s">
        <v>1049</v>
      </c>
      <c r="BS200" s="54" t="s">
        <v>1050</v>
      </c>
      <c r="BT200" s="54" t="s">
        <v>1051</v>
      </c>
      <c r="BU200" s="54" t="s">
        <v>1043</v>
      </c>
      <c r="BV200" s="58">
        <v>252</v>
      </c>
      <c r="BW200" s="54" t="s">
        <v>1052</v>
      </c>
      <c r="BX200" s="54" t="s">
        <v>1053</v>
      </c>
      <c r="BY200" s="54" t="s">
        <v>1054</v>
      </c>
      <c r="BZ200" s="54" t="s">
        <v>1055</v>
      </c>
      <c r="CA200" s="55"/>
      <c r="CB200" s="54" t="s">
        <v>1056</v>
      </c>
      <c r="CC200" s="54" t="s">
        <v>1057</v>
      </c>
      <c r="CD200" s="54" t="s">
        <v>1058</v>
      </c>
      <c r="CE200" s="54" t="s">
        <v>1059</v>
      </c>
      <c r="CF200" s="54" t="s">
        <v>1060</v>
      </c>
      <c r="CG200" s="54" t="s">
        <v>1061</v>
      </c>
      <c r="CH200" s="54" t="s">
        <v>1062</v>
      </c>
      <c r="CI200" s="54" t="s">
        <v>1063</v>
      </c>
      <c r="CJ200" s="54" t="s">
        <v>1064</v>
      </c>
      <c r="CK200" s="54" t="s">
        <v>1065</v>
      </c>
      <c r="CL200" s="54" t="s">
        <v>1066</v>
      </c>
      <c r="CM200" s="54" t="s">
        <v>1067</v>
      </c>
      <c r="CN200" s="54" t="s">
        <v>1068</v>
      </c>
      <c r="CO200" s="54" t="s">
        <v>1069</v>
      </c>
      <c r="CP200" s="56">
        <v>0</v>
      </c>
      <c r="CQ200" s="56">
        <v>0</v>
      </c>
      <c r="CR200" s="56">
        <v>0</v>
      </c>
      <c r="CS200" s="56">
        <v>0</v>
      </c>
      <c r="CT200" s="56">
        <v>0</v>
      </c>
      <c r="CU200" s="56">
        <v>0</v>
      </c>
      <c r="CV200" s="56">
        <v>0</v>
      </c>
      <c r="CW200" s="56">
        <v>0</v>
      </c>
      <c r="CX200" s="56">
        <v>0</v>
      </c>
      <c r="CY200" s="56">
        <v>0</v>
      </c>
      <c r="CZ200" s="56">
        <v>0</v>
      </c>
      <c r="DA200" s="56">
        <v>0</v>
      </c>
      <c r="DB200" s="56">
        <v>0</v>
      </c>
      <c r="DC200" s="56">
        <v>0</v>
      </c>
      <c r="DD200" s="56">
        <v>0</v>
      </c>
      <c r="DE200" s="56">
        <v>0</v>
      </c>
      <c r="DF200" s="56">
        <v>0</v>
      </c>
      <c r="DG200" s="56">
        <v>0</v>
      </c>
      <c r="DH200" s="56">
        <v>0</v>
      </c>
      <c r="DI200" s="56">
        <v>0</v>
      </c>
      <c r="DJ200" s="56">
        <v>0</v>
      </c>
      <c r="DK200" s="56">
        <v>0</v>
      </c>
      <c r="DL200" s="56">
        <v>0</v>
      </c>
      <c r="DM200" s="56">
        <v>0</v>
      </c>
      <c r="DN200" s="56">
        <v>0</v>
      </c>
      <c r="DO200" s="56">
        <v>0</v>
      </c>
      <c r="DP200" s="56">
        <v>0</v>
      </c>
      <c r="DQ200" s="56">
        <v>0</v>
      </c>
      <c r="DR200" s="56">
        <v>0</v>
      </c>
      <c r="DS200" s="56">
        <v>0</v>
      </c>
      <c r="DT200" s="56">
        <v>0</v>
      </c>
      <c r="DU200" s="56">
        <v>0</v>
      </c>
      <c r="DV200" s="56">
        <v>0</v>
      </c>
      <c r="DW200" s="56">
        <v>0</v>
      </c>
      <c r="DX200" s="56">
        <v>0</v>
      </c>
      <c r="DY200" s="56">
        <v>0</v>
      </c>
      <c r="DZ200" s="56">
        <v>0</v>
      </c>
      <c r="EA200" s="56">
        <v>0</v>
      </c>
      <c r="EB200" s="56">
        <v>0</v>
      </c>
      <c r="EC200" s="56">
        <v>0</v>
      </c>
      <c r="ED200" s="56">
        <v>0</v>
      </c>
      <c r="EE200" s="56">
        <v>0</v>
      </c>
      <c r="EF200" s="56">
        <v>0</v>
      </c>
      <c r="EG200" s="56">
        <v>0</v>
      </c>
      <c r="EH200" s="56">
        <v>1125.53</v>
      </c>
      <c r="EI200" s="56">
        <v>0</v>
      </c>
      <c r="EJ200" s="56">
        <v>0</v>
      </c>
      <c r="EK200" s="56">
        <v>0</v>
      </c>
      <c r="EL200" s="56">
        <v>0</v>
      </c>
      <c r="EM200" s="56">
        <v>0</v>
      </c>
      <c r="EN200" s="56">
        <v>0</v>
      </c>
      <c r="EO200" s="56">
        <v>0</v>
      </c>
      <c r="EP200" s="56">
        <v>0</v>
      </c>
      <c r="EQ200" s="56">
        <v>0</v>
      </c>
      <c r="ER200" s="56">
        <v>0</v>
      </c>
      <c r="ES200" s="56">
        <v>0</v>
      </c>
      <c r="ET200" s="56">
        <v>0</v>
      </c>
      <c r="EU200" s="56">
        <v>0</v>
      </c>
      <c r="EV200" s="56">
        <v>0</v>
      </c>
      <c r="EW200" s="56">
        <v>0</v>
      </c>
      <c r="EX200" s="56">
        <v>0</v>
      </c>
      <c r="EY200" s="56">
        <v>0</v>
      </c>
      <c r="EZ200" s="56">
        <v>0</v>
      </c>
      <c r="FA200" s="56">
        <v>0</v>
      </c>
      <c r="FB200" s="56">
        <v>0</v>
      </c>
      <c r="FC200" s="58">
        <v>0</v>
      </c>
      <c r="FD200" s="56">
        <v>0</v>
      </c>
      <c r="FE200" s="56">
        <v>0</v>
      </c>
      <c r="FF200" s="56">
        <v>0</v>
      </c>
      <c r="FG200" s="56">
        <v>0</v>
      </c>
      <c r="FH200" s="56">
        <v>0</v>
      </c>
      <c r="FI200" s="56">
        <v>0</v>
      </c>
      <c r="FJ200" s="56">
        <v>0</v>
      </c>
      <c r="FK200" s="56">
        <v>0</v>
      </c>
      <c r="FL200" s="56">
        <v>0</v>
      </c>
      <c r="FM200" s="56">
        <v>0</v>
      </c>
      <c r="FN200" s="56">
        <v>0</v>
      </c>
      <c r="FO200" s="56">
        <v>0</v>
      </c>
      <c r="FP200" s="56">
        <v>0</v>
      </c>
      <c r="FQ200" s="56">
        <v>0</v>
      </c>
      <c r="FR200" s="56">
        <v>0</v>
      </c>
      <c r="FS200" s="58">
        <v>0</v>
      </c>
      <c r="FT200" s="56">
        <v>0</v>
      </c>
      <c r="FU200" s="56">
        <v>0</v>
      </c>
      <c r="FV200" s="56">
        <v>0</v>
      </c>
      <c r="FW200" s="56">
        <v>0</v>
      </c>
      <c r="FX200" s="56">
        <v>0</v>
      </c>
      <c r="FY200" s="56">
        <v>0</v>
      </c>
      <c r="FZ200" s="54" t="s">
        <v>1083</v>
      </c>
      <c r="GA200" s="54" t="s">
        <v>1084</v>
      </c>
      <c r="GB200" s="54" t="s">
        <v>1072</v>
      </c>
      <c r="GC200" s="54" t="s">
        <v>1073</v>
      </c>
      <c r="GD200" s="54" t="s">
        <v>1092</v>
      </c>
      <c r="GE200" s="54" t="s">
        <v>1075</v>
      </c>
      <c r="GF200" s="54"/>
      <c r="GG200" s="55"/>
      <c r="GH200" s="54"/>
      <c r="GI200" s="54"/>
      <c r="GJ200" s="54" t="s">
        <v>1076</v>
      </c>
      <c r="GK200" s="54" t="s">
        <v>1077</v>
      </c>
      <c r="GL200" s="54"/>
      <c r="GM200" s="54"/>
      <c r="GN200" s="54" t="s">
        <v>1078</v>
      </c>
      <c r="GO200" s="54" t="s">
        <v>1059</v>
      </c>
      <c r="GP200" s="54"/>
      <c r="GQ200" s="56">
        <v>0</v>
      </c>
      <c r="GR200" s="54" t="s">
        <v>1079</v>
      </c>
      <c r="GS200" s="54"/>
    </row>
    <row r="201" spans="1:201" x14ac:dyDescent="0.25">
      <c r="A201" s="54" t="s">
        <v>1032</v>
      </c>
      <c r="B201" s="54" t="s">
        <v>1033</v>
      </c>
      <c r="C201" s="54" t="s">
        <v>1269</v>
      </c>
      <c r="D201" s="54" t="s">
        <v>1035</v>
      </c>
      <c r="E201" s="54" t="s">
        <v>1036</v>
      </c>
      <c r="F201" s="55">
        <v>46189</v>
      </c>
      <c r="G201" s="55">
        <v>46189</v>
      </c>
      <c r="H201" s="54" t="s">
        <v>1037</v>
      </c>
      <c r="I201" s="54" t="s">
        <v>1038</v>
      </c>
      <c r="J201" s="54" t="s">
        <v>1039</v>
      </c>
      <c r="K201" s="55"/>
      <c r="L201" s="54" t="s">
        <v>1040</v>
      </c>
      <c r="M201" s="54"/>
      <c r="N201" s="54" t="s">
        <v>1270</v>
      </c>
      <c r="O201" s="54" t="s">
        <v>1046</v>
      </c>
      <c r="P201" s="54" t="s">
        <v>182</v>
      </c>
      <c r="Q201" s="54" t="s">
        <v>11</v>
      </c>
      <c r="R201" s="54" t="s">
        <v>1043</v>
      </c>
      <c r="S201" s="56">
        <v>2815.2</v>
      </c>
      <c r="T201" s="56">
        <v>2815.2</v>
      </c>
      <c r="U201" s="56">
        <v>0</v>
      </c>
      <c r="V201" s="56">
        <v>0</v>
      </c>
      <c r="W201" s="56">
        <v>0</v>
      </c>
      <c r="X201" s="56">
        <v>0</v>
      </c>
      <c r="Y201" s="56">
        <v>0</v>
      </c>
      <c r="Z201" s="56">
        <v>720</v>
      </c>
      <c r="AA201" s="56">
        <v>720</v>
      </c>
      <c r="AB201" s="59">
        <v>0</v>
      </c>
      <c r="AC201" s="56">
        <v>0</v>
      </c>
      <c r="AD201" s="56">
        <v>0</v>
      </c>
      <c r="AE201" s="56">
        <v>0</v>
      </c>
      <c r="AF201" s="54" t="s">
        <v>1044</v>
      </c>
      <c r="AG201" s="57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 t="s">
        <v>1045</v>
      </c>
      <c r="AS201" s="54" t="s">
        <v>1046</v>
      </c>
      <c r="AT201" s="54" t="s">
        <v>1047</v>
      </c>
      <c r="AU201" s="54" t="s">
        <v>1048</v>
      </c>
      <c r="AV201" s="54"/>
      <c r="AW201" s="55">
        <v>46202</v>
      </c>
      <c r="AX201" s="55">
        <v>46189</v>
      </c>
      <c r="AY201" s="55">
        <v>46189</v>
      </c>
      <c r="AZ201" s="55"/>
      <c r="BA201" s="55">
        <v>46202</v>
      </c>
      <c r="BB201" s="56">
        <v>0</v>
      </c>
      <c r="BC201" s="56">
        <v>0</v>
      </c>
      <c r="BD201" s="56">
        <v>0</v>
      </c>
      <c r="BE201" s="56">
        <v>0</v>
      </c>
      <c r="BF201" s="56">
        <v>0</v>
      </c>
      <c r="BG201" s="56">
        <v>0</v>
      </c>
      <c r="BH201" s="56">
        <v>0</v>
      </c>
      <c r="BI201" s="56">
        <v>0</v>
      </c>
      <c r="BJ201" s="56">
        <v>0</v>
      </c>
      <c r="BK201" s="56">
        <v>0</v>
      </c>
      <c r="BL201" s="56">
        <v>0</v>
      </c>
      <c r="BM201" s="56">
        <v>0</v>
      </c>
      <c r="BN201" s="56">
        <v>0</v>
      </c>
      <c r="BO201" s="56">
        <v>0</v>
      </c>
      <c r="BP201" s="54" t="s">
        <v>1049</v>
      </c>
      <c r="BQ201" s="54" t="s">
        <v>1050</v>
      </c>
      <c r="BR201" s="54" t="s">
        <v>1049</v>
      </c>
      <c r="BS201" s="54" t="s">
        <v>1050</v>
      </c>
      <c r="BT201" s="54" t="s">
        <v>1051</v>
      </c>
      <c r="BU201" s="54" t="s">
        <v>1043</v>
      </c>
      <c r="BV201" s="58">
        <v>720</v>
      </c>
      <c r="BW201" s="54" t="s">
        <v>1052</v>
      </c>
      <c r="BX201" s="54" t="s">
        <v>1053</v>
      </c>
      <c r="BY201" s="54" t="s">
        <v>1054</v>
      </c>
      <c r="BZ201" s="54" t="s">
        <v>1055</v>
      </c>
      <c r="CA201" s="55"/>
      <c r="CB201" s="54" t="s">
        <v>1056</v>
      </c>
      <c r="CC201" s="54" t="s">
        <v>1057</v>
      </c>
      <c r="CD201" s="54" t="s">
        <v>1058</v>
      </c>
      <c r="CE201" s="54" t="s">
        <v>1059</v>
      </c>
      <c r="CF201" s="54" t="s">
        <v>1060</v>
      </c>
      <c r="CG201" s="54" t="s">
        <v>1061</v>
      </c>
      <c r="CH201" s="54" t="s">
        <v>1062</v>
      </c>
      <c r="CI201" s="54" t="s">
        <v>1063</v>
      </c>
      <c r="CJ201" s="54" t="s">
        <v>1064</v>
      </c>
      <c r="CK201" s="54" t="s">
        <v>1065</v>
      </c>
      <c r="CL201" s="54" t="s">
        <v>1066</v>
      </c>
      <c r="CM201" s="54" t="s">
        <v>1067</v>
      </c>
      <c r="CN201" s="54" t="s">
        <v>1068</v>
      </c>
      <c r="CO201" s="54" t="s">
        <v>1069</v>
      </c>
      <c r="CP201" s="56">
        <v>0</v>
      </c>
      <c r="CQ201" s="56">
        <v>0</v>
      </c>
      <c r="CR201" s="56">
        <v>0</v>
      </c>
      <c r="CS201" s="56">
        <v>0</v>
      </c>
      <c r="CT201" s="56">
        <v>0</v>
      </c>
      <c r="CU201" s="56">
        <v>0</v>
      </c>
      <c r="CV201" s="56">
        <v>0</v>
      </c>
      <c r="CW201" s="56">
        <v>0</v>
      </c>
      <c r="CX201" s="56">
        <v>0</v>
      </c>
      <c r="CY201" s="56">
        <v>0</v>
      </c>
      <c r="CZ201" s="56">
        <v>0</v>
      </c>
      <c r="DA201" s="56">
        <v>0</v>
      </c>
      <c r="DB201" s="56">
        <v>0</v>
      </c>
      <c r="DC201" s="56">
        <v>0</v>
      </c>
      <c r="DD201" s="56">
        <v>0</v>
      </c>
      <c r="DE201" s="56">
        <v>0</v>
      </c>
      <c r="DF201" s="56">
        <v>0</v>
      </c>
      <c r="DG201" s="56">
        <v>0</v>
      </c>
      <c r="DH201" s="56">
        <v>0</v>
      </c>
      <c r="DI201" s="56">
        <v>0</v>
      </c>
      <c r="DJ201" s="56">
        <v>0</v>
      </c>
      <c r="DK201" s="56">
        <v>0</v>
      </c>
      <c r="DL201" s="56">
        <v>0</v>
      </c>
      <c r="DM201" s="56">
        <v>0</v>
      </c>
      <c r="DN201" s="56">
        <v>0</v>
      </c>
      <c r="DO201" s="56">
        <v>0</v>
      </c>
      <c r="DP201" s="56">
        <v>0</v>
      </c>
      <c r="DQ201" s="56">
        <v>0</v>
      </c>
      <c r="DR201" s="56">
        <v>0</v>
      </c>
      <c r="DS201" s="56">
        <v>0</v>
      </c>
      <c r="DT201" s="56">
        <v>0</v>
      </c>
      <c r="DU201" s="56">
        <v>0</v>
      </c>
      <c r="DV201" s="56">
        <v>0</v>
      </c>
      <c r="DW201" s="56">
        <v>0</v>
      </c>
      <c r="DX201" s="56">
        <v>0</v>
      </c>
      <c r="DY201" s="56">
        <v>0</v>
      </c>
      <c r="DZ201" s="56">
        <v>0</v>
      </c>
      <c r="EA201" s="56">
        <v>0</v>
      </c>
      <c r="EB201" s="56">
        <v>0</v>
      </c>
      <c r="EC201" s="56">
        <v>0</v>
      </c>
      <c r="ED201" s="56">
        <v>0</v>
      </c>
      <c r="EE201" s="56">
        <v>0</v>
      </c>
      <c r="EF201" s="56">
        <v>0</v>
      </c>
      <c r="EG201" s="56">
        <v>0</v>
      </c>
      <c r="EH201" s="56">
        <v>337.82</v>
      </c>
      <c r="EI201" s="56">
        <v>0</v>
      </c>
      <c r="EJ201" s="56">
        <v>0</v>
      </c>
      <c r="EK201" s="56">
        <v>0</v>
      </c>
      <c r="EL201" s="56">
        <v>0</v>
      </c>
      <c r="EM201" s="56">
        <v>0</v>
      </c>
      <c r="EN201" s="56">
        <v>0</v>
      </c>
      <c r="EO201" s="56">
        <v>0</v>
      </c>
      <c r="EP201" s="56">
        <v>0</v>
      </c>
      <c r="EQ201" s="56">
        <v>0</v>
      </c>
      <c r="ER201" s="56">
        <v>0</v>
      </c>
      <c r="ES201" s="56">
        <v>0</v>
      </c>
      <c r="ET201" s="56">
        <v>0</v>
      </c>
      <c r="EU201" s="56">
        <v>0</v>
      </c>
      <c r="EV201" s="56">
        <v>0</v>
      </c>
      <c r="EW201" s="56">
        <v>0</v>
      </c>
      <c r="EX201" s="56">
        <v>0</v>
      </c>
      <c r="EY201" s="56">
        <v>0</v>
      </c>
      <c r="EZ201" s="56">
        <v>0</v>
      </c>
      <c r="FA201" s="56">
        <v>0</v>
      </c>
      <c r="FB201" s="56">
        <v>0</v>
      </c>
      <c r="FC201" s="58">
        <v>0</v>
      </c>
      <c r="FD201" s="56">
        <v>0</v>
      </c>
      <c r="FE201" s="56">
        <v>0</v>
      </c>
      <c r="FF201" s="56">
        <v>0</v>
      </c>
      <c r="FG201" s="56">
        <v>0</v>
      </c>
      <c r="FH201" s="56">
        <v>0</v>
      </c>
      <c r="FI201" s="56">
        <v>0</v>
      </c>
      <c r="FJ201" s="56">
        <v>0</v>
      </c>
      <c r="FK201" s="56">
        <v>0</v>
      </c>
      <c r="FL201" s="56">
        <v>0</v>
      </c>
      <c r="FM201" s="56">
        <v>0</v>
      </c>
      <c r="FN201" s="56">
        <v>0</v>
      </c>
      <c r="FO201" s="56">
        <v>0</v>
      </c>
      <c r="FP201" s="56">
        <v>0</v>
      </c>
      <c r="FQ201" s="56">
        <v>0</v>
      </c>
      <c r="FR201" s="56">
        <v>0</v>
      </c>
      <c r="FS201" s="58">
        <v>0</v>
      </c>
      <c r="FT201" s="56">
        <v>0</v>
      </c>
      <c r="FU201" s="56">
        <v>0</v>
      </c>
      <c r="FV201" s="56">
        <v>0</v>
      </c>
      <c r="FW201" s="56">
        <v>0</v>
      </c>
      <c r="FX201" s="56">
        <v>0</v>
      </c>
      <c r="FY201" s="56">
        <v>0</v>
      </c>
      <c r="FZ201" s="54" t="s">
        <v>1070</v>
      </c>
      <c r="GA201" s="54" t="s">
        <v>1071</v>
      </c>
      <c r="GB201" s="54" t="s">
        <v>1072</v>
      </c>
      <c r="GC201" s="54" t="s">
        <v>1073</v>
      </c>
      <c r="GD201" s="54" t="s">
        <v>1110</v>
      </c>
      <c r="GE201" s="54" t="s">
        <v>1075</v>
      </c>
      <c r="GF201" s="54"/>
      <c r="GG201" s="55"/>
      <c r="GH201" s="54"/>
      <c r="GI201" s="54"/>
      <c r="GJ201" s="54" t="s">
        <v>1076</v>
      </c>
      <c r="GK201" s="54" t="s">
        <v>1077</v>
      </c>
      <c r="GL201" s="54"/>
      <c r="GM201" s="54"/>
      <c r="GN201" s="54" t="s">
        <v>1078</v>
      </c>
      <c r="GO201" s="54" t="s">
        <v>1059</v>
      </c>
      <c r="GP201" s="54"/>
      <c r="GQ201" s="56">
        <v>0</v>
      </c>
      <c r="GR201" s="54" t="s">
        <v>1079</v>
      </c>
      <c r="GS201" s="54"/>
    </row>
    <row r="202" spans="1:201" x14ac:dyDescent="0.25">
      <c r="A202" s="54" t="s">
        <v>1032</v>
      </c>
      <c r="B202" s="54" t="s">
        <v>1033</v>
      </c>
      <c r="C202" s="54" t="s">
        <v>1269</v>
      </c>
      <c r="D202" s="54" t="s">
        <v>1035</v>
      </c>
      <c r="E202" s="54" t="s">
        <v>1036</v>
      </c>
      <c r="F202" s="55">
        <v>46189</v>
      </c>
      <c r="G202" s="55">
        <v>46189</v>
      </c>
      <c r="H202" s="54" t="s">
        <v>1037</v>
      </c>
      <c r="I202" s="54" t="s">
        <v>1038</v>
      </c>
      <c r="J202" s="54" t="s">
        <v>1039</v>
      </c>
      <c r="K202" s="55"/>
      <c r="L202" s="54" t="s">
        <v>1040</v>
      </c>
      <c r="M202" s="54"/>
      <c r="N202" s="54" t="s">
        <v>1270</v>
      </c>
      <c r="O202" s="54" t="s">
        <v>1091</v>
      </c>
      <c r="P202" s="54" t="s">
        <v>362</v>
      </c>
      <c r="Q202" s="54" t="s">
        <v>363</v>
      </c>
      <c r="R202" s="54" t="s">
        <v>1043</v>
      </c>
      <c r="S202" s="56">
        <v>7168</v>
      </c>
      <c r="T202" s="56">
        <v>7168</v>
      </c>
      <c r="U202" s="56">
        <v>0</v>
      </c>
      <c r="V202" s="56">
        <v>0</v>
      </c>
      <c r="W202" s="56">
        <v>0</v>
      </c>
      <c r="X202" s="56">
        <v>0</v>
      </c>
      <c r="Y202" s="56">
        <v>0</v>
      </c>
      <c r="Z202" s="56">
        <v>896</v>
      </c>
      <c r="AA202" s="56">
        <v>896</v>
      </c>
      <c r="AB202" s="59">
        <v>0</v>
      </c>
      <c r="AC202" s="56">
        <v>0</v>
      </c>
      <c r="AD202" s="56">
        <v>0</v>
      </c>
      <c r="AE202" s="56">
        <v>0</v>
      </c>
      <c r="AF202" s="54" t="s">
        <v>1044</v>
      </c>
      <c r="AG202" s="57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 t="s">
        <v>1045</v>
      </c>
      <c r="AS202" s="54" t="s">
        <v>1046</v>
      </c>
      <c r="AT202" s="54" t="s">
        <v>1047</v>
      </c>
      <c r="AU202" s="54" t="s">
        <v>1048</v>
      </c>
      <c r="AV202" s="54"/>
      <c r="AW202" s="55">
        <v>46202</v>
      </c>
      <c r="AX202" s="55">
        <v>46189</v>
      </c>
      <c r="AY202" s="55">
        <v>46189</v>
      </c>
      <c r="AZ202" s="55"/>
      <c r="BA202" s="55">
        <v>46202</v>
      </c>
      <c r="BB202" s="56">
        <v>0</v>
      </c>
      <c r="BC202" s="56">
        <v>0</v>
      </c>
      <c r="BD202" s="56">
        <v>0</v>
      </c>
      <c r="BE202" s="56">
        <v>0</v>
      </c>
      <c r="BF202" s="56">
        <v>0</v>
      </c>
      <c r="BG202" s="56">
        <v>0</v>
      </c>
      <c r="BH202" s="56">
        <v>0</v>
      </c>
      <c r="BI202" s="56">
        <v>0</v>
      </c>
      <c r="BJ202" s="56">
        <v>0</v>
      </c>
      <c r="BK202" s="56">
        <v>0</v>
      </c>
      <c r="BL202" s="56">
        <v>0</v>
      </c>
      <c r="BM202" s="56">
        <v>0</v>
      </c>
      <c r="BN202" s="56">
        <v>0</v>
      </c>
      <c r="BO202" s="56">
        <v>0</v>
      </c>
      <c r="BP202" s="54" t="s">
        <v>1049</v>
      </c>
      <c r="BQ202" s="54" t="s">
        <v>1050</v>
      </c>
      <c r="BR202" s="54" t="s">
        <v>1049</v>
      </c>
      <c r="BS202" s="54" t="s">
        <v>1050</v>
      </c>
      <c r="BT202" s="54" t="s">
        <v>1051</v>
      </c>
      <c r="BU202" s="54" t="s">
        <v>1043</v>
      </c>
      <c r="BV202" s="58">
        <v>896</v>
      </c>
      <c r="BW202" s="54" t="s">
        <v>1052</v>
      </c>
      <c r="BX202" s="54" t="s">
        <v>1053</v>
      </c>
      <c r="BY202" s="54" t="s">
        <v>1054</v>
      </c>
      <c r="BZ202" s="54" t="s">
        <v>1055</v>
      </c>
      <c r="CA202" s="55"/>
      <c r="CB202" s="54" t="s">
        <v>1056</v>
      </c>
      <c r="CC202" s="54" t="s">
        <v>1057</v>
      </c>
      <c r="CD202" s="54" t="s">
        <v>1058</v>
      </c>
      <c r="CE202" s="54" t="s">
        <v>1059</v>
      </c>
      <c r="CF202" s="54" t="s">
        <v>1060</v>
      </c>
      <c r="CG202" s="54" t="s">
        <v>1061</v>
      </c>
      <c r="CH202" s="54" t="s">
        <v>1062</v>
      </c>
      <c r="CI202" s="54" t="s">
        <v>1063</v>
      </c>
      <c r="CJ202" s="54" t="s">
        <v>1064</v>
      </c>
      <c r="CK202" s="54" t="s">
        <v>1065</v>
      </c>
      <c r="CL202" s="54" t="s">
        <v>1066</v>
      </c>
      <c r="CM202" s="54" t="s">
        <v>1067</v>
      </c>
      <c r="CN202" s="54" t="s">
        <v>1068</v>
      </c>
      <c r="CO202" s="54" t="s">
        <v>1069</v>
      </c>
      <c r="CP202" s="56">
        <v>0</v>
      </c>
      <c r="CQ202" s="56">
        <v>0</v>
      </c>
      <c r="CR202" s="56">
        <v>0</v>
      </c>
      <c r="CS202" s="56">
        <v>0</v>
      </c>
      <c r="CT202" s="56">
        <v>0</v>
      </c>
      <c r="CU202" s="56">
        <v>0</v>
      </c>
      <c r="CV202" s="56">
        <v>0</v>
      </c>
      <c r="CW202" s="56">
        <v>0</v>
      </c>
      <c r="CX202" s="56">
        <v>0</v>
      </c>
      <c r="CY202" s="56">
        <v>0</v>
      </c>
      <c r="CZ202" s="56">
        <v>0</v>
      </c>
      <c r="DA202" s="56">
        <v>0</v>
      </c>
      <c r="DB202" s="56">
        <v>0</v>
      </c>
      <c r="DC202" s="56">
        <v>0</v>
      </c>
      <c r="DD202" s="56">
        <v>0</v>
      </c>
      <c r="DE202" s="56">
        <v>0</v>
      </c>
      <c r="DF202" s="56">
        <v>0</v>
      </c>
      <c r="DG202" s="56">
        <v>0</v>
      </c>
      <c r="DH202" s="56">
        <v>0</v>
      </c>
      <c r="DI202" s="56">
        <v>0</v>
      </c>
      <c r="DJ202" s="56">
        <v>0</v>
      </c>
      <c r="DK202" s="56">
        <v>0</v>
      </c>
      <c r="DL202" s="56">
        <v>0</v>
      </c>
      <c r="DM202" s="56">
        <v>0</v>
      </c>
      <c r="DN202" s="56">
        <v>0</v>
      </c>
      <c r="DO202" s="56">
        <v>0</v>
      </c>
      <c r="DP202" s="56">
        <v>0</v>
      </c>
      <c r="DQ202" s="56">
        <v>0</v>
      </c>
      <c r="DR202" s="56">
        <v>0</v>
      </c>
      <c r="DS202" s="56">
        <v>0</v>
      </c>
      <c r="DT202" s="56">
        <v>0</v>
      </c>
      <c r="DU202" s="56">
        <v>0</v>
      </c>
      <c r="DV202" s="56">
        <v>0</v>
      </c>
      <c r="DW202" s="56">
        <v>0</v>
      </c>
      <c r="DX202" s="56">
        <v>0</v>
      </c>
      <c r="DY202" s="56">
        <v>0</v>
      </c>
      <c r="DZ202" s="56">
        <v>0</v>
      </c>
      <c r="EA202" s="56">
        <v>0</v>
      </c>
      <c r="EB202" s="56">
        <v>0</v>
      </c>
      <c r="EC202" s="56">
        <v>0</v>
      </c>
      <c r="ED202" s="56">
        <v>0</v>
      </c>
      <c r="EE202" s="56">
        <v>0</v>
      </c>
      <c r="EF202" s="56">
        <v>0</v>
      </c>
      <c r="EG202" s="56">
        <v>0</v>
      </c>
      <c r="EH202" s="56">
        <v>286.72000000000003</v>
      </c>
      <c r="EI202" s="56">
        <v>0</v>
      </c>
      <c r="EJ202" s="56">
        <v>0</v>
      </c>
      <c r="EK202" s="56">
        <v>0</v>
      </c>
      <c r="EL202" s="56">
        <v>0</v>
      </c>
      <c r="EM202" s="56">
        <v>0</v>
      </c>
      <c r="EN202" s="56">
        <v>0</v>
      </c>
      <c r="EO202" s="56">
        <v>0</v>
      </c>
      <c r="EP202" s="56">
        <v>0</v>
      </c>
      <c r="EQ202" s="56">
        <v>0</v>
      </c>
      <c r="ER202" s="56">
        <v>0</v>
      </c>
      <c r="ES202" s="56">
        <v>0</v>
      </c>
      <c r="ET202" s="56">
        <v>0</v>
      </c>
      <c r="EU202" s="56">
        <v>0</v>
      </c>
      <c r="EV202" s="56">
        <v>0</v>
      </c>
      <c r="EW202" s="56">
        <v>0</v>
      </c>
      <c r="EX202" s="56">
        <v>0</v>
      </c>
      <c r="EY202" s="56">
        <v>0</v>
      </c>
      <c r="EZ202" s="56">
        <v>0</v>
      </c>
      <c r="FA202" s="56">
        <v>0</v>
      </c>
      <c r="FB202" s="56">
        <v>0</v>
      </c>
      <c r="FC202" s="58">
        <v>0</v>
      </c>
      <c r="FD202" s="56">
        <v>0</v>
      </c>
      <c r="FE202" s="56">
        <v>0</v>
      </c>
      <c r="FF202" s="56">
        <v>0</v>
      </c>
      <c r="FG202" s="56">
        <v>0</v>
      </c>
      <c r="FH202" s="56">
        <v>0</v>
      </c>
      <c r="FI202" s="56">
        <v>0</v>
      </c>
      <c r="FJ202" s="56">
        <v>0</v>
      </c>
      <c r="FK202" s="56">
        <v>0</v>
      </c>
      <c r="FL202" s="56">
        <v>0</v>
      </c>
      <c r="FM202" s="56">
        <v>0</v>
      </c>
      <c r="FN202" s="56">
        <v>0</v>
      </c>
      <c r="FO202" s="56">
        <v>0</v>
      </c>
      <c r="FP202" s="56">
        <v>0</v>
      </c>
      <c r="FQ202" s="56">
        <v>0</v>
      </c>
      <c r="FR202" s="56">
        <v>0</v>
      </c>
      <c r="FS202" s="58">
        <v>0</v>
      </c>
      <c r="FT202" s="56">
        <v>0</v>
      </c>
      <c r="FU202" s="56">
        <v>0</v>
      </c>
      <c r="FV202" s="56">
        <v>0</v>
      </c>
      <c r="FW202" s="56">
        <v>0</v>
      </c>
      <c r="FX202" s="56">
        <v>0</v>
      </c>
      <c r="FY202" s="56">
        <v>0</v>
      </c>
      <c r="FZ202" s="54" t="s">
        <v>1070</v>
      </c>
      <c r="GA202" s="54" t="s">
        <v>1071</v>
      </c>
      <c r="GB202" s="54" t="s">
        <v>1072</v>
      </c>
      <c r="GC202" s="54" t="s">
        <v>1073</v>
      </c>
      <c r="GD202" s="54" t="s">
        <v>1112</v>
      </c>
      <c r="GE202" s="54" t="s">
        <v>1075</v>
      </c>
      <c r="GF202" s="54"/>
      <c r="GG202" s="55"/>
      <c r="GH202" s="54"/>
      <c r="GI202" s="54"/>
      <c r="GJ202" s="54" t="s">
        <v>1076</v>
      </c>
      <c r="GK202" s="54" t="s">
        <v>1077</v>
      </c>
      <c r="GL202" s="54"/>
      <c r="GM202" s="54"/>
      <c r="GN202" s="54" t="s">
        <v>1078</v>
      </c>
      <c r="GO202" s="54" t="s">
        <v>1059</v>
      </c>
      <c r="GP202" s="54"/>
      <c r="GQ202" s="56">
        <v>0</v>
      </c>
      <c r="GR202" s="54" t="s">
        <v>1079</v>
      </c>
      <c r="GS202" s="54"/>
    </row>
    <row r="203" spans="1:201" x14ac:dyDescent="0.25">
      <c r="A203" s="54" t="s">
        <v>1032</v>
      </c>
      <c r="B203" s="54" t="s">
        <v>1033</v>
      </c>
      <c r="C203" s="54" t="s">
        <v>1269</v>
      </c>
      <c r="D203" s="54" t="s">
        <v>1035</v>
      </c>
      <c r="E203" s="54" t="s">
        <v>1036</v>
      </c>
      <c r="F203" s="55">
        <v>46189</v>
      </c>
      <c r="G203" s="55">
        <v>46189</v>
      </c>
      <c r="H203" s="54" t="s">
        <v>1037</v>
      </c>
      <c r="I203" s="54" t="s">
        <v>1038</v>
      </c>
      <c r="J203" s="54" t="s">
        <v>1039</v>
      </c>
      <c r="K203" s="55"/>
      <c r="L203" s="54" t="s">
        <v>1040</v>
      </c>
      <c r="M203" s="54"/>
      <c r="N203" s="54" t="s">
        <v>1270</v>
      </c>
      <c r="O203" s="54" t="s">
        <v>1093</v>
      </c>
      <c r="P203" s="54" t="s">
        <v>714</v>
      </c>
      <c r="Q203" s="54" t="s">
        <v>594</v>
      </c>
      <c r="R203" s="54" t="s">
        <v>1043</v>
      </c>
      <c r="S203" s="56">
        <v>4093.2</v>
      </c>
      <c r="T203" s="56">
        <v>4093.2</v>
      </c>
      <c r="U203" s="56">
        <v>0</v>
      </c>
      <c r="V203" s="56">
        <v>0</v>
      </c>
      <c r="W203" s="56">
        <v>0</v>
      </c>
      <c r="X203" s="56">
        <v>0</v>
      </c>
      <c r="Y203" s="56">
        <v>0</v>
      </c>
      <c r="Z203" s="56">
        <v>360</v>
      </c>
      <c r="AA203" s="56">
        <v>360</v>
      </c>
      <c r="AB203" s="59">
        <v>0</v>
      </c>
      <c r="AC203" s="56">
        <v>0</v>
      </c>
      <c r="AD203" s="56">
        <v>0</v>
      </c>
      <c r="AE203" s="56">
        <v>0</v>
      </c>
      <c r="AF203" s="54" t="s">
        <v>1044</v>
      </c>
      <c r="AG203" s="57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 t="s">
        <v>1045</v>
      </c>
      <c r="AS203" s="54" t="s">
        <v>1081</v>
      </c>
      <c r="AT203" s="54" t="s">
        <v>1082</v>
      </c>
      <c r="AU203" s="54" t="s">
        <v>1048</v>
      </c>
      <c r="AV203" s="54"/>
      <c r="AW203" s="55">
        <v>46202</v>
      </c>
      <c r="AX203" s="55">
        <v>46189</v>
      </c>
      <c r="AY203" s="55">
        <v>46189</v>
      </c>
      <c r="AZ203" s="55"/>
      <c r="BA203" s="55">
        <v>46202</v>
      </c>
      <c r="BB203" s="56">
        <v>0</v>
      </c>
      <c r="BC203" s="56">
        <v>0</v>
      </c>
      <c r="BD203" s="56">
        <v>0</v>
      </c>
      <c r="BE203" s="56">
        <v>0</v>
      </c>
      <c r="BF203" s="56">
        <v>0</v>
      </c>
      <c r="BG203" s="56">
        <v>0</v>
      </c>
      <c r="BH203" s="56">
        <v>0</v>
      </c>
      <c r="BI203" s="56">
        <v>0</v>
      </c>
      <c r="BJ203" s="56">
        <v>0</v>
      </c>
      <c r="BK203" s="56">
        <v>0</v>
      </c>
      <c r="BL203" s="56">
        <v>0</v>
      </c>
      <c r="BM203" s="56">
        <v>0</v>
      </c>
      <c r="BN203" s="56">
        <v>0</v>
      </c>
      <c r="BO203" s="56">
        <v>0</v>
      </c>
      <c r="BP203" s="54" t="s">
        <v>1049</v>
      </c>
      <c r="BQ203" s="54" t="s">
        <v>1050</v>
      </c>
      <c r="BR203" s="54" t="s">
        <v>1049</v>
      </c>
      <c r="BS203" s="54" t="s">
        <v>1050</v>
      </c>
      <c r="BT203" s="54" t="s">
        <v>1051</v>
      </c>
      <c r="BU203" s="54" t="s">
        <v>1043</v>
      </c>
      <c r="BV203" s="58">
        <v>360</v>
      </c>
      <c r="BW203" s="54" t="s">
        <v>1052</v>
      </c>
      <c r="BX203" s="54" t="s">
        <v>1053</v>
      </c>
      <c r="BY203" s="54" t="s">
        <v>1054</v>
      </c>
      <c r="BZ203" s="54" t="s">
        <v>1055</v>
      </c>
      <c r="CA203" s="55"/>
      <c r="CB203" s="54" t="s">
        <v>1056</v>
      </c>
      <c r="CC203" s="54" t="s">
        <v>1057</v>
      </c>
      <c r="CD203" s="54" t="s">
        <v>1058</v>
      </c>
      <c r="CE203" s="54" t="s">
        <v>1059</v>
      </c>
      <c r="CF203" s="54" t="s">
        <v>1060</v>
      </c>
      <c r="CG203" s="54" t="s">
        <v>1061</v>
      </c>
      <c r="CH203" s="54" t="s">
        <v>1062</v>
      </c>
      <c r="CI203" s="54" t="s">
        <v>1063</v>
      </c>
      <c r="CJ203" s="54" t="s">
        <v>1064</v>
      </c>
      <c r="CK203" s="54" t="s">
        <v>1065</v>
      </c>
      <c r="CL203" s="54" t="s">
        <v>1066</v>
      </c>
      <c r="CM203" s="54" t="s">
        <v>1067</v>
      </c>
      <c r="CN203" s="54" t="s">
        <v>1068</v>
      </c>
      <c r="CO203" s="54" t="s">
        <v>1069</v>
      </c>
      <c r="CP203" s="56">
        <v>0</v>
      </c>
      <c r="CQ203" s="56">
        <v>0</v>
      </c>
      <c r="CR203" s="56">
        <v>0</v>
      </c>
      <c r="CS203" s="56">
        <v>0</v>
      </c>
      <c r="CT203" s="56">
        <v>0</v>
      </c>
      <c r="CU203" s="56">
        <v>0</v>
      </c>
      <c r="CV203" s="56">
        <v>0</v>
      </c>
      <c r="CW203" s="56">
        <v>0</v>
      </c>
      <c r="CX203" s="56">
        <v>0</v>
      </c>
      <c r="CY203" s="56">
        <v>0</v>
      </c>
      <c r="CZ203" s="56">
        <v>0</v>
      </c>
      <c r="DA203" s="56">
        <v>0</v>
      </c>
      <c r="DB203" s="56">
        <v>0</v>
      </c>
      <c r="DC203" s="56">
        <v>0</v>
      </c>
      <c r="DD203" s="56">
        <v>0</v>
      </c>
      <c r="DE203" s="56">
        <v>0</v>
      </c>
      <c r="DF203" s="56">
        <v>0</v>
      </c>
      <c r="DG203" s="56">
        <v>0</v>
      </c>
      <c r="DH203" s="56">
        <v>0</v>
      </c>
      <c r="DI203" s="56">
        <v>0</v>
      </c>
      <c r="DJ203" s="56">
        <v>0</v>
      </c>
      <c r="DK203" s="56">
        <v>0</v>
      </c>
      <c r="DL203" s="56">
        <v>0</v>
      </c>
      <c r="DM203" s="56">
        <v>0</v>
      </c>
      <c r="DN203" s="56">
        <v>0</v>
      </c>
      <c r="DO203" s="56">
        <v>0</v>
      </c>
      <c r="DP203" s="56">
        <v>0</v>
      </c>
      <c r="DQ203" s="56">
        <v>0</v>
      </c>
      <c r="DR203" s="56">
        <v>0</v>
      </c>
      <c r="DS203" s="56">
        <v>0</v>
      </c>
      <c r="DT203" s="56">
        <v>0</v>
      </c>
      <c r="DU203" s="56">
        <v>0</v>
      </c>
      <c r="DV203" s="56">
        <v>0</v>
      </c>
      <c r="DW203" s="56">
        <v>0</v>
      </c>
      <c r="DX203" s="56">
        <v>0</v>
      </c>
      <c r="DY203" s="56">
        <v>0</v>
      </c>
      <c r="DZ203" s="56">
        <v>0</v>
      </c>
      <c r="EA203" s="56">
        <v>0</v>
      </c>
      <c r="EB203" s="56">
        <v>0</v>
      </c>
      <c r="EC203" s="56">
        <v>0</v>
      </c>
      <c r="ED203" s="56">
        <v>0</v>
      </c>
      <c r="EE203" s="56">
        <v>0</v>
      </c>
      <c r="EF203" s="56">
        <v>0</v>
      </c>
      <c r="EG203" s="56">
        <v>0</v>
      </c>
      <c r="EH203" s="56">
        <v>491.18</v>
      </c>
      <c r="EI203" s="56">
        <v>0</v>
      </c>
      <c r="EJ203" s="56">
        <v>0</v>
      </c>
      <c r="EK203" s="56">
        <v>0</v>
      </c>
      <c r="EL203" s="56">
        <v>0</v>
      </c>
      <c r="EM203" s="56">
        <v>0</v>
      </c>
      <c r="EN203" s="56">
        <v>0</v>
      </c>
      <c r="EO203" s="56">
        <v>0</v>
      </c>
      <c r="EP203" s="56">
        <v>0</v>
      </c>
      <c r="EQ203" s="56">
        <v>0</v>
      </c>
      <c r="ER203" s="56">
        <v>0</v>
      </c>
      <c r="ES203" s="56">
        <v>0</v>
      </c>
      <c r="ET203" s="56">
        <v>0</v>
      </c>
      <c r="EU203" s="56">
        <v>0</v>
      </c>
      <c r="EV203" s="56">
        <v>0</v>
      </c>
      <c r="EW203" s="56">
        <v>0</v>
      </c>
      <c r="EX203" s="56">
        <v>0</v>
      </c>
      <c r="EY203" s="56">
        <v>0</v>
      </c>
      <c r="EZ203" s="56">
        <v>0</v>
      </c>
      <c r="FA203" s="56">
        <v>0</v>
      </c>
      <c r="FB203" s="56">
        <v>0</v>
      </c>
      <c r="FC203" s="58">
        <v>0</v>
      </c>
      <c r="FD203" s="56">
        <v>0</v>
      </c>
      <c r="FE203" s="56">
        <v>0</v>
      </c>
      <c r="FF203" s="56">
        <v>0</v>
      </c>
      <c r="FG203" s="56">
        <v>0</v>
      </c>
      <c r="FH203" s="56">
        <v>0</v>
      </c>
      <c r="FI203" s="56">
        <v>0</v>
      </c>
      <c r="FJ203" s="56">
        <v>0</v>
      </c>
      <c r="FK203" s="56">
        <v>0</v>
      </c>
      <c r="FL203" s="56">
        <v>0</v>
      </c>
      <c r="FM203" s="56">
        <v>0</v>
      </c>
      <c r="FN203" s="56">
        <v>0</v>
      </c>
      <c r="FO203" s="56">
        <v>0</v>
      </c>
      <c r="FP203" s="56">
        <v>0</v>
      </c>
      <c r="FQ203" s="56">
        <v>0</v>
      </c>
      <c r="FR203" s="56">
        <v>0</v>
      </c>
      <c r="FS203" s="58">
        <v>0</v>
      </c>
      <c r="FT203" s="56">
        <v>0</v>
      </c>
      <c r="FU203" s="56">
        <v>0</v>
      </c>
      <c r="FV203" s="56">
        <v>0</v>
      </c>
      <c r="FW203" s="56">
        <v>0</v>
      </c>
      <c r="FX203" s="56">
        <v>0</v>
      </c>
      <c r="FY203" s="56">
        <v>0</v>
      </c>
      <c r="FZ203" s="54" t="s">
        <v>1083</v>
      </c>
      <c r="GA203" s="54" t="s">
        <v>1084</v>
      </c>
      <c r="GB203" s="54" t="s">
        <v>1072</v>
      </c>
      <c r="GC203" s="54" t="s">
        <v>1073</v>
      </c>
      <c r="GD203" s="54"/>
      <c r="GE203" s="54"/>
      <c r="GF203" s="54"/>
      <c r="GG203" s="55"/>
      <c r="GH203" s="54"/>
      <c r="GI203" s="54"/>
      <c r="GJ203" s="54" t="s">
        <v>1076</v>
      </c>
      <c r="GK203" s="54" t="s">
        <v>1077</v>
      </c>
      <c r="GL203" s="54"/>
      <c r="GM203" s="54"/>
      <c r="GN203" s="54" t="s">
        <v>1078</v>
      </c>
      <c r="GO203" s="54" t="s">
        <v>1059</v>
      </c>
      <c r="GP203" s="54"/>
      <c r="GQ203" s="56">
        <v>0</v>
      </c>
      <c r="GR203" s="54" t="s">
        <v>1079</v>
      </c>
      <c r="GS203" s="54"/>
    </row>
    <row r="204" spans="1:201" x14ac:dyDescent="0.25">
      <c r="A204" s="54" t="s">
        <v>1032</v>
      </c>
      <c r="B204" s="54" t="s">
        <v>1033</v>
      </c>
      <c r="C204" s="54" t="s">
        <v>1269</v>
      </c>
      <c r="D204" s="54" t="s">
        <v>1035</v>
      </c>
      <c r="E204" s="54" t="s">
        <v>1036</v>
      </c>
      <c r="F204" s="55">
        <v>46189</v>
      </c>
      <c r="G204" s="55">
        <v>46189</v>
      </c>
      <c r="H204" s="54" t="s">
        <v>1037</v>
      </c>
      <c r="I204" s="54" t="s">
        <v>1038</v>
      </c>
      <c r="J204" s="54" t="s">
        <v>1039</v>
      </c>
      <c r="K204" s="55"/>
      <c r="L204" s="54" t="s">
        <v>1040</v>
      </c>
      <c r="M204" s="54"/>
      <c r="N204" s="54" t="s">
        <v>1270</v>
      </c>
      <c r="O204" s="54" t="s">
        <v>1099</v>
      </c>
      <c r="P204" s="54" t="s">
        <v>637</v>
      </c>
      <c r="Q204" s="54" t="s">
        <v>641</v>
      </c>
      <c r="R204" s="54" t="s">
        <v>1043</v>
      </c>
      <c r="S204" s="56">
        <v>1442.56</v>
      </c>
      <c r="T204" s="56">
        <v>1442.56</v>
      </c>
      <c r="U204" s="56">
        <v>0</v>
      </c>
      <c r="V204" s="56">
        <v>0</v>
      </c>
      <c r="W204" s="56">
        <v>0</v>
      </c>
      <c r="X204" s="56">
        <v>0</v>
      </c>
      <c r="Y204" s="56">
        <v>0</v>
      </c>
      <c r="Z204" s="56">
        <v>224</v>
      </c>
      <c r="AA204" s="56">
        <v>224</v>
      </c>
      <c r="AB204" s="59">
        <v>0</v>
      </c>
      <c r="AC204" s="56">
        <v>0</v>
      </c>
      <c r="AD204" s="56">
        <v>0</v>
      </c>
      <c r="AE204" s="56">
        <v>0</v>
      </c>
      <c r="AF204" s="54" t="s">
        <v>1044</v>
      </c>
      <c r="AG204" s="57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 t="s">
        <v>1045</v>
      </c>
      <c r="AS204" s="54" t="s">
        <v>1081</v>
      </c>
      <c r="AT204" s="54" t="s">
        <v>1082</v>
      </c>
      <c r="AU204" s="54" t="s">
        <v>1048</v>
      </c>
      <c r="AV204" s="54"/>
      <c r="AW204" s="55">
        <v>46202</v>
      </c>
      <c r="AX204" s="55">
        <v>46189</v>
      </c>
      <c r="AY204" s="55">
        <v>46189</v>
      </c>
      <c r="AZ204" s="55"/>
      <c r="BA204" s="55">
        <v>46202</v>
      </c>
      <c r="BB204" s="56">
        <v>0</v>
      </c>
      <c r="BC204" s="56">
        <v>0</v>
      </c>
      <c r="BD204" s="56">
        <v>0</v>
      </c>
      <c r="BE204" s="56">
        <v>0</v>
      </c>
      <c r="BF204" s="56">
        <v>0</v>
      </c>
      <c r="BG204" s="56">
        <v>0</v>
      </c>
      <c r="BH204" s="56">
        <v>0</v>
      </c>
      <c r="BI204" s="56">
        <v>0</v>
      </c>
      <c r="BJ204" s="56">
        <v>0</v>
      </c>
      <c r="BK204" s="56">
        <v>0</v>
      </c>
      <c r="BL204" s="56">
        <v>0</v>
      </c>
      <c r="BM204" s="56">
        <v>0</v>
      </c>
      <c r="BN204" s="56">
        <v>0</v>
      </c>
      <c r="BO204" s="56">
        <v>0</v>
      </c>
      <c r="BP204" s="54" t="s">
        <v>1049</v>
      </c>
      <c r="BQ204" s="54" t="s">
        <v>1050</v>
      </c>
      <c r="BR204" s="54" t="s">
        <v>1049</v>
      </c>
      <c r="BS204" s="54" t="s">
        <v>1050</v>
      </c>
      <c r="BT204" s="54" t="s">
        <v>1051</v>
      </c>
      <c r="BU204" s="54" t="s">
        <v>1043</v>
      </c>
      <c r="BV204" s="58">
        <v>224</v>
      </c>
      <c r="BW204" s="54" t="s">
        <v>1052</v>
      </c>
      <c r="BX204" s="54" t="s">
        <v>1053</v>
      </c>
      <c r="BY204" s="54" t="s">
        <v>1054</v>
      </c>
      <c r="BZ204" s="54" t="s">
        <v>1055</v>
      </c>
      <c r="CA204" s="55"/>
      <c r="CB204" s="54" t="s">
        <v>1056</v>
      </c>
      <c r="CC204" s="54" t="s">
        <v>1057</v>
      </c>
      <c r="CD204" s="54" t="s">
        <v>1058</v>
      </c>
      <c r="CE204" s="54" t="s">
        <v>1059</v>
      </c>
      <c r="CF204" s="54" t="s">
        <v>1060</v>
      </c>
      <c r="CG204" s="54" t="s">
        <v>1061</v>
      </c>
      <c r="CH204" s="54" t="s">
        <v>1062</v>
      </c>
      <c r="CI204" s="54" t="s">
        <v>1063</v>
      </c>
      <c r="CJ204" s="54" t="s">
        <v>1064</v>
      </c>
      <c r="CK204" s="54" t="s">
        <v>1065</v>
      </c>
      <c r="CL204" s="54" t="s">
        <v>1066</v>
      </c>
      <c r="CM204" s="54" t="s">
        <v>1067</v>
      </c>
      <c r="CN204" s="54" t="s">
        <v>1068</v>
      </c>
      <c r="CO204" s="54" t="s">
        <v>1069</v>
      </c>
      <c r="CP204" s="56">
        <v>0</v>
      </c>
      <c r="CQ204" s="56">
        <v>0</v>
      </c>
      <c r="CR204" s="56">
        <v>0</v>
      </c>
      <c r="CS204" s="56">
        <v>0</v>
      </c>
      <c r="CT204" s="56">
        <v>0</v>
      </c>
      <c r="CU204" s="56">
        <v>0</v>
      </c>
      <c r="CV204" s="56">
        <v>0</v>
      </c>
      <c r="CW204" s="56">
        <v>0</v>
      </c>
      <c r="CX204" s="56">
        <v>0</v>
      </c>
      <c r="CY204" s="56">
        <v>0</v>
      </c>
      <c r="CZ204" s="56">
        <v>0</v>
      </c>
      <c r="DA204" s="56">
        <v>0</v>
      </c>
      <c r="DB204" s="56">
        <v>0</v>
      </c>
      <c r="DC204" s="56">
        <v>0</v>
      </c>
      <c r="DD204" s="56">
        <v>0</v>
      </c>
      <c r="DE204" s="56">
        <v>0</v>
      </c>
      <c r="DF204" s="56">
        <v>0</v>
      </c>
      <c r="DG204" s="56">
        <v>0</v>
      </c>
      <c r="DH204" s="56">
        <v>0</v>
      </c>
      <c r="DI204" s="56">
        <v>0</v>
      </c>
      <c r="DJ204" s="56">
        <v>0</v>
      </c>
      <c r="DK204" s="56">
        <v>0</v>
      </c>
      <c r="DL204" s="56">
        <v>0</v>
      </c>
      <c r="DM204" s="56">
        <v>0</v>
      </c>
      <c r="DN204" s="56">
        <v>0</v>
      </c>
      <c r="DO204" s="56">
        <v>0</v>
      </c>
      <c r="DP204" s="56">
        <v>0</v>
      </c>
      <c r="DQ204" s="56">
        <v>0</v>
      </c>
      <c r="DR204" s="56">
        <v>0</v>
      </c>
      <c r="DS204" s="56">
        <v>0</v>
      </c>
      <c r="DT204" s="56">
        <v>0</v>
      </c>
      <c r="DU204" s="56">
        <v>0</v>
      </c>
      <c r="DV204" s="56">
        <v>0</v>
      </c>
      <c r="DW204" s="56">
        <v>0</v>
      </c>
      <c r="DX204" s="56">
        <v>0</v>
      </c>
      <c r="DY204" s="56">
        <v>0</v>
      </c>
      <c r="DZ204" s="56">
        <v>0</v>
      </c>
      <c r="EA204" s="56">
        <v>0</v>
      </c>
      <c r="EB204" s="56">
        <v>0</v>
      </c>
      <c r="EC204" s="56">
        <v>0</v>
      </c>
      <c r="ED204" s="56">
        <v>0</v>
      </c>
      <c r="EE204" s="56">
        <v>0</v>
      </c>
      <c r="EF204" s="56">
        <v>0</v>
      </c>
      <c r="EG204" s="56">
        <v>0</v>
      </c>
      <c r="EH204" s="56">
        <v>173.11</v>
      </c>
      <c r="EI204" s="56">
        <v>0</v>
      </c>
      <c r="EJ204" s="56">
        <v>0</v>
      </c>
      <c r="EK204" s="56">
        <v>0</v>
      </c>
      <c r="EL204" s="56">
        <v>0</v>
      </c>
      <c r="EM204" s="56">
        <v>0</v>
      </c>
      <c r="EN204" s="56">
        <v>0</v>
      </c>
      <c r="EO204" s="56">
        <v>0</v>
      </c>
      <c r="EP204" s="56">
        <v>0</v>
      </c>
      <c r="EQ204" s="56">
        <v>0</v>
      </c>
      <c r="ER204" s="56">
        <v>0</v>
      </c>
      <c r="ES204" s="56">
        <v>0</v>
      </c>
      <c r="ET204" s="56">
        <v>0</v>
      </c>
      <c r="EU204" s="56">
        <v>0</v>
      </c>
      <c r="EV204" s="56">
        <v>0</v>
      </c>
      <c r="EW204" s="56">
        <v>0</v>
      </c>
      <c r="EX204" s="56">
        <v>0</v>
      </c>
      <c r="EY204" s="56">
        <v>0</v>
      </c>
      <c r="EZ204" s="56">
        <v>0</v>
      </c>
      <c r="FA204" s="56">
        <v>0</v>
      </c>
      <c r="FB204" s="56">
        <v>0</v>
      </c>
      <c r="FC204" s="58">
        <v>0</v>
      </c>
      <c r="FD204" s="56">
        <v>0</v>
      </c>
      <c r="FE204" s="56">
        <v>0</v>
      </c>
      <c r="FF204" s="56">
        <v>0</v>
      </c>
      <c r="FG204" s="56">
        <v>0</v>
      </c>
      <c r="FH204" s="56">
        <v>0</v>
      </c>
      <c r="FI204" s="56">
        <v>0</v>
      </c>
      <c r="FJ204" s="56">
        <v>0</v>
      </c>
      <c r="FK204" s="56">
        <v>0</v>
      </c>
      <c r="FL204" s="56">
        <v>0</v>
      </c>
      <c r="FM204" s="56">
        <v>0</v>
      </c>
      <c r="FN204" s="56">
        <v>0</v>
      </c>
      <c r="FO204" s="56">
        <v>0</v>
      </c>
      <c r="FP204" s="56">
        <v>0</v>
      </c>
      <c r="FQ204" s="56">
        <v>0</v>
      </c>
      <c r="FR204" s="56">
        <v>0</v>
      </c>
      <c r="FS204" s="58">
        <v>0</v>
      </c>
      <c r="FT204" s="56">
        <v>0</v>
      </c>
      <c r="FU204" s="56">
        <v>0</v>
      </c>
      <c r="FV204" s="56">
        <v>0</v>
      </c>
      <c r="FW204" s="56">
        <v>0</v>
      </c>
      <c r="FX204" s="56">
        <v>0</v>
      </c>
      <c r="FY204" s="56">
        <v>0</v>
      </c>
      <c r="FZ204" s="54" t="s">
        <v>1083</v>
      </c>
      <c r="GA204" s="54" t="s">
        <v>1084</v>
      </c>
      <c r="GB204" s="54" t="s">
        <v>1072</v>
      </c>
      <c r="GC204" s="54" t="s">
        <v>1073</v>
      </c>
      <c r="GD204" s="54"/>
      <c r="GE204" s="54"/>
      <c r="GF204" s="54"/>
      <c r="GG204" s="55"/>
      <c r="GH204" s="54"/>
      <c r="GI204" s="54"/>
      <c r="GJ204" s="54" t="s">
        <v>1076</v>
      </c>
      <c r="GK204" s="54" t="s">
        <v>1077</v>
      </c>
      <c r="GL204" s="54"/>
      <c r="GM204" s="54"/>
      <c r="GN204" s="54" t="s">
        <v>1078</v>
      </c>
      <c r="GO204" s="54" t="s">
        <v>1059</v>
      </c>
      <c r="GP204" s="54"/>
      <c r="GQ204" s="56">
        <v>0</v>
      </c>
      <c r="GR204" s="54" t="s">
        <v>1079</v>
      </c>
      <c r="GS204" s="54"/>
    </row>
    <row r="205" spans="1:201" x14ac:dyDescent="0.25">
      <c r="A205" s="54" t="s">
        <v>1032</v>
      </c>
      <c r="B205" s="54" t="s">
        <v>1033</v>
      </c>
      <c r="C205" s="54" t="s">
        <v>1269</v>
      </c>
      <c r="D205" s="54" t="s">
        <v>1035</v>
      </c>
      <c r="E205" s="54" t="s">
        <v>1036</v>
      </c>
      <c r="F205" s="55">
        <v>46189</v>
      </c>
      <c r="G205" s="55">
        <v>46189</v>
      </c>
      <c r="H205" s="54" t="s">
        <v>1037</v>
      </c>
      <c r="I205" s="54" t="s">
        <v>1038</v>
      </c>
      <c r="J205" s="54" t="s">
        <v>1039</v>
      </c>
      <c r="K205" s="55"/>
      <c r="L205" s="54" t="s">
        <v>1040</v>
      </c>
      <c r="M205" s="54"/>
      <c r="N205" s="54" t="s">
        <v>1270</v>
      </c>
      <c r="O205" s="54" t="s">
        <v>1102</v>
      </c>
      <c r="P205" s="54" t="s">
        <v>638</v>
      </c>
      <c r="Q205" s="54" t="s">
        <v>642</v>
      </c>
      <c r="R205" s="54" t="s">
        <v>1043</v>
      </c>
      <c r="S205" s="56">
        <v>9959.0400000000009</v>
      </c>
      <c r="T205" s="56">
        <v>9959.0400000000009</v>
      </c>
      <c r="U205" s="56">
        <v>0</v>
      </c>
      <c r="V205" s="56">
        <v>0</v>
      </c>
      <c r="W205" s="56">
        <v>0</v>
      </c>
      <c r="X205" s="56">
        <v>0</v>
      </c>
      <c r="Y205" s="56">
        <v>0</v>
      </c>
      <c r="Z205" s="56">
        <v>1008</v>
      </c>
      <c r="AA205" s="56">
        <v>1008</v>
      </c>
      <c r="AB205" s="59">
        <v>0</v>
      </c>
      <c r="AC205" s="56">
        <v>0</v>
      </c>
      <c r="AD205" s="56">
        <v>0</v>
      </c>
      <c r="AE205" s="56">
        <v>0</v>
      </c>
      <c r="AF205" s="54" t="s">
        <v>1044</v>
      </c>
      <c r="AG205" s="57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 t="s">
        <v>1045</v>
      </c>
      <c r="AS205" s="54" t="s">
        <v>1081</v>
      </c>
      <c r="AT205" s="54" t="s">
        <v>1082</v>
      </c>
      <c r="AU205" s="54" t="s">
        <v>1048</v>
      </c>
      <c r="AV205" s="54"/>
      <c r="AW205" s="55">
        <v>46202</v>
      </c>
      <c r="AX205" s="55">
        <v>46189</v>
      </c>
      <c r="AY205" s="55">
        <v>46189</v>
      </c>
      <c r="AZ205" s="55"/>
      <c r="BA205" s="55">
        <v>46202</v>
      </c>
      <c r="BB205" s="56">
        <v>0</v>
      </c>
      <c r="BC205" s="56">
        <v>0</v>
      </c>
      <c r="BD205" s="56">
        <v>0</v>
      </c>
      <c r="BE205" s="56">
        <v>0</v>
      </c>
      <c r="BF205" s="56">
        <v>0</v>
      </c>
      <c r="BG205" s="56">
        <v>0</v>
      </c>
      <c r="BH205" s="56">
        <v>0</v>
      </c>
      <c r="BI205" s="56">
        <v>0</v>
      </c>
      <c r="BJ205" s="56">
        <v>0</v>
      </c>
      <c r="BK205" s="56">
        <v>0</v>
      </c>
      <c r="BL205" s="56">
        <v>0</v>
      </c>
      <c r="BM205" s="56">
        <v>0</v>
      </c>
      <c r="BN205" s="56">
        <v>0</v>
      </c>
      <c r="BO205" s="56">
        <v>0</v>
      </c>
      <c r="BP205" s="54" t="s">
        <v>1049</v>
      </c>
      <c r="BQ205" s="54" t="s">
        <v>1050</v>
      </c>
      <c r="BR205" s="54" t="s">
        <v>1049</v>
      </c>
      <c r="BS205" s="54" t="s">
        <v>1050</v>
      </c>
      <c r="BT205" s="54" t="s">
        <v>1051</v>
      </c>
      <c r="BU205" s="54" t="s">
        <v>1043</v>
      </c>
      <c r="BV205" s="58">
        <v>1008</v>
      </c>
      <c r="BW205" s="54" t="s">
        <v>1052</v>
      </c>
      <c r="BX205" s="54" t="s">
        <v>1053</v>
      </c>
      <c r="BY205" s="54" t="s">
        <v>1054</v>
      </c>
      <c r="BZ205" s="54" t="s">
        <v>1055</v>
      </c>
      <c r="CA205" s="55"/>
      <c r="CB205" s="54" t="s">
        <v>1056</v>
      </c>
      <c r="CC205" s="54" t="s">
        <v>1057</v>
      </c>
      <c r="CD205" s="54" t="s">
        <v>1058</v>
      </c>
      <c r="CE205" s="54" t="s">
        <v>1059</v>
      </c>
      <c r="CF205" s="54" t="s">
        <v>1060</v>
      </c>
      <c r="CG205" s="54" t="s">
        <v>1061</v>
      </c>
      <c r="CH205" s="54" t="s">
        <v>1062</v>
      </c>
      <c r="CI205" s="54" t="s">
        <v>1063</v>
      </c>
      <c r="CJ205" s="54" t="s">
        <v>1064</v>
      </c>
      <c r="CK205" s="54" t="s">
        <v>1065</v>
      </c>
      <c r="CL205" s="54" t="s">
        <v>1066</v>
      </c>
      <c r="CM205" s="54" t="s">
        <v>1067</v>
      </c>
      <c r="CN205" s="54" t="s">
        <v>1068</v>
      </c>
      <c r="CO205" s="54" t="s">
        <v>1069</v>
      </c>
      <c r="CP205" s="56">
        <v>0</v>
      </c>
      <c r="CQ205" s="56">
        <v>0</v>
      </c>
      <c r="CR205" s="56">
        <v>0</v>
      </c>
      <c r="CS205" s="56">
        <v>0</v>
      </c>
      <c r="CT205" s="56">
        <v>0</v>
      </c>
      <c r="CU205" s="56">
        <v>0</v>
      </c>
      <c r="CV205" s="56">
        <v>0</v>
      </c>
      <c r="CW205" s="56">
        <v>0</v>
      </c>
      <c r="CX205" s="56">
        <v>0</v>
      </c>
      <c r="CY205" s="56">
        <v>0</v>
      </c>
      <c r="CZ205" s="56">
        <v>0</v>
      </c>
      <c r="DA205" s="56">
        <v>0</v>
      </c>
      <c r="DB205" s="56">
        <v>0</v>
      </c>
      <c r="DC205" s="56">
        <v>0</v>
      </c>
      <c r="DD205" s="56">
        <v>0</v>
      </c>
      <c r="DE205" s="56">
        <v>0</v>
      </c>
      <c r="DF205" s="56">
        <v>0</v>
      </c>
      <c r="DG205" s="56">
        <v>0</v>
      </c>
      <c r="DH205" s="56">
        <v>0</v>
      </c>
      <c r="DI205" s="56">
        <v>0</v>
      </c>
      <c r="DJ205" s="56">
        <v>0</v>
      </c>
      <c r="DK205" s="56">
        <v>0</v>
      </c>
      <c r="DL205" s="56">
        <v>0</v>
      </c>
      <c r="DM205" s="56">
        <v>0</v>
      </c>
      <c r="DN205" s="56">
        <v>0</v>
      </c>
      <c r="DO205" s="56">
        <v>0</v>
      </c>
      <c r="DP205" s="56">
        <v>0</v>
      </c>
      <c r="DQ205" s="56">
        <v>0</v>
      </c>
      <c r="DR205" s="56">
        <v>0</v>
      </c>
      <c r="DS205" s="56">
        <v>0</v>
      </c>
      <c r="DT205" s="56">
        <v>0</v>
      </c>
      <c r="DU205" s="56">
        <v>0</v>
      </c>
      <c r="DV205" s="56">
        <v>0</v>
      </c>
      <c r="DW205" s="56">
        <v>0</v>
      </c>
      <c r="DX205" s="56">
        <v>0</v>
      </c>
      <c r="DY205" s="56">
        <v>0</v>
      </c>
      <c r="DZ205" s="56">
        <v>0</v>
      </c>
      <c r="EA205" s="56">
        <v>0</v>
      </c>
      <c r="EB205" s="56">
        <v>0</v>
      </c>
      <c r="EC205" s="56">
        <v>0</v>
      </c>
      <c r="ED205" s="56">
        <v>0</v>
      </c>
      <c r="EE205" s="56">
        <v>0</v>
      </c>
      <c r="EF205" s="56">
        <v>0</v>
      </c>
      <c r="EG205" s="56">
        <v>0</v>
      </c>
      <c r="EH205" s="56">
        <v>1195.08</v>
      </c>
      <c r="EI205" s="56">
        <v>0</v>
      </c>
      <c r="EJ205" s="56">
        <v>0</v>
      </c>
      <c r="EK205" s="56">
        <v>0</v>
      </c>
      <c r="EL205" s="56">
        <v>0</v>
      </c>
      <c r="EM205" s="56">
        <v>0</v>
      </c>
      <c r="EN205" s="56">
        <v>0</v>
      </c>
      <c r="EO205" s="56">
        <v>0</v>
      </c>
      <c r="EP205" s="56">
        <v>0</v>
      </c>
      <c r="EQ205" s="56">
        <v>0</v>
      </c>
      <c r="ER205" s="56">
        <v>0</v>
      </c>
      <c r="ES205" s="56">
        <v>0</v>
      </c>
      <c r="ET205" s="56">
        <v>0</v>
      </c>
      <c r="EU205" s="56">
        <v>0</v>
      </c>
      <c r="EV205" s="56">
        <v>0</v>
      </c>
      <c r="EW205" s="56">
        <v>0</v>
      </c>
      <c r="EX205" s="56">
        <v>0</v>
      </c>
      <c r="EY205" s="56">
        <v>0</v>
      </c>
      <c r="EZ205" s="56">
        <v>0</v>
      </c>
      <c r="FA205" s="56">
        <v>0</v>
      </c>
      <c r="FB205" s="56">
        <v>0</v>
      </c>
      <c r="FC205" s="58">
        <v>0</v>
      </c>
      <c r="FD205" s="56">
        <v>0</v>
      </c>
      <c r="FE205" s="56">
        <v>0</v>
      </c>
      <c r="FF205" s="56">
        <v>0</v>
      </c>
      <c r="FG205" s="56">
        <v>0</v>
      </c>
      <c r="FH205" s="56">
        <v>0</v>
      </c>
      <c r="FI205" s="56">
        <v>0</v>
      </c>
      <c r="FJ205" s="56">
        <v>0</v>
      </c>
      <c r="FK205" s="56">
        <v>0</v>
      </c>
      <c r="FL205" s="56">
        <v>0</v>
      </c>
      <c r="FM205" s="56">
        <v>0</v>
      </c>
      <c r="FN205" s="56">
        <v>0</v>
      </c>
      <c r="FO205" s="56">
        <v>0</v>
      </c>
      <c r="FP205" s="56">
        <v>0</v>
      </c>
      <c r="FQ205" s="56">
        <v>0</v>
      </c>
      <c r="FR205" s="56">
        <v>0</v>
      </c>
      <c r="FS205" s="58">
        <v>0</v>
      </c>
      <c r="FT205" s="56">
        <v>0</v>
      </c>
      <c r="FU205" s="56">
        <v>0</v>
      </c>
      <c r="FV205" s="56">
        <v>0</v>
      </c>
      <c r="FW205" s="56">
        <v>0</v>
      </c>
      <c r="FX205" s="56">
        <v>0</v>
      </c>
      <c r="FY205" s="56">
        <v>0</v>
      </c>
      <c r="FZ205" s="54" t="s">
        <v>1083</v>
      </c>
      <c r="GA205" s="54" t="s">
        <v>1084</v>
      </c>
      <c r="GB205" s="54" t="s">
        <v>1072</v>
      </c>
      <c r="GC205" s="54" t="s">
        <v>1073</v>
      </c>
      <c r="GD205" s="54"/>
      <c r="GE205" s="54"/>
      <c r="GF205" s="54"/>
      <c r="GG205" s="55"/>
      <c r="GH205" s="54"/>
      <c r="GI205" s="54"/>
      <c r="GJ205" s="54" t="s">
        <v>1076</v>
      </c>
      <c r="GK205" s="54" t="s">
        <v>1077</v>
      </c>
      <c r="GL205" s="54"/>
      <c r="GM205" s="54"/>
      <c r="GN205" s="54" t="s">
        <v>1078</v>
      </c>
      <c r="GO205" s="54" t="s">
        <v>1059</v>
      </c>
      <c r="GP205" s="54"/>
      <c r="GQ205" s="56">
        <v>0</v>
      </c>
      <c r="GR205" s="54" t="s">
        <v>1079</v>
      </c>
      <c r="GS205" s="54"/>
    </row>
    <row r="206" spans="1:201" x14ac:dyDescent="0.25">
      <c r="A206" s="54" t="s">
        <v>1032</v>
      </c>
      <c r="B206" s="54" t="s">
        <v>1033</v>
      </c>
      <c r="C206" s="54" t="s">
        <v>1269</v>
      </c>
      <c r="D206" s="54" t="s">
        <v>1035</v>
      </c>
      <c r="E206" s="54" t="s">
        <v>1036</v>
      </c>
      <c r="F206" s="55">
        <v>46189</v>
      </c>
      <c r="G206" s="55">
        <v>46189</v>
      </c>
      <c r="H206" s="54" t="s">
        <v>1037</v>
      </c>
      <c r="I206" s="54" t="s">
        <v>1038</v>
      </c>
      <c r="J206" s="54" t="s">
        <v>1039</v>
      </c>
      <c r="K206" s="55"/>
      <c r="L206" s="54" t="s">
        <v>1040</v>
      </c>
      <c r="M206" s="54"/>
      <c r="N206" s="54" t="s">
        <v>1270</v>
      </c>
      <c r="O206" s="54" t="s">
        <v>1107</v>
      </c>
      <c r="P206" s="54" t="s">
        <v>184</v>
      </c>
      <c r="Q206" s="54" t="s">
        <v>14</v>
      </c>
      <c r="R206" s="54" t="s">
        <v>1043</v>
      </c>
      <c r="S206" s="56">
        <v>75600</v>
      </c>
      <c r="T206" s="56">
        <v>75600</v>
      </c>
      <c r="U206" s="56">
        <v>0</v>
      </c>
      <c r="V206" s="56">
        <v>0</v>
      </c>
      <c r="W206" s="56">
        <v>0</v>
      </c>
      <c r="X206" s="56">
        <v>0</v>
      </c>
      <c r="Y206" s="56">
        <v>0</v>
      </c>
      <c r="Z206" s="56">
        <v>9000</v>
      </c>
      <c r="AA206" s="56">
        <v>9000</v>
      </c>
      <c r="AB206" s="59">
        <v>0</v>
      </c>
      <c r="AC206" s="56">
        <v>0</v>
      </c>
      <c r="AD206" s="56">
        <v>0</v>
      </c>
      <c r="AE206" s="56">
        <v>0</v>
      </c>
      <c r="AF206" s="54" t="s">
        <v>1044</v>
      </c>
      <c r="AG206" s="57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 t="s">
        <v>1045</v>
      </c>
      <c r="AS206" s="54" t="s">
        <v>1081</v>
      </c>
      <c r="AT206" s="54" t="s">
        <v>1082</v>
      </c>
      <c r="AU206" s="54" t="s">
        <v>1048</v>
      </c>
      <c r="AV206" s="54"/>
      <c r="AW206" s="55">
        <v>46202</v>
      </c>
      <c r="AX206" s="55">
        <v>46189</v>
      </c>
      <c r="AY206" s="55">
        <v>46189</v>
      </c>
      <c r="AZ206" s="55"/>
      <c r="BA206" s="55">
        <v>46202</v>
      </c>
      <c r="BB206" s="56">
        <v>0</v>
      </c>
      <c r="BC206" s="56">
        <v>0</v>
      </c>
      <c r="BD206" s="56">
        <v>0</v>
      </c>
      <c r="BE206" s="56">
        <v>0</v>
      </c>
      <c r="BF206" s="56">
        <v>0</v>
      </c>
      <c r="BG206" s="56">
        <v>0</v>
      </c>
      <c r="BH206" s="56">
        <v>0</v>
      </c>
      <c r="BI206" s="56">
        <v>0</v>
      </c>
      <c r="BJ206" s="56">
        <v>0</v>
      </c>
      <c r="BK206" s="56">
        <v>0</v>
      </c>
      <c r="BL206" s="56">
        <v>0</v>
      </c>
      <c r="BM206" s="56">
        <v>0</v>
      </c>
      <c r="BN206" s="56">
        <v>0</v>
      </c>
      <c r="BO206" s="56">
        <v>0</v>
      </c>
      <c r="BP206" s="54" t="s">
        <v>1049</v>
      </c>
      <c r="BQ206" s="54" t="s">
        <v>1050</v>
      </c>
      <c r="BR206" s="54" t="s">
        <v>1049</v>
      </c>
      <c r="BS206" s="54" t="s">
        <v>1050</v>
      </c>
      <c r="BT206" s="54" t="s">
        <v>1051</v>
      </c>
      <c r="BU206" s="54" t="s">
        <v>1043</v>
      </c>
      <c r="BV206" s="58">
        <v>9000</v>
      </c>
      <c r="BW206" s="54" t="s">
        <v>1052</v>
      </c>
      <c r="BX206" s="54" t="s">
        <v>1053</v>
      </c>
      <c r="BY206" s="54" t="s">
        <v>1054</v>
      </c>
      <c r="BZ206" s="54" t="s">
        <v>1055</v>
      </c>
      <c r="CA206" s="55"/>
      <c r="CB206" s="54" t="s">
        <v>1056</v>
      </c>
      <c r="CC206" s="54" t="s">
        <v>1057</v>
      </c>
      <c r="CD206" s="54" t="s">
        <v>1058</v>
      </c>
      <c r="CE206" s="54" t="s">
        <v>1059</v>
      </c>
      <c r="CF206" s="54" t="s">
        <v>1060</v>
      </c>
      <c r="CG206" s="54" t="s">
        <v>1061</v>
      </c>
      <c r="CH206" s="54" t="s">
        <v>1062</v>
      </c>
      <c r="CI206" s="54" t="s">
        <v>1063</v>
      </c>
      <c r="CJ206" s="54" t="s">
        <v>1064</v>
      </c>
      <c r="CK206" s="54" t="s">
        <v>1065</v>
      </c>
      <c r="CL206" s="54" t="s">
        <v>1066</v>
      </c>
      <c r="CM206" s="54" t="s">
        <v>1067</v>
      </c>
      <c r="CN206" s="54" t="s">
        <v>1068</v>
      </c>
      <c r="CO206" s="54" t="s">
        <v>1069</v>
      </c>
      <c r="CP206" s="56">
        <v>0</v>
      </c>
      <c r="CQ206" s="56">
        <v>0</v>
      </c>
      <c r="CR206" s="56">
        <v>0</v>
      </c>
      <c r="CS206" s="56">
        <v>0</v>
      </c>
      <c r="CT206" s="56">
        <v>0</v>
      </c>
      <c r="CU206" s="56">
        <v>0</v>
      </c>
      <c r="CV206" s="56">
        <v>0</v>
      </c>
      <c r="CW206" s="56">
        <v>0</v>
      </c>
      <c r="CX206" s="56">
        <v>0</v>
      </c>
      <c r="CY206" s="56">
        <v>0</v>
      </c>
      <c r="CZ206" s="56">
        <v>0</v>
      </c>
      <c r="DA206" s="56">
        <v>0</v>
      </c>
      <c r="DB206" s="56">
        <v>0</v>
      </c>
      <c r="DC206" s="56">
        <v>0</v>
      </c>
      <c r="DD206" s="56">
        <v>0</v>
      </c>
      <c r="DE206" s="56">
        <v>0</v>
      </c>
      <c r="DF206" s="56">
        <v>0</v>
      </c>
      <c r="DG206" s="56">
        <v>0</v>
      </c>
      <c r="DH206" s="56">
        <v>0</v>
      </c>
      <c r="DI206" s="56">
        <v>0</v>
      </c>
      <c r="DJ206" s="56">
        <v>0</v>
      </c>
      <c r="DK206" s="56">
        <v>0</v>
      </c>
      <c r="DL206" s="56">
        <v>0</v>
      </c>
      <c r="DM206" s="56">
        <v>0</v>
      </c>
      <c r="DN206" s="56">
        <v>0</v>
      </c>
      <c r="DO206" s="56">
        <v>0</v>
      </c>
      <c r="DP206" s="56">
        <v>0</v>
      </c>
      <c r="DQ206" s="56">
        <v>0</v>
      </c>
      <c r="DR206" s="56">
        <v>0</v>
      </c>
      <c r="DS206" s="56">
        <v>0</v>
      </c>
      <c r="DT206" s="56">
        <v>0</v>
      </c>
      <c r="DU206" s="56">
        <v>0</v>
      </c>
      <c r="DV206" s="56">
        <v>0</v>
      </c>
      <c r="DW206" s="56">
        <v>0</v>
      </c>
      <c r="DX206" s="56">
        <v>0</v>
      </c>
      <c r="DY206" s="56">
        <v>0</v>
      </c>
      <c r="DZ206" s="56">
        <v>0</v>
      </c>
      <c r="EA206" s="56">
        <v>0</v>
      </c>
      <c r="EB206" s="56">
        <v>0</v>
      </c>
      <c r="EC206" s="56">
        <v>0</v>
      </c>
      <c r="ED206" s="56">
        <v>0</v>
      </c>
      <c r="EE206" s="56">
        <v>0</v>
      </c>
      <c r="EF206" s="56">
        <v>0</v>
      </c>
      <c r="EG206" s="56">
        <v>0</v>
      </c>
      <c r="EH206" s="56">
        <v>9072</v>
      </c>
      <c r="EI206" s="56">
        <v>0</v>
      </c>
      <c r="EJ206" s="56">
        <v>0</v>
      </c>
      <c r="EK206" s="56">
        <v>0</v>
      </c>
      <c r="EL206" s="56">
        <v>0</v>
      </c>
      <c r="EM206" s="56">
        <v>0</v>
      </c>
      <c r="EN206" s="56">
        <v>0</v>
      </c>
      <c r="EO206" s="56">
        <v>0</v>
      </c>
      <c r="EP206" s="56">
        <v>0</v>
      </c>
      <c r="EQ206" s="56">
        <v>0</v>
      </c>
      <c r="ER206" s="56">
        <v>0</v>
      </c>
      <c r="ES206" s="56">
        <v>0</v>
      </c>
      <c r="ET206" s="56">
        <v>0</v>
      </c>
      <c r="EU206" s="56">
        <v>0</v>
      </c>
      <c r="EV206" s="56">
        <v>0</v>
      </c>
      <c r="EW206" s="56">
        <v>0</v>
      </c>
      <c r="EX206" s="56">
        <v>0</v>
      </c>
      <c r="EY206" s="56">
        <v>0</v>
      </c>
      <c r="EZ206" s="56">
        <v>0</v>
      </c>
      <c r="FA206" s="56">
        <v>0</v>
      </c>
      <c r="FB206" s="56">
        <v>0</v>
      </c>
      <c r="FC206" s="58">
        <v>0</v>
      </c>
      <c r="FD206" s="56">
        <v>0</v>
      </c>
      <c r="FE206" s="56">
        <v>0</v>
      </c>
      <c r="FF206" s="56">
        <v>0</v>
      </c>
      <c r="FG206" s="56">
        <v>0</v>
      </c>
      <c r="FH206" s="56">
        <v>0</v>
      </c>
      <c r="FI206" s="56">
        <v>0</v>
      </c>
      <c r="FJ206" s="56">
        <v>0</v>
      </c>
      <c r="FK206" s="56">
        <v>0</v>
      </c>
      <c r="FL206" s="56">
        <v>0</v>
      </c>
      <c r="FM206" s="56">
        <v>0</v>
      </c>
      <c r="FN206" s="56">
        <v>0</v>
      </c>
      <c r="FO206" s="56">
        <v>0</v>
      </c>
      <c r="FP206" s="56">
        <v>0</v>
      </c>
      <c r="FQ206" s="56">
        <v>0</v>
      </c>
      <c r="FR206" s="56">
        <v>0</v>
      </c>
      <c r="FS206" s="58">
        <v>0</v>
      </c>
      <c r="FT206" s="56">
        <v>0</v>
      </c>
      <c r="FU206" s="56">
        <v>0</v>
      </c>
      <c r="FV206" s="56">
        <v>0</v>
      </c>
      <c r="FW206" s="56">
        <v>0</v>
      </c>
      <c r="FX206" s="56">
        <v>0</v>
      </c>
      <c r="FY206" s="56">
        <v>0</v>
      </c>
      <c r="FZ206" s="54" t="s">
        <v>1083</v>
      </c>
      <c r="GA206" s="54" t="s">
        <v>1084</v>
      </c>
      <c r="GB206" s="54" t="s">
        <v>1072</v>
      </c>
      <c r="GC206" s="54" t="s">
        <v>1073</v>
      </c>
      <c r="GD206" s="54" t="s">
        <v>1119</v>
      </c>
      <c r="GE206" s="54" t="s">
        <v>1075</v>
      </c>
      <c r="GF206" s="54"/>
      <c r="GG206" s="55"/>
      <c r="GH206" s="54"/>
      <c r="GI206" s="54"/>
      <c r="GJ206" s="54" t="s">
        <v>1076</v>
      </c>
      <c r="GK206" s="54" t="s">
        <v>1077</v>
      </c>
      <c r="GL206" s="54"/>
      <c r="GM206" s="54"/>
      <c r="GN206" s="54" t="s">
        <v>1078</v>
      </c>
      <c r="GO206" s="54" t="s">
        <v>1059</v>
      </c>
      <c r="GP206" s="54"/>
      <c r="GQ206" s="56">
        <v>0</v>
      </c>
      <c r="GR206" s="54" t="s">
        <v>1079</v>
      </c>
      <c r="GS206" s="54"/>
    </row>
    <row r="207" spans="1:201" x14ac:dyDescent="0.25">
      <c r="A207" s="54" t="s">
        <v>1032</v>
      </c>
      <c r="B207" s="54" t="s">
        <v>1033</v>
      </c>
      <c r="C207" s="54" t="s">
        <v>1269</v>
      </c>
      <c r="D207" s="54" t="s">
        <v>1035</v>
      </c>
      <c r="E207" s="54" t="s">
        <v>1036</v>
      </c>
      <c r="F207" s="55">
        <v>46189</v>
      </c>
      <c r="G207" s="55">
        <v>46189</v>
      </c>
      <c r="H207" s="54" t="s">
        <v>1037</v>
      </c>
      <c r="I207" s="54" t="s">
        <v>1038</v>
      </c>
      <c r="J207" s="54" t="s">
        <v>1039</v>
      </c>
      <c r="K207" s="55"/>
      <c r="L207" s="54" t="s">
        <v>1040</v>
      </c>
      <c r="M207" s="54"/>
      <c r="N207" s="54" t="s">
        <v>1270</v>
      </c>
      <c r="O207" s="54" t="s">
        <v>1109</v>
      </c>
      <c r="P207" s="54" t="s">
        <v>185</v>
      </c>
      <c r="Q207" s="54" t="s">
        <v>15</v>
      </c>
      <c r="R207" s="54" t="s">
        <v>1043</v>
      </c>
      <c r="S207" s="56">
        <v>4092</v>
      </c>
      <c r="T207" s="56">
        <v>4092</v>
      </c>
      <c r="U207" s="56">
        <v>0</v>
      </c>
      <c r="V207" s="56">
        <v>0</v>
      </c>
      <c r="W207" s="56">
        <v>0</v>
      </c>
      <c r="X207" s="56">
        <v>0</v>
      </c>
      <c r="Y207" s="56">
        <v>0</v>
      </c>
      <c r="Z207" s="56">
        <v>600</v>
      </c>
      <c r="AA207" s="56">
        <v>600</v>
      </c>
      <c r="AB207" s="59">
        <v>0</v>
      </c>
      <c r="AC207" s="56">
        <v>0</v>
      </c>
      <c r="AD207" s="56">
        <v>0</v>
      </c>
      <c r="AE207" s="56">
        <v>0</v>
      </c>
      <c r="AF207" s="54" t="s">
        <v>1044</v>
      </c>
      <c r="AG207" s="57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 t="s">
        <v>1045</v>
      </c>
      <c r="AS207" s="54" t="s">
        <v>1081</v>
      </c>
      <c r="AT207" s="54" t="s">
        <v>1082</v>
      </c>
      <c r="AU207" s="54" t="s">
        <v>1048</v>
      </c>
      <c r="AV207" s="54"/>
      <c r="AW207" s="55">
        <v>46202</v>
      </c>
      <c r="AX207" s="55">
        <v>46189</v>
      </c>
      <c r="AY207" s="55">
        <v>46189</v>
      </c>
      <c r="AZ207" s="55"/>
      <c r="BA207" s="55">
        <v>46202</v>
      </c>
      <c r="BB207" s="56">
        <v>0</v>
      </c>
      <c r="BC207" s="56">
        <v>0</v>
      </c>
      <c r="BD207" s="56">
        <v>0</v>
      </c>
      <c r="BE207" s="56">
        <v>0</v>
      </c>
      <c r="BF207" s="56">
        <v>0</v>
      </c>
      <c r="BG207" s="56">
        <v>0</v>
      </c>
      <c r="BH207" s="56">
        <v>0</v>
      </c>
      <c r="BI207" s="56">
        <v>0</v>
      </c>
      <c r="BJ207" s="56">
        <v>0</v>
      </c>
      <c r="BK207" s="56">
        <v>0</v>
      </c>
      <c r="BL207" s="56">
        <v>0</v>
      </c>
      <c r="BM207" s="56">
        <v>0</v>
      </c>
      <c r="BN207" s="56">
        <v>0</v>
      </c>
      <c r="BO207" s="56">
        <v>0</v>
      </c>
      <c r="BP207" s="54" t="s">
        <v>1049</v>
      </c>
      <c r="BQ207" s="54" t="s">
        <v>1050</v>
      </c>
      <c r="BR207" s="54" t="s">
        <v>1049</v>
      </c>
      <c r="BS207" s="54" t="s">
        <v>1050</v>
      </c>
      <c r="BT207" s="54" t="s">
        <v>1051</v>
      </c>
      <c r="BU207" s="54" t="s">
        <v>1043</v>
      </c>
      <c r="BV207" s="58">
        <v>600</v>
      </c>
      <c r="BW207" s="54" t="s">
        <v>1052</v>
      </c>
      <c r="BX207" s="54" t="s">
        <v>1053</v>
      </c>
      <c r="BY207" s="54" t="s">
        <v>1054</v>
      </c>
      <c r="BZ207" s="54" t="s">
        <v>1055</v>
      </c>
      <c r="CA207" s="55"/>
      <c r="CB207" s="54" t="s">
        <v>1056</v>
      </c>
      <c r="CC207" s="54" t="s">
        <v>1057</v>
      </c>
      <c r="CD207" s="54" t="s">
        <v>1058</v>
      </c>
      <c r="CE207" s="54" t="s">
        <v>1059</v>
      </c>
      <c r="CF207" s="54" t="s">
        <v>1060</v>
      </c>
      <c r="CG207" s="54" t="s">
        <v>1061</v>
      </c>
      <c r="CH207" s="54" t="s">
        <v>1062</v>
      </c>
      <c r="CI207" s="54" t="s">
        <v>1063</v>
      </c>
      <c r="CJ207" s="54" t="s">
        <v>1064</v>
      </c>
      <c r="CK207" s="54" t="s">
        <v>1065</v>
      </c>
      <c r="CL207" s="54" t="s">
        <v>1066</v>
      </c>
      <c r="CM207" s="54" t="s">
        <v>1067</v>
      </c>
      <c r="CN207" s="54" t="s">
        <v>1068</v>
      </c>
      <c r="CO207" s="54" t="s">
        <v>1069</v>
      </c>
      <c r="CP207" s="56">
        <v>0</v>
      </c>
      <c r="CQ207" s="56">
        <v>0</v>
      </c>
      <c r="CR207" s="56">
        <v>0</v>
      </c>
      <c r="CS207" s="56">
        <v>0</v>
      </c>
      <c r="CT207" s="56">
        <v>0</v>
      </c>
      <c r="CU207" s="56">
        <v>0</v>
      </c>
      <c r="CV207" s="56">
        <v>0</v>
      </c>
      <c r="CW207" s="56">
        <v>0</v>
      </c>
      <c r="CX207" s="56">
        <v>0</v>
      </c>
      <c r="CY207" s="56">
        <v>0</v>
      </c>
      <c r="CZ207" s="56">
        <v>0</v>
      </c>
      <c r="DA207" s="56">
        <v>0</v>
      </c>
      <c r="DB207" s="56">
        <v>0</v>
      </c>
      <c r="DC207" s="56">
        <v>0</v>
      </c>
      <c r="DD207" s="56">
        <v>0</v>
      </c>
      <c r="DE207" s="56">
        <v>0</v>
      </c>
      <c r="DF207" s="56">
        <v>0</v>
      </c>
      <c r="DG207" s="56">
        <v>0</v>
      </c>
      <c r="DH207" s="56">
        <v>0</v>
      </c>
      <c r="DI207" s="56">
        <v>0</v>
      </c>
      <c r="DJ207" s="56">
        <v>0</v>
      </c>
      <c r="DK207" s="56">
        <v>0</v>
      </c>
      <c r="DL207" s="56">
        <v>0</v>
      </c>
      <c r="DM207" s="56">
        <v>0</v>
      </c>
      <c r="DN207" s="56">
        <v>0</v>
      </c>
      <c r="DO207" s="56">
        <v>0</v>
      </c>
      <c r="DP207" s="56">
        <v>0</v>
      </c>
      <c r="DQ207" s="56">
        <v>0</v>
      </c>
      <c r="DR207" s="56">
        <v>0</v>
      </c>
      <c r="DS207" s="56">
        <v>0</v>
      </c>
      <c r="DT207" s="56">
        <v>0</v>
      </c>
      <c r="DU207" s="56">
        <v>0</v>
      </c>
      <c r="DV207" s="56">
        <v>0</v>
      </c>
      <c r="DW207" s="56">
        <v>0</v>
      </c>
      <c r="DX207" s="56">
        <v>0</v>
      </c>
      <c r="DY207" s="56">
        <v>0</v>
      </c>
      <c r="DZ207" s="56">
        <v>0</v>
      </c>
      <c r="EA207" s="56">
        <v>0</v>
      </c>
      <c r="EB207" s="56">
        <v>0</v>
      </c>
      <c r="EC207" s="56">
        <v>0</v>
      </c>
      <c r="ED207" s="56">
        <v>0</v>
      </c>
      <c r="EE207" s="56">
        <v>0</v>
      </c>
      <c r="EF207" s="56">
        <v>0</v>
      </c>
      <c r="EG207" s="56">
        <v>0</v>
      </c>
      <c r="EH207" s="56">
        <v>491.04</v>
      </c>
      <c r="EI207" s="56">
        <v>0</v>
      </c>
      <c r="EJ207" s="56">
        <v>0</v>
      </c>
      <c r="EK207" s="56">
        <v>0</v>
      </c>
      <c r="EL207" s="56">
        <v>0</v>
      </c>
      <c r="EM207" s="56">
        <v>0</v>
      </c>
      <c r="EN207" s="56">
        <v>0</v>
      </c>
      <c r="EO207" s="56">
        <v>0</v>
      </c>
      <c r="EP207" s="56">
        <v>0</v>
      </c>
      <c r="EQ207" s="56">
        <v>0</v>
      </c>
      <c r="ER207" s="56">
        <v>0</v>
      </c>
      <c r="ES207" s="56">
        <v>0</v>
      </c>
      <c r="ET207" s="56">
        <v>0</v>
      </c>
      <c r="EU207" s="56">
        <v>0</v>
      </c>
      <c r="EV207" s="56">
        <v>0</v>
      </c>
      <c r="EW207" s="56">
        <v>0</v>
      </c>
      <c r="EX207" s="56">
        <v>0</v>
      </c>
      <c r="EY207" s="56">
        <v>0</v>
      </c>
      <c r="EZ207" s="56">
        <v>0</v>
      </c>
      <c r="FA207" s="56">
        <v>0</v>
      </c>
      <c r="FB207" s="56">
        <v>0</v>
      </c>
      <c r="FC207" s="58">
        <v>0</v>
      </c>
      <c r="FD207" s="56">
        <v>0</v>
      </c>
      <c r="FE207" s="56">
        <v>0</v>
      </c>
      <c r="FF207" s="56">
        <v>0</v>
      </c>
      <c r="FG207" s="56">
        <v>0</v>
      </c>
      <c r="FH207" s="56">
        <v>0</v>
      </c>
      <c r="FI207" s="56">
        <v>0</v>
      </c>
      <c r="FJ207" s="56">
        <v>0</v>
      </c>
      <c r="FK207" s="56">
        <v>0</v>
      </c>
      <c r="FL207" s="56">
        <v>0</v>
      </c>
      <c r="FM207" s="56">
        <v>0</v>
      </c>
      <c r="FN207" s="56">
        <v>0</v>
      </c>
      <c r="FO207" s="56">
        <v>0</v>
      </c>
      <c r="FP207" s="56">
        <v>0</v>
      </c>
      <c r="FQ207" s="56">
        <v>0</v>
      </c>
      <c r="FR207" s="56">
        <v>0</v>
      </c>
      <c r="FS207" s="58">
        <v>0</v>
      </c>
      <c r="FT207" s="56">
        <v>0</v>
      </c>
      <c r="FU207" s="56">
        <v>0</v>
      </c>
      <c r="FV207" s="56">
        <v>0</v>
      </c>
      <c r="FW207" s="56">
        <v>0</v>
      </c>
      <c r="FX207" s="56">
        <v>0</v>
      </c>
      <c r="FY207" s="56">
        <v>0</v>
      </c>
      <c r="FZ207" s="54" t="s">
        <v>1083</v>
      </c>
      <c r="GA207" s="54" t="s">
        <v>1084</v>
      </c>
      <c r="GB207" s="54" t="s">
        <v>1072</v>
      </c>
      <c r="GC207" s="54" t="s">
        <v>1073</v>
      </c>
      <c r="GD207" s="54" t="s">
        <v>1119</v>
      </c>
      <c r="GE207" s="54" t="s">
        <v>1075</v>
      </c>
      <c r="GF207" s="54"/>
      <c r="GG207" s="55"/>
      <c r="GH207" s="54"/>
      <c r="GI207" s="54"/>
      <c r="GJ207" s="54" t="s">
        <v>1076</v>
      </c>
      <c r="GK207" s="54" t="s">
        <v>1077</v>
      </c>
      <c r="GL207" s="54"/>
      <c r="GM207" s="54"/>
      <c r="GN207" s="54" t="s">
        <v>1078</v>
      </c>
      <c r="GO207" s="54" t="s">
        <v>1059</v>
      </c>
      <c r="GP207" s="54"/>
      <c r="GQ207" s="56">
        <v>0</v>
      </c>
      <c r="GR207" s="54" t="s">
        <v>1079</v>
      </c>
      <c r="GS207" s="54"/>
    </row>
    <row r="208" spans="1:201" x14ac:dyDescent="0.25">
      <c r="A208" s="54" t="s">
        <v>1032</v>
      </c>
      <c r="B208" s="54" t="s">
        <v>1033</v>
      </c>
      <c r="C208" s="54" t="s">
        <v>1269</v>
      </c>
      <c r="D208" s="54" t="s">
        <v>1035</v>
      </c>
      <c r="E208" s="54" t="s">
        <v>1036</v>
      </c>
      <c r="F208" s="55">
        <v>46189</v>
      </c>
      <c r="G208" s="55">
        <v>46189</v>
      </c>
      <c r="H208" s="54" t="s">
        <v>1037</v>
      </c>
      <c r="I208" s="54" t="s">
        <v>1038</v>
      </c>
      <c r="J208" s="54" t="s">
        <v>1039</v>
      </c>
      <c r="K208" s="55"/>
      <c r="L208" s="54" t="s">
        <v>1040</v>
      </c>
      <c r="M208" s="54"/>
      <c r="N208" s="54" t="s">
        <v>1270</v>
      </c>
      <c r="O208" s="54" t="s">
        <v>1111</v>
      </c>
      <c r="P208" s="54" t="s">
        <v>183</v>
      </c>
      <c r="Q208" s="54" t="s">
        <v>13</v>
      </c>
      <c r="R208" s="54" t="s">
        <v>1043</v>
      </c>
      <c r="S208" s="56">
        <v>34470</v>
      </c>
      <c r="T208" s="56">
        <v>34470</v>
      </c>
      <c r="U208" s="56">
        <v>0</v>
      </c>
      <c r="V208" s="56">
        <v>0</v>
      </c>
      <c r="W208" s="56">
        <v>0</v>
      </c>
      <c r="X208" s="56">
        <v>0</v>
      </c>
      <c r="Y208" s="56">
        <v>0</v>
      </c>
      <c r="Z208" s="56">
        <v>9000</v>
      </c>
      <c r="AA208" s="56">
        <v>9000</v>
      </c>
      <c r="AB208" s="59">
        <v>0</v>
      </c>
      <c r="AC208" s="56">
        <v>0</v>
      </c>
      <c r="AD208" s="56">
        <v>0</v>
      </c>
      <c r="AE208" s="56">
        <v>0</v>
      </c>
      <c r="AF208" s="54" t="s">
        <v>1044</v>
      </c>
      <c r="AG208" s="57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 t="s">
        <v>1045</v>
      </c>
      <c r="AS208" s="54" t="s">
        <v>1081</v>
      </c>
      <c r="AT208" s="54" t="s">
        <v>1082</v>
      </c>
      <c r="AU208" s="54" t="s">
        <v>1048</v>
      </c>
      <c r="AV208" s="54"/>
      <c r="AW208" s="55">
        <v>46202</v>
      </c>
      <c r="AX208" s="55">
        <v>46189</v>
      </c>
      <c r="AY208" s="55">
        <v>46189</v>
      </c>
      <c r="AZ208" s="55"/>
      <c r="BA208" s="55">
        <v>46202</v>
      </c>
      <c r="BB208" s="56">
        <v>0</v>
      </c>
      <c r="BC208" s="56">
        <v>0</v>
      </c>
      <c r="BD208" s="56">
        <v>0</v>
      </c>
      <c r="BE208" s="56">
        <v>0</v>
      </c>
      <c r="BF208" s="56">
        <v>0</v>
      </c>
      <c r="BG208" s="56">
        <v>0</v>
      </c>
      <c r="BH208" s="56">
        <v>0</v>
      </c>
      <c r="BI208" s="56">
        <v>0</v>
      </c>
      <c r="BJ208" s="56">
        <v>0</v>
      </c>
      <c r="BK208" s="56">
        <v>0</v>
      </c>
      <c r="BL208" s="56">
        <v>0</v>
      </c>
      <c r="BM208" s="56">
        <v>0</v>
      </c>
      <c r="BN208" s="56">
        <v>0</v>
      </c>
      <c r="BO208" s="56">
        <v>0</v>
      </c>
      <c r="BP208" s="54" t="s">
        <v>1049</v>
      </c>
      <c r="BQ208" s="54" t="s">
        <v>1050</v>
      </c>
      <c r="BR208" s="54" t="s">
        <v>1049</v>
      </c>
      <c r="BS208" s="54" t="s">
        <v>1050</v>
      </c>
      <c r="BT208" s="54" t="s">
        <v>1051</v>
      </c>
      <c r="BU208" s="54" t="s">
        <v>1043</v>
      </c>
      <c r="BV208" s="58">
        <v>9000</v>
      </c>
      <c r="BW208" s="54" t="s">
        <v>1052</v>
      </c>
      <c r="BX208" s="54" t="s">
        <v>1053</v>
      </c>
      <c r="BY208" s="54" t="s">
        <v>1054</v>
      </c>
      <c r="BZ208" s="54" t="s">
        <v>1055</v>
      </c>
      <c r="CA208" s="55"/>
      <c r="CB208" s="54" t="s">
        <v>1056</v>
      </c>
      <c r="CC208" s="54" t="s">
        <v>1057</v>
      </c>
      <c r="CD208" s="54" t="s">
        <v>1058</v>
      </c>
      <c r="CE208" s="54" t="s">
        <v>1059</v>
      </c>
      <c r="CF208" s="54" t="s">
        <v>1060</v>
      </c>
      <c r="CG208" s="54" t="s">
        <v>1061</v>
      </c>
      <c r="CH208" s="54" t="s">
        <v>1062</v>
      </c>
      <c r="CI208" s="54" t="s">
        <v>1063</v>
      </c>
      <c r="CJ208" s="54" t="s">
        <v>1064</v>
      </c>
      <c r="CK208" s="54" t="s">
        <v>1065</v>
      </c>
      <c r="CL208" s="54" t="s">
        <v>1066</v>
      </c>
      <c r="CM208" s="54" t="s">
        <v>1067</v>
      </c>
      <c r="CN208" s="54" t="s">
        <v>1068</v>
      </c>
      <c r="CO208" s="54" t="s">
        <v>1069</v>
      </c>
      <c r="CP208" s="56">
        <v>0</v>
      </c>
      <c r="CQ208" s="56">
        <v>0</v>
      </c>
      <c r="CR208" s="56">
        <v>0</v>
      </c>
      <c r="CS208" s="56">
        <v>0</v>
      </c>
      <c r="CT208" s="56">
        <v>0</v>
      </c>
      <c r="CU208" s="56">
        <v>0</v>
      </c>
      <c r="CV208" s="56">
        <v>0</v>
      </c>
      <c r="CW208" s="56">
        <v>0</v>
      </c>
      <c r="CX208" s="56">
        <v>0</v>
      </c>
      <c r="CY208" s="56">
        <v>0</v>
      </c>
      <c r="CZ208" s="56">
        <v>0</v>
      </c>
      <c r="DA208" s="56">
        <v>0</v>
      </c>
      <c r="DB208" s="56">
        <v>0</v>
      </c>
      <c r="DC208" s="56">
        <v>0</v>
      </c>
      <c r="DD208" s="56">
        <v>0</v>
      </c>
      <c r="DE208" s="56">
        <v>0</v>
      </c>
      <c r="DF208" s="56">
        <v>0</v>
      </c>
      <c r="DG208" s="56">
        <v>0</v>
      </c>
      <c r="DH208" s="56">
        <v>0</v>
      </c>
      <c r="DI208" s="56">
        <v>0</v>
      </c>
      <c r="DJ208" s="56">
        <v>0</v>
      </c>
      <c r="DK208" s="56">
        <v>0</v>
      </c>
      <c r="DL208" s="56">
        <v>0</v>
      </c>
      <c r="DM208" s="56">
        <v>0</v>
      </c>
      <c r="DN208" s="56">
        <v>0</v>
      </c>
      <c r="DO208" s="56">
        <v>0</v>
      </c>
      <c r="DP208" s="56">
        <v>0</v>
      </c>
      <c r="DQ208" s="56">
        <v>0</v>
      </c>
      <c r="DR208" s="56">
        <v>0</v>
      </c>
      <c r="DS208" s="56">
        <v>0</v>
      </c>
      <c r="DT208" s="56">
        <v>0</v>
      </c>
      <c r="DU208" s="56">
        <v>0</v>
      </c>
      <c r="DV208" s="56">
        <v>0</v>
      </c>
      <c r="DW208" s="56">
        <v>0</v>
      </c>
      <c r="DX208" s="56">
        <v>0</v>
      </c>
      <c r="DY208" s="56">
        <v>0</v>
      </c>
      <c r="DZ208" s="56">
        <v>0</v>
      </c>
      <c r="EA208" s="56">
        <v>0</v>
      </c>
      <c r="EB208" s="56">
        <v>0</v>
      </c>
      <c r="EC208" s="56">
        <v>0</v>
      </c>
      <c r="ED208" s="56">
        <v>0</v>
      </c>
      <c r="EE208" s="56">
        <v>0</v>
      </c>
      <c r="EF208" s="56">
        <v>0</v>
      </c>
      <c r="EG208" s="56">
        <v>0</v>
      </c>
      <c r="EH208" s="56">
        <v>4136.3999999999996</v>
      </c>
      <c r="EI208" s="56">
        <v>0</v>
      </c>
      <c r="EJ208" s="56">
        <v>0</v>
      </c>
      <c r="EK208" s="56">
        <v>0</v>
      </c>
      <c r="EL208" s="56">
        <v>0</v>
      </c>
      <c r="EM208" s="56">
        <v>0</v>
      </c>
      <c r="EN208" s="56">
        <v>0</v>
      </c>
      <c r="EO208" s="56">
        <v>0</v>
      </c>
      <c r="EP208" s="56">
        <v>0</v>
      </c>
      <c r="EQ208" s="56">
        <v>0</v>
      </c>
      <c r="ER208" s="56">
        <v>0</v>
      </c>
      <c r="ES208" s="56">
        <v>0</v>
      </c>
      <c r="ET208" s="56">
        <v>0</v>
      </c>
      <c r="EU208" s="56">
        <v>0</v>
      </c>
      <c r="EV208" s="56">
        <v>0</v>
      </c>
      <c r="EW208" s="56">
        <v>0</v>
      </c>
      <c r="EX208" s="56">
        <v>0</v>
      </c>
      <c r="EY208" s="56">
        <v>0</v>
      </c>
      <c r="EZ208" s="56">
        <v>0</v>
      </c>
      <c r="FA208" s="56">
        <v>0</v>
      </c>
      <c r="FB208" s="56">
        <v>0</v>
      </c>
      <c r="FC208" s="58">
        <v>0</v>
      </c>
      <c r="FD208" s="56">
        <v>0</v>
      </c>
      <c r="FE208" s="56">
        <v>0</v>
      </c>
      <c r="FF208" s="56">
        <v>0</v>
      </c>
      <c r="FG208" s="56">
        <v>0</v>
      </c>
      <c r="FH208" s="56">
        <v>0</v>
      </c>
      <c r="FI208" s="56">
        <v>0</v>
      </c>
      <c r="FJ208" s="56">
        <v>0</v>
      </c>
      <c r="FK208" s="56">
        <v>0</v>
      </c>
      <c r="FL208" s="56">
        <v>0</v>
      </c>
      <c r="FM208" s="56">
        <v>0</v>
      </c>
      <c r="FN208" s="56">
        <v>0</v>
      </c>
      <c r="FO208" s="56">
        <v>0</v>
      </c>
      <c r="FP208" s="56">
        <v>0</v>
      </c>
      <c r="FQ208" s="56">
        <v>0</v>
      </c>
      <c r="FR208" s="56">
        <v>0</v>
      </c>
      <c r="FS208" s="58">
        <v>0</v>
      </c>
      <c r="FT208" s="56">
        <v>0</v>
      </c>
      <c r="FU208" s="56">
        <v>0</v>
      </c>
      <c r="FV208" s="56">
        <v>0</v>
      </c>
      <c r="FW208" s="56">
        <v>0</v>
      </c>
      <c r="FX208" s="56">
        <v>0</v>
      </c>
      <c r="FY208" s="56">
        <v>0</v>
      </c>
      <c r="FZ208" s="54" t="s">
        <v>1083</v>
      </c>
      <c r="GA208" s="54" t="s">
        <v>1084</v>
      </c>
      <c r="GB208" s="54" t="s">
        <v>1072</v>
      </c>
      <c r="GC208" s="54" t="s">
        <v>1073</v>
      </c>
      <c r="GD208" s="54" t="s">
        <v>1119</v>
      </c>
      <c r="GE208" s="54" t="s">
        <v>1075</v>
      </c>
      <c r="GF208" s="54"/>
      <c r="GG208" s="55"/>
      <c r="GH208" s="54"/>
      <c r="GI208" s="54"/>
      <c r="GJ208" s="54" t="s">
        <v>1076</v>
      </c>
      <c r="GK208" s="54" t="s">
        <v>1077</v>
      </c>
      <c r="GL208" s="54"/>
      <c r="GM208" s="54"/>
      <c r="GN208" s="54" t="s">
        <v>1078</v>
      </c>
      <c r="GO208" s="54" t="s">
        <v>1059</v>
      </c>
      <c r="GP208" s="54"/>
      <c r="GQ208" s="56">
        <v>0</v>
      </c>
      <c r="GR208" s="54" t="s">
        <v>1079</v>
      </c>
      <c r="GS208" s="54"/>
    </row>
    <row r="209" spans="1:201" x14ac:dyDescent="0.25">
      <c r="A209" s="54" t="s">
        <v>1032</v>
      </c>
      <c r="B209" s="54" t="s">
        <v>1033</v>
      </c>
      <c r="C209" s="54" t="s">
        <v>1269</v>
      </c>
      <c r="D209" s="54" t="s">
        <v>1035</v>
      </c>
      <c r="E209" s="54" t="s">
        <v>1036</v>
      </c>
      <c r="F209" s="55">
        <v>46189</v>
      </c>
      <c r="G209" s="55">
        <v>46189</v>
      </c>
      <c r="H209" s="54" t="s">
        <v>1037</v>
      </c>
      <c r="I209" s="54" t="s">
        <v>1038</v>
      </c>
      <c r="J209" s="54" t="s">
        <v>1039</v>
      </c>
      <c r="K209" s="55"/>
      <c r="L209" s="54" t="s">
        <v>1040</v>
      </c>
      <c r="M209" s="54"/>
      <c r="N209" s="54" t="s">
        <v>1270</v>
      </c>
      <c r="O209" s="54" t="s">
        <v>1113</v>
      </c>
      <c r="P209" s="54" t="s">
        <v>392</v>
      </c>
      <c r="Q209" s="54" t="s">
        <v>18</v>
      </c>
      <c r="R209" s="54" t="s">
        <v>1043</v>
      </c>
      <c r="S209" s="56">
        <v>886.2</v>
      </c>
      <c r="T209" s="56">
        <v>886.2</v>
      </c>
      <c r="U209" s="56">
        <v>0</v>
      </c>
      <c r="V209" s="56">
        <v>0</v>
      </c>
      <c r="W209" s="56">
        <v>0</v>
      </c>
      <c r="X209" s="56">
        <v>0</v>
      </c>
      <c r="Y209" s="56">
        <v>0</v>
      </c>
      <c r="Z209" s="56">
        <v>60</v>
      </c>
      <c r="AA209" s="56">
        <v>60</v>
      </c>
      <c r="AB209" s="59">
        <v>0</v>
      </c>
      <c r="AC209" s="56">
        <v>0</v>
      </c>
      <c r="AD209" s="56">
        <v>0</v>
      </c>
      <c r="AE209" s="56">
        <v>0</v>
      </c>
      <c r="AF209" s="54" t="s">
        <v>1044</v>
      </c>
      <c r="AG209" s="57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 t="s">
        <v>1045</v>
      </c>
      <c r="AS209" s="54" t="s">
        <v>1046</v>
      </c>
      <c r="AT209" s="54" t="s">
        <v>1047</v>
      </c>
      <c r="AU209" s="54" t="s">
        <v>1048</v>
      </c>
      <c r="AV209" s="54"/>
      <c r="AW209" s="55">
        <v>46202</v>
      </c>
      <c r="AX209" s="55">
        <v>46189</v>
      </c>
      <c r="AY209" s="55">
        <v>46189</v>
      </c>
      <c r="AZ209" s="55"/>
      <c r="BA209" s="55">
        <v>46202</v>
      </c>
      <c r="BB209" s="56">
        <v>0</v>
      </c>
      <c r="BC209" s="56">
        <v>0</v>
      </c>
      <c r="BD209" s="56">
        <v>0</v>
      </c>
      <c r="BE209" s="56">
        <v>0</v>
      </c>
      <c r="BF209" s="56">
        <v>0</v>
      </c>
      <c r="BG209" s="56">
        <v>0</v>
      </c>
      <c r="BH209" s="56">
        <v>0</v>
      </c>
      <c r="BI209" s="56">
        <v>0</v>
      </c>
      <c r="BJ209" s="56">
        <v>0</v>
      </c>
      <c r="BK209" s="56">
        <v>0</v>
      </c>
      <c r="BL209" s="56">
        <v>0</v>
      </c>
      <c r="BM209" s="56">
        <v>0</v>
      </c>
      <c r="BN209" s="56">
        <v>0</v>
      </c>
      <c r="BO209" s="56">
        <v>0</v>
      </c>
      <c r="BP209" s="54" t="s">
        <v>1049</v>
      </c>
      <c r="BQ209" s="54" t="s">
        <v>1050</v>
      </c>
      <c r="BR209" s="54" t="s">
        <v>1049</v>
      </c>
      <c r="BS209" s="54" t="s">
        <v>1050</v>
      </c>
      <c r="BT209" s="54" t="s">
        <v>1051</v>
      </c>
      <c r="BU209" s="54" t="s">
        <v>1043</v>
      </c>
      <c r="BV209" s="58">
        <v>60</v>
      </c>
      <c r="BW209" s="54" t="s">
        <v>1052</v>
      </c>
      <c r="BX209" s="54" t="s">
        <v>1053</v>
      </c>
      <c r="BY209" s="54" t="s">
        <v>1054</v>
      </c>
      <c r="BZ209" s="54" t="s">
        <v>1055</v>
      </c>
      <c r="CA209" s="55"/>
      <c r="CB209" s="54" t="s">
        <v>1056</v>
      </c>
      <c r="CC209" s="54" t="s">
        <v>1057</v>
      </c>
      <c r="CD209" s="54" t="s">
        <v>1058</v>
      </c>
      <c r="CE209" s="54" t="s">
        <v>1059</v>
      </c>
      <c r="CF209" s="54" t="s">
        <v>1060</v>
      </c>
      <c r="CG209" s="54" t="s">
        <v>1061</v>
      </c>
      <c r="CH209" s="54" t="s">
        <v>1062</v>
      </c>
      <c r="CI209" s="54" t="s">
        <v>1063</v>
      </c>
      <c r="CJ209" s="54" t="s">
        <v>1064</v>
      </c>
      <c r="CK209" s="54" t="s">
        <v>1065</v>
      </c>
      <c r="CL209" s="54" t="s">
        <v>1066</v>
      </c>
      <c r="CM209" s="54" t="s">
        <v>1067</v>
      </c>
      <c r="CN209" s="54" t="s">
        <v>1068</v>
      </c>
      <c r="CO209" s="54" t="s">
        <v>1069</v>
      </c>
      <c r="CP209" s="56">
        <v>0</v>
      </c>
      <c r="CQ209" s="56">
        <v>0</v>
      </c>
      <c r="CR209" s="56">
        <v>0</v>
      </c>
      <c r="CS209" s="56">
        <v>0</v>
      </c>
      <c r="CT209" s="56">
        <v>0</v>
      </c>
      <c r="CU209" s="56">
        <v>0</v>
      </c>
      <c r="CV209" s="56">
        <v>0</v>
      </c>
      <c r="CW209" s="56">
        <v>0</v>
      </c>
      <c r="CX209" s="56">
        <v>0</v>
      </c>
      <c r="CY209" s="56">
        <v>0</v>
      </c>
      <c r="CZ209" s="56">
        <v>0</v>
      </c>
      <c r="DA209" s="56">
        <v>0</v>
      </c>
      <c r="DB209" s="56">
        <v>0</v>
      </c>
      <c r="DC209" s="56">
        <v>0</v>
      </c>
      <c r="DD209" s="56">
        <v>0</v>
      </c>
      <c r="DE209" s="56">
        <v>0</v>
      </c>
      <c r="DF209" s="56">
        <v>0</v>
      </c>
      <c r="DG209" s="56">
        <v>0</v>
      </c>
      <c r="DH209" s="56">
        <v>0</v>
      </c>
      <c r="DI209" s="56">
        <v>0</v>
      </c>
      <c r="DJ209" s="56">
        <v>0</v>
      </c>
      <c r="DK209" s="56">
        <v>0</v>
      </c>
      <c r="DL209" s="56">
        <v>0</v>
      </c>
      <c r="DM209" s="56">
        <v>0</v>
      </c>
      <c r="DN209" s="56">
        <v>0</v>
      </c>
      <c r="DO209" s="56">
        <v>0</v>
      </c>
      <c r="DP209" s="56">
        <v>0</v>
      </c>
      <c r="DQ209" s="56">
        <v>0</v>
      </c>
      <c r="DR209" s="56">
        <v>0</v>
      </c>
      <c r="DS209" s="56">
        <v>0</v>
      </c>
      <c r="DT209" s="56">
        <v>0</v>
      </c>
      <c r="DU209" s="56">
        <v>0</v>
      </c>
      <c r="DV209" s="56">
        <v>0</v>
      </c>
      <c r="DW209" s="56">
        <v>0</v>
      </c>
      <c r="DX209" s="56">
        <v>0</v>
      </c>
      <c r="DY209" s="56">
        <v>0</v>
      </c>
      <c r="DZ209" s="56">
        <v>0</v>
      </c>
      <c r="EA209" s="56">
        <v>0</v>
      </c>
      <c r="EB209" s="56">
        <v>0</v>
      </c>
      <c r="EC209" s="56">
        <v>0</v>
      </c>
      <c r="ED209" s="56">
        <v>0</v>
      </c>
      <c r="EE209" s="56">
        <v>0</v>
      </c>
      <c r="EF209" s="56">
        <v>0</v>
      </c>
      <c r="EG209" s="56">
        <v>0</v>
      </c>
      <c r="EH209" s="56">
        <v>106.34</v>
      </c>
      <c r="EI209" s="56">
        <v>0</v>
      </c>
      <c r="EJ209" s="56">
        <v>0</v>
      </c>
      <c r="EK209" s="56">
        <v>0</v>
      </c>
      <c r="EL209" s="56">
        <v>0</v>
      </c>
      <c r="EM209" s="56">
        <v>0</v>
      </c>
      <c r="EN209" s="56">
        <v>0</v>
      </c>
      <c r="EO209" s="56">
        <v>0</v>
      </c>
      <c r="EP209" s="56">
        <v>0</v>
      </c>
      <c r="EQ209" s="56">
        <v>0</v>
      </c>
      <c r="ER209" s="56">
        <v>0</v>
      </c>
      <c r="ES209" s="56">
        <v>0</v>
      </c>
      <c r="ET209" s="56">
        <v>0</v>
      </c>
      <c r="EU209" s="56">
        <v>0</v>
      </c>
      <c r="EV209" s="56">
        <v>0</v>
      </c>
      <c r="EW209" s="56">
        <v>0</v>
      </c>
      <c r="EX209" s="56">
        <v>0</v>
      </c>
      <c r="EY209" s="56">
        <v>0</v>
      </c>
      <c r="EZ209" s="56">
        <v>0</v>
      </c>
      <c r="FA209" s="56">
        <v>0</v>
      </c>
      <c r="FB209" s="56">
        <v>0</v>
      </c>
      <c r="FC209" s="58">
        <v>0</v>
      </c>
      <c r="FD209" s="56">
        <v>0</v>
      </c>
      <c r="FE209" s="56">
        <v>0</v>
      </c>
      <c r="FF209" s="56">
        <v>0</v>
      </c>
      <c r="FG209" s="56">
        <v>0</v>
      </c>
      <c r="FH209" s="56">
        <v>0</v>
      </c>
      <c r="FI209" s="56">
        <v>0</v>
      </c>
      <c r="FJ209" s="56">
        <v>0</v>
      </c>
      <c r="FK209" s="56">
        <v>0</v>
      </c>
      <c r="FL209" s="56">
        <v>0</v>
      </c>
      <c r="FM209" s="56">
        <v>0</v>
      </c>
      <c r="FN209" s="56">
        <v>0</v>
      </c>
      <c r="FO209" s="56">
        <v>0</v>
      </c>
      <c r="FP209" s="56">
        <v>0</v>
      </c>
      <c r="FQ209" s="56">
        <v>0</v>
      </c>
      <c r="FR209" s="56">
        <v>0</v>
      </c>
      <c r="FS209" s="58">
        <v>0</v>
      </c>
      <c r="FT209" s="56">
        <v>0</v>
      </c>
      <c r="FU209" s="56">
        <v>0</v>
      </c>
      <c r="FV209" s="56">
        <v>0</v>
      </c>
      <c r="FW209" s="56">
        <v>0</v>
      </c>
      <c r="FX209" s="56">
        <v>0</v>
      </c>
      <c r="FY209" s="56">
        <v>0</v>
      </c>
      <c r="FZ209" s="54" t="s">
        <v>1070</v>
      </c>
      <c r="GA209" s="54" t="s">
        <v>1071</v>
      </c>
      <c r="GB209" s="54" t="s">
        <v>1072</v>
      </c>
      <c r="GC209" s="54" t="s">
        <v>1073</v>
      </c>
      <c r="GD209" s="54" t="s">
        <v>1273</v>
      </c>
      <c r="GE209" s="54" t="s">
        <v>1075</v>
      </c>
      <c r="GF209" s="54"/>
      <c r="GG209" s="55"/>
      <c r="GH209" s="54"/>
      <c r="GI209" s="54"/>
      <c r="GJ209" s="54" t="s">
        <v>1076</v>
      </c>
      <c r="GK209" s="54" t="s">
        <v>1077</v>
      </c>
      <c r="GL209" s="54"/>
      <c r="GM209" s="54"/>
      <c r="GN209" s="54" t="s">
        <v>1078</v>
      </c>
      <c r="GO209" s="54" t="s">
        <v>1059</v>
      </c>
      <c r="GP209" s="54"/>
      <c r="GQ209" s="56">
        <v>0</v>
      </c>
      <c r="GR209" s="54" t="s">
        <v>1079</v>
      </c>
      <c r="GS209" s="54"/>
    </row>
    <row r="210" spans="1:201" x14ac:dyDescent="0.25">
      <c r="A210" s="54" t="s">
        <v>1032</v>
      </c>
      <c r="B210" s="54" t="s">
        <v>1033</v>
      </c>
      <c r="C210" s="54" t="s">
        <v>1269</v>
      </c>
      <c r="D210" s="54" t="s">
        <v>1035</v>
      </c>
      <c r="E210" s="54" t="s">
        <v>1036</v>
      </c>
      <c r="F210" s="55">
        <v>46189</v>
      </c>
      <c r="G210" s="55">
        <v>46189</v>
      </c>
      <c r="H210" s="54" t="s">
        <v>1037</v>
      </c>
      <c r="I210" s="54" t="s">
        <v>1038</v>
      </c>
      <c r="J210" s="54" t="s">
        <v>1039</v>
      </c>
      <c r="K210" s="55"/>
      <c r="L210" s="54" t="s">
        <v>1040</v>
      </c>
      <c r="M210" s="54"/>
      <c r="N210" s="54" t="s">
        <v>1270</v>
      </c>
      <c r="O210" s="54" t="s">
        <v>1114</v>
      </c>
      <c r="P210" s="54" t="s">
        <v>188</v>
      </c>
      <c r="Q210" s="54" t="s">
        <v>20</v>
      </c>
      <c r="R210" s="54" t="s">
        <v>1043</v>
      </c>
      <c r="S210" s="56">
        <v>4680</v>
      </c>
      <c r="T210" s="56">
        <v>4680</v>
      </c>
      <c r="U210" s="56">
        <v>0</v>
      </c>
      <c r="V210" s="56">
        <v>0</v>
      </c>
      <c r="W210" s="56">
        <v>0</v>
      </c>
      <c r="X210" s="56">
        <v>0</v>
      </c>
      <c r="Y210" s="56">
        <v>0</v>
      </c>
      <c r="Z210" s="56">
        <v>2400</v>
      </c>
      <c r="AA210" s="56">
        <v>2400</v>
      </c>
      <c r="AB210" s="59">
        <v>0</v>
      </c>
      <c r="AC210" s="56">
        <v>0</v>
      </c>
      <c r="AD210" s="56">
        <v>0</v>
      </c>
      <c r="AE210" s="56">
        <v>0</v>
      </c>
      <c r="AF210" s="54" t="s">
        <v>1044</v>
      </c>
      <c r="AG210" s="57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 t="s">
        <v>1045</v>
      </c>
      <c r="AS210" s="54" t="s">
        <v>1046</v>
      </c>
      <c r="AT210" s="54" t="s">
        <v>1047</v>
      </c>
      <c r="AU210" s="54" t="s">
        <v>1048</v>
      </c>
      <c r="AV210" s="54"/>
      <c r="AW210" s="55">
        <v>46202</v>
      </c>
      <c r="AX210" s="55">
        <v>46189</v>
      </c>
      <c r="AY210" s="55">
        <v>46189</v>
      </c>
      <c r="AZ210" s="55"/>
      <c r="BA210" s="55">
        <v>46202</v>
      </c>
      <c r="BB210" s="56">
        <v>0</v>
      </c>
      <c r="BC210" s="56">
        <v>0</v>
      </c>
      <c r="BD210" s="56">
        <v>0</v>
      </c>
      <c r="BE210" s="56">
        <v>0</v>
      </c>
      <c r="BF210" s="56">
        <v>0</v>
      </c>
      <c r="BG210" s="56">
        <v>0</v>
      </c>
      <c r="BH210" s="56">
        <v>0</v>
      </c>
      <c r="BI210" s="56">
        <v>0</v>
      </c>
      <c r="BJ210" s="56">
        <v>0</v>
      </c>
      <c r="BK210" s="56">
        <v>0</v>
      </c>
      <c r="BL210" s="56">
        <v>0</v>
      </c>
      <c r="BM210" s="56">
        <v>0</v>
      </c>
      <c r="BN210" s="56">
        <v>0</v>
      </c>
      <c r="BO210" s="56">
        <v>0</v>
      </c>
      <c r="BP210" s="54" t="s">
        <v>1049</v>
      </c>
      <c r="BQ210" s="54" t="s">
        <v>1050</v>
      </c>
      <c r="BR210" s="54" t="s">
        <v>1049</v>
      </c>
      <c r="BS210" s="54" t="s">
        <v>1050</v>
      </c>
      <c r="BT210" s="54" t="s">
        <v>1051</v>
      </c>
      <c r="BU210" s="54" t="s">
        <v>1043</v>
      </c>
      <c r="BV210" s="58">
        <v>2400</v>
      </c>
      <c r="BW210" s="54" t="s">
        <v>1052</v>
      </c>
      <c r="BX210" s="54" t="s">
        <v>1053</v>
      </c>
      <c r="BY210" s="54" t="s">
        <v>1054</v>
      </c>
      <c r="BZ210" s="54" t="s">
        <v>1055</v>
      </c>
      <c r="CA210" s="55"/>
      <c r="CB210" s="54" t="s">
        <v>1056</v>
      </c>
      <c r="CC210" s="54" t="s">
        <v>1057</v>
      </c>
      <c r="CD210" s="54" t="s">
        <v>1058</v>
      </c>
      <c r="CE210" s="54" t="s">
        <v>1059</v>
      </c>
      <c r="CF210" s="54" t="s">
        <v>1060</v>
      </c>
      <c r="CG210" s="54" t="s">
        <v>1061</v>
      </c>
      <c r="CH210" s="54" t="s">
        <v>1062</v>
      </c>
      <c r="CI210" s="54" t="s">
        <v>1063</v>
      </c>
      <c r="CJ210" s="54" t="s">
        <v>1064</v>
      </c>
      <c r="CK210" s="54" t="s">
        <v>1065</v>
      </c>
      <c r="CL210" s="54" t="s">
        <v>1066</v>
      </c>
      <c r="CM210" s="54" t="s">
        <v>1067</v>
      </c>
      <c r="CN210" s="54" t="s">
        <v>1068</v>
      </c>
      <c r="CO210" s="54" t="s">
        <v>1069</v>
      </c>
      <c r="CP210" s="56">
        <v>0</v>
      </c>
      <c r="CQ210" s="56">
        <v>0</v>
      </c>
      <c r="CR210" s="56">
        <v>0</v>
      </c>
      <c r="CS210" s="56">
        <v>0</v>
      </c>
      <c r="CT210" s="56">
        <v>0</v>
      </c>
      <c r="CU210" s="56">
        <v>0</v>
      </c>
      <c r="CV210" s="56">
        <v>0</v>
      </c>
      <c r="CW210" s="56">
        <v>0</v>
      </c>
      <c r="CX210" s="56">
        <v>0</v>
      </c>
      <c r="CY210" s="56">
        <v>0</v>
      </c>
      <c r="CZ210" s="56">
        <v>0</v>
      </c>
      <c r="DA210" s="56">
        <v>0</v>
      </c>
      <c r="DB210" s="56">
        <v>0</v>
      </c>
      <c r="DC210" s="56">
        <v>0</v>
      </c>
      <c r="DD210" s="56">
        <v>0</v>
      </c>
      <c r="DE210" s="56">
        <v>0</v>
      </c>
      <c r="DF210" s="56">
        <v>0</v>
      </c>
      <c r="DG210" s="56">
        <v>0</v>
      </c>
      <c r="DH210" s="56">
        <v>0</v>
      </c>
      <c r="DI210" s="56">
        <v>0</v>
      </c>
      <c r="DJ210" s="56">
        <v>0</v>
      </c>
      <c r="DK210" s="56">
        <v>0</v>
      </c>
      <c r="DL210" s="56">
        <v>0</v>
      </c>
      <c r="DM210" s="56">
        <v>0</v>
      </c>
      <c r="DN210" s="56">
        <v>0</v>
      </c>
      <c r="DO210" s="56">
        <v>0</v>
      </c>
      <c r="DP210" s="56">
        <v>0</v>
      </c>
      <c r="DQ210" s="56">
        <v>0</v>
      </c>
      <c r="DR210" s="56">
        <v>0</v>
      </c>
      <c r="DS210" s="56">
        <v>0</v>
      </c>
      <c r="DT210" s="56">
        <v>0</v>
      </c>
      <c r="DU210" s="56">
        <v>0</v>
      </c>
      <c r="DV210" s="56">
        <v>0</v>
      </c>
      <c r="DW210" s="56">
        <v>0</v>
      </c>
      <c r="DX210" s="56">
        <v>0</v>
      </c>
      <c r="DY210" s="56">
        <v>0</v>
      </c>
      <c r="DZ210" s="56">
        <v>0</v>
      </c>
      <c r="EA210" s="56">
        <v>0</v>
      </c>
      <c r="EB210" s="56">
        <v>0</v>
      </c>
      <c r="EC210" s="56">
        <v>0</v>
      </c>
      <c r="ED210" s="56">
        <v>0</v>
      </c>
      <c r="EE210" s="56">
        <v>0</v>
      </c>
      <c r="EF210" s="56">
        <v>0</v>
      </c>
      <c r="EG210" s="56">
        <v>0</v>
      </c>
      <c r="EH210" s="56">
        <v>561.6</v>
      </c>
      <c r="EI210" s="56">
        <v>0</v>
      </c>
      <c r="EJ210" s="56">
        <v>0</v>
      </c>
      <c r="EK210" s="56">
        <v>0</v>
      </c>
      <c r="EL210" s="56">
        <v>0</v>
      </c>
      <c r="EM210" s="56">
        <v>0</v>
      </c>
      <c r="EN210" s="56">
        <v>0</v>
      </c>
      <c r="EO210" s="56">
        <v>0</v>
      </c>
      <c r="EP210" s="56">
        <v>0</v>
      </c>
      <c r="EQ210" s="56">
        <v>0</v>
      </c>
      <c r="ER210" s="56">
        <v>0</v>
      </c>
      <c r="ES210" s="56">
        <v>0</v>
      </c>
      <c r="ET210" s="56">
        <v>0</v>
      </c>
      <c r="EU210" s="56">
        <v>0</v>
      </c>
      <c r="EV210" s="56">
        <v>0</v>
      </c>
      <c r="EW210" s="56">
        <v>0</v>
      </c>
      <c r="EX210" s="56">
        <v>0</v>
      </c>
      <c r="EY210" s="56">
        <v>0</v>
      </c>
      <c r="EZ210" s="56">
        <v>0</v>
      </c>
      <c r="FA210" s="56">
        <v>0</v>
      </c>
      <c r="FB210" s="56">
        <v>0</v>
      </c>
      <c r="FC210" s="58">
        <v>0</v>
      </c>
      <c r="FD210" s="56">
        <v>0</v>
      </c>
      <c r="FE210" s="56">
        <v>0</v>
      </c>
      <c r="FF210" s="56">
        <v>0</v>
      </c>
      <c r="FG210" s="56">
        <v>0</v>
      </c>
      <c r="FH210" s="56">
        <v>0</v>
      </c>
      <c r="FI210" s="56">
        <v>0</v>
      </c>
      <c r="FJ210" s="56">
        <v>0</v>
      </c>
      <c r="FK210" s="56">
        <v>0</v>
      </c>
      <c r="FL210" s="56">
        <v>0</v>
      </c>
      <c r="FM210" s="56">
        <v>0</v>
      </c>
      <c r="FN210" s="56">
        <v>0</v>
      </c>
      <c r="FO210" s="56">
        <v>0</v>
      </c>
      <c r="FP210" s="56">
        <v>0</v>
      </c>
      <c r="FQ210" s="56">
        <v>0</v>
      </c>
      <c r="FR210" s="56">
        <v>0</v>
      </c>
      <c r="FS210" s="58">
        <v>0</v>
      </c>
      <c r="FT210" s="56">
        <v>0</v>
      </c>
      <c r="FU210" s="56">
        <v>0</v>
      </c>
      <c r="FV210" s="56">
        <v>0</v>
      </c>
      <c r="FW210" s="56">
        <v>0</v>
      </c>
      <c r="FX210" s="56">
        <v>0</v>
      </c>
      <c r="FY210" s="56">
        <v>0</v>
      </c>
      <c r="FZ210" s="54" t="s">
        <v>1083</v>
      </c>
      <c r="GA210" s="54" t="s">
        <v>1084</v>
      </c>
      <c r="GB210" s="54" t="s">
        <v>1072</v>
      </c>
      <c r="GC210" s="54" t="s">
        <v>1073</v>
      </c>
      <c r="GD210" s="54" t="s">
        <v>1127</v>
      </c>
      <c r="GE210" s="54" t="s">
        <v>1075</v>
      </c>
      <c r="GF210" s="54"/>
      <c r="GG210" s="55"/>
      <c r="GH210" s="54"/>
      <c r="GI210" s="54"/>
      <c r="GJ210" s="54" t="s">
        <v>1076</v>
      </c>
      <c r="GK210" s="54" t="s">
        <v>1077</v>
      </c>
      <c r="GL210" s="54"/>
      <c r="GM210" s="54"/>
      <c r="GN210" s="54" t="s">
        <v>1078</v>
      </c>
      <c r="GO210" s="54" t="s">
        <v>1059</v>
      </c>
      <c r="GP210" s="54"/>
      <c r="GQ210" s="56">
        <v>0</v>
      </c>
      <c r="GR210" s="54" t="s">
        <v>1079</v>
      </c>
      <c r="GS210" s="54"/>
    </row>
    <row r="211" spans="1:201" x14ac:dyDescent="0.25">
      <c r="A211" s="54" t="s">
        <v>1032</v>
      </c>
      <c r="B211" s="54" t="s">
        <v>1033</v>
      </c>
      <c r="C211" s="54" t="s">
        <v>1269</v>
      </c>
      <c r="D211" s="54" t="s">
        <v>1035</v>
      </c>
      <c r="E211" s="54" t="s">
        <v>1036</v>
      </c>
      <c r="F211" s="55">
        <v>46189</v>
      </c>
      <c r="G211" s="55">
        <v>46189</v>
      </c>
      <c r="H211" s="54" t="s">
        <v>1037</v>
      </c>
      <c r="I211" s="54" t="s">
        <v>1038</v>
      </c>
      <c r="J211" s="54" t="s">
        <v>1039</v>
      </c>
      <c r="K211" s="55"/>
      <c r="L211" s="54" t="s">
        <v>1040</v>
      </c>
      <c r="M211" s="54"/>
      <c r="N211" s="54" t="s">
        <v>1270</v>
      </c>
      <c r="O211" s="54" t="s">
        <v>1115</v>
      </c>
      <c r="P211" s="54" t="s">
        <v>796</v>
      </c>
      <c r="Q211" s="54" t="s">
        <v>800</v>
      </c>
      <c r="R211" s="54" t="s">
        <v>1043</v>
      </c>
      <c r="S211" s="56">
        <v>3434.4</v>
      </c>
      <c r="T211" s="56">
        <v>3434.4</v>
      </c>
      <c r="U211" s="56">
        <v>0</v>
      </c>
      <c r="V211" s="56">
        <v>0</v>
      </c>
      <c r="W211" s="56">
        <v>0</v>
      </c>
      <c r="X211" s="56">
        <v>0</v>
      </c>
      <c r="Y211" s="56">
        <v>0</v>
      </c>
      <c r="Z211" s="56">
        <v>540</v>
      </c>
      <c r="AA211" s="56">
        <v>540</v>
      </c>
      <c r="AB211" s="59">
        <v>0</v>
      </c>
      <c r="AC211" s="56">
        <v>0</v>
      </c>
      <c r="AD211" s="56">
        <v>0</v>
      </c>
      <c r="AE211" s="56">
        <v>0</v>
      </c>
      <c r="AF211" s="54" t="s">
        <v>1044</v>
      </c>
      <c r="AG211" s="57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 t="s">
        <v>1045</v>
      </c>
      <c r="AS211" s="54" t="s">
        <v>1081</v>
      </c>
      <c r="AT211" s="54" t="s">
        <v>1082</v>
      </c>
      <c r="AU211" s="54" t="s">
        <v>1048</v>
      </c>
      <c r="AV211" s="54"/>
      <c r="AW211" s="55">
        <v>46202</v>
      </c>
      <c r="AX211" s="55">
        <v>46189</v>
      </c>
      <c r="AY211" s="55">
        <v>46189</v>
      </c>
      <c r="AZ211" s="55"/>
      <c r="BA211" s="55">
        <v>46202</v>
      </c>
      <c r="BB211" s="56">
        <v>0</v>
      </c>
      <c r="BC211" s="56">
        <v>0</v>
      </c>
      <c r="BD211" s="56">
        <v>0</v>
      </c>
      <c r="BE211" s="56">
        <v>0</v>
      </c>
      <c r="BF211" s="56">
        <v>0</v>
      </c>
      <c r="BG211" s="56">
        <v>0</v>
      </c>
      <c r="BH211" s="56">
        <v>0</v>
      </c>
      <c r="BI211" s="56">
        <v>0</v>
      </c>
      <c r="BJ211" s="56">
        <v>0</v>
      </c>
      <c r="BK211" s="56">
        <v>0</v>
      </c>
      <c r="BL211" s="56">
        <v>0</v>
      </c>
      <c r="BM211" s="56">
        <v>0</v>
      </c>
      <c r="BN211" s="56">
        <v>0</v>
      </c>
      <c r="BO211" s="56">
        <v>0</v>
      </c>
      <c r="BP211" s="54" t="s">
        <v>1049</v>
      </c>
      <c r="BQ211" s="54" t="s">
        <v>1050</v>
      </c>
      <c r="BR211" s="54" t="s">
        <v>1049</v>
      </c>
      <c r="BS211" s="54" t="s">
        <v>1050</v>
      </c>
      <c r="BT211" s="54" t="s">
        <v>1051</v>
      </c>
      <c r="BU211" s="54" t="s">
        <v>1043</v>
      </c>
      <c r="BV211" s="58">
        <v>540</v>
      </c>
      <c r="BW211" s="54" t="s">
        <v>1052</v>
      </c>
      <c r="BX211" s="54" t="s">
        <v>1053</v>
      </c>
      <c r="BY211" s="54" t="s">
        <v>1054</v>
      </c>
      <c r="BZ211" s="54" t="s">
        <v>1055</v>
      </c>
      <c r="CA211" s="55"/>
      <c r="CB211" s="54" t="s">
        <v>1056</v>
      </c>
      <c r="CC211" s="54" t="s">
        <v>1057</v>
      </c>
      <c r="CD211" s="54" t="s">
        <v>1058</v>
      </c>
      <c r="CE211" s="54" t="s">
        <v>1059</v>
      </c>
      <c r="CF211" s="54" t="s">
        <v>1060</v>
      </c>
      <c r="CG211" s="54" t="s">
        <v>1061</v>
      </c>
      <c r="CH211" s="54" t="s">
        <v>1062</v>
      </c>
      <c r="CI211" s="54" t="s">
        <v>1063</v>
      </c>
      <c r="CJ211" s="54" t="s">
        <v>1064</v>
      </c>
      <c r="CK211" s="54" t="s">
        <v>1065</v>
      </c>
      <c r="CL211" s="54" t="s">
        <v>1066</v>
      </c>
      <c r="CM211" s="54" t="s">
        <v>1067</v>
      </c>
      <c r="CN211" s="54" t="s">
        <v>1068</v>
      </c>
      <c r="CO211" s="54" t="s">
        <v>1069</v>
      </c>
      <c r="CP211" s="56">
        <v>0</v>
      </c>
      <c r="CQ211" s="56">
        <v>0</v>
      </c>
      <c r="CR211" s="56">
        <v>0</v>
      </c>
      <c r="CS211" s="56">
        <v>0</v>
      </c>
      <c r="CT211" s="56">
        <v>0</v>
      </c>
      <c r="CU211" s="56">
        <v>0</v>
      </c>
      <c r="CV211" s="56">
        <v>0</v>
      </c>
      <c r="CW211" s="56">
        <v>0</v>
      </c>
      <c r="CX211" s="56">
        <v>0</v>
      </c>
      <c r="CY211" s="56">
        <v>0</v>
      </c>
      <c r="CZ211" s="56">
        <v>0</v>
      </c>
      <c r="DA211" s="56">
        <v>0</v>
      </c>
      <c r="DB211" s="56">
        <v>0</v>
      </c>
      <c r="DC211" s="56">
        <v>0</v>
      </c>
      <c r="DD211" s="56">
        <v>0</v>
      </c>
      <c r="DE211" s="56">
        <v>0</v>
      </c>
      <c r="DF211" s="56">
        <v>0</v>
      </c>
      <c r="DG211" s="56">
        <v>0</v>
      </c>
      <c r="DH211" s="56">
        <v>0</v>
      </c>
      <c r="DI211" s="56">
        <v>0</v>
      </c>
      <c r="DJ211" s="56">
        <v>0</v>
      </c>
      <c r="DK211" s="56">
        <v>0</v>
      </c>
      <c r="DL211" s="56">
        <v>0</v>
      </c>
      <c r="DM211" s="56">
        <v>0</v>
      </c>
      <c r="DN211" s="56">
        <v>0</v>
      </c>
      <c r="DO211" s="56">
        <v>0</v>
      </c>
      <c r="DP211" s="56">
        <v>0</v>
      </c>
      <c r="DQ211" s="56">
        <v>0</v>
      </c>
      <c r="DR211" s="56">
        <v>0</v>
      </c>
      <c r="DS211" s="56">
        <v>0</v>
      </c>
      <c r="DT211" s="56">
        <v>0</v>
      </c>
      <c r="DU211" s="56">
        <v>0</v>
      </c>
      <c r="DV211" s="56">
        <v>0</v>
      </c>
      <c r="DW211" s="56">
        <v>0</v>
      </c>
      <c r="DX211" s="56">
        <v>0</v>
      </c>
      <c r="DY211" s="56">
        <v>0</v>
      </c>
      <c r="DZ211" s="56">
        <v>0</v>
      </c>
      <c r="EA211" s="56">
        <v>0</v>
      </c>
      <c r="EB211" s="56">
        <v>0</v>
      </c>
      <c r="EC211" s="56">
        <v>0</v>
      </c>
      <c r="ED211" s="56">
        <v>0</v>
      </c>
      <c r="EE211" s="56">
        <v>0</v>
      </c>
      <c r="EF211" s="56">
        <v>0</v>
      </c>
      <c r="EG211" s="56">
        <v>0</v>
      </c>
      <c r="EH211" s="56">
        <v>412.13</v>
      </c>
      <c r="EI211" s="56">
        <v>0</v>
      </c>
      <c r="EJ211" s="56">
        <v>0</v>
      </c>
      <c r="EK211" s="56">
        <v>0</v>
      </c>
      <c r="EL211" s="56">
        <v>0</v>
      </c>
      <c r="EM211" s="56">
        <v>0</v>
      </c>
      <c r="EN211" s="56">
        <v>0</v>
      </c>
      <c r="EO211" s="56">
        <v>0</v>
      </c>
      <c r="EP211" s="56">
        <v>0</v>
      </c>
      <c r="EQ211" s="56">
        <v>0</v>
      </c>
      <c r="ER211" s="56">
        <v>0</v>
      </c>
      <c r="ES211" s="56">
        <v>0</v>
      </c>
      <c r="ET211" s="56">
        <v>0</v>
      </c>
      <c r="EU211" s="56">
        <v>0</v>
      </c>
      <c r="EV211" s="56">
        <v>0</v>
      </c>
      <c r="EW211" s="56">
        <v>0</v>
      </c>
      <c r="EX211" s="56">
        <v>0</v>
      </c>
      <c r="EY211" s="56">
        <v>0</v>
      </c>
      <c r="EZ211" s="56">
        <v>0</v>
      </c>
      <c r="FA211" s="56">
        <v>0</v>
      </c>
      <c r="FB211" s="56">
        <v>0</v>
      </c>
      <c r="FC211" s="58">
        <v>0</v>
      </c>
      <c r="FD211" s="56">
        <v>0</v>
      </c>
      <c r="FE211" s="56">
        <v>0</v>
      </c>
      <c r="FF211" s="56">
        <v>0</v>
      </c>
      <c r="FG211" s="56">
        <v>0</v>
      </c>
      <c r="FH211" s="56">
        <v>0</v>
      </c>
      <c r="FI211" s="56">
        <v>0</v>
      </c>
      <c r="FJ211" s="56">
        <v>0</v>
      </c>
      <c r="FK211" s="56">
        <v>0</v>
      </c>
      <c r="FL211" s="56">
        <v>0</v>
      </c>
      <c r="FM211" s="56">
        <v>0</v>
      </c>
      <c r="FN211" s="56">
        <v>0</v>
      </c>
      <c r="FO211" s="56">
        <v>0</v>
      </c>
      <c r="FP211" s="56">
        <v>0</v>
      </c>
      <c r="FQ211" s="56">
        <v>0</v>
      </c>
      <c r="FR211" s="56">
        <v>0</v>
      </c>
      <c r="FS211" s="58">
        <v>0</v>
      </c>
      <c r="FT211" s="56">
        <v>0</v>
      </c>
      <c r="FU211" s="56">
        <v>0</v>
      </c>
      <c r="FV211" s="56">
        <v>0</v>
      </c>
      <c r="FW211" s="56">
        <v>0</v>
      </c>
      <c r="FX211" s="56">
        <v>0</v>
      </c>
      <c r="FY211" s="56">
        <v>0</v>
      </c>
      <c r="FZ211" s="54" t="s">
        <v>1083</v>
      </c>
      <c r="GA211" s="54" t="s">
        <v>1084</v>
      </c>
      <c r="GB211" s="54" t="s">
        <v>1072</v>
      </c>
      <c r="GC211" s="54" t="s">
        <v>1073</v>
      </c>
      <c r="GD211" s="54"/>
      <c r="GE211" s="54"/>
      <c r="GF211" s="54"/>
      <c r="GG211" s="55"/>
      <c r="GH211" s="54"/>
      <c r="GI211" s="54"/>
      <c r="GJ211" s="54" t="s">
        <v>1076</v>
      </c>
      <c r="GK211" s="54" t="s">
        <v>1077</v>
      </c>
      <c r="GL211" s="54"/>
      <c r="GM211" s="54"/>
      <c r="GN211" s="54" t="s">
        <v>1078</v>
      </c>
      <c r="GO211" s="54" t="s">
        <v>1059</v>
      </c>
      <c r="GP211" s="54"/>
      <c r="GQ211" s="56">
        <v>0</v>
      </c>
      <c r="GR211" s="54" t="s">
        <v>1079</v>
      </c>
      <c r="GS211" s="54"/>
    </row>
    <row r="212" spans="1:201" x14ac:dyDescent="0.25">
      <c r="A212" s="54" t="s">
        <v>1032</v>
      </c>
      <c r="B212" s="54" t="s">
        <v>1033</v>
      </c>
      <c r="C212" s="54" t="s">
        <v>1269</v>
      </c>
      <c r="D212" s="54" t="s">
        <v>1035</v>
      </c>
      <c r="E212" s="54" t="s">
        <v>1036</v>
      </c>
      <c r="F212" s="55">
        <v>46189</v>
      </c>
      <c r="G212" s="55">
        <v>46189</v>
      </c>
      <c r="H212" s="54" t="s">
        <v>1037</v>
      </c>
      <c r="I212" s="54" t="s">
        <v>1038</v>
      </c>
      <c r="J212" s="54" t="s">
        <v>1039</v>
      </c>
      <c r="K212" s="55"/>
      <c r="L212" s="54" t="s">
        <v>1040</v>
      </c>
      <c r="M212" s="54"/>
      <c r="N212" s="54" t="s">
        <v>1270</v>
      </c>
      <c r="O212" s="54" t="s">
        <v>1116</v>
      </c>
      <c r="P212" s="54" t="s">
        <v>684</v>
      </c>
      <c r="Q212" s="54" t="s">
        <v>393</v>
      </c>
      <c r="R212" s="54" t="s">
        <v>1043</v>
      </c>
      <c r="S212" s="56">
        <v>3348</v>
      </c>
      <c r="T212" s="56">
        <v>3348</v>
      </c>
      <c r="U212" s="56">
        <v>0</v>
      </c>
      <c r="V212" s="56">
        <v>0</v>
      </c>
      <c r="W212" s="56">
        <v>0</v>
      </c>
      <c r="X212" s="56">
        <v>0</v>
      </c>
      <c r="Y212" s="56">
        <v>0</v>
      </c>
      <c r="Z212" s="56">
        <v>600</v>
      </c>
      <c r="AA212" s="56">
        <v>600</v>
      </c>
      <c r="AB212" s="59">
        <v>0</v>
      </c>
      <c r="AC212" s="56">
        <v>0</v>
      </c>
      <c r="AD212" s="56">
        <v>0</v>
      </c>
      <c r="AE212" s="56">
        <v>0</v>
      </c>
      <c r="AF212" s="54" t="s">
        <v>1044</v>
      </c>
      <c r="AG212" s="57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 t="s">
        <v>1045</v>
      </c>
      <c r="AS212" s="54" t="s">
        <v>1081</v>
      </c>
      <c r="AT212" s="54" t="s">
        <v>1082</v>
      </c>
      <c r="AU212" s="54" t="s">
        <v>1048</v>
      </c>
      <c r="AV212" s="54"/>
      <c r="AW212" s="55">
        <v>46202</v>
      </c>
      <c r="AX212" s="55">
        <v>46189</v>
      </c>
      <c r="AY212" s="55">
        <v>46189</v>
      </c>
      <c r="AZ212" s="55"/>
      <c r="BA212" s="55">
        <v>46202</v>
      </c>
      <c r="BB212" s="56">
        <v>0</v>
      </c>
      <c r="BC212" s="56">
        <v>0</v>
      </c>
      <c r="BD212" s="56">
        <v>0</v>
      </c>
      <c r="BE212" s="56">
        <v>0</v>
      </c>
      <c r="BF212" s="56">
        <v>0</v>
      </c>
      <c r="BG212" s="56">
        <v>0</v>
      </c>
      <c r="BH212" s="56">
        <v>0</v>
      </c>
      <c r="BI212" s="56">
        <v>0</v>
      </c>
      <c r="BJ212" s="56">
        <v>0</v>
      </c>
      <c r="BK212" s="56">
        <v>0</v>
      </c>
      <c r="BL212" s="56">
        <v>0</v>
      </c>
      <c r="BM212" s="56">
        <v>0</v>
      </c>
      <c r="BN212" s="56">
        <v>0</v>
      </c>
      <c r="BO212" s="56">
        <v>0</v>
      </c>
      <c r="BP212" s="54" t="s">
        <v>1049</v>
      </c>
      <c r="BQ212" s="54" t="s">
        <v>1050</v>
      </c>
      <c r="BR212" s="54" t="s">
        <v>1049</v>
      </c>
      <c r="BS212" s="54" t="s">
        <v>1050</v>
      </c>
      <c r="BT212" s="54" t="s">
        <v>1051</v>
      </c>
      <c r="BU212" s="54" t="s">
        <v>1043</v>
      </c>
      <c r="BV212" s="58">
        <v>600</v>
      </c>
      <c r="BW212" s="54" t="s">
        <v>1052</v>
      </c>
      <c r="BX212" s="54" t="s">
        <v>1053</v>
      </c>
      <c r="BY212" s="54" t="s">
        <v>1054</v>
      </c>
      <c r="BZ212" s="54" t="s">
        <v>1055</v>
      </c>
      <c r="CA212" s="55"/>
      <c r="CB212" s="54" t="s">
        <v>1056</v>
      </c>
      <c r="CC212" s="54" t="s">
        <v>1057</v>
      </c>
      <c r="CD212" s="54" t="s">
        <v>1058</v>
      </c>
      <c r="CE212" s="54" t="s">
        <v>1059</v>
      </c>
      <c r="CF212" s="54" t="s">
        <v>1060</v>
      </c>
      <c r="CG212" s="54" t="s">
        <v>1061</v>
      </c>
      <c r="CH212" s="54" t="s">
        <v>1062</v>
      </c>
      <c r="CI212" s="54" t="s">
        <v>1063</v>
      </c>
      <c r="CJ212" s="54" t="s">
        <v>1064</v>
      </c>
      <c r="CK212" s="54" t="s">
        <v>1065</v>
      </c>
      <c r="CL212" s="54" t="s">
        <v>1066</v>
      </c>
      <c r="CM212" s="54" t="s">
        <v>1067</v>
      </c>
      <c r="CN212" s="54" t="s">
        <v>1068</v>
      </c>
      <c r="CO212" s="54" t="s">
        <v>1069</v>
      </c>
      <c r="CP212" s="56">
        <v>0</v>
      </c>
      <c r="CQ212" s="56">
        <v>0</v>
      </c>
      <c r="CR212" s="56">
        <v>0</v>
      </c>
      <c r="CS212" s="56">
        <v>0</v>
      </c>
      <c r="CT212" s="56">
        <v>0</v>
      </c>
      <c r="CU212" s="56">
        <v>0</v>
      </c>
      <c r="CV212" s="56">
        <v>0</v>
      </c>
      <c r="CW212" s="56">
        <v>0</v>
      </c>
      <c r="CX212" s="56">
        <v>0</v>
      </c>
      <c r="CY212" s="56">
        <v>0</v>
      </c>
      <c r="CZ212" s="56">
        <v>0</v>
      </c>
      <c r="DA212" s="56">
        <v>0</v>
      </c>
      <c r="DB212" s="56">
        <v>0</v>
      </c>
      <c r="DC212" s="56">
        <v>0</v>
      </c>
      <c r="DD212" s="56">
        <v>0</v>
      </c>
      <c r="DE212" s="56">
        <v>0</v>
      </c>
      <c r="DF212" s="56">
        <v>0</v>
      </c>
      <c r="DG212" s="56">
        <v>0</v>
      </c>
      <c r="DH212" s="56">
        <v>0</v>
      </c>
      <c r="DI212" s="56">
        <v>0</v>
      </c>
      <c r="DJ212" s="56">
        <v>0</v>
      </c>
      <c r="DK212" s="56">
        <v>0</v>
      </c>
      <c r="DL212" s="56">
        <v>0</v>
      </c>
      <c r="DM212" s="56">
        <v>0</v>
      </c>
      <c r="DN212" s="56">
        <v>0</v>
      </c>
      <c r="DO212" s="56">
        <v>0</v>
      </c>
      <c r="DP212" s="56">
        <v>0</v>
      </c>
      <c r="DQ212" s="56">
        <v>0</v>
      </c>
      <c r="DR212" s="56">
        <v>0</v>
      </c>
      <c r="DS212" s="56">
        <v>0</v>
      </c>
      <c r="DT212" s="56">
        <v>0</v>
      </c>
      <c r="DU212" s="56">
        <v>0</v>
      </c>
      <c r="DV212" s="56">
        <v>0</v>
      </c>
      <c r="DW212" s="56">
        <v>0</v>
      </c>
      <c r="DX212" s="56">
        <v>0</v>
      </c>
      <c r="DY212" s="56">
        <v>0</v>
      </c>
      <c r="DZ212" s="56">
        <v>0</v>
      </c>
      <c r="EA212" s="56">
        <v>0</v>
      </c>
      <c r="EB212" s="56">
        <v>0</v>
      </c>
      <c r="EC212" s="56">
        <v>0</v>
      </c>
      <c r="ED212" s="56">
        <v>0</v>
      </c>
      <c r="EE212" s="56">
        <v>0</v>
      </c>
      <c r="EF212" s="56">
        <v>0</v>
      </c>
      <c r="EG212" s="56">
        <v>0</v>
      </c>
      <c r="EH212" s="56">
        <v>401.76</v>
      </c>
      <c r="EI212" s="56">
        <v>0</v>
      </c>
      <c r="EJ212" s="56">
        <v>0</v>
      </c>
      <c r="EK212" s="56">
        <v>0</v>
      </c>
      <c r="EL212" s="56">
        <v>0</v>
      </c>
      <c r="EM212" s="56">
        <v>0</v>
      </c>
      <c r="EN212" s="56">
        <v>0</v>
      </c>
      <c r="EO212" s="56">
        <v>0</v>
      </c>
      <c r="EP212" s="56">
        <v>0</v>
      </c>
      <c r="EQ212" s="56">
        <v>0</v>
      </c>
      <c r="ER212" s="56">
        <v>0</v>
      </c>
      <c r="ES212" s="56">
        <v>0</v>
      </c>
      <c r="ET212" s="56">
        <v>0</v>
      </c>
      <c r="EU212" s="56">
        <v>0</v>
      </c>
      <c r="EV212" s="56">
        <v>0</v>
      </c>
      <c r="EW212" s="56">
        <v>0</v>
      </c>
      <c r="EX212" s="56">
        <v>0</v>
      </c>
      <c r="EY212" s="56">
        <v>0</v>
      </c>
      <c r="EZ212" s="56">
        <v>0</v>
      </c>
      <c r="FA212" s="56">
        <v>0</v>
      </c>
      <c r="FB212" s="56">
        <v>0</v>
      </c>
      <c r="FC212" s="58">
        <v>0</v>
      </c>
      <c r="FD212" s="56">
        <v>0</v>
      </c>
      <c r="FE212" s="56">
        <v>0</v>
      </c>
      <c r="FF212" s="56">
        <v>0</v>
      </c>
      <c r="FG212" s="56">
        <v>0</v>
      </c>
      <c r="FH212" s="56">
        <v>0</v>
      </c>
      <c r="FI212" s="56">
        <v>0</v>
      </c>
      <c r="FJ212" s="56">
        <v>0</v>
      </c>
      <c r="FK212" s="56">
        <v>0</v>
      </c>
      <c r="FL212" s="56">
        <v>0</v>
      </c>
      <c r="FM212" s="56">
        <v>0</v>
      </c>
      <c r="FN212" s="56">
        <v>0</v>
      </c>
      <c r="FO212" s="56">
        <v>0</v>
      </c>
      <c r="FP212" s="56">
        <v>0</v>
      </c>
      <c r="FQ212" s="56">
        <v>0</v>
      </c>
      <c r="FR212" s="56">
        <v>0</v>
      </c>
      <c r="FS212" s="58">
        <v>0</v>
      </c>
      <c r="FT212" s="56">
        <v>0</v>
      </c>
      <c r="FU212" s="56">
        <v>0</v>
      </c>
      <c r="FV212" s="56">
        <v>0</v>
      </c>
      <c r="FW212" s="56">
        <v>0</v>
      </c>
      <c r="FX212" s="56">
        <v>0</v>
      </c>
      <c r="FY212" s="56">
        <v>0</v>
      </c>
      <c r="FZ212" s="54" t="s">
        <v>1083</v>
      </c>
      <c r="GA212" s="54" t="s">
        <v>1084</v>
      </c>
      <c r="GB212" s="54" t="s">
        <v>1072</v>
      </c>
      <c r="GC212" s="54" t="s">
        <v>1073</v>
      </c>
      <c r="GD212" s="54"/>
      <c r="GE212" s="54"/>
      <c r="GF212" s="54"/>
      <c r="GG212" s="55"/>
      <c r="GH212" s="54"/>
      <c r="GI212" s="54"/>
      <c r="GJ212" s="54" t="s">
        <v>1076</v>
      </c>
      <c r="GK212" s="54" t="s">
        <v>1077</v>
      </c>
      <c r="GL212" s="54"/>
      <c r="GM212" s="54"/>
      <c r="GN212" s="54" t="s">
        <v>1078</v>
      </c>
      <c r="GO212" s="54" t="s">
        <v>1059</v>
      </c>
      <c r="GP212" s="54"/>
      <c r="GQ212" s="56">
        <v>0</v>
      </c>
      <c r="GR212" s="54" t="s">
        <v>1079</v>
      </c>
      <c r="GS212" s="54"/>
    </row>
    <row r="213" spans="1:201" x14ac:dyDescent="0.25">
      <c r="A213" s="54" t="s">
        <v>1032</v>
      </c>
      <c r="B213" s="54" t="s">
        <v>1033</v>
      </c>
      <c r="C213" s="54" t="s">
        <v>1269</v>
      </c>
      <c r="D213" s="54" t="s">
        <v>1035</v>
      </c>
      <c r="E213" s="54" t="s">
        <v>1036</v>
      </c>
      <c r="F213" s="55">
        <v>46189</v>
      </c>
      <c r="G213" s="55">
        <v>46189</v>
      </c>
      <c r="H213" s="54" t="s">
        <v>1037</v>
      </c>
      <c r="I213" s="54" t="s">
        <v>1038</v>
      </c>
      <c r="J213" s="54" t="s">
        <v>1039</v>
      </c>
      <c r="K213" s="55"/>
      <c r="L213" s="54" t="s">
        <v>1040</v>
      </c>
      <c r="M213" s="54"/>
      <c r="N213" s="54" t="s">
        <v>1270</v>
      </c>
      <c r="O213" s="54" t="s">
        <v>1117</v>
      </c>
      <c r="P213" s="54" t="s">
        <v>499</v>
      </c>
      <c r="Q213" s="54" t="s">
        <v>500</v>
      </c>
      <c r="R213" s="54" t="s">
        <v>1043</v>
      </c>
      <c r="S213" s="56">
        <v>3211.2</v>
      </c>
      <c r="T213" s="56">
        <v>3211.2</v>
      </c>
      <c r="U213" s="56">
        <v>0</v>
      </c>
      <c r="V213" s="56">
        <v>0</v>
      </c>
      <c r="W213" s="56">
        <v>0</v>
      </c>
      <c r="X213" s="56">
        <v>0</v>
      </c>
      <c r="Y213" s="56">
        <v>0</v>
      </c>
      <c r="Z213" s="56">
        <v>480</v>
      </c>
      <c r="AA213" s="56">
        <v>480</v>
      </c>
      <c r="AB213" s="59">
        <v>0</v>
      </c>
      <c r="AC213" s="56">
        <v>0</v>
      </c>
      <c r="AD213" s="56">
        <v>0</v>
      </c>
      <c r="AE213" s="56">
        <v>0</v>
      </c>
      <c r="AF213" s="54" t="s">
        <v>1044</v>
      </c>
      <c r="AG213" s="57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 t="s">
        <v>1045</v>
      </c>
      <c r="AS213" s="54" t="s">
        <v>1081</v>
      </c>
      <c r="AT213" s="54" t="s">
        <v>1082</v>
      </c>
      <c r="AU213" s="54" t="s">
        <v>1048</v>
      </c>
      <c r="AV213" s="54"/>
      <c r="AW213" s="55">
        <v>46202</v>
      </c>
      <c r="AX213" s="55">
        <v>46189</v>
      </c>
      <c r="AY213" s="55">
        <v>46189</v>
      </c>
      <c r="AZ213" s="55"/>
      <c r="BA213" s="55">
        <v>46202</v>
      </c>
      <c r="BB213" s="56">
        <v>0</v>
      </c>
      <c r="BC213" s="56">
        <v>0</v>
      </c>
      <c r="BD213" s="56">
        <v>0</v>
      </c>
      <c r="BE213" s="56">
        <v>0</v>
      </c>
      <c r="BF213" s="56">
        <v>0</v>
      </c>
      <c r="BG213" s="56">
        <v>0</v>
      </c>
      <c r="BH213" s="56">
        <v>0</v>
      </c>
      <c r="BI213" s="56">
        <v>0</v>
      </c>
      <c r="BJ213" s="56">
        <v>0</v>
      </c>
      <c r="BK213" s="56">
        <v>0</v>
      </c>
      <c r="BL213" s="56">
        <v>0</v>
      </c>
      <c r="BM213" s="56">
        <v>0</v>
      </c>
      <c r="BN213" s="56">
        <v>0</v>
      </c>
      <c r="BO213" s="56">
        <v>0</v>
      </c>
      <c r="BP213" s="54" t="s">
        <v>1049</v>
      </c>
      <c r="BQ213" s="54" t="s">
        <v>1050</v>
      </c>
      <c r="BR213" s="54" t="s">
        <v>1049</v>
      </c>
      <c r="BS213" s="54" t="s">
        <v>1050</v>
      </c>
      <c r="BT213" s="54" t="s">
        <v>1051</v>
      </c>
      <c r="BU213" s="54" t="s">
        <v>1043</v>
      </c>
      <c r="BV213" s="58">
        <v>480</v>
      </c>
      <c r="BW213" s="54" t="s">
        <v>1052</v>
      </c>
      <c r="BX213" s="54" t="s">
        <v>1053</v>
      </c>
      <c r="BY213" s="54" t="s">
        <v>1054</v>
      </c>
      <c r="BZ213" s="54" t="s">
        <v>1055</v>
      </c>
      <c r="CA213" s="55"/>
      <c r="CB213" s="54" t="s">
        <v>1056</v>
      </c>
      <c r="CC213" s="54" t="s">
        <v>1057</v>
      </c>
      <c r="CD213" s="54" t="s">
        <v>1058</v>
      </c>
      <c r="CE213" s="54" t="s">
        <v>1059</v>
      </c>
      <c r="CF213" s="54" t="s">
        <v>1060</v>
      </c>
      <c r="CG213" s="54" t="s">
        <v>1061</v>
      </c>
      <c r="CH213" s="54" t="s">
        <v>1062</v>
      </c>
      <c r="CI213" s="54" t="s">
        <v>1063</v>
      </c>
      <c r="CJ213" s="54" t="s">
        <v>1064</v>
      </c>
      <c r="CK213" s="54" t="s">
        <v>1065</v>
      </c>
      <c r="CL213" s="54" t="s">
        <v>1066</v>
      </c>
      <c r="CM213" s="54" t="s">
        <v>1067</v>
      </c>
      <c r="CN213" s="54" t="s">
        <v>1068</v>
      </c>
      <c r="CO213" s="54" t="s">
        <v>1069</v>
      </c>
      <c r="CP213" s="56">
        <v>0</v>
      </c>
      <c r="CQ213" s="56">
        <v>0</v>
      </c>
      <c r="CR213" s="56">
        <v>0</v>
      </c>
      <c r="CS213" s="56">
        <v>0</v>
      </c>
      <c r="CT213" s="56">
        <v>0</v>
      </c>
      <c r="CU213" s="56">
        <v>0</v>
      </c>
      <c r="CV213" s="56">
        <v>0</v>
      </c>
      <c r="CW213" s="56">
        <v>0</v>
      </c>
      <c r="CX213" s="56">
        <v>0</v>
      </c>
      <c r="CY213" s="56">
        <v>0</v>
      </c>
      <c r="CZ213" s="56">
        <v>0</v>
      </c>
      <c r="DA213" s="56">
        <v>0</v>
      </c>
      <c r="DB213" s="56">
        <v>0</v>
      </c>
      <c r="DC213" s="56">
        <v>0</v>
      </c>
      <c r="DD213" s="56">
        <v>0</v>
      </c>
      <c r="DE213" s="56">
        <v>0</v>
      </c>
      <c r="DF213" s="56">
        <v>0</v>
      </c>
      <c r="DG213" s="56">
        <v>0</v>
      </c>
      <c r="DH213" s="56">
        <v>0</v>
      </c>
      <c r="DI213" s="56">
        <v>0</v>
      </c>
      <c r="DJ213" s="56">
        <v>0</v>
      </c>
      <c r="DK213" s="56">
        <v>0</v>
      </c>
      <c r="DL213" s="56">
        <v>0</v>
      </c>
      <c r="DM213" s="56">
        <v>0</v>
      </c>
      <c r="DN213" s="56">
        <v>0</v>
      </c>
      <c r="DO213" s="56">
        <v>0</v>
      </c>
      <c r="DP213" s="56">
        <v>0</v>
      </c>
      <c r="DQ213" s="56">
        <v>0</v>
      </c>
      <c r="DR213" s="56">
        <v>0</v>
      </c>
      <c r="DS213" s="56">
        <v>0</v>
      </c>
      <c r="DT213" s="56">
        <v>0</v>
      </c>
      <c r="DU213" s="56">
        <v>0</v>
      </c>
      <c r="DV213" s="56">
        <v>0</v>
      </c>
      <c r="DW213" s="56">
        <v>0</v>
      </c>
      <c r="DX213" s="56">
        <v>0</v>
      </c>
      <c r="DY213" s="56">
        <v>0</v>
      </c>
      <c r="DZ213" s="56">
        <v>0</v>
      </c>
      <c r="EA213" s="56">
        <v>0</v>
      </c>
      <c r="EB213" s="56">
        <v>0</v>
      </c>
      <c r="EC213" s="56">
        <v>0</v>
      </c>
      <c r="ED213" s="56">
        <v>0</v>
      </c>
      <c r="EE213" s="56">
        <v>0</v>
      </c>
      <c r="EF213" s="56">
        <v>0</v>
      </c>
      <c r="EG213" s="56">
        <v>0</v>
      </c>
      <c r="EH213" s="56">
        <v>385.34</v>
      </c>
      <c r="EI213" s="56">
        <v>0</v>
      </c>
      <c r="EJ213" s="56">
        <v>0</v>
      </c>
      <c r="EK213" s="56">
        <v>0</v>
      </c>
      <c r="EL213" s="56">
        <v>0</v>
      </c>
      <c r="EM213" s="56">
        <v>0</v>
      </c>
      <c r="EN213" s="56">
        <v>0</v>
      </c>
      <c r="EO213" s="56">
        <v>0</v>
      </c>
      <c r="EP213" s="56">
        <v>0</v>
      </c>
      <c r="EQ213" s="56">
        <v>0</v>
      </c>
      <c r="ER213" s="56">
        <v>0</v>
      </c>
      <c r="ES213" s="56">
        <v>0</v>
      </c>
      <c r="ET213" s="56">
        <v>0</v>
      </c>
      <c r="EU213" s="56">
        <v>0</v>
      </c>
      <c r="EV213" s="56">
        <v>0</v>
      </c>
      <c r="EW213" s="56">
        <v>0</v>
      </c>
      <c r="EX213" s="56">
        <v>0</v>
      </c>
      <c r="EY213" s="56">
        <v>0</v>
      </c>
      <c r="EZ213" s="56">
        <v>0</v>
      </c>
      <c r="FA213" s="56">
        <v>0</v>
      </c>
      <c r="FB213" s="56">
        <v>0</v>
      </c>
      <c r="FC213" s="58">
        <v>0</v>
      </c>
      <c r="FD213" s="56">
        <v>0</v>
      </c>
      <c r="FE213" s="56">
        <v>0</v>
      </c>
      <c r="FF213" s="56">
        <v>0</v>
      </c>
      <c r="FG213" s="56">
        <v>0</v>
      </c>
      <c r="FH213" s="56">
        <v>0</v>
      </c>
      <c r="FI213" s="56">
        <v>0</v>
      </c>
      <c r="FJ213" s="56">
        <v>0</v>
      </c>
      <c r="FK213" s="56">
        <v>0</v>
      </c>
      <c r="FL213" s="56">
        <v>0</v>
      </c>
      <c r="FM213" s="56">
        <v>0</v>
      </c>
      <c r="FN213" s="56">
        <v>0</v>
      </c>
      <c r="FO213" s="56">
        <v>0</v>
      </c>
      <c r="FP213" s="56">
        <v>0</v>
      </c>
      <c r="FQ213" s="56">
        <v>0</v>
      </c>
      <c r="FR213" s="56">
        <v>0</v>
      </c>
      <c r="FS213" s="58">
        <v>0</v>
      </c>
      <c r="FT213" s="56">
        <v>0</v>
      </c>
      <c r="FU213" s="56">
        <v>0</v>
      </c>
      <c r="FV213" s="56">
        <v>0</v>
      </c>
      <c r="FW213" s="56">
        <v>0</v>
      </c>
      <c r="FX213" s="56">
        <v>0</v>
      </c>
      <c r="FY213" s="56">
        <v>0</v>
      </c>
      <c r="FZ213" s="54" t="s">
        <v>1083</v>
      </c>
      <c r="GA213" s="54" t="s">
        <v>1084</v>
      </c>
      <c r="GB213" s="54" t="s">
        <v>1072</v>
      </c>
      <c r="GC213" s="54" t="s">
        <v>1073</v>
      </c>
      <c r="GD213" s="54"/>
      <c r="GE213" s="54"/>
      <c r="GF213" s="54"/>
      <c r="GG213" s="55"/>
      <c r="GH213" s="54"/>
      <c r="GI213" s="54"/>
      <c r="GJ213" s="54" t="s">
        <v>1076</v>
      </c>
      <c r="GK213" s="54" t="s">
        <v>1077</v>
      </c>
      <c r="GL213" s="54"/>
      <c r="GM213" s="54"/>
      <c r="GN213" s="54" t="s">
        <v>1078</v>
      </c>
      <c r="GO213" s="54" t="s">
        <v>1059</v>
      </c>
      <c r="GP213" s="54"/>
      <c r="GQ213" s="56">
        <v>0</v>
      </c>
      <c r="GR213" s="54" t="s">
        <v>1079</v>
      </c>
      <c r="GS213" s="54"/>
    </row>
    <row r="214" spans="1:201" x14ac:dyDescent="0.25">
      <c r="A214" s="54" t="s">
        <v>1032</v>
      </c>
      <c r="B214" s="54" t="s">
        <v>1033</v>
      </c>
      <c r="C214" s="54" t="s">
        <v>1269</v>
      </c>
      <c r="D214" s="54" t="s">
        <v>1035</v>
      </c>
      <c r="E214" s="54" t="s">
        <v>1036</v>
      </c>
      <c r="F214" s="55">
        <v>46189</v>
      </c>
      <c r="G214" s="55">
        <v>46189</v>
      </c>
      <c r="H214" s="54" t="s">
        <v>1037</v>
      </c>
      <c r="I214" s="54" t="s">
        <v>1038</v>
      </c>
      <c r="J214" s="54" t="s">
        <v>1039</v>
      </c>
      <c r="K214" s="55"/>
      <c r="L214" s="54" t="s">
        <v>1040</v>
      </c>
      <c r="M214" s="54"/>
      <c r="N214" s="54" t="s">
        <v>1270</v>
      </c>
      <c r="O214" s="54" t="s">
        <v>1118</v>
      </c>
      <c r="P214" s="54" t="s">
        <v>192</v>
      </c>
      <c r="Q214" s="54" t="s">
        <v>24</v>
      </c>
      <c r="R214" s="54" t="s">
        <v>1043</v>
      </c>
      <c r="S214" s="56">
        <v>3736.8</v>
      </c>
      <c r="T214" s="56">
        <v>3736.8</v>
      </c>
      <c r="U214" s="56">
        <v>0</v>
      </c>
      <c r="V214" s="56">
        <v>0</v>
      </c>
      <c r="W214" s="56">
        <v>0</v>
      </c>
      <c r="X214" s="56">
        <v>0</v>
      </c>
      <c r="Y214" s="56">
        <v>0</v>
      </c>
      <c r="Z214" s="56">
        <v>360</v>
      </c>
      <c r="AA214" s="56">
        <v>360</v>
      </c>
      <c r="AB214" s="59">
        <v>0</v>
      </c>
      <c r="AC214" s="56">
        <v>0</v>
      </c>
      <c r="AD214" s="56">
        <v>0</v>
      </c>
      <c r="AE214" s="56">
        <v>0</v>
      </c>
      <c r="AF214" s="54" t="s">
        <v>1044</v>
      </c>
      <c r="AG214" s="57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 t="s">
        <v>1045</v>
      </c>
      <c r="AS214" s="54" t="s">
        <v>1081</v>
      </c>
      <c r="AT214" s="54" t="s">
        <v>1082</v>
      </c>
      <c r="AU214" s="54" t="s">
        <v>1048</v>
      </c>
      <c r="AV214" s="54"/>
      <c r="AW214" s="55">
        <v>46202</v>
      </c>
      <c r="AX214" s="55">
        <v>46189</v>
      </c>
      <c r="AY214" s="55">
        <v>46189</v>
      </c>
      <c r="AZ214" s="55"/>
      <c r="BA214" s="55">
        <v>46202</v>
      </c>
      <c r="BB214" s="56">
        <v>0</v>
      </c>
      <c r="BC214" s="56">
        <v>0</v>
      </c>
      <c r="BD214" s="56">
        <v>0</v>
      </c>
      <c r="BE214" s="56">
        <v>0</v>
      </c>
      <c r="BF214" s="56">
        <v>0</v>
      </c>
      <c r="BG214" s="56">
        <v>0</v>
      </c>
      <c r="BH214" s="56">
        <v>0</v>
      </c>
      <c r="BI214" s="56">
        <v>0</v>
      </c>
      <c r="BJ214" s="56">
        <v>0</v>
      </c>
      <c r="BK214" s="56">
        <v>0</v>
      </c>
      <c r="BL214" s="56">
        <v>0</v>
      </c>
      <c r="BM214" s="56">
        <v>0</v>
      </c>
      <c r="BN214" s="56">
        <v>0</v>
      </c>
      <c r="BO214" s="56">
        <v>0</v>
      </c>
      <c r="BP214" s="54" t="s">
        <v>1049</v>
      </c>
      <c r="BQ214" s="54" t="s">
        <v>1050</v>
      </c>
      <c r="BR214" s="54" t="s">
        <v>1049</v>
      </c>
      <c r="BS214" s="54" t="s">
        <v>1050</v>
      </c>
      <c r="BT214" s="54" t="s">
        <v>1051</v>
      </c>
      <c r="BU214" s="54" t="s">
        <v>1043</v>
      </c>
      <c r="BV214" s="58">
        <v>360</v>
      </c>
      <c r="BW214" s="54" t="s">
        <v>1052</v>
      </c>
      <c r="BX214" s="54" t="s">
        <v>1053</v>
      </c>
      <c r="BY214" s="54" t="s">
        <v>1054</v>
      </c>
      <c r="BZ214" s="54" t="s">
        <v>1055</v>
      </c>
      <c r="CA214" s="55"/>
      <c r="CB214" s="54" t="s">
        <v>1056</v>
      </c>
      <c r="CC214" s="54" t="s">
        <v>1057</v>
      </c>
      <c r="CD214" s="54" t="s">
        <v>1058</v>
      </c>
      <c r="CE214" s="54" t="s">
        <v>1059</v>
      </c>
      <c r="CF214" s="54" t="s">
        <v>1060</v>
      </c>
      <c r="CG214" s="54" t="s">
        <v>1061</v>
      </c>
      <c r="CH214" s="54" t="s">
        <v>1062</v>
      </c>
      <c r="CI214" s="54" t="s">
        <v>1063</v>
      </c>
      <c r="CJ214" s="54" t="s">
        <v>1064</v>
      </c>
      <c r="CK214" s="54" t="s">
        <v>1065</v>
      </c>
      <c r="CL214" s="54" t="s">
        <v>1066</v>
      </c>
      <c r="CM214" s="54" t="s">
        <v>1067</v>
      </c>
      <c r="CN214" s="54" t="s">
        <v>1068</v>
      </c>
      <c r="CO214" s="54" t="s">
        <v>1069</v>
      </c>
      <c r="CP214" s="56">
        <v>0</v>
      </c>
      <c r="CQ214" s="56">
        <v>0</v>
      </c>
      <c r="CR214" s="56">
        <v>0</v>
      </c>
      <c r="CS214" s="56">
        <v>0</v>
      </c>
      <c r="CT214" s="56">
        <v>0</v>
      </c>
      <c r="CU214" s="56">
        <v>0</v>
      </c>
      <c r="CV214" s="56">
        <v>0</v>
      </c>
      <c r="CW214" s="56">
        <v>0</v>
      </c>
      <c r="CX214" s="56">
        <v>0</v>
      </c>
      <c r="CY214" s="56">
        <v>0</v>
      </c>
      <c r="CZ214" s="56">
        <v>0</v>
      </c>
      <c r="DA214" s="56">
        <v>0</v>
      </c>
      <c r="DB214" s="56">
        <v>0</v>
      </c>
      <c r="DC214" s="56">
        <v>0</v>
      </c>
      <c r="DD214" s="56">
        <v>0</v>
      </c>
      <c r="DE214" s="56">
        <v>0</v>
      </c>
      <c r="DF214" s="56">
        <v>0</v>
      </c>
      <c r="DG214" s="56">
        <v>0</v>
      </c>
      <c r="DH214" s="56">
        <v>0</v>
      </c>
      <c r="DI214" s="56">
        <v>0</v>
      </c>
      <c r="DJ214" s="56">
        <v>0</v>
      </c>
      <c r="DK214" s="56">
        <v>0</v>
      </c>
      <c r="DL214" s="56">
        <v>0</v>
      </c>
      <c r="DM214" s="56">
        <v>0</v>
      </c>
      <c r="DN214" s="56">
        <v>0</v>
      </c>
      <c r="DO214" s="56">
        <v>0</v>
      </c>
      <c r="DP214" s="56">
        <v>0</v>
      </c>
      <c r="DQ214" s="56">
        <v>0</v>
      </c>
      <c r="DR214" s="56">
        <v>0</v>
      </c>
      <c r="DS214" s="56">
        <v>0</v>
      </c>
      <c r="DT214" s="56">
        <v>0</v>
      </c>
      <c r="DU214" s="56">
        <v>0</v>
      </c>
      <c r="DV214" s="56">
        <v>0</v>
      </c>
      <c r="DW214" s="56">
        <v>0</v>
      </c>
      <c r="DX214" s="56">
        <v>0</v>
      </c>
      <c r="DY214" s="56">
        <v>0</v>
      </c>
      <c r="DZ214" s="56">
        <v>0</v>
      </c>
      <c r="EA214" s="56">
        <v>0</v>
      </c>
      <c r="EB214" s="56">
        <v>0</v>
      </c>
      <c r="EC214" s="56">
        <v>0</v>
      </c>
      <c r="ED214" s="56">
        <v>0</v>
      </c>
      <c r="EE214" s="56">
        <v>0</v>
      </c>
      <c r="EF214" s="56">
        <v>0</v>
      </c>
      <c r="EG214" s="56">
        <v>0</v>
      </c>
      <c r="EH214" s="56">
        <v>448.42</v>
      </c>
      <c r="EI214" s="56">
        <v>0</v>
      </c>
      <c r="EJ214" s="56">
        <v>0</v>
      </c>
      <c r="EK214" s="56">
        <v>0</v>
      </c>
      <c r="EL214" s="56">
        <v>0</v>
      </c>
      <c r="EM214" s="56">
        <v>0</v>
      </c>
      <c r="EN214" s="56">
        <v>0</v>
      </c>
      <c r="EO214" s="56">
        <v>0</v>
      </c>
      <c r="EP214" s="56">
        <v>0</v>
      </c>
      <c r="EQ214" s="56">
        <v>0</v>
      </c>
      <c r="ER214" s="56">
        <v>0</v>
      </c>
      <c r="ES214" s="56">
        <v>0</v>
      </c>
      <c r="ET214" s="56">
        <v>0</v>
      </c>
      <c r="EU214" s="56">
        <v>0</v>
      </c>
      <c r="EV214" s="56">
        <v>0</v>
      </c>
      <c r="EW214" s="56">
        <v>0</v>
      </c>
      <c r="EX214" s="56">
        <v>0</v>
      </c>
      <c r="EY214" s="56">
        <v>0</v>
      </c>
      <c r="EZ214" s="56">
        <v>0</v>
      </c>
      <c r="FA214" s="56">
        <v>0</v>
      </c>
      <c r="FB214" s="56">
        <v>0</v>
      </c>
      <c r="FC214" s="58">
        <v>0</v>
      </c>
      <c r="FD214" s="56">
        <v>0</v>
      </c>
      <c r="FE214" s="56">
        <v>0</v>
      </c>
      <c r="FF214" s="56">
        <v>0</v>
      </c>
      <c r="FG214" s="56">
        <v>0</v>
      </c>
      <c r="FH214" s="56">
        <v>0</v>
      </c>
      <c r="FI214" s="56">
        <v>0</v>
      </c>
      <c r="FJ214" s="56">
        <v>0</v>
      </c>
      <c r="FK214" s="56">
        <v>0</v>
      </c>
      <c r="FL214" s="56">
        <v>0</v>
      </c>
      <c r="FM214" s="56">
        <v>0</v>
      </c>
      <c r="FN214" s="56">
        <v>0</v>
      </c>
      <c r="FO214" s="56">
        <v>0</v>
      </c>
      <c r="FP214" s="56">
        <v>0</v>
      </c>
      <c r="FQ214" s="56">
        <v>0</v>
      </c>
      <c r="FR214" s="56">
        <v>0</v>
      </c>
      <c r="FS214" s="58">
        <v>0</v>
      </c>
      <c r="FT214" s="56">
        <v>0</v>
      </c>
      <c r="FU214" s="56">
        <v>0</v>
      </c>
      <c r="FV214" s="56">
        <v>0</v>
      </c>
      <c r="FW214" s="56">
        <v>0</v>
      </c>
      <c r="FX214" s="56">
        <v>0</v>
      </c>
      <c r="FY214" s="56">
        <v>0</v>
      </c>
      <c r="FZ214" s="54" t="s">
        <v>1083</v>
      </c>
      <c r="GA214" s="54" t="s">
        <v>1084</v>
      </c>
      <c r="GB214" s="54" t="s">
        <v>1072</v>
      </c>
      <c r="GC214" s="54" t="s">
        <v>1073</v>
      </c>
      <c r="GD214" s="54" t="s">
        <v>1136</v>
      </c>
      <c r="GE214" s="54" t="s">
        <v>1075</v>
      </c>
      <c r="GF214" s="54"/>
      <c r="GG214" s="55"/>
      <c r="GH214" s="54"/>
      <c r="GI214" s="54"/>
      <c r="GJ214" s="54" t="s">
        <v>1076</v>
      </c>
      <c r="GK214" s="54" t="s">
        <v>1077</v>
      </c>
      <c r="GL214" s="54"/>
      <c r="GM214" s="54"/>
      <c r="GN214" s="54" t="s">
        <v>1078</v>
      </c>
      <c r="GO214" s="54" t="s">
        <v>1059</v>
      </c>
      <c r="GP214" s="54"/>
      <c r="GQ214" s="56">
        <v>0</v>
      </c>
      <c r="GR214" s="54" t="s">
        <v>1079</v>
      </c>
      <c r="GS214" s="54"/>
    </row>
    <row r="215" spans="1:201" x14ac:dyDescent="0.25">
      <c r="A215" s="54" t="s">
        <v>1032</v>
      </c>
      <c r="B215" s="54" t="s">
        <v>1033</v>
      </c>
      <c r="C215" s="54" t="s">
        <v>1269</v>
      </c>
      <c r="D215" s="54" t="s">
        <v>1035</v>
      </c>
      <c r="E215" s="54" t="s">
        <v>1036</v>
      </c>
      <c r="F215" s="55">
        <v>46189</v>
      </c>
      <c r="G215" s="55">
        <v>46189</v>
      </c>
      <c r="H215" s="54" t="s">
        <v>1037</v>
      </c>
      <c r="I215" s="54" t="s">
        <v>1038</v>
      </c>
      <c r="J215" s="54" t="s">
        <v>1039</v>
      </c>
      <c r="K215" s="55"/>
      <c r="L215" s="54" t="s">
        <v>1040</v>
      </c>
      <c r="M215" s="54"/>
      <c r="N215" s="54" t="s">
        <v>1270</v>
      </c>
      <c r="O215" s="54" t="s">
        <v>1120</v>
      </c>
      <c r="P215" s="54" t="s">
        <v>315</v>
      </c>
      <c r="Q215" s="54" t="s">
        <v>319</v>
      </c>
      <c r="R215" s="54" t="s">
        <v>1043</v>
      </c>
      <c r="S215" s="56">
        <v>1339.2</v>
      </c>
      <c r="T215" s="56">
        <v>1339.2</v>
      </c>
      <c r="U215" s="56">
        <v>0</v>
      </c>
      <c r="V215" s="56">
        <v>0</v>
      </c>
      <c r="W215" s="56">
        <v>0</v>
      </c>
      <c r="X215" s="56">
        <v>0</v>
      </c>
      <c r="Y215" s="56">
        <v>0</v>
      </c>
      <c r="Z215" s="56">
        <v>240</v>
      </c>
      <c r="AA215" s="56">
        <v>240</v>
      </c>
      <c r="AB215" s="59">
        <v>0</v>
      </c>
      <c r="AC215" s="56">
        <v>0</v>
      </c>
      <c r="AD215" s="56">
        <v>0</v>
      </c>
      <c r="AE215" s="56">
        <v>0</v>
      </c>
      <c r="AF215" s="54" t="s">
        <v>1044</v>
      </c>
      <c r="AG215" s="57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 t="s">
        <v>1045</v>
      </c>
      <c r="AS215" s="54" t="s">
        <v>1081</v>
      </c>
      <c r="AT215" s="54" t="s">
        <v>1082</v>
      </c>
      <c r="AU215" s="54" t="s">
        <v>1048</v>
      </c>
      <c r="AV215" s="54"/>
      <c r="AW215" s="55">
        <v>46202</v>
      </c>
      <c r="AX215" s="55">
        <v>46189</v>
      </c>
      <c r="AY215" s="55">
        <v>46189</v>
      </c>
      <c r="AZ215" s="55"/>
      <c r="BA215" s="55">
        <v>46202</v>
      </c>
      <c r="BB215" s="56">
        <v>0</v>
      </c>
      <c r="BC215" s="56">
        <v>0</v>
      </c>
      <c r="BD215" s="56">
        <v>0</v>
      </c>
      <c r="BE215" s="56">
        <v>0</v>
      </c>
      <c r="BF215" s="56">
        <v>0</v>
      </c>
      <c r="BG215" s="56">
        <v>0</v>
      </c>
      <c r="BH215" s="56">
        <v>0</v>
      </c>
      <c r="BI215" s="56">
        <v>0</v>
      </c>
      <c r="BJ215" s="56">
        <v>0</v>
      </c>
      <c r="BK215" s="56">
        <v>0</v>
      </c>
      <c r="BL215" s="56">
        <v>0</v>
      </c>
      <c r="BM215" s="56">
        <v>0</v>
      </c>
      <c r="BN215" s="56">
        <v>0</v>
      </c>
      <c r="BO215" s="56">
        <v>0</v>
      </c>
      <c r="BP215" s="54" t="s">
        <v>1049</v>
      </c>
      <c r="BQ215" s="54" t="s">
        <v>1050</v>
      </c>
      <c r="BR215" s="54" t="s">
        <v>1049</v>
      </c>
      <c r="BS215" s="54" t="s">
        <v>1050</v>
      </c>
      <c r="BT215" s="54" t="s">
        <v>1051</v>
      </c>
      <c r="BU215" s="54" t="s">
        <v>1043</v>
      </c>
      <c r="BV215" s="58">
        <v>240</v>
      </c>
      <c r="BW215" s="54" t="s">
        <v>1052</v>
      </c>
      <c r="BX215" s="54" t="s">
        <v>1053</v>
      </c>
      <c r="BY215" s="54" t="s">
        <v>1054</v>
      </c>
      <c r="BZ215" s="54" t="s">
        <v>1055</v>
      </c>
      <c r="CA215" s="55"/>
      <c r="CB215" s="54" t="s">
        <v>1056</v>
      </c>
      <c r="CC215" s="54" t="s">
        <v>1057</v>
      </c>
      <c r="CD215" s="54" t="s">
        <v>1058</v>
      </c>
      <c r="CE215" s="54" t="s">
        <v>1059</v>
      </c>
      <c r="CF215" s="54" t="s">
        <v>1060</v>
      </c>
      <c r="CG215" s="54" t="s">
        <v>1061</v>
      </c>
      <c r="CH215" s="54" t="s">
        <v>1062</v>
      </c>
      <c r="CI215" s="54" t="s">
        <v>1063</v>
      </c>
      <c r="CJ215" s="54" t="s">
        <v>1064</v>
      </c>
      <c r="CK215" s="54" t="s">
        <v>1065</v>
      </c>
      <c r="CL215" s="54" t="s">
        <v>1066</v>
      </c>
      <c r="CM215" s="54" t="s">
        <v>1067</v>
      </c>
      <c r="CN215" s="54" t="s">
        <v>1068</v>
      </c>
      <c r="CO215" s="54" t="s">
        <v>1069</v>
      </c>
      <c r="CP215" s="56">
        <v>0</v>
      </c>
      <c r="CQ215" s="56">
        <v>0</v>
      </c>
      <c r="CR215" s="56">
        <v>0</v>
      </c>
      <c r="CS215" s="56">
        <v>0</v>
      </c>
      <c r="CT215" s="56">
        <v>0</v>
      </c>
      <c r="CU215" s="56">
        <v>0</v>
      </c>
      <c r="CV215" s="56">
        <v>0</v>
      </c>
      <c r="CW215" s="56">
        <v>0</v>
      </c>
      <c r="CX215" s="56">
        <v>0</v>
      </c>
      <c r="CY215" s="56">
        <v>0</v>
      </c>
      <c r="CZ215" s="56">
        <v>0</v>
      </c>
      <c r="DA215" s="56">
        <v>0</v>
      </c>
      <c r="DB215" s="56">
        <v>0</v>
      </c>
      <c r="DC215" s="56">
        <v>0</v>
      </c>
      <c r="DD215" s="56">
        <v>0</v>
      </c>
      <c r="DE215" s="56">
        <v>0</v>
      </c>
      <c r="DF215" s="56">
        <v>0</v>
      </c>
      <c r="DG215" s="56">
        <v>0</v>
      </c>
      <c r="DH215" s="56">
        <v>0</v>
      </c>
      <c r="DI215" s="56">
        <v>0</v>
      </c>
      <c r="DJ215" s="56">
        <v>0</v>
      </c>
      <c r="DK215" s="56">
        <v>0</v>
      </c>
      <c r="DL215" s="56">
        <v>0</v>
      </c>
      <c r="DM215" s="56">
        <v>0</v>
      </c>
      <c r="DN215" s="56">
        <v>0</v>
      </c>
      <c r="DO215" s="56">
        <v>0</v>
      </c>
      <c r="DP215" s="56">
        <v>0</v>
      </c>
      <c r="DQ215" s="56">
        <v>0</v>
      </c>
      <c r="DR215" s="56">
        <v>0</v>
      </c>
      <c r="DS215" s="56">
        <v>0</v>
      </c>
      <c r="DT215" s="56">
        <v>0</v>
      </c>
      <c r="DU215" s="56">
        <v>0</v>
      </c>
      <c r="DV215" s="56">
        <v>0</v>
      </c>
      <c r="DW215" s="56">
        <v>0</v>
      </c>
      <c r="DX215" s="56">
        <v>0</v>
      </c>
      <c r="DY215" s="56">
        <v>0</v>
      </c>
      <c r="DZ215" s="56">
        <v>0</v>
      </c>
      <c r="EA215" s="56">
        <v>0</v>
      </c>
      <c r="EB215" s="56">
        <v>0</v>
      </c>
      <c r="EC215" s="56">
        <v>0</v>
      </c>
      <c r="ED215" s="56">
        <v>0</v>
      </c>
      <c r="EE215" s="56">
        <v>0</v>
      </c>
      <c r="EF215" s="56">
        <v>0</v>
      </c>
      <c r="EG215" s="56">
        <v>0</v>
      </c>
      <c r="EH215" s="56">
        <v>160.69999999999999</v>
      </c>
      <c r="EI215" s="56">
        <v>0</v>
      </c>
      <c r="EJ215" s="56">
        <v>0</v>
      </c>
      <c r="EK215" s="56">
        <v>0</v>
      </c>
      <c r="EL215" s="56">
        <v>0</v>
      </c>
      <c r="EM215" s="56">
        <v>0</v>
      </c>
      <c r="EN215" s="56">
        <v>0</v>
      </c>
      <c r="EO215" s="56">
        <v>0</v>
      </c>
      <c r="EP215" s="56">
        <v>0</v>
      </c>
      <c r="EQ215" s="56">
        <v>0</v>
      </c>
      <c r="ER215" s="56">
        <v>0</v>
      </c>
      <c r="ES215" s="56">
        <v>0</v>
      </c>
      <c r="ET215" s="56">
        <v>0</v>
      </c>
      <c r="EU215" s="56">
        <v>0</v>
      </c>
      <c r="EV215" s="56">
        <v>0</v>
      </c>
      <c r="EW215" s="56">
        <v>0</v>
      </c>
      <c r="EX215" s="56">
        <v>0</v>
      </c>
      <c r="EY215" s="56">
        <v>0</v>
      </c>
      <c r="EZ215" s="56">
        <v>0</v>
      </c>
      <c r="FA215" s="56">
        <v>0</v>
      </c>
      <c r="FB215" s="56">
        <v>0</v>
      </c>
      <c r="FC215" s="58">
        <v>0</v>
      </c>
      <c r="FD215" s="56">
        <v>0</v>
      </c>
      <c r="FE215" s="56">
        <v>0</v>
      </c>
      <c r="FF215" s="56">
        <v>0</v>
      </c>
      <c r="FG215" s="56">
        <v>0</v>
      </c>
      <c r="FH215" s="56">
        <v>0</v>
      </c>
      <c r="FI215" s="56">
        <v>0</v>
      </c>
      <c r="FJ215" s="56">
        <v>0</v>
      </c>
      <c r="FK215" s="56">
        <v>0</v>
      </c>
      <c r="FL215" s="56">
        <v>0</v>
      </c>
      <c r="FM215" s="56">
        <v>0</v>
      </c>
      <c r="FN215" s="56">
        <v>0</v>
      </c>
      <c r="FO215" s="56">
        <v>0</v>
      </c>
      <c r="FP215" s="56">
        <v>0</v>
      </c>
      <c r="FQ215" s="56">
        <v>0</v>
      </c>
      <c r="FR215" s="56">
        <v>0</v>
      </c>
      <c r="FS215" s="58">
        <v>0</v>
      </c>
      <c r="FT215" s="56">
        <v>0</v>
      </c>
      <c r="FU215" s="56">
        <v>0</v>
      </c>
      <c r="FV215" s="56">
        <v>0</v>
      </c>
      <c r="FW215" s="56">
        <v>0</v>
      </c>
      <c r="FX215" s="56">
        <v>0</v>
      </c>
      <c r="FY215" s="56">
        <v>0</v>
      </c>
      <c r="FZ215" s="54" t="s">
        <v>1083</v>
      </c>
      <c r="GA215" s="54" t="s">
        <v>1084</v>
      </c>
      <c r="GB215" s="54" t="s">
        <v>1072</v>
      </c>
      <c r="GC215" s="54" t="s">
        <v>1073</v>
      </c>
      <c r="GD215" s="54" t="s">
        <v>1138</v>
      </c>
      <c r="GE215" s="54" t="s">
        <v>1075</v>
      </c>
      <c r="GF215" s="54"/>
      <c r="GG215" s="55"/>
      <c r="GH215" s="54"/>
      <c r="GI215" s="54"/>
      <c r="GJ215" s="54" t="s">
        <v>1076</v>
      </c>
      <c r="GK215" s="54" t="s">
        <v>1077</v>
      </c>
      <c r="GL215" s="54"/>
      <c r="GM215" s="54"/>
      <c r="GN215" s="54" t="s">
        <v>1078</v>
      </c>
      <c r="GO215" s="54" t="s">
        <v>1059</v>
      </c>
      <c r="GP215" s="54"/>
      <c r="GQ215" s="56">
        <v>0</v>
      </c>
      <c r="GR215" s="54" t="s">
        <v>1079</v>
      </c>
      <c r="GS215" s="54"/>
    </row>
    <row r="216" spans="1:201" x14ac:dyDescent="0.25">
      <c r="A216" s="54" t="s">
        <v>1032</v>
      </c>
      <c r="B216" s="54" t="s">
        <v>1033</v>
      </c>
      <c r="C216" s="54" t="s">
        <v>1269</v>
      </c>
      <c r="D216" s="54" t="s">
        <v>1035</v>
      </c>
      <c r="E216" s="54" t="s">
        <v>1036</v>
      </c>
      <c r="F216" s="55">
        <v>46189</v>
      </c>
      <c r="G216" s="55">
        <v>46189</v>
      </c>
      <c r="H216" s="54" t="s">
        <v>1037</v>
      </c>
      <c r="I216" s="54" t="s">
        <v>1038</v>
      </c>
      <c r="J216" s="54" t="s">
        <v>1039</v>
      </c>
      <c r="K216" s="55"/>
      <c r="L216" s="54" t="s">
        <v>1040</v>
      </c>
      <c r="M216" s="54"/>
      <c r="N216" s="54" t="s">
        <v>1270</v>
      </c>
      <c r="O216" s="54" t="s">
        <v>1121</v>
      </c>
      <c r="P216" s="54" t="s">
        <v>193</v>
      </c>
      <c r="Q216" s="54" t="s">
        <v>25</v>
      </c>
      <c r="R216" s="54" t="s">
        <v>1043</v>
      </c>
      <c r="S216" s="56">
        <v>11734.8</v>
      </c>
      <c r="T216" s="56">
        <v>11734.8</v>
      </c>
      <c r="U216" s="56">
        <v>0</v>
      </c>
      <c r="V216" s="56">
        <v>0</v>
      </c>
      <c r="W216" s="56">
        <v>0</v>
      </c>
      <c r="X216" s="56">
        <v>0</v>
      </c>
      <c r="Y216" s="56">
        <v>0</v>
      </c>
      <c r="Z216" s="56">
        <v>840</v>
      </c>
      <c r="AA216" s="56">
        <v>840</v>
      </c>
      <c r="AB216" s="59">
        <v>0</v>
      </c>
      <c r="AC216" s="56">
        <v>0</v>
      </c>
      <c r="AD216" s="56">
        <v>0</v>
      </c>
      <c r="AE216" s="56">
        <v>0</v>
      </c>
      <c r="AF216" s="54" t="s">
        <v>1044</v>
      </c>
      <c r="AG216" s="57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 t="s">
        <v>1045</v>
      </c>
      <c r="AS216" s="54" t="s">
        <v>1046</v>
      </c>
      <c r="AT216" s="54" t="s">
        <v>1047</v>
      </c>
      <c r="AU216" s="54" t="s">
        <v>1048</v>
      </c>
      <c r="AV216" s="54"/>
      <c r="AW216" s="55">
        <v>46202</v>
      </c>
      <c r="AX216" s="55">
        <v>46189</v>
      </c>
      <c r="AY216" s="55">
        <v>46189</v>
      </c>
      <c r="AZ216" s="55"/>
      <c r="BA216" s="55">
        <v>46202</v>
      </c>
      <c r="BB216" s="56">
        <v>0</v>
      </c>
      <c r="BC216" s="56">
        <v>0</v>
      </c>
      <c r="BD216" s="56">
        <v>0</v>
      </c>
      <c r="BE216" s="56">
        <v>0</v>
      </c>
      <c r="BF216" s="56">
        <v>0</v>
      </c>
      <c r="BG216" s="56">
        <v>0</v>
      </c>
      <c r="BH216" s="56">
        <v>0</v>
      </c>
      <c r="BI216" s="56">
        <v>0</v>
      </c>
      <c r="BJ216" s="56">
        <v>0</v>
      </c>
      <c r="BK216" s="56">
        <v>0</v>
      </c>
      <c r="BL216" s="56">
        <v>0</v>
      </c>
      <c r="BM216" s="56">
        <v>0</v>
      </c>
      <c r="BN216" s="56">
        <v>0</v>
      </c>
      <c r="BO216" s="56">
        <v>0</v>
      </c>
      <c r="BP216" s="54" t="s">
        <v>1049</v>
      </c>
      <c r="BQ216" s="54" t="s">
        <v>1050</v>
      </c>
      <c r="BR216" s="54" t="s">
        <v>1049</v>
      </c>
      <c r="BS216" s="54" t="s">
        <v>1050</v>
      </c>
      <c r="BT216" s="54" t="s">
        <v>1051</v>
      </c>
      <c r="BU216" s="54" t="s">
        <v>1043</v>
      </c>
      <c r="BV216" s="58">
        <v>840</v>
      </c>
      <c r="BW216" s="54" t="s">
        <v>1052</v>
      </c>
      <c r="BX216" s="54" t="s">
        <v>1053</v>
      </c>
      <c r="BY216" s="54" t="s">
        <v>1054</v>
      </c>
      <c r="BZ216" s="54" t="s">
        <v>1055</v>
      </c>
      <c r="CA216" s="55"/>
      <c r="CB216" s="54" t="s">
        <v>1056</v>
      </c>
      <c r="CC216" s="54" t="s">
        <v>1057</v>
      </c>
      <c r="CD216" s="54" t="s">
        <v>1058</v>
      </c>
      <c r="CE216" s="54" t="s">
        <v>1059</v>
      </c>
      <c r="CF216" s="54" t="s">
        <v>1060</v>
      </c>
      <c r="CG216" s="54" t="s">
        <v>1061</v>
      </c>
      <c r="CH216" s="54" t="s">
        <v>1062</v>
      </c>
      <c r="CI216" s="54" t="s">
        <v>1063</v>
      </c>
      <c r="CJ216" s="54" t="s">
        <v>1064</v>
      </c>
      <c r="CK216" s="54" t="s">
        <v>1065</v>
      </c>
      <c r="CL216" s="54" t="s">
        <v>1066</v>
      </c>
      <c r="CM216" s="54" t="s">
        <v>1067</v>
      </c>
      <c r="CN216" s="54" t="s">
        <v>1068</v>
      </c>
      <c r="CO216" s="54" t="s">
        <v>1069</v>
      </c>
      <c r="CP216" s="56">
        <v>0</v>
      </c>
      <c r="CQ216" s="56">
        <v>0</v>
      </c>
      <c r="CR216" s="56">
        <v>0</v>
      </c>
      <c r="CS216" s="56">
        <v>0</v>
      </c>
      <c r="CT216" s="56">
        <v>0</v>
      </c>
      <c r="CU216" s="56">
        <v>0</v>
      </c>
      <c r="CV216" s="56">
        <v>0</v>
      </c>
      <c r="CW216" s="56">
        <v>0</v>
      </c>
      <c r="CX216" s="56">
        <v>0</v>
      </c>
      <c r="CY216" s="56">
        <v>0</v>
      </c>
      <c r="CZ216" s="56">
        <v>0</v>
      </c>
      <c r="DA216" s="56">
        <v>0</v>
      </c>
      <c r="DB216" s="56">
        <v>0</v>
      </c>
      <c r="DC216" s="56">
        <v>0</v>
      </c>
      <c r="DD216" s="56">
        <v>0</v>
      </c>
      <c r="DE216" s="56">
        <v>0</v>
      </c>
      <c r="DF216" s="56">
        <v>0</v>
      </c>
      <c r="DG216" s="56">
        <v>0</v>
      </c>
      <c r="DH216" s="56">
        <v>0</v>
      </c>
      <c r="DI216" s="56">
        <v>0</v>
      </c>
      <c r="DJ216" s="56">
        <v>0</v>
      </c>
      <c r="DK216" s="56">
        <v>0</v>
      </c>
      <c r="DL216" s="56">
        <v>0</v>
      </c>
      <c r="DM216" s="56">
        <v>0</v>
      </c>
      <c r="DN216" s="56">
        <v>0</v>
      </c>
      <c r="DO216" s="56">
        <v>0</v>
      </c>
      <c r="DP216" s="56">
        <v>0</v>
      </c>
      <c r="DQ216" s="56">
        <v>0</v>
      </c>
      <c r="DR216" s="56">
        <v>0</v>
      </c>
      <c r="DS216" s="56">
        <v>0</v>
      </c>
      <c r="DT216" s="56">
        <v>0</v>
      </c>
      <c r="DU216" s="56">
        <v>0</v>
      </c>
      <c r="DV216" s="56">
        <v>0</v>
      </c>
      <c r="DW216" s="56">
        <v>0</v>
      </c>
      <c r="DX216" s="56">
        <v>0</v>
      </c>
      <c r="DY216" s="56">
        <v>0</v>
      </c>
      <c r="DZ216" s="56">
        <v>0</v>
      </c>
      <c r="EA216" s="56">
        <v>0</v>
      </c>
      <c r="EB216" s="56">
        <v>0</v>
      </c>
      <c r="EC216" s="56">
        <v>0</v>
      </c>
      <c r="ED216" s="56">
        <v>0</v>
      </c>
      <c r="EE216" s="56">
        <v>0</v>
      </c>
      <c r="EF216" s="56">
        <v>0</v>
      </c>
      <c r="EG216" s="56">
        <v>0</v>
      </c>
      <c r="EH216" s="56">
        <v>1408.18</v>
      </c>
      <c r="EI216" s="56">
        <v>0</v>
      </c>
      <c r="EJ216" s="56">
        <v>0</v>
      </c>
      <c r="EK216" s="56">
        <v>0</v>
      </c>
      <c r="EL216" s="56">
        <v>0</v>
      </c>
      <c r="EM216" s="56">
        <v>0</v>
      </c>
      <c r="EN216" s="56">
        <v>0</v>
      </c>
      <c r="EO216" s="56">
        <v>0</v>
      </c>
      <c r="EP216" s="56">
        <v>0</v>
      </c>
      <c r="EQ216" s="56">
        <v>0</v>
      </c>
      <c r="ER216" s="56">
        <v>0</v>
      </c>
      <c r="ES216" s="56">
        <v>0</v>
      </c>
      <c r="ET216" s="56">
        <v>0</v>
      </c>
      <c r="EU216" s="56">
        <v>0</v>
      </c>
      <c r="EV216" s="56">
        <v>0</v>
      </c>
      <c r="EW216" s="56">
        <v>0</v>
      </c>
      <c r="EX216" s="56">
        <v>0</v>
      </c>
      <c r="EY216" s="56">
        <v>0</v>
      </c>
      <c r="EZ216" s="56">
        <v>0</v>
      </c>
      <c r="FA216" s="56">
        <v>0</v>
      </c>
      <c r="FB216" s="56">
        <v>0</v>
      </c>
      <c r="FC216" s="58">
        <v>0</v>
      </c>
      <c r="FD216" s="56">
        <v>0</v>
      </c>
      <c r="FE216" s="56">
        <v>0</v>
      </c>
      <c r="FF216" s="56">
        <v>0</v>
      </c>
      <c r="FG216" s="56">
        <v>0</v>
      </c>
      <c r="FH216" s="56">
        <v>0</v>
      </c>
      <c r="FI216" s="56">
        <v>0</v>
      </c>
      <c r="FJ216" s="56">
        <v>0</v>
      </c>
      <c r="FK216" s="56">
        <v>0</v>
      </c>
      <c r="FL216" s="56">
        <v>0</v>
      </c>
      <c r="FM216" s="56">
        <v>0</v>
      </c>
      <c r="FN216" s="56">
        <v>0</v>
      </c>
      <c r="FO216" s="56">
        <v>0</v>
      </c>
      <c r="FP216" s="56">
        <v>0</v>
      </c>
      <c r="FQ216" s="56">
        <v>0</v>
      </c>
      <c r="FR216" s="56">
        <v>0</v>
      </c>
      <c r="FS216" s="58">
        <v>0</v>
      </c>
      <c r="FT216" s="56">
        <v>0</v>
      </c>
      <c r="FU216" s="56">
        <v>0</v>
      </c>
      <c r="FV216" s="56">
        <v>0</v>
      </c>
      <c r="FW216" s="56">
        <v>0</v>
      </c>
      <c r="FX216" s="56">
        <v>0</v>
      </c>
      <c r="FY216" s="56">
        <v>0</v>
      </c>
      <c r="FZ216" s="54" t="s">
        <v>1070</v>
      </c>
      <c r="GA216" s="54" t="s">
        <v>1071</v>
      </c>
      <c r="GB216" s="54" t="s">
        <v>1072</v>
      </c>
      <c r="GC216" s="54" t="s">
        <v>1073</v>
      </c>
      <c r="GD216" s="54" t="s">
        <v>1140</v>
      </c>
      <c r="GE216" s="54" t="s">
        <v>1075</v>
      </c>
      <c r="GF216" s="54"/>
      <c r="GG216" s="55"/>
      <c r="GH216" s="54"/>
      <c r="GI216" s="54"/>
      <c r="GJ216" s="54" t="s">
        <v>1076</v>
      </c>
      <c r="GK216" s="54" t="s">
        <v>1077</v>
      </c>
      <c r="GL216" s="54"/>
      <c r="GM216" s="54"/>
      <c r="GN216" s="54" t="s">
        <v>1078</v>
      </c>
      <c r="GO216" s="54" t="s">
        <v>1059</v>
      </c>
      <c r="GP216" s="54"/>
      <c r="GQ216" s="56">
        <v>0</v>
      </c>
      <c r="GR216" s="54" t="s">
        <v>1079</v>
      </c>
      <c r="GS216" s="54"/>
    </row>
    <row r="217" spans="1:201" x14ac:dyDescent="0.25">
      <c r="A217" s="54" t="s">
        <v>1032</v>
      </c>
      <c r="B217" s="54" t="s">
        <v>1033</v>
      </c>
      <c r="C217" s="54" t="s">
        <v>1269</v>
      </c>
      <c r="D217" s="54" t="s">
        <v>1035</v>
      </c>
      <c r="E217" s="54" t="s">
        <v>1036</v>
      </c>
      <c r="F217" s="55">
        <v>46189</v>
      </c>
      <c r="G217" s="55">
        <v>46189</v>
      </c>
      <c r="H217" s="54" t="s">
        <v>1037</v>
      </c>
      <c r="I217" s="54" t="s">
        <v>1038</v>
      </c>
      <c r="J217" s="54" t="s">
        <v>1039</v>
      </c>
      <c r="K217" s="55"/>
      <c r="L217" s="54" t="s">
        <v>1040</v>
      </c>
      <c r="M217" s="54"/>
      <c r="N217" s="54" t="s">
        <v>1270</v>
      </c>
      <c r="O217" s="54" t="s">
        <v>1122</v>
      </c>
      <c r="P217" s="54" t="s">
        <v>194</v>
      </c>
      <c r="Q217" s="54" t="s">
        <v>26</v>
      </c>
      <c r="R217" s="54" t="s">
        <v>1043</v>
      </c>
      <c r="S217" s="56">
        <v>10170</v>
      </c>
      <c r="T217" s="56">
        <v>10170</v>
      </c>
      <c r="U217" s="56">
        <v>0</v>
      </c>
      <c r="V217" s="56">
        <v>0</v>
      </c>
      <c r="W217" s="56">
        <v>0</v>
      </c>
      <c r="X217" s="56">
        <v>0</v>
      </c>
      <c r="Y217" s="56">
        <v>0</v>
      </c>
      <c r="Z217" s="56">
        <v>1500</v>
      </c>
      <c r="AA217" s="56">
        <v>1500</v>
      </c>
      <c r="AB217" s="59">
        <v>0</v>
      </c>
      <c r="AC217" s="56">
        <v>0</v>
      </c>
      <c r="AD217" s="56">
        <v>0</v>
      </c>
      <c r="AE217" s="56">
        <v>0</v>
      </c>
      <c r="AF217" s="54" t="s">
        <v>1044</v>
      </c>
      <c r="AG217" s="57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 t="s">
        <v>1045</v>
      </c>
      <c r="AS217" s="54" t="s">
        <v>1046</v>
      </c>
      <c r="AT217" s="54" t="s">
        <v>1047</v>
      </c>
      <c r="AU217" s="54" t="s">
        <v>1048</v>
      </c>
      <c r="AV217" s="54"/>
      <c r="AW217" s="55">
        <v>46202</v>
      </c>
      <c r="AX217" s="55">
        <v>46189</v>
      </c>
      <c r="AY217" s="55">
        <v>46189</v>
      </c>
      <c r="AZ217" s="55"/>
      <c r="BA217" s="55">
        <v>46202</v>
      </c>
      <c r="BB217" s="56">
        <v>0</v>
      </c>
      <c r="BC217" s="56">
        <v>0</v>
      </c>
      <c r="BD217" s="56">
        <v>0</v>
      </c>
      <c r="BE217" s="56">
        <v>0</v>
      </c>
      <c r="BF217" s="56">
        <v>0</v>
      </c>
      <c r="BG217" s="56">
        <v>0</v>
      </c>
      <c r="BH217" s="56">
        <v>0</v>
      </c>
      <c r="BI217" s="56">
        <v>0</v>
      </c>
      <c r="BJ217" s="56">
        <v>0</v>
      </c>
      <c r="BK217" s="56">
        <v>0</v>
      </c>
      <c r="BL217" s="56">
        <v>0</v>
      </c>
      <c r="BM217" s="56">
        <v>0</v>
      </c>
      <c r="BN217" s="56">
        <v>0</v>
      </c>
      <c r="BO217" s="56">
        <v>0</v>
      </c>
      <c r="BP217" s="54" t="s">
        <v>1049</v>
      </c>
      <c r="BQ217" s="54" t="s">
        <v>1050</v>
      </c>
      <c r="BR217" s="54" t="s">
        <v>1049</v>
      </c>
      <c r="BS217" s="54" t="s">
        <v>1050</v>
      </c>
      <c r="BT217" s="54" t="s">
        <v>1051</v>
      </c>
      <c r="BU217" s="54" t="s">
        <v>1043</v>
      </c>
      <c r="BV217" s="58">
        <v>1500</v>
      </c>
      <c r="BW217" s="54" t="s">
        <v>1052</v>
      </c>
      <c r="BX217" s="54" t="s">
        <v>1053</v>
      </c>
      <c r="BY217" s="54" t="s">
        <v>1054</v>
      </c>
      <c r="BZ217" s="54" t="s">
        <v>1055</v>
      </c>
      <c r="CA217" s="55"/>
      <c r="CB217" s="54" t="s">
        <v>1056</v>
      </c>
      <c r="CC217" s="54" t="s">
        <v>1057</v>
      </c>
      <c r="CD217" s="54" t="s">
        <v>1058</v>
      </c>
      <c r="CE217" s="54" t="s">
        <v>1059</v>
      </c>
      <c r="CF217" s="54" t="s">
        <v>1060</v>
      </c>
      <c r="CG217" s="54" t="s">
        <v>1061</v>
      </c>
      <c r="CH217" s="54" t="s">
        <v>1062</v>
      </c>
      <c r="CI217" s="54" t="s">
        <v>1063</v>
      </c>
      <c r="CJ217" s="54" t="s">
        <v>1064</v>
      </c>
      <c r="CK217" s="54" t="s">
        <v>1065</v>
      </c>
      <c r="CL217" s="54" t="s">
        <v>1066</v>
      </c>
      <c r="CM217" s="54" t="s">
        <v>1067</v>
      </c>
      <c r="CN217" s="54" t="s">
        <v>1068</v>
      </c>
      <c r="CO217" s="54" t="s">
        <v>1069</v>
      </c>
      <c r="CP217" s="56">
        <v>0</v>
      </c>
      <c r="CQ217" s="56">
        <v>0</v>
      </c>
      <c r="CR217" s="56">
        <v>0</v>
      </c>
      <c r="CS217" s="56">
        <v>0</v>
      </c>
      <c r="CT217" s="56">
        <v>0</v>
      </c>
      <c r="CU217" s="56">
        <v>0</v>
      </c>
      <c r="CV217" s="56">
        <v>0</v>
      </c>
      <c r="CW217" s="56">
        <v>0</v>
      </c>
      <c r="CX217" s="56">
        <v>0</v>
      </c>
      <c r="CY217" s="56">
        <v>0</v>
      </c>
      <c r="CZ217" s="56">
        <v>0</v>
      </c>
      <c r="DA217" s="56">
        <v>0</v>
      </c>
      <c r="DB217" s="56">
        <v>0</v>
      </c>
      <c r="DC217" s="56">
        <v>0</v>
      </c>
      <c r="DD217" s="56">
        <v>0</v>
      </c>
      <c r="DE217" s="56">
        <v>0</v>
      </c>
      <c r="DF217" s="56">
        <v>0</v>
      </c>
      <c r="DG217" s="56">
        <v>0</v>
      </c>
      <c r="DH217" s="56">
        <v>0</v>
      </c>
      <c r="DI217" s="56">
        <v>0</v>
      </c>
      <c r="DJ217" s="56">
        <v>0</v>
      </c>
      <c r="DK217" s="56">
        <v>0</v>
      </c>
      <c r="DL217" s="56">
        <v>0</v>
      </c>
      <c r="DM217" s="56">
        <v>0</v>
      </c>
      <c r="DN217" s="56">
        <v>0</v>
      </c>
      <c r="DO217" s="56">
        <v>0</v>
      </c>
      <c r="DP217" s="56">
        <v>0</v>
      </c>
      <c r="DQ217" s="56">
        <v>0</v>
      </c>
      <c r="DR217" s="56">
        <v>0</v>
      </c>
      <c r="DS217" s="56">
        <v>0</v>
      </c>
      <c r="DT217" s="56">
        <v>0</v>
      </c>
      <c r="DU217" s="56">
        <v>0</v>
      </c>
      <c r="DV217" s="56">
        <v>0</v>
      </c>
      <c r="DW217" s="56">
        <v>0</v>
      </c>
      <c r="DX217" s="56">
        <v>0</v>
      </c>
      <c r="DY217" s="56">
        <v>0</v>
      </c>
      <c r="DZ217" s="56">
        <v>0</v>
      </c>
      <c r="EA217" s="56">
        <v>0</v>
      </c>
      <c r="EB217" s="56">
        <v>0</v>
      </c>
      <c r="EC217" s="56">
        <v>0</v>
      </c>
      <c r="ED217" s="56">
        <v>0</v>
      </c>
      <c r="EE217" s="56">
        <v>0</v>
      </c>
      <c r="EF217" s="56">
        <v>0</v>
      </c>
      <c r="EG217" s="56">
        <v>0</v>
      </c>
      <c r="EH217" s="56">
        <v>1220.4000000000001</v>
      </c>
      <c r="EI217" s="56">
        <v>0</v>
      </c>
      <c r="EJ217" s="56">
        <v>0</v>
      </c>
      <c r="EK217" s="56">
        <v>0</v>
      </c>
      <c r="EL217" s="56">
        <v>0</v>
      </c>
      <c r="EM217" s="56">
        <v>0</v>
      </c>
      <c r="EN217" s="56">
        <v>0</v>
      </c>
      <c r="EO217" s="56">
        <v>0</v>
      </c>
      <c r="EP217" s="56">
        <v>0</v>
      </c>
      <c r="EQ217" s="56">
        <v>0</v>
      </c>
      <c r="ER217" s="56">
        <v>0</v>
      </c>
      <c r="ES217" s="56">
        <v>0</v>
      </c>
      <c r="ET217" s="56">
        <v>0</v>
      </c>
      <c r="EU217" s="56">
        <v>0</v>
      </c>
      <c r="EV217" s="56">
        <v>0</v>
      </c>
      <c r="EW217" s="56">
        <v>0</v>
      </c>
      <c r="EX217" s="56">
        <v>0</v>
      </c>
      <c r="EY217" s="56">
        <v>0</v>
      </c>
      <c r="EZ217" s="56">
        <v>0</v>
      </c>
      <c r="FA217" s="56">
        <v>0</v>
      </c>
      <c r="FB217" s="56">
        <v>0</v>
      </c>
      <c r="FC217" s="58">
        <v>0</v>
      </c>
      <c r="FD217" s="56">
        <v>0</v>
      </c>
      <c r="FE217" s="56">
        <v>0</v>
      </c>
      <c r="FF217" s="56">
        <v>0</v>
      </c>
      <c r="FG217" s="56">
        <v>0</v>
      </c>
      <c r="FH217" s="56">
        <v>0</v>
      </c>
      <c r="FI217" s="56">
        <v>0</v>
      </c>
      <c r="FJ217" s="56">
        <v>0</v>
      </c>
      <c r="FK217" s="56">
        <v>0</v>
      </c>
      <c r="FL217" s="56">
        <v>0</v>
      </c>
      <c r="FM217" s="56">
        <v>0</v>
      </c>
      <c r="FN217" s="56">
        <v>0</v>
      </c>
      <c r="FO217" s="56">
        <v>0</v>
      </c>
      <c r="FP217" s="56">
        <v>0</v>
      </c>
      <c r="FQ217" s="56">
        <v>0</v>
      </c>
      <c r="FR217" s="56">
        <v>0</v>
      </c>
      <c r="FS217" s="58">
        <v>0</v>
      </c>
      <c r="FT217" s="56">
        <v>0</v>
      </c>
      <c r="FU217" s="56">
        <v>0</v>
      </c>
      <c r="FV217" s="56">
        <v>0</v>
      </c>
      <c r="FW217" s="56">
        <v>0</v>
      </c>
      <c r="FX217" s="56">
        <v>0</v>
      </c>
      <c r="FY217" s="56">
        <v>0</v>
      </c>
      <c r="FZ217" s="54" t="s">
        <v>1070</v>
      </c>
      <c r="GA217" s="54" t="s">
        <v>1071</v>
      </c>
      <c r="GB217" s="54" t="s">
        <v>1072</v>
      </c>
      <c r="GC217" s="54" t="s">
        <v>1073</v>
      </c>
      <c r="GD217" s="54" t="s">
        <v>1140</v>
      </c>
      <c r="GE217" s="54" t="s">
        <v>1075</v>
      </c>
      <c r="GF217" s="54"/>
      <c r="GG217" s="55"/>
      <c r="GH217" s="54"/>
      <c r="GI217" s="54"/>
      <c r="GJ217" s="54" t="s">
        <v>1076</v>
      </c>
      <c r="GK217" s="54" t="s">
        <v>1077</v>
      </c>
      <c r="GL217" s="54"/>
      <c r="GM217" s="54"/>
      <c r="GN217" s="54" t="s">
        <v>1078</v>
      </c>
      <c r="GO217" s="54" t="s">
        <v>1059</v>
      </c>
      <c r="GP217" s="54"/>
      <c r="GQ217" s="56">
        <v>0</v>
      </c>
      <c r="GR217" s="54" t="s">
        <v>1079</v>
      </c>
      <c r="GS217" s="54"/>
    </row>
    <row r="218" spans="1:201" x14ac:dyDescent="0.25">
      <c r="A218" s="54" t="s">
        <v>1032</v>
      </c>
      <c r="B218" s="54" t="s">
        <v>1033</v>
      </c>
      <c r="C218" s="54" t="s">
        <v>1269</v>
      </c>
      <c r="D218" s="54" t="s">
        <v>1035</v>
      </c>
      <c r="E218" s="54" t="s">
        <v>1036</v>
      </c>
      <c r="F218" s="55">
        <v>46189</v>
      </c>
      <c r="G218" s="55">
        <v>46189</v>
      </c>
      <c r="H218" s="54" t="s">
        <v>1037</v>
      </c>
      <c r="I218" s="54" t="s">
        <v>1038</v>
      </c>
      <c r="J218" s="54" t="s">
        <v>1039</v>
      </c>
      <c r="K218" s="55"/>
      <c r="L218" s="54" t="s">
        <v>1040</v>
      </c>
      <c r="M218" s="54"/>
      <c r="N218" s="54" t="s">
        <v>1270</v>
      </c>
      <c r="O218" s="54" t="s">
        <v>1126</v>
      </c>
      <c r="P218" s="54" t="s">
        <v>195</v>
      </c>
      <c r="Q218" s="54" t="s">
        <v>27</v>
      </c>
      <c r="R218" s="54" t="s">
        <v>1043</v>
      </c>
      <c r="S218" s="56">
        <v>1167.5999999999999</v>
      </c>
      <c r="T218" s="56">
        <v>1167.5999999999999</v>
      </c>
      <c r="U218" s="56">
        <v>0</v>
      </c>
      <c r="V218" s="56">
        <v>0</v>
      </c>
      <c r="W218" s="56">
        <v>0</v>
      </c>
      <c r="X218" s="56">
        <v>0</v>
      </c>
      <c r="Y218" s="56">
        <v>0</v>
      </c>
      <c r="Z218" s="56">
        <v>420</v>
      </c>
      <c r="AA218" s="56">
        <v>420</v>
      </c>
      <c r="AB218" s="59">
        <v>0</v>
      </c>
      <c r="AC218" s="56">
        <v>0</v>
      </c>
      <c r="AD218" s="56">
        <v>0</v>
      </c>
      <c r="AE218" s="56">
        <v>0</v>
      </c>
      <c r="AF218" s="54" t="s">
        <v>1044</v>
      </c>
      <c r="AG218" s="57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 t="s">
        <v>1045</v>
      </c>
      <c r="AS218" s="54" t="s">
        <v>1046</v>
      </c>
      <c r="AT218" s="54" t="s">
        <v>1047</v>
      </c>
      <c r="AU218" s="54" t="s">
        <v>1048</v>
      </c>
      <c r="AV218" s="54"/>
      <c r="AW218" s="55">
        <v>46202</v>
      </c>
      <c r="AX218" s="55">
        <v>46189</v>
      </c>
      <c r="AY218" s="55">
        <v>46189</v>
      </c>
      <c r="AZ218" s="55"/>
      <c r="BA218" s="55">
        <v>46202</v>
      </c>
      <c r="BB218" s="56">
        <v>0</v>
      </c>
      <c r="BC218" s="56">
        <v>0</v>
      </c>
      <c r="BD218" s="56">
        <v>0</v>
      </c>
      <c r="BE218" s="56">
        <v>0</v>
      </c>
      <c r="BF218" s="56">
        <v>0</v>
      </c>
      <c r="BG218" s="56">
        <v>0</v>
      </c>
      <c r="BH218" s="56">
        <v>0</v>
      </c>
      <c r="BI218" s="56">
        <v>0</v>
      </c>
      <c r="BJ218" s="56">
        <v>0</v>
      </c>
      <c r="BK218" s="56">
        <v>0</v>
      </c>
      <c r="BL218" s="56">
        <v>0</v>
      </c>
      <c r="BM218" s="56">
        <v>0</v>
      </c>
      <c r="BN218" s="56">
        <v>0</v>
      </c>
      <c r="BO218" s="56">
        <v>0</v>
      </c>
      <c r="BP218" s="54" t="s">
        <v>1049</v>
      </c>
      <c r="BQ218" s="54" t="s">
        <v>1050</v>
      </c>
      <c r="BR218" s="54" t="s">
        <v>1049</v>
      </c>
      <c r="BS218" s="54" t="s">
        <v>1050</v>
      </c>
      <c r="BT218" s="54" t="s">
        <v>1051</v>
      </c>
      <c r="BU218" s="54" t="s">
        <v>1043</v>
      </c>
      <c r="BV218" s="58">
        <v>420</v>
      </c>
      <c r="BW218" s="54" t="s">
        <v>1052</v>
      </c>
      <c r="BX218" s="54" t="s">
        <v>1053</v>
      </c>
      <c r="BY218" s="54" t="s">
        <v>1054</v>
      </c>
      <c r="BZ218" s="54" t="s">
        <v>1055</v>
      </c>
      <c r="CA218" s="55"/>
      <c r="CB218" s="54" t="s">
        <v>1056</v>
      </c>
      <c r="CC218" s="54" t="s">
        <v>1057</v>
      </c>
      <c r="CD218" s="54" t="s">
        <v>1058</v>
      </c>
      <c r="CE218" s="54" t="s">
        <v>1059</v>
      </c>
      <c r="CF218" s="54" t="s">
        <v>1060</v>
      </c>
      <c r="CG218" s="54" t="s">
        <v>1061</v>
      </c>
      <c r="CH218" s="54" t="s">
        <v>1062</v>
      </c>
      <c r="CI218" s="54" t="s">
        <v>1063</v>
      </c>
      <c r="CJ218" s="54" t="s">
        <v>1064</v>
      </c>
      <c r="CK218" s="54" t="s">
        <v>1065</v>
      </c>
      <c r="CL218" s="54" t="s">
        <v>1066</v>
      </c>
      <c r="CM218" s="54" t="s">
        <v>1067</v>
      </c>
      <c r="CN218" s="54" t="s">
        <v>1068</v>
      </c>
      <c r="CO218" s="54" t="s">
        <v>1069</v>
      </c>
      <c r="CP218" s="56">
        <v>0</v>
      </c>
      <c r="CQ218" s="56">
        <v>0</v>
      </c>
      <c r="CR218" s="56">
        <v>0</v>
      </c>
      <c r="CS218" s="56">
        <v>0</v>
      </c>
      <c r="CT218" s="56">
        <v>0</v>
      </c>
      <c r="CU218" s="56">
        <v>0</v>
      </c>
      <c r="CV218" s="56">
        <v>0</v>
      </c>
      <c r="CW218" s="56">
        <v>0</v>
      </c>
      <c r="CX218" s="56">
        <v>0</v>
      </c>
      <c r="CY218" s="56">
        <v>0</v>
      </c>
      <c r="CZ218" s="56">
        <v>0</v>
      </c>
      <c r="DA218" s="56">
        <v>0</v>
      </c>
      <c r="DB218" s="56">
        <v>0</v>
      </c>
      <c r="DC218" s="56">
        <v>0</v>
      </c>
      <c r="DD218" s="56">
        <v>0</v>
      </c>
      <c r="DE218" s="56">
        <v>0</v>
      </c>
      <c r="DF218" s="56">
        <v>0</v>
      </c>
      <c r="DG218" s="56">
        <v>0</v>
      </c>
      <c r="DH218" s="56">
        <v>0</v>
      </c>
      <c r="DI218" s="56">
        <v>0</v>
      </c>
      <c r="DJ218" s="56">
        <v>0</v>
      </c>
      <c r="DK218" s="56">
        <v>0</v>
      </c>
      <c r="DL218" s="56">
        <v>0</v>
      </c>
      <c r="DM218" s="56">
        <v>0</v>
      </c>
      <c r="DN218" s="56">
        <v>0</v>
      </c>
      <c r="DO218" s="56">
        <v>0</v>
      </c>
      <c r="DP218" s="56">
        <v>0</v>
      </c>
      <c r="DQ218" s="56">
        <v>0</v>
      </c>
      <c r="DR218" s="56">
        <v>0</v>
      </c>
      <c r="DS218" s="56">
        <v>0</v>
      </c>
      <c r="DT218" s="56">
        <v>0</v>
      </c>
      <c r="DU218" s="56">
        <v>0</v>
      </c>
      <c r="DV218" s="56">
        <v>0</v>
      </c>
      <c r="DW218" s="56">
        <v>0</v>
      </c>
      <c r="DX218" s="56">
        <v>0</v>
      </c>
      <c r="DY218" s="56">
        <v>0</v>
      </c>
      <c r="DZ218" s="56">
        <v>0</v>
      </c>
      <c r="EA218" s="56">
        <v>0</v>
      </c>
      <c r="EB218" s="56">
        <v>0</v>
      </c>
      <c r="EC218" s="56">
        <v>0</v>
      </c>
      <c r="ED218" s="56">
        <v>0</v>
      </c>
      <c r="EE218" s="56">
        <v>0</v>
      </c>
      <c r="EF218" s="56">
        <v>0</v>
      </c>
      <c r="EG218" s="56">
        <v>0</v>
      </c>
      <c r="EH218" s="56">
        <v>140.11000000000001</v>
      </c>
      <c r="EI218" s="56">
        <v>0</v>
      </c>
      <c r="EJ218" s="56">
        <v>0</v>
      </c>
      <c r="EK218" s="56">
        <v>0</v>
      </c>
      <c r="EL218" s="56">
        <v>0</v>
      </c>
      <c r="EM218" s="56">
        <v>0</v>
      </c>
      <c r="EN218" s="56">
        <v>0</v>
      </c>
      <c r="EO218" s="56">
        <v>0</v>
      </c>
      <c r="EP218" s="56">
        <v>0</v>
      </c>
      <c r="EQ218" s="56">
        <v>0</v>
      </c>
      <c r="ER218" s="56">
        <v>0</v>
      </c>
      <c r="ES218" s="56">
        <v>0</v>
      </c>
      <c r="ET218" s="56">
        <v>0</v>
      </c>
      <c r="EU218" s="56">
        <v>0</v>
      </c>
      <c r="EV218" s="56">
        <v>0</v>
      </c>
      <c r="EW218" s="56">
        <v>0</v>
      </c>
      <c r="EX218" s="56">
        <v>0</v>
      </c>
      <c r="EY218" s="56">
        <v>0</v>
      </c>
      <c r="EZ218" s="56">
        <v>0</v>
      </c>
      <c r="FA218" s="56">
        <v>0</v>
      </c>
      <c r="FB218" s="56">
        <v>0</v>
      </c>
      <c r="FC218" s="58">
        <v>0</v>
      </c>
      <c r="FD218" s="56">
        <v>0</v>
      </c>
      <c r="FE218" s="56">
        <v>0</v>
      </c>
      <c r="FF218" s="56">
        <v>0</v>
      </c>
      <c r="FG218" s="56">
        <v>0</v>
      </c>
      <c r="FH218" s="56">
        <v>0</v>
      </c>
      <c r="FI218" s="56">
        <v>0</v>
      </c>
      <c r="FJ218" s="56">
        <v>0</v>
      </c>
      <c r="FK218" s="56">
        <v>0</v>
      </c>
      <c r="FL218" s="56">
        <v>0</v>
      </c>
      <c r="FM218" s="56">
        <v>0</v>
      </c>
      <c r="FN218" s="56">
        <v>0</v>
      </c>
      <c r="FO218" s="56">
        <v>0</v>
      </c>
      <c r="FP218" s="56">
        <v>0</v>
      </c>
      <c r="FQ218" s="56">
        <v>0</v>
      </c>
      <c r="FR218" s="56">
        <v>0</v>
      </c>
      <c r="FS218" s="58">
        <v>0</v>
      </c>
      <c r="FT218" s="56">
        <v>0</v>
      </c>
      <c r="FU218" s="56">
        <v>0</v>
      </c>
      <c r="FV218" s="56">
        <v>0</v>
      </c>
      <c r="FW218" s="56">
        <v>0</v>
      </c>
      <c r="FX218" s="56">
        <v>0</v>
      </c>
      <c r="FY218" s="56">
        <v>0</v>
      </c>
      <c r="FZ218" s="54" t="s">
        <v>1083</v>
      </c>
      <c r="GA218" s="54" t="s">
        <v>1084</v>
      </c>
      <c r="GB218" s="54" t="s">
        <v>1072</v>
      </c>
      <c r="GC218" s="54" t="s">
        <v>1073</v>
      </c>
      <c r="GD218" s="54" t="s">
        <v>1143</v>
      </c>
      <c r="GE218" s="54" t="s">
        <v>1075</v>
      </c>
      <c r="GF218" s="54"/>
      <c r="GG218" s="55"/>
      <c r="GH218" s="54"/>
      <c r="GI218" s="54"/>
      <c r="GJ218" s="54" t="s">
        <v>1076</v>
      </c>
      <c r="GK218" s="54" t="s">
        <v>1077</v>
      </c>
      <c r="GL218" s="54"/>
      <c r="GM218" s="54"/>
      <c r="GN218" s="54" t="s">
        <v>1078</v>
      </c>
      <c r="GO218" s="54" t="s">
        <v>1059</v>
      </c>
      <c r="GP218" s="54"/>
      <c r="GQ218" s="56">
        <v>0</v>
      </c>
      <c r="GR218" s="54" t="s">
        <v>1079</v>
      </c>
      <c r="GS218" s="54"/>
    </row>
    <row r="219" spans="1:201" x14ac:dyDescent="0.25">
      <c r="A219" s="54" t="s">
        <v>1032</v>
      </c>
      <c r="B219" s="54" t="s">
        <v>1033</v>
      </c>
      <c r="C219" s="54" t="s">
        <v>1269</v>
      </c>
      <c r="D219" s="54" t="s">
        <v>1035</v>
      </c>
      <c r="E219" s="54" t="s">
        <v>1036</v>
      </c>
      <c r="F219" s="55">
        <v>46189</v>
      </c>
      <c r="G219" s="55">
        <v>46189</v>
      </c>
      <c r="H219" s="54" t="s">
        <v>1037</v>
      </c>
      <c r="I219" s="54" t="s">
        <v>1038</v>
      </c>
      <c r="J219" s="54" t="s">
        <v>1039</v>
      </c>
      <c r="K219" s="55"/>
      <c r="L219" s="54" t="s">
        <v>1040</v>
      </c>
      <c r="M219" s="54"/>
      <c r="N219" s="54" t="s">
        <v>1270</v>
      </c>
      <c r="O219" s="54" t="s">
        <v>1128</v>
      </c>
      <c r="P219" s="54" t="s">
        <v>316</v>
      </c>
      <c r="Q219" s="54" t="s">
        <v>320</v>
      </c>
      <c r="R219" s="54" t="s">
        <v>1043</v>
      </c>
      <c r="S219" s="56">
        <v>9230</v>
      </c>
      <c r="T219" s="56">
        <v>9230</v>
      </c>
      <c r="U219" s="56">
        <v>0</v>
      </c>
      <c r="V219" s="56">
        <v>0</v>
      </c>
      <c r="W219" s="56">
        <v>0</v>
      </c>
      <c r="X219" s="56">
        <v>0</v>
      </c>
      <c r="Y219" s="56">
        <v>0</v>
      </c>
      <c r="Z219" s="56">
        <v>500</v>
      </c>
      <c r="AA219" s="56">
        <v>500</v>
      </c>
      <c r="AB219" s="59">
        <v>0</v>
      </c>
      <c r="AC219" s="56">
        <v>0</v>
      </c>
      <c r="AD219" s="56">
        <v>0</v>
      </c>
      <c r="AE219" s="56">
        <v>0</v>
      </c>
      <c r="AF219" s="54" t="s">
        <v>1044</v>
      </c>
      <c r="AG219" s="57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 t="s">
        <v>1045</v>
      </c>
      <c r="AS219" s="54" t="s">
        <v>1081</v>
      </c>
      <c r="AT219" s="54" t="s">
        <v>1082</v>
      </c>
      <c r="AU219" s="54" t="s">
        <v>1048</v>
      </c>
      <c r="AV219" s="54"/>
      <c r="AW219" s="55">
        <v>46202</v>
      </c>
      <c r="AX219" s="55">
        <v>46189</v>
      </c>
      <c r="AY219" s="55">
        <v>46189</v>
      </c>
      <c r="AZ219" s="55"/>
      <c r="BA219" s="55">
        <v>46202</v>
      </c>
      <c r="BB219" s="56">
        <v>0</v>
      </c>
      <c r="BC219" s="56">
        <v>0</v>
      </c>
      <c r="BD219" s="56">
        <v>0</v>
      </c>
      <c r="BE219" s="56">
        <v>0</v>
      </c>
      <c r="BF219" s="56">
        <v>0</v>
      </c>
      <c r="BG219" s="56">
        <v>0</v>
      </c>
      <c r="BH219" s="56">
        <v>0</v>
      </c>
      <c r="BI219" s="56">
        <v>0</v>
      </c>
      <c r="BJ219" s="56">
        <v>0</v>
      </c>
      <c r="BK219" s="56">
        <v>0</v>
      </c>
      <c r="BL219" s="56">
        <v>0</v>
      </c>
      <c r="BM219" s="56">
        <v>0</v>
      </c>
      <c r="BN219" s="56">
        <v>0</v>
      </c>
      <c r="BO219" s="56">
        <v>0</v>
      </c>
      <c r="BP219" s="54" t="s">
        <v>1049</v>
      </c>
      <c r="BQ219" s="54" t="s">
        <v>1050</v>
      </c>
      <c r="BR219" s="54" t="s">
        <v>1049</v>
      </c>
      <c r="BS219" s="54" t="s">
        <v>1050</v>
      </c>
      <c r="BT219" s="54" t="s">
        <v>1051</v>
      </c>
      <c r="BU219" s="54" t="s">
        <v>1043</v>
      </c>
      <c r="BV219" s="58">
        <v>500</v>
      </c>
      <c r="BW219" s="54" t="s">
        <v>1052</v>
      </c>
      <c r="BX219" s="54" t="s">
        <v>1053</v>
      </c>
      <c r="BY219" s="54" t="s">
        <v>1054</v>
      </c>
      <c r="BZ219" s="54" t="s">
        <v>1055</v>
      </c>
      <c r="CA219" s="55"/>
      <c r="CB219" s="54" t="s">
        <v>1056</v>
      </c>
      <c r="CC219" s="54" t="s">
        <v>1057</v>
      </c>
      <c r="CD219" s="54" t="s">
        <v>1058</v>
      </c>
      <c r="CE219" s="54" t="s">
        <v>1059</v>
      </c>
      <c r="CF219" s="54" t="s">
        <v>1060</v>
      </c>
      <c r="CG219" s="54" t="s">
        <v>1061</v>
      </c>
      <c r="CH219" s="54" t="s">
        <v>1062</v>
      </c>
      <c r="CI219" s="54" t="s">
        <v>1063</v>
      </c>
      <c r="CJ219" s="54" t="s">
        <v>1064</v>
      </c>
      <c r="CK219" s="54" t="s">
        <v>1065</v>
      </c>
      <c r="CL219" s="54" t="s">
        <v>1066</v>
      </c>
      <c r="CM219" s="54" t="s">
        <v>1067</v>
      </c>
      <c r="CN219" s="54" t="s">
        <v>1068</v>
      </c>
      <c r="CO219" s="54" t="s">
        <v>1069</v>
      </c>
      <c r="CP219" s="56">
        <v>0</v>
      </c>
      <c r="CQ219" s="56">
        <v>0</v>
      </c>
      <c r="CR219" s="56">
        <v>0</v>
      </c>
      <c r="CS219" s="56">
        <v>0</v>
      </c>
      <c r="CT219" s="56">
        <v>0</v>
      </c>
      <c r="CU219" s="56">
        <v>0</v>
      </c>
      <c r="CV219" s="56">
        <v>0</v>
      </c>
      <c r="CW219" s="56">
        <v>0</v>
      </c>
      <c r="CX219" s="56">
        <v>0</v>
      </c>
      <c r="CY219" s="56">
        <v>0</v>
      </c>
      <c r="CZ219" s="56">
        <v>0</v>
      </c>
      <c r="DA219" s="56">
        <v>0</v>
      </c>
      <c r="DB219" s="56">
        <v>0</v>
      </c>
      <c r="DC219" s="56">
        <v>0</v>
      </c>
      <c r="DD219" s="56">
        <v>0</v>
      </c>
      <c r="DE219" s="56">
        <v>0</v>
      </c>
      <c r="DF219" s="56">
        <v>0</v>
      </c>
      <c r="DG219" s="56">
        <v>0</v>
      </c>
      <c r="DH219" s="56">
        <v>0</v>
      </c>
      <c r="DI219" s="56">
        <v>0</v>
      </c>
      <c r="DJ219" s="56">
        <v>0</v>
      </c>
      <c r="DK219" s="56">
        <v>0</v>
      </c>
      <c r="DL219" s="56">
        <v>0</v>
      </c>
      <c r="DM219" s="56">
        <v>0</v>
      </c>
      <c r="DN219" s="56">
        <v>0</v>
      </c>
      <c r="DO219" s="56">
        <v>0</v>
      </c>
      <c r="DP219" s="56">
        <v>0</v>
      </c>
      <c r="DQ219" s="56">
        <v>0</v>
      </c>
      <c r="DR219" s="56">
        <v>0</v>
      </c>
      <c r="DS219" s="56">
        <v>0</v>
      </c>
      <c r="DT219" s="56">
        <v>0</v>
      </c>
      <c r="DU219" s="56">
        <v>0</v>
      </c>
      <c r="DV219" s="56">
        <v>0</v>
      </c>
      <c r="DW219" s="56">
        <v>0</v>
      </c>
      <c r="DX219" s="56">
        <v>0</v>
      </c>
      <c r="DY219" s="56">
        <v>0</v>
      </c>
      <c r="DZ219" s="56">
        <v>0</v>
      </c>
      <c r="EA219" s="56">
        <v>0</v>
      </c>
      <c r="EB219" s="56">
        <v>0</v>
      </c>
      <c r="EC219" s="56">
        <v>0</v>
      </c>
      <c r="ED219" s="56">
        <v>0</v>
      </c>
      <c r="EE219" s="56">
        <v>0</v>
      </c>
      <c r="EF219" s="56">
        <v>0</v>
      </c>
      <c r="EG219" s="56">
        <v>0</v>
      </c>
      <c r="EH219" s="56">
        <v>1107.5999999999999</v>
      </c>
      <c r="EI219" s="56">
        <v>0</v>
      </c>
      <c r="EJ219" s="56">
        <v>0</v>
      </c>
      <c r="EK219" s="56">
        <v>0</v>
      </c>
      <c r="EL219" s="56">
        <v>0</v>
      </c>
      <c r="EM219" s="56">
        <v>0</v>
      </c>
      <c r="EN219" s="56">
        <v>0</v>
      </c>
      <c r="EO219" s="56">
        <v>0</v>
      </c>
      <c r="EP219" s="56">
        <v>0</v>
      </c>
      <c r="EQ219" s="56">
        <v>0</v>
      </c>
      <c r="ER219" s="56">
        <v>0</v>
      </c>
      <c r="ES219" s="56">
        <v>0</v>
      </c>
      <c r="ET219" s="56">
        <v>0</v>
      </c>
      <c r="EU219" s="56">
        <v>0</v>
      </c>
      <c r="EV219" s="56">
        <v>0</v>
      </c>
      <c r="EW219" s="56">
        <v>0</v>
      </c>
      <c r="EX219" s="56">
        <v>0</v>
      </c>
      <c r="EY219" s="56">
        <v>0</v>
      </c>
      <c r="EZ219" s="56">
        <v>0</v>
      </c>
      <c r="FA219" s="56">
        <v>0</v>
      </c>
      <c r="FB219" s="56">
        <v>0</v>
      </c>
      <c r="FC219" s="58">
        <v>0</v>
      </c>
      <c r="FD219" s="56">
        <v>0</v>
      </c>
      <c r="FE219" s="56">
        <v>0</v>
      </c>
      <c r="FF219" s="56">
        <v>0</v>
      </c>
      <c r="FG219" s="56">
        <v>0</v>
      </c>
      <c r="FH219" s="56">
        <v>0</v>
      </c>
      <c r="FI219" s="56">
        <v>0</v>
      </c>
      <c r="FJ219" s="56">
        <v>0</v>
      </c>
      <c r="FK219" s="56">
        <v>0</v>
      </c>
      <c r="FL219" s="56">
        <v>0</v>
      </c>
      <c r="FM219" s="56">
        <v>0</v>
      </c>
      <c r="FN219" s="56">
        <v>0</v>
      </c>
      <c r="FO219" s="56">
        <v>0</v>
      </c>
      <c r="FP219" s="56">
        <v>0</v>
      </c>
      <c r="FQ219" s="56">
        <v>0</v>
      </c>
      <c r="FR219" s="56">
        <v>0</v>
      </c>
      <c r="FS219" s="58">
        <v>0</v>
      </c>
      <c r="FT219" s="56">
        <v>0</v>
      </c>
      <c r="FU219" s="56">
        <v>0</v>
      </c>
      <c r="FV219" s="56">
        <v>0</v>
      </c>
      <c r="FW219" s="56">
        <v>0</v>
      </c>
      <c r="FX219" s="56">
        <v>0</v>
      </c>
      <c r="FY219" s="56">
        <v>0</v>
      </c>
      <c r="FZ219" s="54" t="s">
        <v>1083</v>
      </c>
      <c r="GA219" s="54" t="s">
        <v>1084</v>
      </c>
      <c r="GB219" s="54" t="s">
        <v>1072</v>
      </c>
      <c r="GC219" s="54" t="s">
        <v>1073</v>
      </c>
      <c r="GD219" s="54" t="s">
        <v>1274</v>
      </c>
      <c r="GE219" s="54" t="s">
        <v>1075</v>
      </c>
      <c r="GF219" s="54"/>
      <c r="GG219" s="55"/>
      <c r="GH219" s="54"/>
      <c r="GI219" s="54"/>
      <c r="GJ219" s="54" t="s">
        <v>1076</v>
      </c>
      <c r="GK219" s="54" t="s">
        <v>1077</v>
      </c>
      <c r="GL219" s="54"/>
      <c r="GM219" s="54"/>
      <c r="GN219" s="54" t="s">
        <v>1078</v>
      </c>
      <c r="GO219" s="54" t="s">
        <v>1059</v>
      </c>
      <c r="GP219" s="54"/>
      <c r="GQ219" s="56">
        <v>0</v>
      </c>
      <c r="GR219" s="54" t="s">
        <v>1079</v>
      </c>
      <c r="GS219" s="54"/>
    </row>
    <row r="220" spans="1:201" x14ac:dyDescent="0.25">
      <c r="A220" s="54" t="s">
        <v>1032</v>
      </c>
      <c r="B220" s="54" t="s">
        <v>1033</v>
      </c>
      <c r="C220" s="54" t="s">
        <v>1269</v>
      </c>
      <c r="D220" s="54" t="s">
        <v>1035</v>
      </c>
      <c r="E220" s="54" t="s">
        <v>1036</v>
      </c>
      <c r="F220" s="55">
        <v>46189</v>
      </c>
      <c r="G220" s="55">
        <v>46189</v>
      </c>
      <c r="H220" s="54" t="s">
        <v>1037</v>
      </c>
      <c r="I220" s="54" t="s">
        <v>1038</v>
      </c>
      <c r="J220" s="54" t="s">
        <v>1039</v>
      </c>
      <c r="K220" s="55"/>
      <c r="L220" s="54" t="s">
        <v>1040</v>
      </c>
      <c r="M220" s="54"/>
      <c r="N220" s="54" t="s">
        <v>1270</v>
      </c>
      <c r="O220" s="54" t="s">
        <v>1130</v>
      </c>
      <c r="P220" s="54" t="s">
        <v>336</v>
      </c>
      <c r="Q220" s="54" t="s">
        <v>28</v>
      </c>
      <c r="R220" s="54" t="s">
        <v>1043</v>
      </c>
      <c r="S220" s="56">
        <v>260.39999999999998</v>
      </c>
      <c r="T220" s="56">
        <v>260.39999999999998</v>
      </c>
      <c r="U220" s="56">
        <v>0</v>
      </c>
      <c r="V220" s="56">
        <v>0</v>
      </c>
      <c r="W220" s="56">
        <v>0</v>
      </c>
      <c r="X220" s="56">
        <v>0</v>
      </c>
      <c r="Y220" s="56">
        <v>0</v>
      </c>
      <c r="Z220" s="56">
        <v>120</v>
      </c>
      <c r="AA220" s="56">
        <v>120</v>
      </c>
      <c r="AB220" s="59">
        <v>0</v>
      </c>
      <c r="AC220" s="56">
        <v>0</v>
      </c>
      <c r="AD220" s="56">
        <v>0</v>
      </c>
      <c r="AE220" s="56">
        <v>0</v>
      </c>
      <c r="AF220" s="54" t="s">
        <v>1044</v>
      </c>
      <c r="AG220" s="57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 t="s">
        <v>1045</v>
      </c>
      <c r="AS220" s="54" t="s">
        <v>1081</v>
      </c>
      <c r="AT220" s="54" t="s">
        <v>1082</v>
      </c>
      <c r="AU220" s="54" t="s">
        <v>1048</v>
      </c>
      <c r="AV220" s="54"/>
      <c r="AW220" s="55">
        <v>46202</v>
      </c>
      <c r="AX220" s="55">
        <v>46189</v>
      </c>
      <c r="AY220" s="55">
        <v>46189</v>
      </c>
      <c r="AZ220" s="55"/>
      <c r="BA220" s="55">
        <v>46202</v>
      </c>
      <c r="BB220" s="56">
        <v>0</v>
      </c>
      <c r="BC220" s="56">
        <v>0</v>
      </c>
      <c r="BD220" s="56">
        <v>0</v>
      </c>
      <c r="BE220" s="56">
        <v>0</v>
      </c>
      <c r="BF220" s="56">
        <v>0</v>
      </c>
      <c r="BG220" s="56">
        <v>0</v>
      </c>
      <c r="BH220" s="56">
        <v>0</v>
      </c>
      <c r="BI220" s="56">
        <v>0</v>
      </c>
      <c r="BJ220" s="56">
        <v>0</v>
      </c>
      <c r="BK220" s="56">
        <v>0</v>
      </c>
      <c r="BL220" s="56">
        <v>0</v>
      </c>
      <c r="BM220" s="56">
        <v>0</v>
      </c>
      <c r="BN220" s="56">
        <v>0</v>
      </c>
      <c r="BO220" s="56">
        <v>0</v>
      </c>
      <c r="BP220" s="54" t="s">
        <v>1049</v>
      </c>
      <c r="BQ220" s="54" t="s">
        <v>1050</v>
      </c>
      <c r="BR220" s="54" t="s">
        <v>1049</v>
      </c>
      <c r="BS220" s="54" t="s">
        <v>1050</v>
      </c>
      <c r="BT220" s="54" t="s">
        <v>1051</v>
      </c>
      <c r="BU220" s="54" t="s">
        <v>1043</v>
      </c>
      <c r="BV220" s="58">
        <v>120</v>
      </c>
      <c r="BW220" s="54" t="s">
        <v>1052</v>
      </c>
      <c r="BX220" s="54" t="s">
        <v>1053</v>
      </c>
      <c r="BY220" s="54" t="s">
        <v>1054</v>
      </c>
      <c r="BZ220" s="54" t="s">
        <v>1055</v>
      </c>
      <c r="CA220" s="55"/>
      <c r="CB220" s="54" t="s">
        <v>1056</v>
      </c>
      <c r="CC220" s="54" t="s">
        <v>1057</v>
      </c>
      <c r="CD220" s="54" t="s">
        <v>1058</v>
      </c>
      <c r="CE220" s="54" t="s">
        <v>1059</v>
      </c>
      <c r="CF220" s="54" t="s">
        <v>1060</v>
      </c>
      <c r="CG220" s="54" t="s">
        <v>1061</v>
      </c>
      <c r="CH220" s="54" t="s">
        <v>1062</v>
      </c>
      <c r="CI220" s="54" t="s">
        <v>1063</v>
      </c>
      <c r="CJ220" s="54" t="s">
        <v>1064</v>
      </c>
      <c r="CK220" s="54" t="s">
        <v>1065</v>
      </c>
      <c r="CL220" s="54" t="s">
        <v>1066</v>
      </c>
      <c r="CM220" s="54" t="s">
        <v>1067</v>
      </c>
      <c r="CN220" s="54" t="s">
        <v>1068</v>
      </c>
      <c r="CO220" s="54" t="s">
        <v>1069</v>
      </c>
      <c r="CP220" s="56">
        <v>0</v>
      </c>
      <c r="CQ220" s="56">
        <v>0</v>
      </c>
      <c r="CR220" s="56">
        <v>0</v>
      </c>
      <c r="CS220" s="56">
        <v>0</v>
      </c>
      <c r="CT220" s="56">
        <v>0</v>
      </c>
      <c r="CU220" s="56">
        <v>0</v>
      </c>
      <c r="CV220" s="56">
        <v>0</v>
      </c>
      <c r="CW220" s="56">
        <v>0</v>
      </c>
      <c r="CX220" s="56">
        <v>0</v>
      </c>
      <c r="CY220" s="56">
        <v>0</v>
      </c>
      <c r="CZ220" s="56">
        <v>0</v>
      </c>
      <c r="DA220" s="56">
        <v>0</v>
      </c>
      <c r="DB220" s="56">
        <v>0</v>
      </c>
      <c r="DC220" s="56">
        <v>0</v>
      </c>
      <c r="DD220" s="56">
        <v>0</v>
      </c>
      <c r="DE220" s="56">
        <v>0</v>
      </c>
      <c r="DF220" s="56">
        <v>0</v>
      </c>
      <c r="DG220" s="56">
        <v>0</v>
      </c>
      <c r="DH220" s="56">
        <v>0</v>
      </c>
      <c r="DI220" s="56">
        <v>0</v>
      </c>
      <c r="DJ220" s="56">
        <v>0</v>
      </c>
      <c r="DK220" s="56">
        <v>0</v>
      </c>
      <c r="DL220" s="56">
        <v>0</v>
      </c>
      <c r="DM220" s="56">
        <v>0</v>
      </c>
      <c r="DN220" s="56">
        <v>0</v>
      </c>
      <c r="DO220" s="56">
        <v>0</v>
      </c>
      <c r="DP220" s="56">
        <v>0</v>
      </c>
      <c r="DQ220" s="56">
        <v>0</v>
      </c>
      <c r="DR220" s="56">
        <v>0</v>
      </c>
      <c r="DS220" s="56">
        <v>0</v>
      </c>
      <c r="DT220" s="56">
        <v>0</v>
      </c>
      <c r="DU220" s="56">
        <v>0</v>
      </c>
      <c r="DV220" s="56">
        <v>0</v>
      </c>
      <c r="DW220" s="56">
        <v>0</v>
      </c>
      <c r="DX220" s="56">
        <v>0</v>
      </c>
      <c r="DY220" s="56">
        <v>0</v>
      </c>
      <c r="DZ220" s="56">
        <v>0</v>
      </c>
      <c r="EA220" s="56">
        <v>0</v>
      </c>
      <c r="EB220" s="56">
        <v>0</v>
      </c>
      <c r="EC220" s="56">
        <v>0</v>
      </c>
      <c r="ED220" s="56">
        <v>0</v>
      </c>
      <c r="EE220" s="56">
        <v>0</v>
      </c>
      <c r="EF220" s="56">
        <v>0</v>
      </c>
      <c r="EG220" s="56">
        <v>0</v>
      </c>
      <c r="EH220" s="56">
        <v>31.25</v>
      </c>
      <c r="EI220" s="56">
        <v>0</v>
      </c>
      <c r="EJ220" s="56">
        <v>0</v>
      </c>
      <c r="EK220" s="56">
        <v>0</v>
      </c>
      <c r="EL220" s="56">
        <v>0</v>
      </c>
      <c r="EM220" s="56">
        <v>0</v>
      </c>
      <c r="EN220" s="56">
        <v>0</v>
      </c>
      <c r="EO220" s="56">
        <v>0</v>
      </c>
      <c r="EP220" s="56">
        <v>0</v>
      </c>
      <c r="EQ220" s="56">
        <v>0</v>
      </c>
      <c r="ER220" s="56">
        <v>0</v>
      </c>
      <c r="ES220" s="56">
        <v>0</v>
      </c>
      <c r="ET220" s="56">
        <v>0</v>
      </c>
      <c r="EU220" s="56">
        <v>0</v>
      </c>
      <c r="EV220" s="56">
        <v>0</v>
      </c>
      <c r="EW220" s="56">
        <v>0</v>
      </c>
      <c r="EX220" s="56">
        <v>0</v>
      </c>
      <c r="EY220" s="56">
        <v>0</v>
      </c>
      <c r="EZ220" s="56">
        <v>0</v>
      </c>
      <c r="FA220" s="56">
        <v>0</v>
      </c>
      <c r="FB220" s="56">
        <v>0</v>
      </c>
      <c r="FC220" s="58">
        <v>0</v>
      </c>
      <c r="FD220" s="56">
        <v>0</v>
      </c>
      <c r="FE220" s="56">
        <v>0</v>
      </c>
      <c r="FF220" s="56">
        <v>0</v>
      </c>
      <c r="FG220" s="56">
        <v>0</v>
      </c>
      <c r="FH220" s="56">
        <v>0</v>
      </c>
      <c r="FI220" s="56">
        <v>0</v>
      </c>
      <c r="FJ220" s="56">
        <v>0</v>
      </c>
      <c r="FK220" s="56">
        <v>0</v>
      </c>
      <c r="FL220" s="56">
        <v>0</v>
      </c>
      <c r="FM220" s="56">
        <v>0</v>
      </c>
      <c r="FN220" s="56">
        <v>0</v>
      </c>
      <c r="FO220" s="56">
        <v>0</v>
      </c>
      <c r="FP220" s="56">
        <v>0</v>
      </c>
      <c r="FQ220" s="56">
        <v>0</v>
      </c>
      <c r="FR220" s="56">
        <v>0</v>
      </c>
      <c r="FS220" s="58">
        <v>0</v>
      </c>
      <c r="FT220" s="56">
        <v>0</v>
      </c>
      <c r="FU220" s="56">
        <v>0</v>
      </c>
      <c r="FV220" s="56">
        <v>0</v>
      </c>
      <c r="FW220" s="56">
        <v>0</v>
      </c>
      <c r="FX220" s="56">
        <v>0</v>
      </c>
      <c r="FY220" s="56">
        <v>0</v>
      </c>
      <c r="FZ220" s="54" t="s">
        <v>1083</v>
      </c>
      <c r="GA220" s="54" t="s">
        <v>1084</v>
      </c>
      <c r="GB220" s="54" t="s">
        <v>1072</v>
      </c>
      <c r="GC220" s="54" t="s">
        <v>1073</v>
      </c>
      <c r="GD220" s="54" t="s">
        <v>1275</v>
      </c>
      <c r="GE220" s="54" t="s">
        <v>1075</v>
      </c>
      <c r="GF220" s="54"/>
      <c r="GG220" s="55"/>
      <c r="GH220" s="54"/>
      <c r="GI220" s="54"/>
      <c r="GJ220" s="54" t="s">
        <v>1076</v>
      </c>
      <c r="GK220" s="54" t="s">
        <v>1077</v>
      </c>
      <c r="GL220" s="54"/>
      <c r="GM220" s="54"/>
      <c r="GN220" s="54" t="s">
        <v>1078</v>
      </c>
      <c r="GO220" s="54" t="s">
        <v>1059</v>
      </c>
      <c r="GP220" s="54"/>
      <c r="GQ220" s="56">
        <v>0</v>
      </c>
      <c r="GR220" s="54" t="s">
        <v>1079</v>
      </c>
      <c r="GS220" s="54"/>
    </row>
    <row r="221" spans="1:201" x14ac:dyDescent="0.25">
      <c r="A221" s="54" t="s">
        <v>1032</v>
      </c>
      <c r="B221" s="54" t="s">
        <v>1033</v>
      </c>
      <c r="C221" s="54" t="s">
        <v>1269</v>
      </c>
      <c r="D221" s="54" t="s">
        <v>1035</v>
      </c>
      <c r="E221" s="54" t="s">
        <v>1036</v>
      </c>
      <c r="F221" s="55">
        <v>46189</v>
      </c>
      <c r="G221" s="55">
        <v>46189</v>
      </c>
      <c r="H221" s="54" t="s">
        <v>1037</v>
      </c>
      <c r="I221" s="54" t="s">
        <v>1038</v>
      </c>
      <c r="J221" s="54" t="s">
        <v>1039</v>
      </c>
      <c r="K221" s="55"/>
      <c r="L221" s="54" t="s">
        <v>1040</v>
      </c>
      <c r="M221" s="54"/>
      <c r="N221" s="54" t="s">
        <v>1270</v>
      </c>
      <c r="O221" s="54" t="s">
        <v>1131</v>
      </c>
      <c r="P221" s="54" t="s">
        <v>196</v>
      </c>
      <c r="Q221" s="54" t="s">
        <v>29</v>
      </c>
      <c r="R221" s="54" t="s">
        <v>1043</v>
      </c>
      <c r="S221" s="56">
        <v>523.20000000000005</v>
      </c>
      <c r="T221" s="56">
        <v>0</v>
      </c>
      <c r="U221" s="56">
        <v>0</v>
      </c>
      <c r="V221" s="56">
        <v>523.20000000000005</v>
      </c>
      <c r="W221" s="56">
        <v>0</v>
      </c>
      <c r="X221" s="56">
        <v>0</v>
      </c>
      <c r="Y221" s="56">
        <v>0</v>
      </c>
      <c r="Z221" s="56">
        <v>120</v>
      </c>
      <c r="AA221" s="56">
        <v>0</v>
      </c>
      <c r="AB221" s="59">
        <v>0</v>
      </c>
      <c r="AC221" s="56">
        <v>120</v>
      </c>
      <c r="AD221" s="56">
        <v>0</v>
      </c>
      <c r="AE221" s="56">
        <v>0</v>
      </c>
      <c r="AF221" s="54" t="s">
        <v>1044</v>
      </c>
      <c r="AG221" s="57"/>
      <c r="AH221" s="54" t="s">
        <v>1252</v>
      </c>
      <c r="AI221" s="54" t="s">
        <v>1253</v>
      </c>
      <c r="AJ221" s="54"/>
      <c r="AK221" s="54"/>
      <c r="AL221" s="54"/>
      <c r="AM221" s="54"/>
      <c r="AN221" s="54"/>
      <c r="AO221" s="54"/>
      <c r="AP221" s="54"/>
      <c r="AQ221" s="54"/>
      <c r="AR221" s="54" t="s">
        <v>1045</v>
      </c>
      <c r="AS221" s="54" t="s">
        <v>1046</v>
      </c>
      <c r="AT221" s="54" t="s">
        <v>1047</v>
      </c>
      <c r="AU221" s="54" t="s">
        <v>1048</v>
      </c>
      <c r="AV221" s="54"/>
      <c r="AW221" s="55">
        <v>46202</v>
      </c>
      <c r="AX221" s="55">
        <v>46189</v>
      </c>
      <c r="AY221" s="55">
        <v>46189</v>
      </c>
      <c r="AZ221" s="55"/>
      <c r="BA221" s="55">
        <v>46202</v>
      </c>
      <c r="BB221" s="56">
        <v>0</v>
      </c>
      <c r="BC221" s="56">
        <v>0</v>
      </c>
      <c r="BD221" s="56">
        <v>0</v>
      </c>
      <c r="BE221" s="56">
        <v>0</v>
      </c>
      <c r="BF221" s="56">
        <v>0</v>
      </c>
      <c r="BG221" s="56">
        <v>0</v>
      </c>
      <c r="BH221" s="56">
        <v>0</v>
      </c>
      <c r="BI221" s="56">
        <v>0</v>
      </c>
      <c r="BJ221" s="56">
        <v>0</v>
      </c>
      <c r="BK221" s="56">
        <v>0</v>
      </c>
      <c r="BL221" s="56">
        <v>0</v>
      </c>
      <c r="BM221" s="56">
        <v>0</v>
      </c>
      <c r="BN221" s="56">
        <v>0</v>
      </c>
      <c r="BO221" s="56">
        <v>0</v>
      </c>
      <c r="BP221" s="54" t="s">
        <v>1049</v>
      </c>
      <c r="BQ221" s="54" t="s">
        <v>1050</v>
      </c>
      <c r="BR221" s="54" t="s">
        <v>1049</v>
      </c>
      <c r="BS221" s="54" t="s">
        <v>1050</v>
      </c>
      <c r="BT221" s="54" t="s">
        <v>1051</v>
      </c>
      <c r="BU221" s="54" t="s">
        <v>1043</v>
      </c>
      <c r="BV221" s="58">
        <v>0</v>
      </c>
      <c r="BW221" s="54" t="s">
        <v>1052</v>
      </c>
      <c r="BX221" s="54" t="s">
        <v>1053</v>
      </c>
      <c r="BY221" s="54" t="s">
        <v>1054</v>
      </c>
      <c r="BZ221" s="54" t="s">
        <v>1055</v>
      </c>
      <c r="CA221" s="55"/>
      <c r="CB221" s="54" t="s">
        <v>1056</v>
      </c>
      <c r="CC221" s="54" t="s">
        <v>1057</v>
      </c>
      <c r="CD221" s="54" t="s">
        <v>1058</v>
      </c>
      <c r="CE221" s="54" t="s">
        <v>1059</v>
      </c>
      <c r="CF221" s="54" t="s">
        <v>1060</v>
      </c>
      <c r="CG221" s="54" t="s">
        <v>1061</v>
      </c>
      <c r="CH221" s="54" t="s">
        <v>1062</v>
      </c>
      <c r="CI221" s="54" t="s">
        <v>1063</v>
      </c>
      <c r="CJ221" s="54" t="s">
        <v>1064</v>
      </c>
      <c r="CK221" s="54" t="s">
        <v>1065</v>
      </c>
      <c r="CL221" s="54" t="s">
        <v>1066</v>
      </c>
      <c r="CM221" s="54" t="s">
        <v>1067</v>
      </c>
      <c r="CN221" s="54" t="s">
        <v>1068</v>
      </c>
      <c r="CO221" s="54" t="s">
        <v>1069</v>
      </c>
      <c r="CP221" s="56">
        <v>0</v>
      </c>
      <c r="CQ221" s="56">
        <v>0</v>
      </c>
      <c r="CR221" s="56">
        <v>0</v>
      </c>
      <c r="CS221" s="56">
        <v>0</v>
      </c>
      <c r="CT221" s="56">
        <v>0</v>
      </c>
      <c r="CU221" s="56">
        <v>0</v>
      </c>
      <c r="CV221" s="56">
        <v>0</v>
      </c>
      <c r="CW221" s="56">
        <v>0</v>
      </c>
      <c r="CX221" s="56">
        <v>0</v>
      </c>
      <c r="CY221" s="56">
        <v>0</v>
      </c>
      <c r="CZ221" s="56">
        <v>0</v>
      </c>
      <c r="DA221" s="56">
        <v>0</v>
      </c>
      <c r="DB221" s="56">
        <v>0</v>
      </c>
      <c r="DC221" s="56">
        <v>0</v>
      </c>
      <c r="DD221" s="56">
        <v>0</v>
      </c>
      <c r="DE221" s="56">
        <v>0</v>
      </c>
      <c r="DF221" s="56">
        <v>0</v>
      </c>
      <c r="DG221" s="56">
        <v>0</v>
      </c>
      <c r="DH221" s="56">
        <v>0</v>
      </c>
      <c r="DI221" s="56">
        <v>0</v>
      </c>
      <c r="DJ221" s="56">
        <v>0</v>
      </c>
      <c r="DK221" s="56">
        <v>0</v>
      </c>
      <c r="DL221" s="56">
        <v>0</v>
      </c>
      <c r="DM221" s="56">
        <v>0</v>
      </c>
      <c r="DN221" s="56">
        <v>0</v>
      </c>
      <c r="DO221" s="56">
        <v>0</v>
      </c>
      <c r="DP221" s="56">
        <v>0</v>
      </c>
      <c r="DQ221" s="56">
        <v>0</v>
      </c>
      <c r="DR221" s="56">
        <v>0</v>
      </c>
      <c r="DS221" s="56">
        <v>0</v>
      </c>
      <c r="DT221" s="56">
        <v>0</v>
      </c>
      <c r="DU221" s="56">
        <v>0</v>
      </c>
      <c r="DV221" s="56">
        <v>0</v>
      </c>
      <c r="DW221" s="56">
        <v>0</v>
      </c>
      <c r="DX221" s="56">
        <v>0</v>
      </c>
      <c r="DY221" s="56">
        <v>0</v>
      </c>
      <c r="DZ221" s="56">
        <v>0</v>
      </c>
      <c r="EA221" s="56">
        <v>0</v>
      </c>
      <c r="EB221" s="56">
        <v>0</v>
      </c>
      <c r="EC221" s="56">
        <v>0</v>
      </c>
      <c r="ED221" s="56">
        <v>0</v>
      </c>
      <c r="EE221" s="56">
        <v>0</v>
      </c>
      <c r="EF221" s="56">
        <v>0</v>
      </c>
      <c r="EG221" s="56">
        <v>0</v>
      </c>
      <c r="EH221" s="56">
        <v>62.78</v>
      </c>
      <c r="EI221" s="56">
        <v>0</v>
      </c>
      <c r="EJ221" s="56">
        <v>0</v>
      </c>
      <c r="EK221" s="56">
        <v>0</v>
      </c>
      <c r="EL221" s="56">
        <v>0</v>
      </c>
      <c r="EM221" s="56">
        <v>0</v>
      </c>
      <c r="EN221" s="56">
        <v>0</v>
      </c>
      <c r="EO221" s="56">
        <v>0</v>
      </c>
      <c r="EP221" s="56">
        <v>0</v>
      </c>
      <c r="EQ221" s="56">
        <v>0</v>
      </c>
      <c r="ER221" s="56">
        <v>0</v>
      </c>
      <c r="ES221" s="56">
        <v>0</v>
      </c>
      <c r="ET221" s="56">
        <v>0</v>
      </c>
      <c r="EU221" s="56">
        <v>0</v>
      </c>
      <c r="EV221" s="56">
        <v>0</v>
      </c>
      <c r="EW221" s="56">
        <v>0</v>
      </c>
      <c r="EX221" s="56">
        <v>0</v>
      </c>
      <c r="EY221" s="56">
        <v>0</v>
      </c>
      <c r="EZ221" s="56">
        <v>0</v>
      </c>
      <c r="FA221" s="56">
        <v>0</v>
      </c>
      <c r="FB221" s="56">
        <v>0</v>
      </c>
      <c r="FC221" s="58">
        <v>0</v>
      </c>
      <c r="FD221" s="56">
        <v>0</v>
      </c>
      <c r="FE221" s="56">
        <v>0</v>
      </c>
      <c r="FF221" s="56">
        <v>0</v>
      </c>
      <c r="FG221" s="56">
        <v>0</v>
      </c>
      <c r="FH221" s="56">
        <v>0</v>
      </c>
      <c r="FI221" s="56">
        <v>0</v>
      </c>
      <c r="FJ221" s="56">
        <v>0</v>
      </c>
      <c r="FK221" s="56">
        <v>0</v>
      </c>
      <c r="FL221" s="56">
        <v>0</v>
      </c>
      <c r="FM221" s="56">
        <v>0</v>
      </c>
      <c r="FN221" s="56">
        <v>0</v>
      </c>
      <c r="FO221" s="56">
        <v>0</v>
      </c>
      <c r="FP221" s="56">
        <v>0</v>
      </c>
      <c r="FQ221" s="56">
        <v>0</v>
      </c>
      <c r="FR221" s="56">
        <v>0</v>
      </c>
      <c r="FS221" s="58">
        <v>0</v>
      </c>
      <c r="FT221" s="56">
        <v>0</v>
      </c>
      <c r="FU221" s="56">
        <v>0</v>
      </c>
      <c r="FV221" s="56">
        <v>0</v>
      </c>
      <c r="FW221" s="56">
        <v>0</v>
      </c>
      <c r="FX221" s="56">
        <v>0</v>
      </c>
      <c r="FY221" s="56">
        <v>0</v>
      </c>
      <c r="FZ221" s="54" t="s">
        <v>1070</v>
      </c>
      <c r="GA221" s="54" t="s">
        <v>1071</v>
      </c>
      <c r="GB221" s="54" t="s">
        <v>1072</v>
      </c>
      <c r="GC221" s="54" t="s">
        <v>1073</v>
      </c>
      <c r="GD221" s="54" t="s">
        <v>1145</v>
      </c>
      <c r="GE221" s="54" t="s">
        <v>1075</v>
      </c>
      <c r="GF221" s="54"/>
      <c r="GG221" s="55"/>
      <c r="GH221" s="54"/>
      <c r="GI221" s="54"/>
      <c r="GJ221" s="54" t="s">
        <v>1076</v>
      </c>
      <c r="GK221" s="54" t="s">
        <v>1077</v>
      </c>
      <c r="GL221" s="54"/>
      <c r="GM221" s="54"/>
      <c r="GN221" s="54" t="s">
        <v>1078</v>
      </c>
      <c r="GO221" s="54" t="s">
        <v>1059</v>
      </c>
      <c r="GP221" s="54"/>
      <c r="GQ221" s="56">
        <v>0</v>
      </c>
      <c r="GR221" s="54" t="s">
        <v>1079</v>
      </c>
      <c r="GS221" s="54"/>
    </row>
    <row r="222" spans="1:201" x14ac:dyDescent="0.25">
      <c r="A222" s="54" t="s">
        <v>1032</v>
      </c>
      <c r="B222" s="54" t="s">
        <v>1033</v>
      </c>
      <c r="C222" s="54" t="s">
        <v>1269</v>
      </c>
      <c r="D222" s="54" t="s">
        <v>1035</v>
      </c>
      <c r="E222" s="54" t="s">
        <v>1036</v>
      </c>
      <c r="F222" s="55">
        <v>46189</v>
      </c>
      <c r="G222" s="55">
        <v>46189</v>
      </c>
      <c r="H222" s="54" t="s">
        <v>1037</v>
      </c>
      <c r="I222" s="54" t="s">
        <v>1038</v>
      </c>
      <c r="J222" s="54" t="s">
        <v>1039</v>
      </c>
      <c r="K222" s="55"/>
      <c r="L222" s="54" t="s">
        <v>1040</v>
      </c>
      <c r="M222" s="54"/>
      <c r="N222" s="54" t="s">
        <v>1270</v>
      </c>
      <c r="O222" s="54" t="s">
        <v>1132</v>
      </c>
      <c r="P222" s="54" t="s">
        <v>199</v>
      </c>
      <c r="Q222" s="54" t="s">
        <v>31</v>
      </c>
      <c r="R222" s="54" t="s">
        <v>1043</v>
      </c>
      <c r="S222" s="56">
        <v>724.8</v>
      </c>
      <c r="T222" s="56">
        <v>724.8</v>
      </c>
      <c r="U222" s="56">
        <v>0</v>
      </c>
      <c r="V222" s="56">
        <v>0</v>
      </c>
      <c r="W222" s="56">
        <v>0</v>
      </c>
      <c r="X222" s="56">
        <v>0</v>
      </c>
      <c r="Y222" s="56">
        <v>0</v>
      </c>
      <c r="Z222" s="56">
        <v>120</v>
      </c>
      <c r="AA222" s="56">
        <v>120</v>
      </c>
      <c r="AB222" s="59">
        <v>0</v>
      </c>
      <c r="AC222" s="56">
        <v>0</v>
      </c>
      <c r="AD222" s="56">
        <v>0</v>
      </c>
      <c r="AE222" s="56">
        <v>0</v>
      </c>
      <c r="AF222" s="54" t="s">
        <v>1044</v>
      </c>
      <c r="AG222" s="57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 t="s">
        <v>1045</v>
      </c>
      <c r="AS222" s="54" t="s">
        <v>1081</v>
      </c>
      <c r="AT222" s="54" t="s">
        <v>1082</v>
      </c>
      <c r="AU222" s="54" t="s">
        <v>1048</v>
      </c>
      <c r="AV222" s="54"/>
      <c r="AW222" s="55">
        <v>46202</v>
      </c>
      <c r="AX222" s="55">
        <v>46189</v>
      </c>
      <c r="AY222" s="55">
        <v>46189</v>
      </c>
      <c r="AZ222" s="55"/>
      <c r="BA222" s="55">
        <v>46202</v>
      </c>
      <c r="BB222" s="56">
        <v>0</v>
      </c>
      <c r="BC222" s="56">
        <v>0</v>
      </c>
      <c r="BD222" s="56">
        <v>0</v>
      </c>
      <c r="BE222" s="56">
        <v>0</v>
      </c>
      <c r="BF222" s="56">
        <v>0</v>
      </c>
      <c r="BG222" s="56">
        <v>0</v>
      </c>
      <c r="BH222" s="56">
        <v>0</v>
      </c>
      <c r="BI222" s="56">
        <v>0</v>
      </c>
      <c r="BJ222" s="56">
        <v>0</v>
      </c>
      <c r="BK222" s="56">
        <v>0</v>
      </c>
      <c r="BL222" s="56">
        <v>0</v>
      </c>
      <c r="BM222" s="56">
        <v>0</v>
      </c>
      <c r="BN222" s="56">
        <v>0</v>
      </c>
      <c r="BO222" s="56">
        <v>0</v>
      </c>
      <c r="BP222" s="54" t="s">
        <v>1049</v>
      </c>
      <c r="BQ222" s="54" t="s">
        <v>1050</v>
      </c>
      <c r="BR222" s="54" t="s">
        <v>1049</v>
      </c>
      <c r="BS222" s="54" t="s">
        <v>1050</v>
      </c>
      <c r="BT222" s="54" t="s">
        <v>1051</v>
      </c>
      <c r="BU222" s="54" t="s">
        <v>1043</v>
      </c>
      <c r="BV222" s="58">
        <v>120</v>
      </c>
      <c r="BW222" s="54" t="s">
        <v>1052</v>
      </c>
      <c r="BX222" s="54" t="s">
        <v>1053</v>
      </c>
      <c r="BY222" s="54" t="s">
        <v>1054</v>
      </c>
      <c r="BZ222" s="54" t="s">
        <v>1055</v>
      </c>
      <c r="CA222" s="55"/>
      <c r="CB222" s="54" t="s">
        <v>1056</v>
      </c>
      <c r="CC222" s="54" t="s">
        <v>1057</v>
      </c>
      <c r="CD222" s="54" t="s">
        <v>1058</v>
      </c>
      <c r="CE222" s="54" t="s">
        <v>1059</v>
      </c>
      <c r="CF222" s="54" t="s">
        <v>1060</v>
      </c>
      <c r="CG222" s="54" t="s">
        <v>1061</v>
      </c>
      <c r="CH222" s="54" t="s">
        <v>1062</v>
      </c>
      <c r="CI222" s="54" t="s">
        <v>1063</v>
      </c>
      <c r="CJ222" s="54" t="s">
        <v>1064</v>
      </c>
      <c r="CK222" s="54" t="s">
        <v>1065</v>
      </c>
      <c r="CL222" s="54" t="s">
        <v>1066</v>
      </c>
      <c r="CM222" s="54" t="s">
        <v>1067</v>
      </c>
      <c r="CN222" s="54" t="s">
        <v>1068</v>
      </c>
      <c r="CO222" s="54" t="s">
        <v>1069</v>
      </c>
      <c r="CP222" s="56">
        <v>0</v>
      </c>
      <c r="CQ222" s="56">
        <v>0</v>
      </c>
      <c r="CR222" s="56">
        <v>0</v>
      </c>
      <c r="CS222" s="56">
        <v>0</v>
      </c>
      <c r="CT222" s="56">
        <v>0</v>
      </c>
      <c r="CU222" s="56">
        <v>0</v>
      </c>
      <c r="CV222" s="56">
        <v>0</v>
      </c>
      <c r="CW222" s="56">
        <v>0</v>
      </c>
      <c r="CX222" s="56">
        <v>0</v>
      </c>
      <c r="CY222" s="56">
        <v>0</v>
      </c>
      <c r="CZ222" s="56">
        <v>0</v>
      </c>
      <c r="DA222" s="56">
        <v>0</v>
      </c>
      <c r="DB222" s="56">
        <v>0</v>
      </c>
      <c r="DC222" s="56">
        <v>0</v>
      </c>
      <c r="DD222" s="56">
        <v>0</v>
      </c>
      <c r="DE222" s="56">
        <v>0</v>
      </c>
      <c r="DF222" s="56">
        <v>0</v>
      </c>
      <c r="DG222" s="56">
        <v>0</v>
      </c>
      <c r="DH222" s="56">
        <v>0</v>
      </c>
      <c r="DI222" s="56">
        <v>0</v>
      </c>
      <c r="DJ222" s="56">
        <v>0</v>
      </c>
      <c r="DK222" s="56">
        <v>0</v>
      </c>
      <c r="DL222" s="56">
        <v>0</v>
      </c>
      <c r="DM222" s="56">
        <v>0</v>
      </c>
      <c r="DN222" s="56">
        <v>0</v>
      </c>
      <c r="DO222" s="56">
        <v>0</v>
      </c>
      <c r="DP222" s="56">
        <v>0</v>
      </c>
      <c r="DQ222" s="56">
        <v>0</v>
      </c>
      <c r="DR222" s="56">
        <v>0</v>
      </c>
      <c r="DS222" s="56">
        <v>0</v>
      </c>
      <c r="DT222" s="56">
        <v>0</v>
      </c>
      <c r="DU222" s="56">
        <v>0</v>
      </c>
      <c r="DV222" s="56">
        <v>0</v>
      </c>
      <c r="DW222" s="56">
        <v>0</v>
      </c>
      <c r="DX222" s="56">
        <v>0</v>
      </c>
      <c r="DY222" s="56">
        <v>0</v>
      </c>
      <c r="DZ222" s="56">
        <v>0</v>
      </c>
      <c r="EA222" s="56">
        <v>0</v>
      </c>
      <c r="EB222" s="56">
        <v>0</v>
      </c>
      <c r="EC222" s="56">
        <v>0</v>
      </c>
      <c r="ED222" s="56">
        <v>0</v>
      </c>
      <c r="EE222" s="56">
        <v>0</v>
      </c>
      <c r="EF222" s="56">
        <v>0</v>
      </c>
      <c r="EG222" s="56">
        <v>0</v>
      </c>
      <c r="EH222" s="56">
        <v>86.98</v>
      </c>
      <c r="EI222" s="56">
        <v>0</v>
      </c>
      <c r="EJ222" s="56">
        <v>0</v>
      </c>
      <c r="EK222" s="56">
        <v>0</v>
      </c>
      <c r="EL222" s="56">
        <v>0</v>
      </c>
      <c r="EM222" s="56">
        <v>0</v>
      </c>
      <c r="EN222" s="56">
        <v>0</v>
      </c>
      <c r="EO222" s="56">
        <v>0</v>
      </c>
      <c r="EP222" s="56">
        <v>0</v>
      </c>
      <c r="EQ222" s="56">
        <v>0</v>
      </c>
      <c r="ER222" s="56">
        <v>0</v>
      </c>
      <c r="ES222" s="56">
        <v>0</v>
      </c>
      <c r="ET222" s="56">
        <v>0</v>
      </c>
      <c r="EU222" s="56">
        <v>0</v>
      </c>
      <c r="EV222" s="56">
        <v>0</v>
      </c>
      <c r="EW222" s="56">
        <v>0</v>
      </c>
      <c r="EX222" s="56">
        <v>0</v>
      </c>
      <c r="EY222" s="56">
        <v>0</v>
      </c>
      <c r="EZ222" s="56">
        <v>0</v>
      </c>
      <c r="FA222" s="56">
        <v>0</v>
      </c>
      <c r="FB222" s="56">
        <v>0</v>
      </c>
      <c r="FC222" s="58">
        <v>0</v>
      </c>
      <c r="FD222" s="56">
        <v>0</v>
      </c>
      <c r="FE222" s="56">
        <v>0</v>
      </c>
      <c r="FF222" s="56">
        <v>0</v>
      </c>
      <c r="FG222" s="56">
        <v>0</v>
      </c>
      <c r="FH222" s="56">
        <v>0</v>
      </c>
      <c r="FI222" s="56">
        <v>0</v>
      </c>
      <c r="FJ222" s="56">
        <v>0</v>
      </c>
      <c r="FK222" s="56">
        <v>0</v>
      </c>
      <c r="FL222" s="56">
        <v>0</v>
      </c>
      <c r="FM222" s="56">
        <v>0</v>
      </c>
      <c r="FN222" s="56">
        <v>0</v>
      </c>
      <c r="FO222" s="56">
        <v>0</v>
      </c>
      <c r="FP222" s="56">
        <v>0</v>
      </c>
      <c r="FQ222" s="56">
        <v>0</v>
      </c>
      <c r="FR222" s="56">
        <v>0</v>
      </c>
      <c r="FS222" s="58">
        <v>0</v>
      </c>
      <c r="FT222" s="56">
        <v>0</v>
      </c>
      <c r="FU222" s="56">
        <v>0</v>
      </c>
      <c r="FV222" s="56">
        <v>0</v>
      </c>
      <c r="FW222" s="56">
        <v>0</v>
      </c>
      <c r="FX222" s="56">
        <v>0</v>
      </c>
      <c r="FY222" s="56">
        <v>0</v>
      </c>
      <c r="FZ222" s="54" t="s">
        <v>1083</v>
      </c>
      <c r="GA222" s="54" t="s">
        <v>1084</v>
      </c>
      <c r="GB222" s="54" t="s">
        <v>1072</v>
      </c>
      <c r="GC222" s="54" t="s">
        <v>1073</v>
      </c>
      <c r="GD222" s="54" t="s">
        <v>1147</v>
      </c>
      <c r="GE222" s="54" t="s">
        <v>1075</v>
      </c>
      <c r="GF222" s="54"/>
      <c r="GG222" s="55"/>
      <c r="GH222" s="54"/>
      <c r="GI222" s="54"/>
      <c r="GJ222" s="54" t="s">
        <v>1076</v>
      </c>
      <c r="GK222" s="54" t="s">
        <v>1077</v>
      </c>
      <c r="GL222" s="54"/>
      <c r="GM222" s="54"/>
      <c r="GN222" s="54" t="s">
        <v>1078</v>
      </c>
      <c r="GO222" s="54" t="s">
        <v>1059</v>
      </c>
      <c r="GP222" s="54"/>
      <c r="GQ222" s="56">
        <v>0</v>
      </c>
      <c r="GR222" s="54" t="s">
        <v>1079</v>
      </c>
      <c r="GS222" s="54"/>
    </row>
    <row r="223" spans="1:201" x14ac:dyDescent="0.25">
      <c r="A223" s="54" t="s">
        <v>1032</v>
      </c>
      <c r="B223" s="54" t="s">
        <v>1033</v>
      </c>
      <c r="C223" s="54" t="s">
        <v>1269</v>
      </c>
      <c r="D223" s="54" t="s">
        <v>1035</v>
      </c>
      <c r="E223" s="54" t="s">
        <v>1036</v>
      </c>
      <c r="F223" s="55">
        <v>46189</v>
      </c>
      <c r="G223" s="55">
        <v>46189</v>
      </c>
      <c r="H223" s="54" t="s">
        <v>1037</v>
      </c>
      <c r="I223" s="54" t="s">
        <v>1038</v>
      </c>
      <c r="J223" s="54" t="s">
        <v>1039</v>
      </c>
      <c r="K223" s="55"/>
      <c r="L223" s="54" t="s">
        <v>1040</v>
      </c>
      <c r="M223" s="54"/>
      <c r="N223" s="54" t="s">
        <v>1270</v>
      </c>
      <c r="O223" s="54" t="s">
        <v>1133</v>
      </c>
      <c r="P223" s="54" t="s">
        <v>198</v>
      </c>
      <c r="Q223" s="54" t="s">
        <v>394</v>
      </c>
      <c r="R223" s="54" t="s">
        <v>1043</v>
      </c>
      <c r="S223" s="56">
        <v>3063</v>
      </c>
      <c r="T223" s="56">
        <v>3063</v>
      </c>
      <c r="U223" s="56">
        <v>0</v>
      </c>
      <c r="V223" s="56">
        <v>0</v>
      </c>
      <c r="W223" s="56">
        <v>0</v>
      </c>
      <c r="X223" s="56">
        <v>0</v>
      </c>
      <c r="Y223" s="56">
        <v>0</v>
      </c>
      <c r="Z223" s="56">
        <v>300</v>
      </c>
      <c r="AA223" s="56">
        <v>300</v>
      </c>
      <c r="AB223" s="59">
        <v>0</v>
      </c>
      <c r="AC223" s="56">
        <v>0</v>
      </c>
      <c r="AD223" s="56">
        <v>0</v>
      </c>
      <c r="AE223" s="56">
        <v>0</v>
      </c>
      <c r="AF223" s="54" t="s">
        <v>1044</v>
      </c>
      <c r="AG223" s="57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 t="s">
        <v>1045</v>
      </c>
      <c r="AS223" s="54" t="s">
        <v>1081</v>
      </c>
      <c r="AT223" s="54" t="s">
        <v>1082</v>
      </c>
      <c r="AU223" s="54" t="s">
        <v>1048</v>
      </c>
      <c r="AV223" s="54"/>
      <c r="AW223" s="55">
        <v>46202</v>
      </c>
      <c r="AX223" s="55">
        <v>46189</v>
      </c>
      <c r="AY223" s="55">
        <v>46189</v>
      </c>
      <c r="AZ223" s="55"/>
      <c r="BA223" s="55">
        <v>46202</v>
      </c>
      <c r="BB223" s="56">
        <v>0</v>
      </c>
      <c r="BC223" s="56">
        <v>0</v>
      </c>
      <c r="BD223" s="56">
        <v>0</v>
      </c>
      <c r="BE223" s="56">
        <v>0</v>
      </c>
      <c r="BF223" s="56">
        <v>0</v>
      </c>
      <c r="BG223" s="56">
        <v>0</v>
      </c>
      <c r="BH223" s="56">
        <v>0</v>
      </c>
      <c r="BI223" s="56">
        <v>0</v>
      </c>
      <c r="BJ223" s="56">
        <v>0</v>
      </c>
      <c r="BK223" s="56">
        <v>0</v>
      </c>
      <c r="BL223" s="56">
        <v>0</v>
      </c>
      <c r="BM223" s="56">
        <v>0</v>
      </c>
      <c r="BN223" s="56">
        <v>0</v>
      </c>
      <c r="BO223" s="56">
        <v>0</v>
      </c>
      <c r="BP223" s="54" t="s">
        <v>1049</v>
      </c>
      <c r="BQ223" s="54" t="s">
        <v>1050</v>
      </c>
      <c r="BR223" s="54" t="s">
        <v>1049</v>
      </c>
      <c r="BS223" s="54" t="s">
        <v>1050</v>
      </c>
      <c r="BT223" s="54" t="s">
        <v>1051</v>
      </c>
      <c r="BU223" s="54" t="s">
        <v>1043</v>
      </c>
      <c r="BV223" s="58">
        <v>300</v>
      </c>
      <c r="BW223" s="54" t="s">
        <v>1052</v>
      </c>
      <c r="BX223" s="54" t="s">
        <v>1053</v>
      </c>
      <c r="BY223" s="54" t="s">
        <v>1054</v>
      </c>
      <c r="BZ223" s="54" t="s">
        <v>1055</v>
      </c>
      <c r="CA223" s="55"/>
      <c r="CB223" s="54" t="s">
        <v>1056</v>
      </c>
      <c r="CC223" s="54" t="s">
        <v>1057</v>
      </c>
      <c r="CD223" s="54" t="s">
        <v>1058</v>
      </c>
      <c r="CE223" s="54" t="s">
        <v>1059</v>
      </c>
      <c r="CF223" s="54" t="s">
        <v>1060</v>
      </c>
      <c r="CG223" s="54" t="s">
        <v>1061</v>
      </c>
      <c r="CH223" s="54" t="s">
        <v>1062</v>
      </c>
      <c r="CI223" s="54" t="s">
        <v>1063</v>
      </c>
      <c r="CJ223" s="54" t="s">
        <v>1064</v>
      </c>
      <c r="CK223" s="54" t="s">
        <v>1065</v>
      </c>
      <c r="CL223" s="54" t="s">
        <v>1066</v>
      </c>
      <c r="CM223" s="54" t="s">
        <v>1067</v>
      </c>
      <c r="CN223" s="54" t="s">
        <v>1068</v>
      </c>
      <c r="CO223" s="54" t="s">
        <v>1069</v>
      </c>
      <c r="CP223" s="56">
        <v>0</v>
      </c>
      <c r="CQ223" s="56">
        <v>0</v>
      </c>
      <c r="CR223" s="56">
        <v>0</v>
      </c>
      <c r="CS223" s="56">
        <v>0</v>
      </c>
      <c r="CT223" s="56">
        <v>0</v>
      </c>
      <c r="CU223" s="56">
        <v>0</v>
      </c>
      <c r="CV223" s="56">
        <v>0</v>
      </c>
      <c r="CW223" s="56">
        <v>0</v>
      </c>
      <c r="CX223" s="56">
        <v>0</v>
      </c>
      <c r="CY223" s="56">
        <v>0</v>
      </c>
      <c r="CZ223" s="56">
        <v>0</v>
      </c>
      <c r="DA223" s="56">
        <v>0</v>
      </c>
      <c r="DB223" s="56">
        <v>0</v>
      </c>
      <c r="DC223" s="56">
        <v>0</v>
      </c>
      <c r="DD223" s="56">
        <v>0</v>
      </c>
      <c r="DE223" s="56">
        <v>0</v>
      </c>
      <c r="DF223" s="56">
        <v>0</v>
      </c>
      <c r="DG223" s="56">
        <v>0</v>
      </c>
      <c r="DH223" s="56">
        <v>0</v>
      </c>
      <c r="DI223" s="56">
        <v>0</v>
      </c>
      <c r="DJ223" s="56">
        <v>0</v>
      </c>
      <c r="DK223" s="56">
        <v>0</v>
      </c>
      <c r="DL223" s="56">
        <v>0</v>
      </c>
      <c r="DM223" s="56">
        <v>0</v>
      </c>
      <c r="DN223" s="56">
        <v>0</v>
      </c>
      <c r="DO223" s="56">
        <v>0</v>
      </c>
      <c r="DP223" s="56">
        <v>0</v>
      </c>
      <c r="DQ223" s="56">
        <v>0</v>
      </c>
      <c r="DR223" s="56">
        <v>0</v>
      </c>
      <c r="DS223" s="56">
        <v>0</v>
      </c>
      <c r="DT223" s="56">
        <v>0</v>
      </c>
      <c r="DU223" s="56">
        <v>0</v>
      </c>
      <c r="DV223" s="56">
        <v>0</v>
      </c>
      <c r="DW223" s="56">
        <v>0</v>
      </c>
      <c r="DX223" s="56">
        <v>0</v>
      </c>
      <c r="DY223" s="56">
        <v>0</v>
      </c>
      <c r="DZ223" s="56">
        <v>0</v>
      </c>
      <c r="EA223" s="56">
        <v>0</v>
      </c>
      <c r="EB223" s="56">
        <v>0</v>
      </c>
      <c r="EC223" s="56">
        <v>0</v>
      </c>
      <c r="ED223" s="56">
        <v>0</v>
      </c>
      <c r="EE223" s="56">
        <v>0</v>
      </c>
      <c r="EF223" s="56">
        <v>0</v>
      </c>
      <c r="EG223" s="56">
        <v>0</v>
      </c>
      <c r="EH223" s="56">
        <v>367.56</v>
      </c>
      <c r="EI223" s="56">
        <v>0</v>
      </c>
      <c r="EJ223" s="56">
        <v>0</v>
      </c>
      <c r="EK223" s="56">
        <v>0</v>
      </c>
      <c r="EL223" s="56">
        <v>0</v>
      </c>
      <c r="EM223" s="56">
        <v>0</v>
      </c>
      <c r="EN223" s="56">
        <v>0</v>
      </c>
      <c r="EO223" s="56">
        <v>0</v>
      </c>
      <c r="EP223" s="56">
        <v>0</v>
      </c>
      <c r="EQ223" s="56">
        <v>0</v>
      </c>
      <c r="ER223" s="56">
        <v>0</v>
      </c>
      <c r="ES223" s="56">
        <v>0</v>
      </c>
      <c r="ET223" s="56">
        <v>0</v>
      </c>
      <c r="EU223" s="56">
        <v>0</v>
      </c>
      <c r="EV223" s="56">
        <v>0</v>
      </c>
      <c r="EW223" s="56">
        <v>0</v>
      </c>
      <c r="EX223" s="56">
        <v>0</v>
      </c>
      <c r="EY223" s="56">
        <v>0</v>
      </c>
      <c r="EZ223" s="56">
        <v>0</v>
      </c>
      <c r="FA223" s="56">
        <v>0</v>
      </c>
      <c r="FB223" s="56">
        <v>0</v>
      </c>
      <c r="FC223" s="58">
        <v>0</v>
      </c>
      <c r="FD223" s="56">
        <v>0</v>
      </c>
      <c r="FE223" s="56">
        <v>0</v>
      </c>
      <c r="FF223" s="56">
        <v>0</v>
      </c>
      <c r="FG223" s="56">
        <v>0</v>
      </c>
      <c r="FH223" s="56">
        <v>0</v>
      </c>
      <c r="FI223" s="56">
        <v>0</v>
      </c>
      <c r="FJ223" s="56">
        <v>0</v>
      </c>
      <c r="FK223" s="56">
        <v>0</v>
      </c>
      <c r="FL223" s="56">
        <v>0</v>
      </c>
      <c r="FM223" s="56">
        <v>0</v>
      </c>
      <c r="FN223" s="56">
        <v>0</v>
      </c>
      <c r="FO223" s="56">
        <v>0</v>
      </c>
      <c r="FP223" s="56">
        <v>0</v>
      </c>
      <c r="FQ223" s="56">
        <v>0</v>
      </c>
      <c r="FR223" s="56">
        <v>0</v>
      </c>
      <c r="FS223" s="58">
        <v>0</v>
      </c>
      <c r="FT223" s="56">
        <v>0</v>
      </c>
      <c r="FU223" s="56">
        <v>0</v>
      </c>
      <c r="FV223" s="56">
        <v>0</v>
      </c>
      <c r="FW223" s="56">
        <v>0</v>
      </c>
      <c r="FX223" s="56">
        <v>0</v>
      </c>
      <c r="FY223" s="56">
        <v>0</v>
      </c>
      <c r="FZ223" s="54" t="s">
        <v>1083</v>
      </c>
      <c r="GA223" s="54" t="s">
        <v>1084</v>
      </c>
      <c r="GB223" s="54" t="s">
        <v>1072</v>
      </c>
      <c r="GC223" s="54" t="s">
        <v>1073</v>
      </c>
      <c r="GD223" s="54" t="s">
        <v>1147</v>
      </c>
      <c r="GE223" s="54" t="s">
        <v>1075</v>
      </c>
      <c r="GF223" s="54"/>
      <c r="GG223" s="55"/>
      <c r="GH223" s="54"/>
      <c r="GI223" s="54"/>
      <c r="GJ223" s="54" t="s">
        <v>1076</v>
      </c>
      <c r="GK223" s="54" t="s">
        <v>1077</v>
      </c>
      <c r="GL223" s="54"/>
      <c r="GM223" s="54"/>
      <c r="GN223" s="54" t="s">
        <v>1078</v>
      </c>
      <c r="GO223" s="54" t="s">
        <v>1059</v>
      </c>
      <c r="GP223" s="54"/>
      <c r="GQ223" s="56">
        <v>0</v>
      </c>
      <c r="GR223" s="54" t="s">
        <v>1079</v>
      </c>
      <c r="GS223" s="54"/>
    </row>
    <row r="224" spans="1:201" x14ac:dyDescent="0.25">
      <c r="A224" s="54" t="s">
        <v>1032</v>
      </c>
      <c r="B224" s="54" t="s">
        <v>1033</v>
      </c>
      <c r="C224" s="54" t="s">
        <v>1269</v>
      </c>
      <c r="D224" s="54" t="s">
        <v>1035</v>
      </c>
      <c r="E224" s="54" t="s">
        <v>1036</v>
      </c>
      <c r="F224" s="55">
        <v>46189</v>
      </c>
      <c r="G224" s="55">
        <v>46189</v>
      </c>
      <c r="H224" s="54" t="s">
        <v>1037</v>
      </c>
      <c r="I224" s="54" t="s">
        <v>1038</v>
      </c>
      <c r="J224" s="54" t="s">
        <v>1039</v>
      </c>
      <c r="K224" s="55"/>
      <c r="L224" s="54" t="s">
        <v>1040</v>
      </c>
      <c r="M224" s="54"/>
      <c r="N224" s="54" t="s">
        <v>1270</v>
      </c>
      <c r="O224" s="54" t="s">
        <v>1134</v>
      </c>
      <c r="P224" s="54" t="s">
        <v>202</v>
      </c>
      <c r="Q224" s="54" t="s">
        <v>36</v>
      </c>
      <c r="R224" s="54" t="s">
        <v>1043</v>
      </c>
      <c r="S224" s="56">
        <v>18894</v>
      </c>
      <c r="T224" s="56">
        <v>18894</v>
      </c>
      <c r="U224" s="56">
        <v>0</v>
      </c>
      <c r="V224" s="56">
        <v>0</v>
      </c>
      <c r="W224" s="56">
        <v>0</v>
      </c>
      <c r="X224" s="56">
        <v>0</v>
      </c>
      <c r="Y224" s="56">
        <v>0</v>
      </c>
      <c r="Z224" s="56">
        <v>2820</v>
      </c>
      <c r="AA224" s="56">
        <v>2820</v>
      </c>
      <c r="AB224" s="59">
        <v>0</v>
      </c>
      <c r="AC224" s="56">
        <v>0</v>
      </c>
      <c r="AD224" s="56">
        <v>0</v>
      </c>
      <c r="AE224" s="56">
        <v>0</v>
      </c>
      <c r="AF224" s="54" t="s">
        <v>1044</v>
      </c>
      <c r="AG224" s="57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 t="s">
        <v>1045</v>
      </c>
      <c r="AS224" s="54" t="s">
        <v>1081</v>
      </c>
      <c r="AT224" s="54" t="s">
        <v>1082</v>
      </c>
      <c r="AU224" s="54" t="s">
        <v>1048</v>
      </c>
      <c r="AV224" s="54"/>
      <c r="AW224" s="55">
        <v>46202</v>
      </c>
      <c r="AX224" s="55">
        <v>46189</v>
      </c>
      <c r="AY224" s="55">
        <v>46189</v>
      </c>
      <c r="AZ224" s="55"/>
      <c r="BA224" s="55">
        <v>46202</v>
      </c>
      <c r="BB224" s="56">
        <v>0</v>
      </c>
      <c r="BC224" s="56">
        <v>0</v>
      </c>
      <c r="BD224" s="56">
        <v>0</v>
      </c>
      <c r="BE224" s="56">
        <v>0</v>
      </c>
      <c r="BF224" s="56">
        <v>0</v>
      </c>
      <c r="BG224" s="56">
        <v>0</v>
      </c>
      <c r="BH224" s="56">
        <v>0</v>
      </c>
      <c r="BI224" s="56">
        <v>0</v>
      </c>
      <c r="BJ224" s="56">
        <v>0</v>
      </c>
      <c r="BK224" s="56">
        <v>0</v>
      </c>
      <c r="BL224" s="56">
        <v>0</v>
      </c>
      <c r="BM224" s="56">
        <v>0</v>
      </c>
      <c r="BN224" s="56">
        <v>0</v>
      </c>
      <c r="BO224" s="56">
        <v>0</v>
      </c>
      <c r="BP224" s="54" t="s">
        <v>1049</v>
      </c>
      <c r="BQ224" s="54" t="s">
        <v>1050</v>
      </c>
      <c r="BR224" s="54" t="s">
        <v>1049</v>
      </c>
      <c r="BS224" s="54" t="s">
        <v>1050</v>
      </c>
      <c r="BT224" s="54" t="s">
        <v>1051</v>
      </c>
      <c r="BU224" s="54" t="s">
        <v>1043</v>
      </c>
      <c r="BV224" s="58">
        <v>2820</v>
      </c>
      <c r="BW224" s="54" t="s">
        <v>1052</v>
      </c>
      <c r="BX224" s="54" t="s">
        <v>1053</v>
      </c>
      <c r="BY224" s="54" t="s">
        <v>1054</v>
      </c>
      <c r="BZ224" s="54" t="s">
        <v>1055</v>
      </c>
      <c r="CA224" s="55"/>
      <c r="CB224" s="54" t="s">
        <v>1056</v>
      </c>
      <c r="CC224" s="54" t="s">
        <v>1057</v>
      </c>
      <c r="CD224" s="54" t="s">
        <v>1058</v>
      </c>
      <c r="CE224" s="54" t="s">
        <v>1059</v>
      </c>
      <c r="CF224" s="54" t="s">
        <v>1060</v>
      </c>
      <c r="CG224" s="54" t="s">
        <v>1061</v>
      </c>
      <c r="CH224" s="54" t="s">
        <v>1062</v>
      </c>
      <c r="CI224" s="54" t="s">
        <v>1063</v>
      </c>
      <c r="CJ224" s="54" t="s">
        <v>1064</v>
      </c>
      <c r="CK224" s="54" t="s">
        <v>1065</v>
      </c>
      <c r="CL224" s="54" t="s">
        <v>1066</v>
      </c>
      <c r="CM224" s="54" t="s">
        <v>1067</v>
      </c>
      <c r="CN224" s="54" t="s">
        <v>1068</v>
      </c>
      <c r="CO224" s="54" t="s">
        <v>1069</v>
      </c>
      <c r="CP224" s="56">
        <v>0</v>
      </c>
      <c r="CQ224" s="56">
        <v>0</v>
      </c>
      <c r="CR224" s="56">
        <v>0</v>
      </c>
      <c r="CS224" s="56">
        <v>0</v>
      </c>
      <c r="CT224" s="56">
        <v>0</v>
      </c>
      <c r="CU224" s="56">
        <v>0</v>
      </c>
      <c r="CV224" s="56">
        <v>0</v>
      </c>
      <c r="CW224" s="56">
        <v>0</v>
      </c>
      <c r="CX224" s="56">
        <v>0</v>
      </c>
      <c r="CY224" s="56">
        <v>0</v>
      </c>
      <c r="CZ224" s="56">
        <v>0</v>
      </c>
      <c r="DA224" s="56">
        <v>0</v>
      </c>
      <c r="DB224" s="56">
        <v>0</v>
      </c>
      <c r="DC224" s="56">
        <v>0</v>
      </c>
      <c r="DD224" s="56">
        <v>0</v>
      </c>
      <c r="DE224" s="56">
        <v>0</v>
      </c>
      <c r="DF224" s="56">
        <v>0</v>
      </c>
      <c r="DG224" s="56">
        <v>0</v>
      </c>
      <c r="DH224" s="56">
        <v>0</v>
      </c>
      <c r="DI224" s="56">
        <v>0</v>
      </c>
      <c r="DJ224" s="56">
        <v>0</v>
      </c>
      <c r="DK224" s="56">
        <v>0</v>
      </c>
      <c r="DL224" s="56">
        <v>0</v>
      </c>
      <c r="DM224" s="56">
        <v>0</v>
      </c>
      <c r="DN224" s="56">
        <v>0</v>
      </c>
      <c r="DO224" s="56">
        <v>0</v>
      </c>
      <c r="DP224" s="56">
        <v>0</v>
      </c>
      <c r="DQ224" s="56">
        <v>0</v>
      </c>
      <c r="DR224" s="56">
        <v>0</v>
      </c>
      <c r="DS224" s="56">
        <v>0</v>
      </c>
      <c r="DT224" s="56">
        <v>0</v>
      </c>
      <c r="DU224" s="56">
        <v>0</v>
      </c>
      <c r="DV224" s="56">
        <v>0</v>
      </c>
      <c r="DW224" s="56">
        <v>0</v>
      </c>
      <c r="DX224" s="56">
        <v>0</v>
      </c>
      <c r="DY224" s="56">
        <v>0</v>
      </c>
      <c r="DZ224" s="56">
        <v>0</v>
      </c>
      <c r="EA224" s="56">
        <v>0</v>
      </c>
      <c r="EB224" s="56">
        <v>0</v>
      </c>
      <c r="EC224" s="56">
        <v>0</v>
      </c>
      <c r="ED224" s="56">
        <v>0</v>
      </c>
      <c r="EE224" s="56">
        <v>0</v>
      </c>
      <c r="EF224" s="56">
        <v>0</v>
      </c>
      <c r="EG224" s="56">
        <v>0</v>
      </c>
      <c r="EH224" s="56">
        <v>2267.2800000000002</v>
      </c>
      <c r="EI224" s="56">
        <v>0</v>
      </c>
      <c r="EJ224" s="56">
        <v>0</v>
      </c>
      <c r="EK224" s="56">
        <v>0</v>
      </c>
      <c r="EL224" s="56">
        <v>0</v>
      </c>
      <c r="EM224" s="56">
        <v>0</v>
      </c>
      <c r="EN224" s="56">
        <v>0</v>
      </c>
      <c r="EO224" s="56">
        <v>0</v>
      </c>
      <c r="EP224" s="56">
        <v>0</v>
      </c>
      <c r="EQ224" s="56">
        <v>0</v>
      </c>
      <c r="ER224" s="56">
        <v>0</v>
      </c>
      <c r="ES224" s="56">
        <v>0</v>
      </c>
      <c r="ET224" s="56">
        <v>0</v>
      </c>
      <c r="EU224" s="56">
        <v>0</v>
      </c>
      <c r="EV224" s="56">
        <v>0</v>
      </c>
      <c r="EW224" s="56">
        <v>0</v>
      </c>
      <c r="EX224" s="56">
        <v>0</v>
      </c>
      <c r="EY224" s="56">
        <v>0</v>
      </c>
      <c r="EZ224" s="56">
        <v>0</v>
      </c>
      <c r="FA224" s="56">
        <v>0</v>
      </c>
      <c r="FB224" s="56">
        <v>0</v>
      </c>
      <c r="FC224" s="58">
        <v>0</v>
      </c>
      <c r="FD224" s="56">
        <v>0</v>
      </c>
      <c r="FE224" s="56">
        <v>0</v>
      </c>
      <c r="FF224" s="56">
        <v>0</v>
      </c>
      <c r="FG224" s="56">
        <v>0</v>
      </c>
      <c r="FH224" s="56">
        <v>0</v>
      </c>
      <c r="FI224" s="56">
        <v>0</v>
      </c>
      <c r="FJ224" s="56">
        <v>0</v>
      </c>
      <c r="FK224" s="56">
        <v>0</v>
      </c>
      <c r="FL224" s="56">
        <v>0</v>
      </c>
      <c r="FM224" s="56">
        <v>0</v>
      </c>
      <c r="FN224" s="56">
        <v>0</v>
      </c>
      <c r="FO224" s="56">
        <v>0</v>
      </c>
      <c r="FP224" s="56">
        <v>0</v>
      </c>
      <c r="FQ224" s="56">
        <v>0</v>
      </c>
      <c r="FR224" s="56">
        <v>0</v>
      </c>
      <c r="FS224" s="58">
        <v>0</v>
      </c>
      <c r="FT224" s="56">
        <v>0</v>
      </c>
      <c r="FU224" s="56">
        <v>0</v>
      </c>
      <c r="FV224" s="56">
        <v>0</v>
      </c>
      <c r="FW224" s="56">
        <v>0</v>
      </c>
      <c r="FX224" s="56">
        <v>0</v>
      </c>
      <c r="FY224" s="56">
        <v>0</v>
      </c>
      <c r="FZ224" s="54" t="s">
        <v>1083</v>
      </c>
      <c r="GA224" s="54" t="s">
        <v>1084</v>
      </c>
      <c r="GB224" s="54" t="s">
        <v>1072</v>
      </c>
      <c r="GC224" s="54" t="s">
        <v>1073</v>
      </c>
      <c r="GD224" s="54" t="s">
        <v>1150</v>
      </c>
      <c r="GE224" s="54" t="s">
        <v>1075</v>
      </c>
      <c r="GF224" s="54"/>
      <c r="GG224" s="55"/>
      <c r="GH224" s="54"/>
      <c r="GI224" s="54"/>
      <c r="GJ224" s="54" t="s">
        <v>1076</v>
      </c>
      <c r="GK224" s="54" t="s">
        <v>1077</v>
      </c>
      <c r="GL224" s="54"/>
      <c r="GM224" s="54"/>
      <c r="GN224" s="54" t="s">
        <v>1078</v>
      </c>
      <c r="GO224" s="54" t="s">
        <v>1059</v>
      </c>
      <c r="GP224" s="54"/>
      <c r="GQ224" s="56">
        <v>0</v>
      </c>
      <c r="GR224" s="54" t="s">
        <v>1079</v>
      </c>
      <c r="GS224" s="54"/>
    </row>
    <row r="225" spans="1:201" x14ac:dyDescent="0.25">
      <c r="A225" s="54" t="s">
        <v>1032</v>
      </c>
      <c r="B225" s="54" t="s">
        <v>1033</v>
      </c>
      <c r="C225" s="54" t="s">
        <v>1269</v>
      </c>
      <c r="D225" s="54" t="s">
        <v>1035</v>
      </c>
      <c r="E225" s="54" t="s">
        <v>1036</v>
      </c>
      <c r="F225" s="55">
        <v>46189</v>
      </c>
      <c r="G225" s="55">
        <v>46189</v>
      </c>
      <c r="H225" s="54" t="s">
        <v>1037</v>
      </c>
      <c r="I225" s="54" t="s">
        <v>1038</v>
      </c>
      <c r="J225" s="54" t="s">
        <v>1039</v>
      </c>
      <c r="K225" s="55"/>
      <c r="L225" s="54" t="s">
        <v>1040</v>
      </c>
      <c r="M225" s="54"/>
      <c r="N225" s="54" t="s">
        <v>1270</v>
      </c>
      <c r="O225" s="54" t="s">
        <v>1135</v>
      </c>
      <c r="P225" s="54" t="s">
        <v>201</v>
      </c>
      <c r="Q225" s="54" t="s">
        <v>33</v>
      </c>
      <c r="R225" s="54" t="s">
        <v>1043</v>
      </c>
      <c r="S225" s="56">
        <v>36432</v>
      </c>
      <c r="T225" s="56">
        <v>36432</v>
      </c>
      <c r="U225" s="56">
        <v>0</v>
      </c>
      <c r="V225" s="56">
        <v>0</v>
      </c>
      <c r="W225" s="56">
        <v>0</v>
      </c>
      <c r="X225" s="56">
        <v>0</v>
      </c>
      <c r="Y225" s="56">
        <v>0</v>
      </c>
      <c r="Z225" s="56">
        <v>6600</v>
      </c>
      <c r="AA225" s="56">
        <v>6600</v>
      </c>
      <c r="AB225" s="59">
        <v>0</v>
      </c>
      <c r="AC225" s="56">
        <v>0</v>
      </c>
      <c r="AD225" s="56">
        <v>0</v>
      </c>
      <c r="AE225" s="56">
        <v>0</v>
      </c>
      <c r="AF225" s="54" t="s">
        <v>1044</v>
      </c>
      <c r="AG225" s="57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 t="s">
        <v>1045</v>
      </c>
      <c r="AS225" s="54" t="s">
        <v>1081</v>
      </c>
      <c r="AT225" s="54" t="s">
        <v>1082</v>
      </c>
      <c r="AU225" s="54" t="s">
        <v>1048</v>
      </c>
      <c r="AV225" s="54"/>
      <c r="AW225" s="55">
        <v>46202</v>
      </c>
      <c r="AX225" s="55">
        <v>46189</v>
      </c>
      <c r="AY225" s="55">
        <v>46189</v>
      </c>
      <c r="AZ225" s="55"/>
      <c r="BA225" s="55">
        <v>46202</v>
      </c>
      <c r="BB225" s="56">
        <v>0</v>
      </c>
      <c r="BC225" s="56">
        <v>0</v>
      </c>
      <c r="BD225" s="56">
        <v>0</v>
      </c>
      <c r="BE225" s="56">
        <v>0</v>
      </c>
      <c r="BF225" s="56">
        <v>0</v>
      </c>
      <c r="BG225" s="56">
        <v>0</v>
      </c>
      <c r="BH225" s="56">
        <v>0</v>
      </c>
      <c r="BI225" s="56">
        <v>0</v>
      </c>
      <c r="BJ225" s="56">
        <v>0</v>
      </c>
      <c r="BK225" s="56">
        <v>0</v>
      </c>
      <c r="BL225" s="56">
        <v>0</v>
      </c>
      <c r="BM225" s="56">
        <v>0</v>
      </c>
      <c r="BN225" s="56">
        <v>0</v>
      </c>
      <c r="BO225" s="56">
        <v>0</v>
      </c>
      <c r="BP225" s="54" t="s">
        <v>1049</v>
      </c>
      <c r="BQ225" s="54" t="s">
        <v>1050</v>
      </c>
      <c r="BR225" s="54" t="s">
        <v>1049</v>
      </c>
      <c r="BS225" s="54" t="s">
        <v>1050</v>
      </c>
      <c r="BT225" s="54" t="s">
        <v>1051</v>
      </c>
      <c r="BU225" s="54" t="s">
        <v>1043</v>
      </c>
      <c r="BV225" s="58">
        <v>6600</v>
      </c>
      <c r="BW225" s="54" t="s">
        <v>1052</v>
      </c>
      <c r="BX225" s="54" t="s">
        <v>1053</v>
      </c>
      <c r="BY225" s="54" t="s">
        <v>1054</v>
      </c>
      <c r="BZ225" s="54" t="s">
        <v>1055</v>
      </c>
      <c r="CA225" s="55"/>
      <c r="CB225" s="54" t="s">
        <v>1056</v>
      </c>
      <c r="CC225" s="54" t="s">
        <v>1057</v>
      </c>
      <c r="CD225" s="54" t="s">
        <v>1058</v>
      </c>
      <c r="CE225" s="54" t="s">
        <v>1059</v>
      </c>
      <c r="CF225" s="54" t="s">
        <v>1060</v>
      </c>
      <c r="CG225" s="54" t="s">
        <v>1061</v>
      </c>
      <c r="CH225" s="54" t="s">
        <v>1062</v>
      </c>
      <c r="CI225" s="54" t="s">
        <v>1063</v>
      </c>
      <c r="CJ225" s="54" t="s">
        <v>1064</v>
      </c>
      <c r="CK225" s="54" t="s">
        <v>1065</v>
      </c>
      <c r="CL225" s="54" t="s">
        <v>1066</v>
      </c>
      <c r="CM225" s="54" t="s">
        <v>1067</v>
      </c>
      <c r="CN225" s="54" t="s">
        <v>1068</v>
      </c>
      <c r="CO225" s="54" t="s">
        <v>1069</v>
      </c>
      <c r="CP225" s="56">
        <v>0</v>
      </c>
      <c r="CQ225" s="56">
        <v>0</v>
      </c>
      <c r="CR225" s="56">
        <v>0</v>
      </c>
      <c r="CS225" s="56">
        <v>0</v>
      </c>
      <c r="CT225" s="56">
        <v>0</v>
      </c>
      <c r="CU225" s="56">
        <v>0</v>
      </c>
      <c r="CV225" s="56">
        <v>0</v>
      </c>
      <c r="CW225" s="56">
        <v>0</v>
      </c>
      <c r="CX225" s="56">
        <v>0</v>
      </c>
      <c r="CY225" s="56">
        <v>0</v>
      </c>
      <c r="CZ225" s="56">
        <v>0</v>
      </c>
      <c r="DA225" s="56">
        <v>0</v>
      </c>
      <c r="DB225" s="56">
        <v>0</v>
      </c>
      <c r="DC225" s="56">
        <v>0</v>
      </c>
      <c r="DD225" s="56">
        <v>0</v>
      </c>
      <c r="DE225" s="56">
        <v>0</v>
      </c>
      <c r="DF225" s="56">
        <v>0</v>
      </c>
      <c r="DG225" s="56">
        <v>0</v>
      </c>
      <c r="DH225" s="56">
        <v>0</v>
      </c>
      <c r="DI225" s="56">
        <v>0</v>
      </c>
      <c r="DJ225" s="56">
        <v>0</v>
      </c>
      <c r="DK225" s="56">
        <v>0</v>
      </c>
      <c r="DL225" s="56">
        <v>0</v>
      </c>
      <c r="DM225" s="56">
        <v>0</v>
      </c>
      <c r="DN225" s="56">
        <v>0</v>
      </c>
      <c r="DO225" s="56">
        <v>0</v>
      </c>
      <c r="DP225" s="56">
        <v>0</v>
      </c>
      <c r="DQ225" s="56">
        <v>0</v>
      </c>
      <c r="DR225" s="56">
        <v>0</v>
      </c>
      <c r="DS225" s="56">
        <v>0</v>
      </c>
      <c r="DT225" s="56">
        <v>0</v>
      </c>
      <c r="DU225" s="56">
        <v>0</v>
      </c>
      <c r="DV225" s="56">
        <v>0</v>
      </c>
      <c r="DW225" s="56">
        <v>0</v>
      </c>
      <c r="DX225" s="56">
        <v>0</v>
      </c>
      <c r="DY225" s="56">
        <v>0</v>
      </c>
      <c r="DZ225" s="56">
        <v>0</v>
      </c>
      <c r="EA225" s="56">
        <v>0</v>
      </c>
      <c r="EB225" s="56">
        <v>0</v>
      </c>
      <c r="EC225" s="56">
        <v>0</v>
      </c>
      <c r="ED225" s="56">
        <v>0</v>
      </c>
      <c r="EE225" s="56">
        <v>0</v>
      </c>
      <c r="EF225" s="56">
        <v>0</v>
      </c>
      <c r="EG225" s="56">
        <v>0</v>
      </c>
      <c r="EH225" s="56">
        <v>4371.84</v>
      </c>
      <c r="EI225" s="56">
        <v>0</v>
      </c>
      <c r="EJ225" s="56">
        <v>0</v>
      </c>
      <c r="EK225" s="56">
        <v>0</v>
      </c>
      <c r="EL225" s="56">
        <v>0</v>
      </c>
      <c r="EM225" s="56">
        <v>0</v>
      </c>
      <c r="EN225" s="56">
        <v>0</v>
      </c>
      <c r="EO225" s="56">
        <v>0</v>
      </c>
      <c r="EP225" s="56">
        <v>0</v>
      </c>
      <c r="EQ225" s="56">
        <v>0</v>
      </c>
      <c r="ER225" s="56">
        <v>0</v>
      </c>
      <c r="ES225" s="56">
        <v>0</v>
      </c>
      <c r="ET225" s="56">
        <v>0</v>
      </c>
      <c r="EU225" s="56">
        <v>0</v>
      </c>
      <c r="EV225" s="56">
        <v>0</v>
      </c>
      <c r="EW225" s="56">
        <v>0</v>
      </c>
      <c r="EX225" s="56">
        <v>0</v>
      </c>
      <c r="EY225" s="56">
        <v>0</v>
      </c>
      <c r="EZ225" s="56">
        <v>0</v>
      </c>
      <c r="FA225" s="56">
        <v>0</v>
      </c>
      <c r="FB225" s="56">
        <v>0</v>
      </c>
      <c r="FC225" s="58">
        <v>0</v>
      </c>
      <c r="FD225" s="56">
        <v>0</v>
      </c>
      <c r="FE225" s="56">
        <v>0</v>
      </c>
      <c r="FF225" s="56">
        <v>0</v>
      </c>
      <c r="FG225" s="56">
        <v>0</v>
      </c>
      <c r="FH225" s="56">
        <v>0</v>
      </c>
      <c r="FI225" s="56">
        <v>0</v>
      </c>
      <c r="FJ225" s="56">
        <v>0</v>
      </c>
      <c r="FK225" s="56">
        <v>0</v>
      </c>
      <c r="FL225" s="56">
        <v>0</v>
      </c>
      <c r="FM225" s="56">
        <v>0</v>
      </c>
      <c r="FN225" s="56">
        <v>0</v>
      </c>
      <c r="FO225" s="56">
        <v>0</v>
      </c>
      <c r="FP225" s="56">
        <v>0</v>
      </c>
      <c r="FQ225" s="56">
        <v>0</v>
      </c>
      <c r="FR225" s="56">
        <v>0</v>
      </c>
      <c r="FS225" s="58">
        <v>0</v>
      </c>
      <c r="FT225" s="56">
        <v>0</v>
      </c>
      <c r="FU225" s="56">
        <v>0</v>
      </c>
      <c r="FV225" s="56">
        <v>0</v>
      </c>
      <c r="FW225" s="56">
        <v>0</v>
      </c>
      <c r="FX225" s="56">
        <v>0</v>
      </c>
      <c r="FY225" s="56">
        <v>0</v>
      </c>
      <c r="FZ225" s="54" t="s">
        <v>1083</v>
      </c>
      <c r="GA225" s="54" t="s">
        <v>1084</v>
      </c>
      <c r="GB225" s="54" t="s">
        <v>1072</v>
      </c>
      <c r="GC225" s="54" t="s">
        <v>1073</v>
      </c>
      <c r="GD225" s="54" t="s">
        <v>1150</v>
      </c>
      <c r="GE225" s="54" t="s">
        <v>1075</v>
      </c>
      <c r="GF225" s="54"/>
      <c r="GG225" s="55"/>
      <c r="GH225" s="54"/>
      <c r="GI225" s="54"/>
      <c r="GJ225" s="54" t="s">
        <v>1076</v>
      </c>
      <c r="GK225" s="54" t="s">
        <v>1077</v>
      </c>
      <c r="GL225" s="54"/>
      <c r="GM225" s="54"/>
      <c r="GN225" s="54" t="s">
        <v>1078</v>
      </c>
      <c r="GO225" s="54" t="s">
        <v>1059</v>
      </c>
      <c r="GP225" s="54"/>
      <c r="GQ225" s="56">
        <v>0</v>
      </c>
      <c r="GR225" s="54" t="s">
        <v>1079</v>
      </c>
      <c r="GS225" s="54"/>
    </row>
    <row r="226" spans="1:201" x14ac:dyDescent="0.25">
      <c r="A226" s="54" t="s">
        <v>1032</v>
      </c>
      <c r="B226" s="54" t="s">
        <v>1033</v>
      </c>
      <c r="C226" s="54" t="s">
        <v>1269</v>
      </c>
      <c r="D226" s="54" t="s">
        <v>1035</v>
      </c>
      <c r="E226" s="54" t="s">
        <v>1036</v>
      </c>
      <c r="F226" s="55">
        <v>46189</v>
      </c>
      <c r="G226" s="55">
        <v>46189</v>
      </c>
      <c r="H226" s="54" t="s">
        <v>1037</v>
      </c>
      <c r="I226" s="54" t="s">
        <v>1038</v>
      </c>
      <c r="J226" s="54" t="s">
        <v>1039</v>
      </c>
      <c r="K226" s="55"/>
      <c r="L226" s="54" t="s">
        <v>1040</v>
      </c>
      <c r="M226" s="54"/>
      <c r="N226" s="54" t="s">
        <v>1270</v>
      </c>
      <c r="O226" s="54" t="s">
        <v>1137</v>
      </c>
      <c r="P226" s="54" t="s">
        <v>337</v>
      </c>
      <c r="Q226" s="54" t="s">
        <v>34</v>
      </c>
      <c r="R226" s="54" t="s">
        <v>1043</v>
      </c>
      <c r="S226" s="56">
        <v>13094.4</v>
      </c>
      <c r="T226" s="56">
        <v>0</v>
      </c>
      <c r="U226" s="56">
        <v>13094.4</v>
      </c>
      <c r="V226" s="56">
        <v>0</v>
      </c>
      <c r="W226" s="56">
        <v>0</v>
      </c>
      <c r="X226" s="56">
        <v>0</v>
      </c>
      <c r="Y226" s="56">
        <v>0</v>
      </c>
      <c r="Z226" s="56">
        <v>2640</v>
      </c>
      <c r="AA226" s="56">
        <v>0</v>
      </c>
      <c r="AB226" s="59">
        <v>2640</v>
      </c>
      <c r="AC226" s="56">
        <v>0</v>
      </c>
      <c r="AD226" s="56">
        <v>0</v>
      </c>
      <c r="AE226" s="56">
        <v>0</v>
      </c>
      <c r="AF226" s="54" t="s">
        <v>1044</v>
      </c>
      <c r="AG226" s="57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 t="s">
        <v>1045</v>
      </c>
      <c r="AS226" s="54" t="s">
        <v>1081</v>
      </c>
      <c r="AT226" s="54" t="s">
        <v>1082</v>
      </c>
      <c r="AU226" s="54" t="s">
        <v>1048</v>
      </c>
      <c r="AV226" s="54"/>
      <c r="AW226" s="55">
        <v>46202</v>
      </c>
      <c r="AX226" s="55">
        <v>46189</v>
      </c>
      <c r="AY226" s="55">
        <v>46189</v>
      </c>
      <c r="AZ226" s="55"/>
      <c r="BA226" s="55">
        <v>46202</v>
      </c>
      <c r="BB226" s="56">
        <v>0</v>
      </c>
      <c r="BC226" s="56">
        <v>0</v>
      </c>
      <c r="BD226" s="56">
        <v>0</v>
      </c>
      <c r="BE226" s="56">
        <v>0</v>
      </c>
      <c r="BF226" s="56">
        <v>0</v>
      </c>
      <c r="BG226" s="56">
        <v>0</v>
      </c>
      <c r="BH226" s="56">
        <v>0</v>
      </c>
      <c r="BI226" s="56">
        <v>0</v>
      </c>
      <c r="BJ226" s="56">
        <v>0</v>
      </c>
      <c r="BK226" s="56">
        <v>0</v>
      </c>
      <c r="BL226" s="56">
        <v>0</v>
      </c>
      <c r="BM226" s="56">
        <v>0</v>
      </c>
      <c r="BN226" s="56">
        <v>0</v>
      </c>
      <c r="BO226" s="56">
        <v>0</v>
      </c>
      <c r="BP226" s="54" t="s">
        <v>1049</v>
      </c>
      <c r="BQ226" s="54" t="s">
        <v>1050</v>
      </c>
      <c r="BR226" s="54" t="s">
        <v>1049</v>
      </c>
      <c r="BS226" s="54" t="s">
        <v>1050</v>
      </c>
      <c r="BT226" s="54" t="s">
        <v>1051</v>
      </c>
      <c r="BU226" s="54" t="s">
        <v>1043</v>
      </c>
      <c r="BV226" s="58">
        <v>0</v>
      </c>
      <c r="BW226" s="54" t="s">
        <v>1052</v>
      </c>
      <c r="BX226" s="54" t="s">
        <v>1053</v>
      </c>
      <c r="BY226" s="54" t="s">
        <v>1054</v>
      </c>
      <c r="BZ226" s="54" t="s">
        <v>1055</v>
      </c>
      <c r="CA226" s="55"/>
      <c r="CB226" s="54" t="s">
        <v>1056</v>
      </c>
      <c r="CC226" s="54" t="s">
        <v>1057</v>
      </c>
      <c r="CD226" s="54" t="s">
        <v>1058</v>
      </c>
      <c r="CE226" s="54" t="s">
        <v>1059</v>
      </c>
      <c r="CF226" s="54" t="s">
        <v>1060</v>
      </c>
      <c r="CG226" s="54" t="s">
        <v>1061</v>
      </c>
      <c r="CH226" s="54" t="s">
        <v>1062</v>
      </c>
      <c r="CI226" s="54" t="s">
        <v>1063</v>
      </c>
      <c r="CJ226" s="54" t="s">
        <v>1064</v>
      </c>
      <c r="CK226" s="54" t="s">
        <v>1065</v>
      </c>
      <c r="CL226" s="54" t="s">
        <v>1066</v>
      </c>
      <c r="CM226" s="54" t="s">
        <v>1067</v>
      </c>
      <c r="CN226" s="54" t="s">
        <v>1068</v>
      </c>
      <c r="CO226" s="54" t="s">
        <v>1069</v>
      </c>
      <c r="CP226" s="56">
        <v>0</v>
      </c>
      <c r="CQ226" s="56">
        <v>0</v>
      </c>
      <c r="CR226" s="56">
        <v>0</v>
      </c>
      <c r="CS226" s="56">
        <v>0</v>
      </c>
      <c r="CT226" s="56">
        <v>0</v>
      </c>
      <c r="CU226" s="56">
        <v>0</v>
      </c>
      <c r="CV226" s="56">
        <v>0</v>
      </c>
      <c r="CW226" s="56">
        <v>0</v>
      </c>
      <c r="CX226" s="56">
        <v>0</v>
      </c>
      <c r="CY226" s="56">
        <v>0</v>
      </c>
      <c r="CZ226" s="56">
        <v>0</v>
      </c>
      <c r="DA226" s="56">
        <v>0</v>
      </c>
      <c r="DB226" s="56">
        <v>0</v>
      </c>
      <c r="DC226" s="56">
        <v>0</v>
      </c>
      <c r="DD226" s="56">
        <v>0</v>
      </c>
      <c r="DE226" s="56">
        <v>0</v>
      </c>
      <c r="DF226" s="56">
        <v>0</v>
      </c>
      <c r="DG226" s="56">
        <v>0</v>
      </c>
      <c r="DH226" s="56">
        <v>0</v>
      </c>
      <c r="DI226" s="56">
        <v>0</v>
      </c>
      <c r="DJ226" s="56">
        <v>0</v>
      </c>
      <c r="DK226" s="56">
        <v>0</v>
      </c>
      <c r="DL226" s="56">
        <v>0</v>
      </c>
      <c r="DM226" s="56">
        <v>0</v>
      </c>
      <c r="DN226" s="56">
        <v>0</v>
      </c>
      <c r="DO226" s="56">
        <v>0</v>
      </c>
      <c r="DP226" s="56">
        <v>0</v>
      </c>
      <c r="DQ226" s="56">
        <v>0</v>
      </c>
      <c r="DR226" s="56">
        <v>0</v>
      </c>
      <c r="DS226" s="56">
        <v>0</v>
      </c>
      <c r="DT226" s="56">
        <v>0</v>
      </c>
      <c r="DU226" s="56">
        <v>0</v>
      </c>
      <c r="DV226" s="56">
        <v>0</v>
      </c>
      <c r="DW226" s="56">
        <v>0</v>
      </c>
      <c r="DX226" s="56">
        <v>0</v>
      </c>
      <c r="DY226" s="56">
        <v>0</v>
      </c>
      <c r="DZ226" s="56">
        <v>0</v>
      </c>
      <c r="EA226" s="56">
        <v>0</v>
      </c>
      <c r="EB226" s="56">
        <v>0</v>
      </c>
      <c r="EC226" s="56">
        <v>1571.33</v>
      </c>
      <c r="ED226" s="56">
        <v>0</v>
      </c>
      <c r="EE226" s="56">
        <v>0</v>
      </c>
      <c r="EF226" s="56">
        <v>0</v>
      </c>
      <c r="EG226" s="56">
        <v>0</v>
      </c>
      <c r="EH226" s="56">
        <v>1571.33</v>
      </c>
      <c r="EI226" s="56">
        <v>0</v>
      </c>
      <c r="EJ226" s="56">
        <v>0</v>
      </c>
      <c r="EK226" s="56">
        <v>0</v>
      </c>
      <c r="EL226" s="56">
        <v>0</v>
      </c>
      <c r="EM226" s="56">
        <v>0</v>
      </c>
      <c r="EN226" s="56">
        <v>0</v>
      </c>
      <c r="EO226" s="56">
        <v>0</v>
      </c>
      <c r="EP226" s="56">
        <v>13094.4</v>
      </c>
      <c r="EQ226" s="56">
        <v>0</v>
      </c>
      <c r="ER226" s="56">
        <v>0</v>
      </c>
      <c r="ES226" s="56">
        <v>2640</v>
      </c>
      <c r="ET226" s="56">
        <v>0</v>
      </c>
      <c r="EU226" s="56">
        <v>0</v>
      </c>
      <c r="EV226" s="56">
        <v>0</v>
      </c>
      <c r="EW226" s="56">
        <v>0</v>
      </c>
      <c r="EX226" s="56">
        <v>0</v>
      </c>
      <c r="EY226" s="56">
        <v>0</v>
      </c>
      <c r="EZ226" s="56">
        <v>0</v>
      </c>
      <c r="FA226" s="56">
        <v>0</v>
      </c>
      <c r="FB226" s="56">
        <v>0</v>
      </c>
      <c r="FC226" s="58">
        <v>0</v>
      </c>
      <c r="FD226" s="56">
        <v>0</v>
      </c>
      <c r="FE226" s="56">
        <v>0</v>
      </c>
      <c r="FF226" s="56">
        <v>0</v>
      </c>
      <c r="FG226" s="56">
        <v>0</v>
      </c>
      <c r="FH226" s="56">
        <v>0</v>
      </c>
      <c r="FI226" s="56">
        <v>0</v>
      </c>
      <c r="FJ226" s="56">
        <v>0</v>
      </c>
      <c r="FK226" s="56">
        <v>0</v>
      </c>
      <c r="FL226" s="56">
        <v>0</v>
      </c>
      <c r="FM226" s="56">
        <v>0</v>
      </c>
      <c r="FN226" s="56">
        <v>0</v>
      </c>
      <c r="FO226" s="56">
        <v>0</v>
      </c>
      <c r="FP226" s="56">
        <v>0</v>
      </c>
      <c r="FQ226" s="56">
        <v>0</v>
      </c>
      <c r="FR226" s="56">
        <v>0</v>
      </c>
      <c r="FS226" s="58">
        <v>0</v>
      </c>
      <c r="FT226" s="56">
        <v>0</v>
      </c>
      <c r="FU226" s="56">
        <v>0</v>
      </c>
      <c r="FV226" s="56">
        <v>0</v>
      </c>
      <c r="FW226" s="56">
        <v>0</v>
      </c>
      <c r="FX226" s="56">
        <v>0</v>
      </c>
      <c r="FY226" s="56">
        <v>0</v>
      </c>
      <c r="FZ226" s="54" t="s">
        <v>1083</v>
      </c>
      <c r="GA226" s="54" t="s">
        <v>1084</v>
      </c>
      <c r="GB226" s="54" t="s">
        <v>1072</v>
      </c>
      <c r="GC226" s="54" t="s">
        <v>1073</v>
      </c>
      <c r="GD226" s="54" t="s">
        <v>1150</v>
      </c>
      <c r="GE226" s="54" t="s">
        <v>1075</v>
      </c>
      <c r="GF226" s="54" t="s">
        <v>1152</v>
      </c>
      <c r="GG226" s="55">
        <v>46205</v>
      </c>
      <c r="GH226" s="54"/>
      <c r="GI226" s="54"/>
      <c r="GJ226" s="54" t="s">
        <v>1076</v>
      </c>
      <c r="GK226" s="54" t="s">
        <v>1077</v>
      </c>
      <c r="GL226" s="54"/>
      <c r="GM226" s="54"/>
      <c r="GN226" s="54" t="s">
        <v>1078</v>
      </c>
      <c r="GO226" s="54" t="s">
        <v>1059</v>
      </c>
      <c r="GP226" s="54"/>
      <c r="GQ226" s="56">
        <v>0</v>
      </c>
      <c r="GR226" s="54" t="s">
        <v>1079</v>
      </c>
      <c r="GS226" s="54" t="s">
        <v>1101</v>
      </c>
    </row>
    <row r="227" spans="1:201" x14ac:dyDescent="0.25">
      <c r="A227" s="54" t="s">
        <v>1032</v>
      </c>
      <c r="B227" s="54" t="s">
        <v>1033</v>
      </c>
      <c r="C227" s="54" t="s">
        <v>1269</v>
      </c>
      <c r="D227" s="54" t="s">
        <v>1035</v>
      </c>
      <c r="E227" s="54" t="s">
        <v>1036</v>
      </c>
      <c r="F227" s="55">
        <v>46189</v>
      </c>
      <c r="G227" s="55">
        <v>46189</v>
      </c>
      <c r="H227" s="54" t="s">
        <v>1037</v>
      </c>
      <c r="I227" s="54" t="s">
        <v>1038</v>
      </c>
      <c r="J227" s="54" t="s">
        <v>1039</v>
      </c>
      <c r="K227" s="55"/>
      <c r="L227" s="54" t="s">
        <v>1040</v>
      </c>
      <c r="M227" s="54"/>
      <c r="N227" s="54" t="s">
        <v>1270</v>
      </c>
      <c r="O227" s="54" t="s">
        <v>1139</v>
      </c>
      <c r="P227" s="54" t="s">
        <v>204</v>
      </c>
      <c r="Q227" s="54" t="s">
        <v>38</v>
      </c>
      <c r="R227" s="54" t="s">
        <v>1043</v>
      </c>
      <c r="S227" s="56">
        <v>1132.8</v>
      </c>
      <c r="T227" s="56">
        <v>1132.8</v>
      </c>
      <c r="U227" s="56">
        <v>0</v>
      </c>
      <c r="V227" s="56">
        <v>0</v>
      </c>
      <c r="W227" s="56">
        <v>0</v>
      </c>
      <c r="X227" s="56">
        <v>0</v>
      </c>
      <c r="Y227" s="56">
        <v>0</v>
      </c>
      <c r="Z227" s="56">
        <v>120</v>
      </c>
      <c r="AA227" s="56">
        <v>120</v>
      </c>
      <c r="AB227" s="59">
        <v>0</v>
      </c>
      <c r="AC227" s="56">
        <v>0</v>
      </c>
      <c r="AD227" s="56">
        <v>0</v>
      </c>
      <c r="AE227" s="56">
        <v>0</v>
      </c>
      <c r="AF227" s="54" t="s">
        <v>1044</v>
      </c>
      <c r="AG227" s="57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 t="s">
        <v>1045</v>
      </c>
      <c r="AS227" s="54" t="s">
        <v>1081</v>
      </c>
      <c r="AT227" s="54" t="s">
        <v>1082</v>
      </c>
      <c r="AU227" s="54" t="s">
        <v>1048</v>
      </c>
      <c r="AV227" s="54"/>
      <c r="AW227" s="55">
        <v>46202</v>
      </c>
      <c r="AX227" s="55">
        <v>46189</v>
      </c>
      <c r="AY227" s="55">
        <v>46189</v>
      </c>
      <c r="AZ227" s="55"/>
      <c r="BA227" s="55">
        <v>46202</v>
      </c>
      <c r="BB227" s="56">
        <v>0</v>
      </c>
      <c r="BC227" s="56">
        <v>0</v>
      </c>
      <c r="BD227" s="56">
        <v>0</v>
      </c>
      <c r="BE227" s="56">
        <v>0</v>
      </c>
      <c r="BF227" s="56">
        <v>0</v>
      </c>
      <c r="BG227" s="56">
        <v>0</v>
      </c>
      <c r="BH227" s="56">
        <v>0</v>
      </c>
      <c r="BI227" s="56">
        <v>0</v>
      </c>
      <c r="BJ227" s="56">
        <v>0</v>
      </c>
      <c r="BK227" s="56">
        <v>0</v>
      </c>
      <c r="BL227" s="56">
        <v>0</v>
      </c>
      <c r="BM227" s="56">
        <v>0</v>
      </c>
      <c r="BN227" s="56">
        <v>0</v>
      </c>
      <c r="BO227" s="56">
        <v>0</v>
      </c>
      <c r="BP227" s="54" t="s">
        <v>1049</v>
      </c>
      <c r="BQ227" s="54" t="s">
        <v>1050</v>
      </c>
      <c r="BR227" s="54" t="s">
        <v>1049</v>
      </c>
      <c r="BS227" s="54" t="s">
        <v>1050</v>
      </c>
      <c r="BT227" s="54" t="s">
        <v>1051</v>
      </c>
      <c r="BU227" s="54" t="s">
        <v>1043</v>
      </c>
      <c r="BV227" s="58">
        <v>120</v>
      </c>
      <c r="BW227" s="54" t="s">
        <v>1052</v>
      </c>
      <c r="BX227" s="54" t="s">
        <v>1053</v>
      </c>
      <c r="BY227" s="54" t="s">
        <v>1054</v>
      </c>
      <c r="BZ227" s="54" t="s">
        <v>1055</v>
      </c>
      <c r="CA227" s="55"/>
      <c r="CB227" s="54" t="s">
        <v>1056</v>
      </c>
      <c r="CC227" s="54" t="s">
        <v>1057</v>
      </c>
      <c r="CD227" s="54" t="s">
        <v>1058</v>
      </c>
      <c r="CE227" s="54" t="s">
        <v>1059</v>
      </c>
      <c r="CF227" s="54" t="s">
        <v>1060</v>
      </c>
      <c r="CG227" s="54" t="s">
        <v>1061</v>
      </c>
      <c r="CH227" s="54" t="s">
        <v>1062</v>
      </c>
      <c r="CI227" s="54" t="s">
        <v>1063</v>
      </c>
      <c r="CJ227" s="54" t="s">
        <v>1064</v>
      </c>
      <c r="CK227" s="54" t="s">
        <v>1065</v>
      </c>
      <c r="CL227" s="54" t="s">
        <v>1066</v>
      </c>
      <c r="CM227" s="54" t="s">
        <v>1067</v>
      </c>
      <c r="CN227" s="54" t="s">
        <v>1068</v>
      </c>
      <c r="CO227" s="54" t="s">
        <v>1069</v>
      </c>
      <c r="CP227" s="56">
        <v>0</v>
      </c>
      <c r="CQ227" s="56">
        <v>0</v>
      </c>
      <c r="CR227" s="56">
        <v>0</v>
      </c>
      <c r="CS227" s="56">
        <v>0</v>
      </c>
      <c r="CT227" s="56">
        <v>0</v>
      </c>
      <c r="CU227" s="56">
        <v>0</v>
      </c>
      <c r="CV227" s="56">
        <v>0</v>
      </c>
      <c r="CW227" s="56">
        <v>0</v>
      </c>
      <c r="CX227" s="56">
        <v>0</v>
      </c>
      <c r="CY227" s="56">
        <v>0</v>
      </c>
      <c r="CZ227" s="56">
        <v>0</v>
      </c>
      <c r="DA227" s="56">
        <v>0</v>
      </c>
      <c r="DB227" s="56">
        <v>0</v>
      </c>
      <c r="DC227" s="56">
        <v>0</v>
      </c>
      <c r="DD227" s="56">
        <v>0</v>
      </c>
      <c r="DE227" s="56">
        <v>0</v>
      </c>
      <c r="DF227" s="56">
        <v>0</v>
      </c>
      <c r="DG227" s="56">
        <v>0</v>
      </c>
      <c r="DH227" s="56">
        <v>0</v>
      </c>
      <c r="DI227" s="56">
        <v>0</v>
      </c>
      <c r="DJ227" s="56">
        <v>0</v>
      </c>
      <c r="DK227" s="56">
        <v>0</v>
      </c>
      <c r="DL227" s="56">
        <v>0</v>
      </c>
      <c r="DM227" s="56">
        <v>0</v>
      </c>
      <c r="DN227" s="56">
        <v>0</v>
      </c>
      <c r="DO227" s="56">
        <v>0</v>
      </c>
      <c r="DP227" s="56">
        <v>0</v>
      </c>
      <c r="DQ227" s="56">
        <v>0</v>
      </c>
      <c r="DR227" s="56">
        <v>0</v>
      </c>
      <c r="DS227" s="56">
        <v>0</v>
      </c>
      <c r="DT227" s="56">
        <v>0</v>
      </c>
      <c r="DU227" s="56">
        <v>0</v>
      </c>
      <c r="DV227" s="56">
        <v>0</v>
      </c>
      <c r="DW227" s="56">
        <v>0</v>
      </c>
      <c r="DX227" s="56">
        <v>0</v>
      </c>
      <c r="DY227" s="56">
        <v>0</v>
      </c>
      <c r="DZ227" s="56">
        <v>0</v>
      </c>
      <c r="EA227" s="56">
        <v>0</v>
      </c>
      <c r="EB227" s="56">
        <v>0</v>
      </c>
      <c r="EC227" s="56">
        <v>0</v>
      </c>
      <c r="ED227" s="56">
        <v>0</v>
      </c>
      <c r="EE227" s="56">
        <v>0</v>
      </c>
      <c r="EF227" s="56">
        <v>0</v>
      </c>
      <c r="EG227" s="56">
        <v>0</v>
      </c>
      <c r="EH227" s="56">
        <v>135.94</v>
      </c>
      <c r="EI227" s="56">
        <v>0</v>
      </c>
      <c r="EJ227" s="56">
        <v>0</v>
      </c>
      <c r="EK227" s="56">
        <v>0</v>
      </c>
      <c r="EL227" s="56">
        <v>0</v>
      </c>
      <c r="EM227" s="56">
        <v>0</v>
      </c>
      <c r="EN227" s="56">
        <v>0</v>
      </c>
      <c r="EO227" s="56">
        <v>0</v>
      </c>
      <c r="EP227" s="56">
        <v>0</v>
      </c>
      <c r="EQ227" s="56">
        <v>0</v>
      </c>
      <c r="ER227" s="56">
        <v>0</v>
      </c>
      <c r="ES227" s="56">
        <v>0</v>
      </c>
      <c r="ET227" s="56">
        <v>0</v>
      </c>
      <c r="EU227" s="56">
        <v>0</v>
      </c>
      <c r="EV227" s="56">
        <v>0</v>
      </c>
      <c r="EW227" s="56">
        <v>0</v>
      </c>
      <c r="EX227" s="56">
        <v>0</v>
      </c>
      <c r="EY227" s="56">
        <v>0</v>
      </c>
      <c r="EZ227" s="56">
        <v>0</v>
      </c>
      <c r="FA227" s="56">
        <v>0</v>
      </c>
      <c r="FB227" s="56">
        <v>0</v>
      </c>
      <c r="FC227" s="58">
        <v>0</v>
      </c>
      <c r="FD227" s="56">
        <v>0</v>
      </c>
      <c r="FE227" s="56">
        <v>0</v>
      </c>
      <c r="FF227" s="56">
        <v>0</v>
      </c>
      <c r="FG227" s="56">
        <v>0</v>
      </c>
      <c r="FH227" s="56">
        <v>0</v>
      </c>
      <c r="FI227" s="56">
        <v>0</v>
      </c>
      <c r="FJ227" s="56">
        <v>0</v>
      </c>
      <c r="FK227" s="56">
        <v>0</v>
      </c>
      <c r="FL227" s="56">
        <v>0</v>
      </c>
      <c r="FM227" s="56">
        <v>0</v>
      </c>
      <c r="FN227" s="56">
        <v>0</v>
      </c>
      <c r="FO227" s="56">
        <v>0</v>
      </c>
      <c r="FP227" s="56">
        <v>0</v>
      </c>
      <c r="FQ227" s="56">
        <v>0</v>
      </c>
      <c r="FR227" s="56">
        <v>0</v>
      </c>
      <c r="FS227" s="58">
        <v>0</v>
      </c>
      <c r="FT227" s="56">
        <v>0</v>
      </c>
      <c r="FU227" s="56">
        <v>0</v>
      </c>
      <c r="FV227" s="56">
        <v>0</v>
      </c>
      <c r="FW227" s="56">
        <v>0</v>
      </c>
      <c r="FX227" s="56">
        <v>0</v>
      </c>
      <c r="FY227" s="56">
        <v>0</v>
      </c>
      <c r="FZ227" s="54" t="s">
        <v>1083</v>
      </c>
      <c r="GA227" s="54" t="s">
        <v>1084</v>
      </c>
      <c r="GB227" s="54" t="s">
        <v>1072</v>
      </c>
      <c r="GC227" s="54" t="s">
        <v>1073</v>
      </c>
      <c r="GD227" s="54" t="s">
        <v>1160</v>
      </c>
      <c r="GE227" s="54" t="s">
        <v>1075</v>
      </c>
      <c r="GF227" s="54"/>
      <c r="GG227" s="55"/>
      <c r="GH227" s="54"/>
      <c r="GI227" s="54"/>
      <c r="GJ227" s="54" t="s">
        <v>1076</v>
      </c>
      <c r="GK227" s="54" t="s">
        <v>1077</v>
      </c>
      <c r="GL227" s="54"/>
      <c r="GM227" s="54"/>
      <c r="GN227" s="54" t="s">
        <v>1078</v>
      </c>
      <c r="GO227" s="54" t="s">
        <v>1059</v>
      </c>
      <c r="GP227" s="54"/>
      <c r="GQ227" s="56">
        <v>0</v>
      </c>
      <c r="GR227" s="54" t="s">
        <v>1079</v>
      </c>
      <c r="GS227" s="54"/>
    </row>
    <row r="228" spans="1:201" x14ac:dyDescent="0.25">
      <c r="A228" s="54" t="s">
        <v>1032</v>
      </c>
      <c r="B228" s="54" t="s">
        <v>1033</v>
      </c>
      <c r="C228" s="54" t="s">
        <v>1269</v>
      </c>
      <c r="D228" s="54" t="s">
        <v>1035</v>
      </c>
      <c r="E228" s="54" t="s">
        <v>1036</v>
      </c>
      <c r="F228" s="55">
        <v>46189</v>
      </c>
      <c r="G228" s="55">
        <v>46189</v>
      </c>
      <c r="H228" s="54" t="s">
        <v>1037</v>
      </c>
      <c r="I228" s="54" t="s">
        <v>1038</v>
      </c>
      <c r="J228" s="54" t="s">
        <v>1039</v>
      </c>
      <c r="K228" s="55"/>
      <c r="L228" s="54" t="s">
        <v>1040</v>
      </c>
      <c r="M228" s="54"/>
      <c r="N228" s="54" t="s">
        <v>1270</v>
      </c>
      <c r="O228" s="54" t="s">
        <v>1141</v>
      </c>
      <c r="P228" s="54" t="s">
        <v>497</v>
      </c>
      <c r="Q228" s="54" t="s">
        <v>498</v>
      </c>
      <c r="R228" s="54" t="s">
        <v>1043</v>
      </c>
      <c r="S228" s="56">
        <v>1281.5999999999999</v>
      </c>
      <c r="T228" s="56">
        <v>0</v>
      </c>
      <c r="U228" s="56">
        <v>1281.5999999999999</v>
      </c>
      <c r="V228" s="56">
        <v>0</v>
      </c>
      <c r="W228" s="56">
        <v>0</v>
      </c>
      <c r="X228" s="56">
        <v>0</v>
      </c>
      <c r="Y228" s="56">
        <v>0</v>
      </c>
      <c r="Z228" s="56">
        <v>96</v>
      </c>
      <c r="AA228" s="56">
        <v>0</v>
      </c>
      <c r="AB228" s="59">
        <v>96</v>
      </c>
      <c r="AC228" s="56">
        <v>0</v>
      </c>
      <c r="AD228" s="56">
        <v>0</v>
      </c>
      <c r="AE228" s="56">
        <v>0</v>
      </c>
      <c r="AF228" s="54" t="s">
        <v>1044</v>
      </c>
      <c r="AG228" s="57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 t="s">
        <v>1045</v>
      </c>
      <c r="AS228" s="54" t="s">
        <v>1103</v>
      </c>
      <c r="AT228" s="54" t="s">
        <v>1104</v>
      </c>
      <c r="AU228" s="54" t="s">
        <v>1048</v>
      </c>
      <c r="AV228" s="54"/>
      <c r="AW228" s="55">
        <v>46202</v>
      </c>
      <c r="AX228" s="55">
        <v>46189</v>
      </c>
      <c r="AY228" s="55">
        <v>46189</v>
      </c>
      <c r="AZ228" s="55"/>
      <c r="BA228" s="55">
        <v>46202</v>
      </c>
      <c r="BB228" s="56">
        <v>0</v>
      </c>
      <c r="BC228" s="56">
        <v>0</v>
      </c>
      <c r="BD228" s="56">
        <v>0</v>
      </c>
      <c r="BE228" s="56">
        <v>0</v>
      </c>
      <c r="BF228" s="56">
        <v>0</v>
      </c>
      <c r="BG228" s="56">
        <v>0</v>
      </c>
      <c r="BH228" s="56">
        <v>0</v>
      </c>
      <c r="BI228" s="56">
        <v>0</v>
      </c>
      <c r="BJ228" s="56">
        <v>0</v>
      </c>
      <c r="BK228" s="56">
        <v>0</v>
      </c>
      <c r="BL228" s="56">
        <v>0</v>
      </c>
      <c r="BM228" s="56">
        <v>0</v>
      </c>
      <c r="BN228" s="56">
        <v>0</v>
      </c>
      <c r="BO228" s="56">
        <v>0</v>
      </c>
      <c r="BP228" s="54" t="s">
        <v>1049</v>
      </c>
      <c r="BQ228" s="54" t="s">
        <v>1050</v>
      </c>
      <c r="BR228" s="54" t="s">
        <v>1049</v>
      </c>
      <c r="BS228" s="54" t="s">
        <v>1050</v>
      </c>
      <c r="BT228" s="54" t="s">
        <v>1051</v>
      </c>
      <c r="BU228" s="54" t="s">
        <v>1043</v>
      </c>
      <c r="BV228" s="58">
        <v>0</v>
      </c>
      <c r="BW228" s="54" t="s">
        <v>1052</v>
      </c>
      <c r="BX228" s="54" t="s">
        <v>1053</v>
      </c>
      <c r="BY228" s="54" t="s">
        <v>1054</v>
      </c>
      <c r="BZ228" s="54" t="s">
        <v>1055</v>
      </c>
      <c r="CA228" s="55"/>
      <c r="CB228" s="54" t="s">
        <v>1056</v>
      </c>
      <c r="CC228" s="54" t="s">
        <v>1057</v>
      </c>
      <c r="CD228" s="54" t="s">
        <v>1058</v>
      </c>
      <c r="CE228" s="54" t="s">
        <v>1059</v>
      </c>
      <c r="CF228" s="54" t="s">
        <v>1060</v>
      </c>
      <c r="CG228" s="54" t="s">
        <v>1061</v>
      </c>
      <c r="CH228" s="54" t="s">
        <v>1062</v>
      </c>
      <c r="CI228" s="54" t="s">
        <v>1063</v>
      </c>
      <c r="CJ228" s="54" t="s">
        <v>1064</v>
      </c>
      <c r="CK228" s="54" t="s">
        <v>1065</v>
      </c>
      <c r="CL228" s="54" t="s">
        <v>1066</v>
      </c>
      <c r="CM228" s="54" t="s">
        <v>1067</v>
      </c>
      <c r="CN228" s="54" t="s">
        <v>1068</v>
      </c>
      <c r="CO228" s="54" t="s">
        <v>1069</v>
      </c>
      <c r="CP228" s="56">
        <v>0</v>
      </c>
      <c r="CQ228" s="56">
        <v>0</v>
      </c>
      <c r="CR228" s="56">
        <v>0</v>
      </c>
      <c r="CS228" s="56">
        <v>0</v>
      </c>
      <c r="CT228" s="56">
        <v>0</v>
      </c>
      <c r="CU228" s="56">
        <v>0</v>
      </c>
      <c r="CV228" s="56">
        <v>0</v>
      </c>
      <c r="CW228" s="56">
        <v>0</v>
      </c>
      <c r="CX228" s="56">
        <v>0</v>
      </c>
      <c r="CY228" s="56">
        <v>0</v>
      </c>
      <c r="CZ228" s="56">
        <v>0</v>
      </c>
      <c r="DA228" s="56">
        <v>0</v>
      </c>
      <c r="DB228" s="56">
        <v>0</v>
      </c>
      <c r="DC228" s="56">
        <v>0</v>
      </c>
      <c r="DD228" s="56">
        <v>0</v>
      </c>
      <c r="DE228" s="56">
        <v>0</v>
      </c>
      <c r="DF228" s="56">
        <v>0</v>
      </c>
      <c r="DG228" s="56">
        <v>0</v>
      </c>
      <c r="DH228" s="56">
        <v>0</v>
      </c>
      <c r="DI228" s="56">
        <v>0</v>
      </c>
      <c r="DJ228" s="56">
        <v>0</v>
      </c>
      <c r="DK228" s="56">
        <v>0</v>
      </c>
      <c r="DL228" s="56">
        <v>0</v>
      </c>
      <c r="DM228" s="56">
        <v>0</v>
      </c>
      <c r="DN228" s="56">
        <v>0</v>
      </c>
      <c r="DO228" s="56">
        <v>0</v>
      </c>
      <c r="DP228" s="56">
        <v>0</v>
      </c>
      <c r="DQ228" s="56">
        <v>0</v>
      </c>
      <c r="DR228" s="56">
        <v>0</v>
      </c>
      <c r="DS228" s="56">
        <v>0</v>
      </c>
      <c r="DT228" s="56">
        <v>0</v>
      </c>
      <c r="DU228" s="56">
        <v>0</v>
      </c>
      <c r="DV228" s="56">
        <v>0</v>
      </c>
      <c r="DW228" s="56">
        <v>0</v>
      </c>
      <c r="DX228" s="56">
        <v>0</v>
      </c>
      <c r="DY228" s="56">
        <v>0</v>
      </c>
      <c r="DZ228" s="56">
        <v>0</v>
      </c>
      <c r="EA228" s="56">
        <v>0</v>
      </c>
      <c r="EB228" s="56">
        <v>97.4</v>
      </c>
      <c r="EC228" s="56">
        <v>153.79</v>
      </c>
      <c r="ED228" s="56">
        <v>0</v>
      </c>
      <c r="EE228" s="56">
        <v>0</v>
      </c>
      <c r="EF228" s="56">
        <v>97.4</v>
      </c>
      <c r="EG228" s="56">
        <v>21.15</v>
      </c>
      <c r="EH228" s="56">
        <v>153.79</v>
      </c>
      <c r="EI228" s="56">
        <v>0</v>
      </c>
      <c r="EJ228" s="56">
        <v>0</v>
      </c>
      <c r="EK228" s="56">
        <v>0</v>
      </c>
      <c r="EL228" s="56">
        <v>0</v>
      </c>
      <c r="EM228" s="56">
        <v>0</v>
      </c>
      <c r="EN228" s="56">
        <v>0</v>
      </c>
      <c r="EO228" s="56">
        <v>0</v>
      </c>
      <c r="EP228" s="56">
        <v>1281.5999999999999</v>
      </c>
      <c r="EQ228" s="56">
        <v>0</v>
      </c>
      <c r="ER228" s="56">
        <v>0</v>
      </c>
      <c r="ES228" s="56">
        <v>96</v>
      </c>
      <c r="ET228" s="56">
        <v>0</v>
      </c>
      <c r="EU228" s="56">
        <v>0</v>
      </c>
      <c r="EV228" s="56">
        <v>0</v>
      </c>
      <c r="EW228" s="56">
        <v>0</v>
      </c>
      <c r="EX228" s="56">
        <v>0</v>
      </c>
      <c r="EY228" s="56">
        <v>0</v>
      </c>
      <c r="EZ228" s="56">
        <v>0</v>
      </c>
      <c r="FA228" s="56">
        <v>0</v>
      </c>
      <c r="FB228" s="56">
        <v>0</v>
      </c>
      <c r="FC228" s="58">
        <v>0</v>
      </c>
      <c r="FD228" s="56">
        <v>0</v>
      </c>
      <c r="FE228" s="56">
        <v>0</v>
      </c>
      <c r="FF228" s="56">
        <v>0</v>
      </c>
      <c r="FG228" s="56">
        <v>0</v>
      </c>
      <c r="FH228" s="56">
        <v>0</v>
      </c>
      <c r="FI228" s="56">
        <v>0</v>
      </c>
      <c r="FJ228" s="56">
        <v>0</v>
      </c>
      <c r="FK228" s="56">
        <v>0</v>
      </c>
      <c r="FL228" s="56">
        <v>0</v>
      </c>
      <c r="FM228" s="56">
        <v>0</v>
      </c>
      <c r="FN228" s="56">
        <v>0</v>
      </c>
      <c r="FO228" s="56">
        <v>0</v>
      </c>
      <c r="FP228" s="56">
        <v>0</v>
      </c>
      <c r="FQ228" s="56">
        <v>0</v>
      </c>
      <c r="FR228" s="56">
        <v>0</v>
      </c>
      <c r="FS228" s="58">
        <v>0</v>
      </c>
      <c r="FT228" s="56">
        <v>0</v>
      </c>
      <c r="FU228" s="56">
        <v>0</v>
      </c>
      <c r="FV228" s="56">
        <v>0</v>
      </c>
      <c r="FW228" s="56">
        <v>0</v>
      </c>
      <c r="FX228" s="56">
        <v>0</v>
      </c>
      <c r="FY228" s="56">
        <v>0</v>
      </c>
      <c r="FZ228" s="54" t="s">
        <v>1105</v>
      </c>
      <c r="GA228" s="54" t="s">
        <v>1106</v>
      </c>
      <c r="GB228" s="54" t="s">
        <v>1072</v>
      </c>
      <c r="GC228" s="54" t="s">
        <v>1073</v>
      </c>
      <c r="GD228" s="54"/>
      <c r="GE228" s="54"/>
      <c r="GF228" s="54" t="s">
        <v>1276</v>
      </c>
      <c r="GG228" s="55">
        <v>46205</v>
      </c>
      <c r="GH228" s="54"/>
      <c r="GI228" s="54"/>
      <c r="GJ228" s="54" t="s">
        <v>1076</v>
      </c>
      <c r="GK228" s="54" t="s">
        <v>1077</v>
      </c>
      <c r="GL228" s="54"/>
      <c r="GM228" s="54"/>
      <c r="GN228" s="54" t="s">
        <v>1078</v>
      </c>
      <c r="GO228" s="54" t="s">
        <v>1059</v>
      </c>
      <c r="GP228" s="54"/>
      <c r="GQ228" s="56">
        <v>0</v>
      </c>
      <c r="GR228" s="54" t="s">
        <v>1079</v>
      </c>
      <c r="GS228" s="54" t="s">
        <v>1101</v>
      </c>
    </row>
    <row r="229" spans="1:201" x14ac:dyDescent="0.25">
      <c r="A229" s="54" t="s">
        <v>1032</v>
      </c>
      <c r="B229" s="54" t="s">
        <v>1033</v>
      </c>
      <c r="C229" s="54" t="s">
        <v>1269</v>
      </c>
      <c r="D229" s="54" t="s">
        <v>1035</v>
      </c>
      <c r="E229" s="54" t="s">
        <v>1036</v>
      </c>
      <c r="F229" s="55">
        <v>46189</v>
      </c>
      <c r="G229" s="55">
        <v>46189</v>
      </c>
      <c r="H229" s="54" t="s">
        <v>1037</v>
      </c>
      <c r="I229" s="54" t="s">
        <v>1038</v>
      </c>
      <c r="J229" s="54" t="s">
        <v>1039</v>
      </c>
      <c r="K229" s="55"/>
      <c r="L229" s="54" t="s">
        <v>1040</v>
      </c>
      <c r="M229" s="54"/>
      <c r="N229" s="54" t="s">
        <v>1270</v>
      </c>
      <c r="O229" s="54" t="s">
        <v>1142</v>
      </c>
      <c r="P229" s="54" t="s">
        <v>206</v>
      </c>
      <c r="Q229" s="54" t="s">
        <v>776</v>
      </c>
      <c r="R229" s="54" t="s">
        <v>1043</v>
      </c>
      <c r="S229" s="56">
        <v>924</v>
      </c>
      <c r="T229" s="56">
        <v>924</v>
      </c>
      <c r="U229" s="56">
        <v>0</v>
      </c>
      <c r="V229" s="56">
        <v>0</v>
      </c>
      <c r="W229" s="56">
        <v>0</v>
      </c>
      <c r="X229" s="56">
        <v>0</v>
      </c>
      <c r="Y229" s="56">
        <v>0</v>
      </c>
      <c r="Z229" s="56">
        <v>240</v>
      </c>
      <c r="AA229" s="56">
        <v>240</v>
      </c>
      <c r="AB229" s="59">
        <v>0</v>
      </c>
      <c r="AC229" s="56">
        <v>0</v>
      </c>
      <c r="AD229" s="56">
        <v>0</v>
      </c>
      <c r="AE229" s="56">
        <v>0</v>
      </c>
      <c r="AF229" s="54" t="s">
        <v>1044</v>
      </c>
      <c r="AG229" s="57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 t="s">
        <v>1045</v>
      </c>
      <c r="AS229" s="54" t="s">
        <v>1081</v>
      </c>
      <c r="AT229" s="54" t="s">
        <v>1082</v>
      </c>
      <c r="AU229" s="54" t="s">
        <v>1048</v>
      </c>
      <c r="AV229" s="54"/>
      <c r="AW229" s="55">
        <v>46202</v>
      </c>
      <c r="AX229" s="55">
        <v>46189</v>
      </c>
      <c r="AY229" s="55">
        <v>46189</v>
      </c>
      <c r="AZ229" s="55"/>
      <c r="BA229" s="55">
        <v>46202</v>
      </c>
      <c r="BB229" s="56">
        <v>0</v>
      </c>
      <c r="BC229" s="56">
        <v>0</v>
      </c>
      <c r="BD229" s="56">
        <v>0</v>
      </c>
      <c r="BE229" s="56">
        <v>0</v>
      </c>
      <c r="BF229" s="56">
        <v>0</v>
      </c>
      <c r="BG229" s="56">
        <v>0</v>
      </c>
      <c r="BH229" s="56">
        <v>0</v>
      </c>
      <c r="BI229" s="56">
        <v>0</v>
      </c>
      <c r="BJ229" s="56">
        <v>0</v>
      </c>
      <c r="BK229" s="56">
        <v>0</v>
      </c>
      <c r="BL229" s="56">
        <v>0</v>
      </c>
      <c r="BM229" s="56">
        <v>0</v>
      </c>
      <c r="BN229" s="56">
        <v>0</v>
      </c>
      <c r="BO229" s="56">
        <v>0</v>
      </c>
      <c r="BP229" s="54" t="s">
        <v>1049</v>
      </c>
      <c r="BQ229" s="54" t="s">
        <v>1050</v>
      </c>
      <c r="BR229" s="54" t="s">
        <v>1049</v>
      </c>
      <c r="BS229" s="54" t="s">
        <v>1050</v>
      </c>
      <c r="BT229" s="54" t="s">
        <v>1051</v>
      </c>
      <c r="BU229" s="54" t="s">
        <v>1043</v>
      </c>
      <c r="BV229" s="58">
        <v>240</v>
      </c>
      <c r="BW229" s="54" t="s">
        <v>1052</v>
      </c>
      <c r="BX229" s="54" t="s">
        <v>1053</v>
      </c>
      <c r="BY229" s="54" t="s">
        <v>1054</v>
      </c>
      <c r="BZ229" s="54" t="s">
        <v>1055</v>
      </c>
      <c r="CA229" s="55"/>
      <c r="CB229" s="54" t="s">
        <v>1056</v>
      </c>
      <c r="CC229" s="54" t="s">
        <v>1057</v>
      </c>
      <c r="CD229" s="54" t="s">
        <v>1058</v>
      </c>
      <c r="CE229" s="54" t="s">
        <v>1059</v>
      </c>
      <c r="CF229" s="54" t="s">
        <v>1060</v>
      </c>
      <c r="CG229" s="54" t="s">
        <v>1061</v>
      </c>
      <c r="CH229" s="54" t="s">
        <v>1062</v>
      </c>
      <c r="CI229" s="54" t="s">
        <v>1063</v>
      </c>
      <c r="CJ229" s="54" t="s">
        <v>1064</v>
      </c>
      <c r="CK229" s="54" t="s">
        <v>1065</v>
      </c>
      <c r="CL229" s="54" t="s">
        <v>1066</v>
      </c>
      <c r="CM229" s="54" t="s">
        <v>1067</v>
      </c>
      <c r="CN229" s="54" t="s">
        <v>1068</v>
      </c>
      <c r="CO229" s="54" t="s">
        <v>1069</v>
      </c>
      <c r="CP229" s="56">
        <v>0</v>
      </c>
      <c r="CQ229" s="56">
        <v>0</v>
      </c>
      <c r="CR229" s="56">
        <v>0</v>
      </c>
      <c r="CS229" s="56">
        <v>0</v>
      </c>
      <c r="CT229" s="56">
        <v>0</v>
      </c>
      <c r="CU229" s="56">
        <v>0</v>
      </c>
      <c r="CV229" s="56">
        <v>0</v>
      </c>
      <c r="CW229" s="56">
        <v>0</v>
      </c>
      <c r="CX229" s="56">
        <v>0</v>
      </c>
      <c r="CY229" s="56">
        <v>0</v>
      </c>
      <c r="CZ229" s="56">
        <v>0</v>
      </c>
      <c r="DA229" s="56">
        <v>0</v>
      </c>
      <c r="DB229" s="56">
        <v>0</v>
      </c>
      <c r="DC229" s="56">
        <v>0</v>
      </c>
      <c r="DD229" s="56">
        <v>0</v>
      </c>
      <c r="DE229" s="56">
        <v>0</v>
      </c>
      <c r="DF229" s="56">
        <v>0</v>
      </c>
      <c r="DG229" s="56">
        <v>0</v>
      </c>
      <c r="DH229" s="56">
        <v>0</v>
      </c>
      <c r="DI229" s="56">
        <v>0</v>
      </c>
      <c r="DJ229" s="56">
        <v>0</v>
      </c>
      <c r="DK229" s="56">
        <v>0</v>
      </c>
      <c r="DL229" s="56">
        <v>0</v>
      </c>
      <c r="DM229" s="56">
        <v>0</v>
      </c>
      <c r="DN229" s="56">
        <v>0</v>
      </c>
      <c r="DO229" s="56">
        <v>0</v>
      </c>
      <c r="DP229" s="56">
        <v>0</v>
      </c>
      <c r="DQ229" s="56">
        <v>0</v>
      </c>
      <c r="DR229" s="56">
        <v>0</v>
      </c>
      <c r="DS229" s="56">
        <v>0</v>
      </c>
      <c r="DT229" s="56">
        <v>0</v>
      </c>
      <c r="DU229" s="56">
        <v>0</v>
      </c>
      <c r="DV229" s="56">
        <v>0</v>
      </c>
      <c r="DW229" s="56">
        <v>0</v>
      </c>
      <c r="DX229" s="56">
        <v>0</v>
      </c>
      <c r="DY229" s="56">
        <v>0</v>
      </c>
      <c r="DZ229" s="56">
        <v>0</v>
      </c>
      <c r="EA229" s="56">
        <v>0</v>
      </c>
      <c r="EB229" s="56">
        <v>0</v>
      </c>
      <c r="EC229" s="56">
        <v>0</v>
      </c>
      <c r="ED229" s="56">
        <v>0</v>
      </c>
      <c r="EE229" s="56">
        <v>0</v>
      </c>
      <c r="EF229" s="56">
        <v>0</v>
      </c>
      <c r="EG229" s="56">
        <v>0</v>
      </c>
      <c r="EH229" s="56">
        <v>110.88</v>
      </c>
      <c r="EI229" s="56">
        <v>0</v>
      </c>
      <c r="EJ229" s="56">
        <v>0</v>
      </c>
      <c r="EK229" s="56">
        <v>0</v>
      </c>
      <c r="EL229" s="56">
        <v>0</v>
      </c>
      <c r="EM229" s="56">
        <v>0</v>
      </c>
      <c r="EN229" s="56">
        <v>0</v>
      </c>
      <c r="EO229" s="56">
        <v>0</v>
      </c>
      <c r="EP229" s="56">
        <v>0</v>
      </c>
      <c r="EQ229" s="56">
        <v>0</v>
      </c>
      <c r="ER229" s="56">
        <v>0</v>
      </c>
      <c r="ES229" s="56">
        <v>0</v>
      </c>
      <c r="ET229" s="56">
        <v>0</v>
      </c>
      <c r="EU229" s="56">
        <v>0</v>
      </c>
      <c r="EV229" s="56">
        <v>0</v>
      </c>
      <c r="EW229" s="56">
        <v>0</v>
      </c>
      <c r="EX229" s="56">
        <v>0</v>
      </c>
      <c r="EY229" s="56">
        <v>0</v>
      </c>
      <c r="EZ229" s="56">
        <v>0</v>
      </c>
      <c r="FA229" s="56">
        <v>0</v>
      </c>
      <c r="FB229" s="56">
        <v>0</v>
      </c>
      <c r="FC229" s="58">
        <v>0</v>
      </c>
      <c r="FD229" s="56">
        <v>0</v>
      </c>
      <c r="FE229" s="56">
        <v>0</v>
      </c>
      <c r="FF229" s="56">
        <v>0</v>
      </c>
      <c r="FG229" s="56">
        <v>0</v>
      </c>
      <c r="FH229" s="56">
        <v>0</v>
      </c>
      <c r="FI229" s="56">
        <v>0</v>
      </c>
      <c r="FJ229" s="56">
        <v>0</v>
      </c>
      <c r="FK229" s="56">
        <v>0</v>
      </c>
      <c r="FL229" s="56">
        <v>0</v>
      </c>
      <c r="FM229" s="56">
        <v>0</v>
      </c>
      <c r="FN229" s="56">
        <v>0</v>
      </c>
      <c r="FO229" s="56">
        <v>0</v>
      </c>
      <c r="FP229" s="56">
        <v>0</v>
      </c>
      <c r="FQ229" s="56">
        <v>0</v>
      </c>
      <c r="FR229" s="56">
        <v>0</v>
      </c>
      <c r="FS229" s="58">
        <v>0</v>
      </c>
      <c r="FT229" s="56">
        <v>0</v>
      </c>
      <c r="FU229" s="56">
        <v>0</v>
      </c>
      <c r="FV229" s="56">
        <v>0</v>
      </c>
      <c r="FW229" s="56">
        <v>0</v>
      </c>
      <c r="FX229" s="56">
        <v>0</v>
      </c>
      <c r="FY229" s="56">
        <v>0</v>
      </c>
      <c r="FZ229" s="54" t="s">
        <v>1083</v>
      </c>
      <c r="GA229" s="54" t="s">
        <v>1084</v>
      </c>
      <c r="GB229" s="54" t="s">
        <v>1072</v>
      </c>
      <c r="GC229" s="54" t="s">
        <v>1073</v>
      </c>
      <c r="GD229" s="54" t="s">
        <v>1166</v>
      </c>
      <c r="GE229" s="54" t="s">
        <v>1075</v>
      </c>
      <c r="GF229" s="54"/>
      <c r="GG229" s="55"/>
      <c r="GH229" s="54"/>
      <c r="GI229" s="54"/>
      <c r="GJ229" s="54" t="s">
        <v>1076</v>
      </c>
      <c r="GK229" s="54" t="s">
        <v>1077</v>
      </c>
      <c r="GL229" s="54"/>
      <c r="GM229" s="54"/>
      <c r="GN229" s="54" t="s">
        <v>1078</v>
      </c>
      <c r="GO229" s="54" t="s">
        <v>1059</v>
      </c>
      <c r="GP229" s="54"/>
      <c r="GQ229" s="56">
        <v>0</v>
      </c>
      <c r="GR229" s="54" t="s">
        <v>1079</v>
      </c>
      <c r="GS229" s="54"/>
    </row>
    <row r="230" spans="1:201" x14ac:dyDescent="0.25">
      <c r="A230" s="54" t="s">
        <v>1032</v>
      </c>
      <c r="B230" s="54" t="s">
        <v>1033</v>
      </c>
      <c r="C230" s="54" t="s">
        <v>1269</v>
      </c>
      <c r="D230" s="54" t="s">
        <v>1035</v>
      </c>
      <c r="E230" s="54" t="s">
        <v>1036</v>
      </c>
      <c r="F230" s="55">
        <v>46189</v>
      </c>
      <c r="G230" s="55">
        <v>46189</v>
      </c>
      <c r="H230" s="54" t="s">
        <v>1037</v>
      </c>
      <c r="I230" s="54" t="s">
        <v>1038</v>
      </c>
      <c r="J230" s="54" t="s">
        <v>1039</v>
      </c>
      <c r="K230" s="55"/>
      <c r="L230" s="54" t="s">
        <v>1040</v>
      </c>
      <c r="M230" s="54"/>
      <c r="N230" s="54" t="s">
        <v>1270</v>
      </c>
      <c r="O230" s="54" t="s">
        <v>1144</v>
      </c>
      <c r="P230" s="54" t="s">
        <v>338</v>
      </c>
      <c r="Q230" s="54" t="s">
        <v>40</v>
      </c>
      <c r="R230" s="54" t="s">
        <v>1043</v>
      </c>
      <c r="S230" s="56">
        <v>66480</v>
      </c>
      <c r="T230" s="56">
        <v>66480</v>
      </c>
      <c r="U230" s="56">
        <v>0</v>
      </c>
      <c r="V230" s="56">
        <v>0</v>
      </c>
      <c r="W230" s="56">
        <v>0</v>
      </c>
      <c r="X230" s="56">
        <v>0</v>
      </c>
      <c r="Y230" s="56">
        <v>0</v>
      </c>
      <c r="Z230" s="56">
        <v>24000</v>
      </c>
      <c r="AA230" s="56">
        <v>24000</v>
      </c>
      <c r="AB230" s="59">
        <v>0</v>
      </c>
      <c r="AC230" s="56">
        <v>0</v>
      </c>
      <c r="AD230" s="56">
        <v>0</v>
      </c>
      <c r="AE230" s="56">
        <v>0</v>
      </c>
      <c r="AF230" s="54" t="s">
        <v>1044</v>
      </c>
      <c r="AG230" s="57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 t="s">
        <v>1045</v>
      </c>
      <c r="AS230" s="54" t="s">
        <v>1046</v>
      </c>
      <c r="AT230" s="54" t="s">
        <v>1047</v>
      </c>
      <c r="AU230" s="54" t="s">
        <v>1048</v>
      </c>
      <c r="AV230" s="54"/>
      <c r="AW230" s="55">
        <v>46202</v>
      </c>
      <c r="AX230" s="55">
        <v>46189</v>
      </c>
      <c r="AY230" s="55">
        <v>46189</v>
      </c>
      <c r="AZ230" s="55"/>
      <c r="BA230" s="55">
        <v>46202</v>
      </c>
      <c r="BB230" s="56">
        <v>0</v>
      </c>
      <c r="BC230" s="56">
        <v>0</v>
      </c>
      <c r="BD230" s="56">
        <v>0</v>
      </c>
      <c r="BE230" s="56">
        <v>0</v>
      </c>
      <c r="BF230" s="56">
        <v>0</v>
      </c>
      <c r="BG230" s="56">
        <v>0</v>
      </c>
      <c r="BH230" s="56">
        <v>0</v>
      </c>
      <c r="BI230" s="56">
        <v>0</v>
      </c>
      <c r="BJ230" s="56">
        <v>0</v>
      </c>
      <c r="BK230" s="56">
        <v>0</v>
      </c>
      <c r="BL230" s="56">
        <v>0</v>
      </c>
      <c r="BM230" s="56">
        <v>0</v>
      </c>
      <c r="BN230" s="56">
        <v>0</v>
      </c>
      <c r="BO230" s="56">
        <v>0</v>
      </c>
      <c r="BP230" s="54" t="s">
        <v>1049</v>
      </c>
      <c r="BQ230" s="54" t="s">
        <v>1050</v>
      </c>
      <c r="BR230" s="54" t="s">
        <v>1049</v>
      </c>
      <c r="BS230" s="54" t="s">
        <v>1050</v>
      </c>
      <c r="BT230" s="54" t="s">
        <v>1051</v>
      </c>
      <c r="BU230" s="54" t="s">
        <v>1043</v>
      </c>
      <c r="BV230" s="58">
        <v>24000</v>
      </c>
      <c r="BW230" s="54" t="s">
        <v>1052</v>
      </c>
      <c r="BX230" s="54" t="s">
        <v>1053</v>
      </c>
      <c r="BY230" s="54" t="s">
        <v>1054</v>
      </c>
      <c r="BZ230" s="54" t="s">
        <v>1055</v>
      </c>
      <c r="CA230" s="55"/>
      <c r="CB230" s="54" t="s">
        <v>1056</v>
      </c>
      <c r="CC230" s="54" t="s">
        <v>1057</v>
      </c>
      <c r="CD230" s="54" t="s">
        <v>1058</v>
      </c>
      <c r="CE230" s="54" t="s">
        <v>1059</v>
      </c>
      <c r="CF230" s="54" t="s">
        <v>1060</v>
      </c>
      <c r="CG230" s="54" t="s">
        <v>1061</v>
      </c>
      <c r="CH230" s="54" t="s">
        <v>1062</v>
      </c>
      <c r="CI230" s="54" t="s">
        <v>1063</v>
      </c>
      <c r="CJ230" s="54" t="s">
        <v>1064</v>
      </c>
      <c r="CK230" s="54" t="s">
        <v>1065</v>
      </c>
      <c r="CL230" s="54" t="s">
        <v>1066</v>
      </c>
      <c r="CM230" s="54" t="s">
        <v>1067</v>
      </c>
      <c r="CN230" s="54" t="s">
        <v>1068</v>
      </c>
      <c r="CO230" s="54" t="s">
        <v>1069</v>
      </c>
      <c r="CP230" s="56">
        <v>0</v>
      </c>
      <c r="CQ230" s="56">
        <v>0</v>
      </c>
      <c r="CR230" s="56">
        <v>0</v>
      </c>
      <c r="CS230" s="56">
        <v>0</v>
      </c>
      <c r="CT230" s="56">
        <v>0</v>
      </c>
      <c r="CU230" s="56">
        <v>0</v>
      </c>
      <c r="CV230" s="56">
        <v>0</v>
      </c>
      <c r="CW230" s="56">
        <v>0</v>
      </c>
      <c r="CX230" s="56">
        <v>0</v>
      </c>
      <c r="CY230" s="56">
        <v>0</v>
      </c>
      <c r="CZ230" s="56">
        <v>0</v>
      </c>
      <c r="DA230" s="56">
        <v>0</v>
      </c>
      <c r="DB230" s="56">
        <v>0</v>
      </c>
      <c r="DC230" s="56">
        <v>0</v>
      </c>
      <c r="DD230" s="56">
        <v>0</v>
      </c>
      <c r="DE230" s="56">
        <v>0</v>
      </c>
      <c r="DF230" s="56">
        <v>0</v>
      </c>
      <c r="DG230" s="56">
        <v>0</v>
      </c>
      <c r="DH230" s="56">
        <v>0</v>
      </c>
      <c r="DI230" s="56">
        <v>0</v>
      </c>
      <c r="DJ230" s="56">
        <v>0</v>
      </c>
      <c r="DK230" s="56">
        <v>0</v>
      </c>
      <c r="DL230" s="56">
        <v>0</v>
      </c>
      <c r="DM230" s="56">
        <v>0</v>
      </c>
      <c r="DN230" s="56">
        <v>0</v>
      </c>
      <c r="DO230" s="56">
        <v>0</v>
      </c>
      <c r="DP230" s="56">
        <v>0</v>
      </c>
      <c r="DQ230" s="56">
        <v>0</v>
      </c>
      <c r="DR230" s="56">
        <v>0</v>
      </c>
      <c r="DS230" s="56">
        <v>0</v>
      </c>
      <c r="DT230" s="56">
        <v>0</v>
      </c>
      <c r="DU230" s="56">
        <v>0</v>
      </c>
      <c r="DV230" s="56">
        <v>0</v>
      </c>
      <c r="DW230" s="56">
        <v>0</v>
      </c>
      <c r="DX230" s="56">
        <v>0</v>
      </c>
      <c r="DY230" s="56">
        <v>0</v>
      </c>
      <c r="DZ230" s="56">
        <v>0</v>
      </c>
      <c r="EA230" s="56">
        <v>0</v>
      </c>
      <c r="EB230" s="56">
        <v>0</v>
      </c>
      <c r="EC230" s="56">
        <v>0</v>
      </c>
      <c r="ED230" s="56">
        <v>0</v>
      </c>
      <c r="EE230" s="56">
        <v>0</v>
      </c>
      <c r="EF230" s="56">
        <v>0</v>
      </c>
      <c r="EG230" s="56">
        <v>0</v>
      </c>
      <c r="EH230" s="56">
        <v>7977.6</v>
      </c>
      <c r="EI230" s="56">
        <v>0</v>
      </c>
      <c r="EJ230" s="56">
        <v>0</v>
      </c>
      <c r="EK230" s="56">
        <v>0</v>
      </c>
      <c r="EL230" s="56">
        <v>0</v>
      </c>
      <c r="EM230" s="56">
        <v>0</v>
      </c>
      <c r="EN230" s="56">
        <v>0</v>
      </c>
      <c r="EO230" s="56">
        <v>0</v>
      </c>
      <c r="EP230" s="56">
        <v>0</v>
      </c>
      <c r="EQ230" s="56">
        <v>0</v>
      </c>
      <c r="ER230" s="56">
        <v>0</v>
      </c>
      <c r="ES230" s="56">
        <v>0</v>
      </c>
      <c r="ET230" s="56">
        <v>0</v>
      </c>
      <c r="EU230" s="56">
        <v>0</v>
      </c>
      <c r="EV230" s="56">
        <v>0</v>
      </c>
      <c r="EW230" s="56">
        <v>0</v>
      </c>
      <c r="EX230" s="56">
        <v>0</v>
      </c>
      <c r="EY230" s="56">
        <v>0</v>
      </c>
      <c r="EZ230" s="56">
        <v>0</v>
      </c>
      <c r="FA230" s="56">
        <v>0</v>
      </c>
      <c r="FB230" s="56">
        <v>0</v>
      </c>
      <c r="FC230" s="58">
        <v>0</v>
      </c>
      <c r="FD230" s="56">
        <v>0</v>
      </c>
      <c r="FE230" s="56">
        <v>0</v>
      </c>
      <c r="FF230" s="56">
        <v>0</v>
      </c>
      <c r="FG230" s="56">
        <v>0</v>
      </c>
      <c r="FH230" s="56">
        <v>0</v>
      </c>
      <c r="FI230" s="56">
        <v>0</v>
      </c>
      <c r="FJ230" s="56">
        <v>0</v>
      </c>
      <c r="FK230" s="56">
        <v>0</v>
      </c>
      <c r="FL230" s="56">
        <v>0</v>
      </c>
      <c r="FM230" s="56">
        <v>0</v>
      </c>
      <c r="FN230" s="56">
        <v>0</v>
      </c>
      <c r="FO230" s="56">
        <v>0</v>
      </c>
      <c r="FP230" s="56">
        <v>0</v>
      </c>
      <c r="FQ230" s="56">
        <v>0</v>
      </c>
      <c r="FR230" s="56">
        <v>0</v>
      </c>
      <c r="FS230" s="58">
        <v>0</v>
      </c>
      <c r="FT230" s="56">
        <v>0</v>
      </c>
      <c r="FU230" s="56">
        <v>0</v>
      </c>
      <c r="FV230" s="56">
        <v>0</v>
      </c>
      <c r="FW230" s="56">
        <v>0</v>
      </c>
      <c r="FX230" s="56">
        <v>0</v>
      </c>
      <c r="FY230" s="56">
        <v>0</v>
      </c>
      <c r="FZ230" s="54" t="s">
        <v>1083</v>
      </c>
      <c r="GA230" s="54" t="s">
        <v>1084</v>
      </c>
      <c r="GB230" s="54" t="s">
        <v>1072</v>
      </c>
      <c r="GC230" s="54" t="s">
        <v>1073</v>
      </c>
      <c r="GD230" s="54" t="s">
        <v>1166</v>
      </c>
      <c r="GE230" s="54" t="s">
        <v>1075</v>
      </c>
      <c r="GF230" s="54"/>
      <c r="GG230" s="55"/>
      <c r="GH230" s="54"/>
      <c r="GI230" s="54"/>
      <c r="GJ230" s="54" t="s">
        <v>1076</v>
      </c>
      <c r="GK230" s="54" t="s">
        <v>1077</v>
      </c>
      <c r="GL230" s="54"/>
      <c r="GM230" s="54"/>
      <c r="GN230" s="54" t="s">
        <v>1078</v>
      </c>
      <c r="GO230" s="54" t="s">
        <v>1059</v>
      </c>
      <c r="GP230" s="54"/>
      <c r="GQ230" s="56">
        <v>0</v>
      </c>
      <c r="GR230" s="54" t="s">
        <v>1079</v>
      </c>
      <c r="GS230" s="54"/>
    </row>
    <row r="231" spans="1:201" x14ac:dyDescent="0.25">
      <c r="A231" s="54" t="s">
        <v>1032</v>
      </c>
      <c r="B231" s="54" t="s">
        <v>1033</v>
      </c>
      <c r="C231" s="54" t="s">
        <v>1269</v>
      </c>
      <c r="D231" s="54" t="s">
        <v>1035</v>
      </c>
      <c r="E231" s="54" t="s">
        <v>1036</v>
      </c>
      <c r="F231" s="55">
        <v>46189</v>
      </c>
      <c r="G231" s="55">
        <v>46189</v>
      </c>
      <c r="H231" s="54" t="s">
        <v>1037</v>
      </c>
      <c r="I231" s="54" t="s">
        <v>1038</v>
      </c>
      <c r="J231" s="54" t="s">
        <v>1039</v>
      </c>
      <c r="K231" s="55"/>
      <c r="L231" s="54" t="s">
        <v>1040</v>
      </c>
      <c r="M231" s="54"/>
      <c r="N231" s="54" t="s">
        <v>1270</v>
      </c>
      <c r="O231" s="54" t="s">
        <v>1146</v>
      </c>
      <c r="P231" s="54" t="s">
        <v>427</v>
      </c>
      <c r="Q231" s="54" t="s">
        <v>428</v>
      </c>
      <c r="R231" s="54" t="s">
        <v>1043</v>
      </c>
      <c r="S231" s="56">
        <v>836.4</v>
      </c>
      <c r="T231" s="56">
        <v>0</v>
      </c>
      <c r="U231" s="56">
        <v>0</v>
      </c>
      <c r="V231" s="56">
        <v>836.4</v>
      </c>
      <c r="W231" s="56">
        <v>0</v>
      </c>
      <c r="X231" s="56">
        <v>0</v>
      </c>
      <c r="Y231" s="56">
        <v>0</v>
      </c>
      <c r="Z231" s="56">
        <v>120</v>
      </c>
      <c r="AA231" s="56">
        <v>0</v>
      </c>
      <c r="AB231" s="59">
        <v>0</v>
      </c>
      <c r="AC231" s="56">
        <v>120</v>
      </c>
      <c r="AD231" s="56">
        <v>0</v>
      </c>
      <c r="AE231" s="56">
        <v>0</v>
      </c>
      <c r="AF231" s="54" t="s">
        <v>1044</v>
      </c>
      <c r="AG231" s="57"/>
      <c r="AH231" s="54" t="s">
        <v>1252</v>
      </c>
      <c r="AI231" s="54" t="s">
        <v>1253</v>
      </c>
      <c r="AJ231" s="54"/>
      <c r="AK231" s="54"/>
      <c r="AL231" s="54"/>
      <c r="AM231" s="54"/>
      <c r="AN231" s="54"/>
      <c r="AO231" s="54"/>
      <c r="AP231" s="54"/>
      <c r="AQ231" s="54"/>
      <c r="AR231" s="54" t="s">
        <v>1045</v>
      </c>
      <c r="AS231" s="54" t="s">
        <v>1081</v>
      </c>
      <c r="AT231" s="54" t="s">
        <v>1082</v>
      </c>
      <c r="AU231" s="54" t="s">
        <v>1048</v>
      </c>
      <c r="AV231" s="54"/>
      <c r="AW231" s="55">
        <v>46202</v>
      </c>
      <c r="AX231" s="55">
        <v>46189</v>
      </c>
      <c r="AY231" s="55">
        <v>46189</v>
      </c>
      <c r="AZ231" s="55"/>
      <c r="BA231" s="55">
        <v>46202</v>
      </c>
      <c r="BB231" s="56">
        <v>0</v>
      </c>
      <c r="BC231" s="56">
        <v>0</v>
      </c>
      <c r="BD231" s="56">
        <v>0</v>
      </c>
      <c r="BE231" s="56">
        <v>0</v>
      </c>
      <c r="BF231" s="56">
        <v>0</v>
      </c>
      <c r="BG231" s="56">
        <v>0</v>
      </c>
      <c r="BH231" s="56">
        <v>0</v>
      </c>
      <c r="BI231" s="56">
        <v>0</v>
      </c>
      <c r="BJ231" s="56">
        <v>0</v>
      </c>
      <c r="BK231" s="56">
        <v>0</v>
      </c>
      <c r="BL231" s="56">
        <v>0</v>
      </c>
      <c r="BM231" s="56">
        <v>0</v>
      </c>
      <c r="BN231" s="56">
        <v>0</v>
      </c>
      <c r="BO231" s="56">
        <v>0</v>
      </c>
      <c r="BP231" s="54" t="s">
        <v>1049</v>
      </c>
      <c r="BQ231" s="54" t="s">
        <v>1050</v>
      </c>
      <c r="BR231" s="54" t="s">
        <v>1049</v>
      </c>
      <c r="BS231" s="54" t="s">
        <v>1050</v>
      </c>
      <c r="BT231" s="54" t="s">
        <v>1051</v>
      </c>
      <c r="BU231" s="54" t="s">
        <v>1043</v>
      </c>
      <c r="BV231" s="58">
        <v>0</v>
      </c>
      <c r="BW231" s="54" t="s">
        <v>1052</v>
      </c>
      <c r="BX231" s="54" t="s">
        <v>1053</v>
      </c>
      <c r="BY231" s="54" t="s">
        <v>1054</v>
      </c>
      <c r="BZ231" s="54" t="s">
        <v>1055</v>
      </c>
      <c r="CA231" s="55"/>
      <c r="CB231" s="54" t="s">
        <v>1056</v>
      </c>
      <c r="CC231" s="54" t="s">
        <v>1057</v>
      </c>
      <c r="CD231" s="54" t="s">
        <v>1058</v>
      </c>
      <c r="CE231" s="54" t="s">
        <v>1059</v>
      </c>
      <c r="CF231" s="54" t="s">
        <v>1060</v>
      </c>
      <c r="CG231" s="54" t="s">
        <v>1061</v>
      </c>
      <c r="CH231" s="54" t="s">
        <v>1062</v>
      </c>
      <c r="CI231" s="54" t="s">
        <v>1063</v>
      </c>
      <c r="CJ231" s="54" t="s">
        <v>1064</v>
      </c>
      <c r="CK231" s="54" t="s">
        <v>1065</v>
      </c>
      <c r="CL231" s="54" t="s">
        <v>1066</v>
      </c>
      <c r="CM231" s="54" t="s">
        <v>1067</v>
      </c>
      <c r="CN231" s="54" t="s">
        <v>1068</v>
      </c>
      <c r="CO231" s="54" t="s">
        <v>1069</v>
      </c>
      <c r="CP231" s="56">
        <v>0</v>
      </c>
      <c r="CQ231" s="56">
        <v>0</v>
      </c>
      <c r="CR231" s="56">
        <v>0</v>
      </c>
      <c r="CS231" s="56">
        <v>0</v>
      </c>
      <c r="CT231" s="56">
        <v>0</v>
      </c>
      <c r="CU231" s="56">
        <v>0</v>
      </c>
      <c r="CV231" s="56">
        <v>0</v>
      </c>
      <c r="CW231" s="56">
        <v>0</v>
      </c>
      <c r="CX231" s="56">
        <v>0</v>
      </c>
      <c r="CY231" s="56">
        <v>0</v>
      </c>
      <c r="CZ231" s="56">
        <v>0</v>
      </c>
      <c r="DA231" s="56">
        <v>0</v>
      </c>
      <c r="DB231" s="56">
        <v>0</v>
      </c>
      <c r="DC231" s="56">
        <v>0</v>
      </c>
      <c r="DD231" s="56">
        <v>0</v>
      </c>
      <c r="DE231" s="56">
        <v>0</v>
      </c>
      <c r="DF231" s="56">
        <v>0</v>
      </c>
      <c r="DG231" s="56">
        <v>0</v>
      </c>
      <c r="DH231" s="56">
        <v>0</v>
      </c>
      <c r="DI231" s="56">
        <v>0</v>
      </c>
      <c r="DJ231" s="56">
        <v>0</v>
      </c>
      <c r="DK231" s="56">
        <v>0</v>
      </c>
      <c r="DL231" s="56">
        <v>0</v>
      </c>
      <c r="DM231" s="56">
        <v>0</v>
      </c>
      <c r="DN231" s="56">
        <v>0</v>
      </c>
      <c r="DO231" s="56">
        <v>0</v>
      </c>
      <c r="DP231" s="56">
        <v>0</v>
      </c>
      <c r="DQ231" s="56">
        <v>0</v>
      </c>
      <c r="DR231" s="56">
        <v>0</v>
      </c>
      <c r="DS231" s="56">
        <v>0</v>
      </c>
      <c r="DT231" s="56">
        <v>0</v>
      </c>
      <c r="DU231" s="56">
        <v>0</v>
      </c>
      <c r="DV231" s="56">
        <v>0</v>
      </c>
      <c r="DW231" s="56">
        <v>0</v>
      </c>
      <c r="DX231" s="56">
        <v>0</v>
      </c>
      <c r="DY231" s="56">
        <v>0</v>
      </c>
      <c r="DZ231" s="56">
        <v>0</v>
      </c>
      <c r="EA231" s="56">
        <v>0</v>
      </c>
      <c r="EB231" s="56">
        <v>0</v>
      </c>
      <c r="EC231" s="56">
        <v>0</v>
      </c>
      <c r="ED231" s="56">
        <v>0</v>
      </c>
      <c r="EE231" s="56">
        <v>0</v>
      </c>
      <c r="EF231" s="56">
        <v>0</v>
      </c>
      <c r="EG231" s="56">
        <v>0</v>
      </c>
      <c r="EH231" s="56">
        <v>33.46</v>
      </c>
      <c r="EI231" s="56">
        <v>0</v>
      </c>
      <c r="EJ231" s="56">
        <v>0</v>
      </c>
      <c r="EK231" s="56">
        <v>0</v>
      </c>
      <c r="EL231" s="56">
        <v>0</v>
      </c>
      <c r="EM231" s="56">
        <v>0</v>
      </c>
      <c r="EN231" s="56">
        <v>0</v>
      </c>
      <c r="EO231" s="56">
        <v>0</v>
      </c>
      <c r="EP231" s="56">
        <v>0</v>
      </c>
      <c r="EQ231" s="56">
        <v>0</v>
      </c>
      <c r="ER231" s="56">
        <v>0</v>
      </c>
      <c r="ES231" s="56">
        <v>0</v>
      </c>
      <c r="ET231" s="56">
        <v>0</v>
      </c>
      <c r="EU231" s="56">
        <v>0</v>
      </c>
      <c r="EV231" s="56">
        <v>0</v>
      </c>
      <c r="EW231" s="56">
        <v>0</v>
      </c>
      <c r="EX231" s="56">
        <v>0</v>
      </c>
      <c r="EY231" s="56">
        <v>0</v>
      </c>
      <c r="EZ231" s="56">
        <v>0</v>
      </c>
      <c r="FA231" s="56">
        <v>0</v>
      </c>
      <c r="FB231" s="56">
        <v>0</v>
      </c>
      <c r="FC231" s="58">
        <v>0</v>
      </c>
      <c r="FD231" s="56">
        <v>0</v>
      </c>
      <c r="FE231" s="56">
        <v>0</v>
      </c>
      <c r="FF231" s="56">
        <v>0</v>
      </c>
      <c r="FG231" s="56">
        <v>0</v>
      </c>
      <c r="FH231" s="56">
        <v>0</v>
      </c>
      <c r="FI231" s="56">
        <v>0</v>
      </c>
      <c r="FJ231" s="56">
        <v>0</v>
      </c>
      <c r="FK231" s="56">
        <v>0</v>
      </c>
      <c r="FL231" s="56">
        <v>0</v>
      </c>
      <c r="FM231" s="56">
        <v>0</v>
      </c>
      <c r="FN231" s="56">
        <v>0</v>
      </c>
      <c r="FO231" s="56">
        <v>0</v>
      </c>
      <c r="FP231" s="56">
        <v>0</v>
      </c>
      <c r="FQ231" s="56">
        <v>0</v>
      </c>
      <c r="FR231" s="56">
        <v>0</v>
      </c>
      <c r="FS231" s="58">
        <v>0</v>
      </c>
      <c r="FT231" s="56">
        <v>0</v>
      </c>
      <c r="FU231" s="56">
        <v>0</v>
      </c>
      <c r="FV231" s="56">
        <v>0</v>
      </c>
      <c r="FW231" s="56">
        <v>0</v>
      </c>
      <c r="FX231" s="56">
        <v>0</v>
      </c>
      <c r="FY231" s="56">
        <v>0</v>
      </c>
      <c r="FZ231" s="54" t="s">
        <v>1083</v>
      </c>
      <c r="GA231" s="54" t="s">
        <v>1084</v>
      </c>
      <c r="GB231" s="54" t="s">
        <v>1072</v>
      </c>
      <c r="GC231" s="54" t="s">
        <v>1073</v>
      </c>
      <c r="GD231" s="54"/>
      <c r="GE231" s="54"/>
      <c r="GF231" s="54"/>
      <c r="GG231" s="55"/>
      <c r="GH231" s="54"/>
      <c r="GI231" s="54"/>
      <c r="GJ231" s="54" t="s">
        <v>1076</v>
      </c>
      <c r="GK231" s="54" t="s">
        <v>1077</v>
      </c>
      <c r="GL231" s="54"/>
      <c r="GM231" s="54"/>
      <c r="GN231" s="54" t="s">
        <v>1078</v>
      </c>
      <c r="GO231" s="54" t="s">
        <v>1059</v>
      </c>
      <c r="GP231" s="54"/>
      <c r="GQ231" s="56">
        <v>0</v>
      </c>
      <c r="GR231" s="54" t="s">
        <v>1079</v>
      </c>
      <c r="GS231" s="54"/>
    </row>
    <row r="232" spans="1:201" x14ac:dyDescent="0.25">
      <c r="A232" s="54" t="s">
        <v>1032</v>
      </c>
      <c r="B232" s="54" t="s">
        <v>1033</v>
      </c>
      <c r="C232" s="54" t="s">
        <v>1269</v>
      </c>
      <c r="D232" s="54" t="s">
        <v>1035</v>
      </c>
      <c r="E232" s="54" t="s">
        <v>1036</v>
      </c>
      <c r="F232" s="55">
        <v>46189</v>
      </c>
      <c r="G232" s="55">
        <v>46189</v>
      </c>
      <c r="H232" s="54" t="s">
        <v>1037</v>
      </c>
      <c r="I232" s="54" t="s">
        <v>1038</v>
      </c>
      <c r="J232" s="54" t="s">
        <v>1039</v>
      </c>
      <c r="K232" s="55"/>
      <c r="L232" s="54" t="s">
        <v>1040</v>
      </c>
      <c r="M232" s="54"/>
      <c r="N232" s="54" t="s">
        <v>1270</v>
      </c>
      <c r="O232" s="54" t="s">
        <v>1148</v>
      </c>
      <c r="P232" s="54" t="s">
        <v>211</v>
      </c>
      <c r="Q232" s="54" t="s">
        <v>44</v>
      </c>
      <c r="R232" s="54" t="s">
        <v>1043</v>
      </c>
      <c r="S232" s="56">
        <v>2224.8000000000002</v>
      </c>
      <c r="T232" s="56">
        <v>0</v>
      </c>
      <c r="U232" s="56">
        <v>2224.8000000000002</v>
      </c>
      <c r="V232" s="56">
        <v>0</v>
      </c>
      <c r="W232" s="56">
        <v>0</v>
      </c>
      <c r="X232" s="56">
        <v>0</v>
      </c>
      <c r="Y232" s="56">
        <v>0</v>
      </c>
      <c r="Z232" s="56">
        <v>360</v>
      </c>
      <c r="AA232" s="56">
        <v>0</v>
      </c>
      <c r="AB232" s="59">
        <v>360</v>
      </c>
      <c r="AC232" s="56">
        <v>0</v>
      </c>
      <c r="AD232" s="56">
        <v>0</v>
      </c>
      <c r="AE232" s="56">
        <v>0</v>
      </c>
      <c r="AF232" s="54" t="s">
        <v>1044</v>
      </c>
      <c r="AG232" s="57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 t="s">
        <v>1045</v>
      </c>
      <c r="AS232" s="54" t="s">
        <v>1081</v>
      </c>
      <c r="AT232" s="54" t="s">
        <v>1082</v>
      </c>
      <c r="AU232" s="54" t="s">
        <v>1048</v>
      </c>
      <c r="AV232" s="54"/>
      <c r="AW232" s="55">
        <v>46202</v>
      </c>
      <c r="AX232" s="55">
        <v>46189</v>
      </c>
      <c r="AY232" s="55">
        <v>46189</v>
      </c>
      <c r="AZ232" s="55"/>
      <c r="BA232" s="55">
        <v>46202</v>
      </c>
      <c r="BB232" s="56">
        <v>0</v>
      </c>
      <c r="BC232" s="56">
        <v>0</v>
      </c>
      <c r="BD232" s="56">
        <v>0</v>
      </c>
      <c r="BE232" s="56">
        <v>0</v>
      </c>
      <c r="BF232" s="56">
        <v>0</v>
      </c>
      <c r="BG232" s="56">
        <v>0</v>
      </c>
      <c r="BH232" s="56">
        <v>0</v>
      </c>
      <c r="BI232" s="56">
        <v>0</v>
      </c>
      <c r="BJ232" s="56">
        <v>0</v>
      </c>
      <c r="BK232" s="56">
        <v>0</v>
      </c>
      <c r="BL232" s="56">
        <v>0</v>
      </c>
      <c r="BM232" s="56">
        <v>0</v>
      </c>
      <c r="BN232" s="56">
        <v>0</v>
      </c>
      <c r="BO232" s="56">
        <v>0</v>
      </c>
      <c r="BP232" s="54" t="s">
        <v>1049</v>
      </c>
      <c r="BQ232" s="54" t="s">
        <v>1050</v>
      </c>
      <c r="BR232" s="54" t="s">
        <v>1049</v>
      </c>
      <c r="BS232" s="54" t="s">
        <v>1050</v>
      </c>
      <c r="BT232" s="54" t="s">
        <v>1051</v>
      </c>
      <c r="BU232" s="54" t="s">
        <v>1043</v>
      </c>
      <c r="BV232" s="58">
        <v>0</v>
      </c>
      <c r="BW232" s="54" t="s">
        <v>1052</v>
      </c>
      <c r="BX232" s="54" t="s">
        <v>1053</v>
      </c>
      <c r="BY232" s="54" t="s">
        <v>1054</v>
      </c>
      <c r="BZ232" s="54" t="s">
        <v>1055</v>
      </c>
      <c r="CA232" s="55"/>
      <c r="CB232" s="54" t="s">
        <v>1056</v>
      </c>
      <c r="CC232" s="54" t="s">
        <v>1057</v>
      </c>
      <c r="CD232" s="54" t="s">
        <v>1058</v>
      </c>
      <c r="CE232" s="54" t="s">
        <v>1059</v>
      </c>
      <c r="CF232" s="54" t="s">
        <v>1060</v>
      </c>
      <c r="CG232" s="54" t="s">
        <v>1061</v>
      </c>
      <c r="CH232" s="54" t="s">
        <v>1062</v>
      </c>
      <c r="CI232" s="54" t="s">
        <v>1063</v>
      </c>
      <c r="CJ232" s="54" t="s">
        <v>1064</v>
      </c>
      <c r="CK232" s="54" t="s">
        <v>1065</v>
      </c>
      <c r="CL232" s="54" t="s">
        <v>1066</v>
      </c>
      <c r="CM232" s="54" t="s">
        <v>1067</v>
      </c>
      <c r="CN232" s="54" t="s">
        <v>1068</v>
      </c>
      <c r="CO232" s="54" t="s">
        <v>1069</v>
      </c>
      <c r="CP232" s="56">
        <v>0</v>
      </c>
      <c r="CQ232" s="56">
        <v>0</v>
      </c>
      <c r="CR232" s="56">
        <v>0</v>
      </c>
      <c r="CS232" s="56">
        <v>0</v>
      </c>
      <c r="CT232" s="56">
        <v>0</v>
      </c>
      <c r="CU232" s="56">
        <v>0</v>
      </c>
      <c r="CV232" s="56">
        <v>0</v>
      </c>
      <c r="CW232" s="56">
        <v>0</v>
      </c>
      <c r="CX232" s="56">
        <v>0</v>
      </c>
      <c r="CY232" s="56">
        <v>0</v>
      </c>
      <c r="CZ232" s="56">
        <v>0</v>
      </c>
      <c r="DA232" s="56">
        <v>0</v>
      </c>
      <c r="DB232" s="56">
        <v>0</v>
      </c>
      <c r="DC232" s="56">
        <v>0</v>
      </c>
      <c r="DD232" s="56">
        <v>0</v>
      </c>
      <c r="DE232" s="56">
        <v>0</v>
      </c>
      <c r="DF232" s="56">
        <v>0</v>
      </c>
      <c r="DG232" s="56">
        <v>0</v>
      </c>
      <c r="DH232" s="56">
        <v>0</v>
      </c>
      <c r="DI232" s="56">
        <v>0</v>
      </c>
      <c r="DJ232" s="56">
        <v>0</v>
      </c>
      <c r="DK232" s="56">
        <v>0</v>
      </c>
      <c r="DL232" s="56">
        <v>0</v>
      </c>
      <c r="DM232" s="56">
        <v>0</v>
      </c>
      <c r="DN232" s="56">
        <v>0</v>
      </c>
      <c r="DO232" s="56">
        <v>0</v>
      </c>
      <c r="DP232" s="56">
        <v>0</v>
      </c>
      <c r="DQ232" s="56">
        <v>0</v>
      </c>
      <c r="DR232" s="56">
        <v>0</v>
      </c>
      <c r="DS232" s="56">
        <v>0</v>
      </c>
      <c r="DT232" s="56">
        <v>0</v>
      </c>
      <c r="DU232" s="56">
        <v>0</v>
      </c>
      <c r="DV232" s="56">
        <v>0</v>
      </c>
      <c r="DW232" s="56">
        <v>0</v>
      </c>
      <c r="DX232" s="56">
        <v>0</v>
      </c>
      <c r="DY232" s="56">
        <v>0</v>
      </c>
      <c r="DZ232" s="56">
        <v>0</v>
      </c>
      <c r="EA232" s="56">
        <v>0</v>
      </c>
      <c r="EB232" s="56">
        <v>0</v>
      </c>
      <c r="EC232" s="56">
        <v>266.98</v>
      </c>
      <c r="ED232" s="56">
        <v>0</v>
      </c>
      <c r="EE232" s="56">
        <v>0</v>
      </c>
      <c r="EF232" s="56">
        <v>0</v>
      </c>
      <c r="EG232" s="56">
        <v>0</v>
      </c>
      <c r="EH232" s="56">
        <v>266.98</v>
      </c>
      <c r="EI232" s="56">
        <v>0</v>
      </c>
      <c r="EJ232" s="56">
        <v>0</v>
      </c>
      <c r="EK232" s="56">
        <v>0</v>
      </c>
      <c r="EL232" s="56">
        <v>0</v>
      </c>
      <c r="EM232" s="56">
        <v>0</v>
      </c>
      <c r="EN232" s="56">
        <v>0</v>
      </c>
      <c r="EO232" s="56">
        <v>0</v>
      </c>
      <c r="EP232" s="56">
        <v>2224.8000000000002</v>
      </c>
      <c r="EQ232" s="56">
        <v>0</v>
      </c>
      <c r="ER232" s="56">
        <v>0</v>
      </c>
      <c r="ES232" s="56">
        <v>360</v>
      </c>
      <c r="ET232" s="56">
        <v>0</v>
      </c>
      <c r="EU232" s="56">
        <v>0</v>
      </c>
      <c r="EV232" s="56">
        <v>0</v>
      </c>
      <c r="EW232" s="56">
        <v>0</v>
      </c>
      <c r="EX232" s="56">
        <v>0</v>
      </c>
      <c r="EY232" s="56">
        <v>0</v>
      </c>
      <c r="EZ232" s="56">
        <v>0</v>
      </c>
      <c r="FA232" s="56">
        <v>0</v>
      </c>
      <c r="FB232" s="56">
        <v>0</v>
      </c>
      <c r="FC232" s="58">
        <v>0</v>
      </c>
      <c r="FD232" s="56">
        <v>0</v>
      </c>
      <c r="FE232" s="56">
        <v>0</v>
      </c>
      <c r="FF232" s="56">
        <v>0</v>
      </c>
      <c r="FG232" s="56">
        <v>0</v>
      </c>
      <c r="FH232" s="56">
        <v>0</v>
      </c>
      <c r="FI232" s="56">
        <v>0</v>
      </c>
      <c r="FJ232" s="56">
        <v>0</v>
      </c>
      <c r="FK232" s="56">
        <v>0</v>
      </c>
      <c r="FL232" s="56">
        <v>0</v>
      </c>
      <c r="FM232" s="56">
        <v>0</v>
      </c>
      <c r="FN232" s="56">
        <v>0</v>
      </c>
      <c r="FO232" s="56">
        <v>0</v>
      </c>
      <c r="FP232" s="56">
        <v>0</v>
      </c>
      <c r="FQ232" s="56">
        <v>0</v>
      </c>
      <c r="FR232" s="56">
        <v>0</v>
      </c>
      <c r="FS232" s="58">
        <v>0</v>
      </c>
      <c r="FT232" s="56">
        <v>0</v>
      </c>
      <c r="FU232" s="56">
        <v>0</v>
      </c>
      <c r="FV232" s="56">
        <v>0</v>
      </c>
      <c r="FW232" s="56">
        <v>0</v>
      </c>
      <c r="FX232" s="56">
        <v>0</v>
      </c>
      <c r="FY232" s="56">
        <v>0</v>
      </c>
      <c r="FZ232" s="54" t="s">
        <v>1083</v>
      </c>
      <c r="GA232" s="54" t="s">
        <v>1084</v>
      </c>
      <c r="GB232" s="54" t="s">
        <v>1072</v>
      </c>
      <c r="GC232" s="54" t="s">
        <v>1073</v>
      </c>
      <c r="GD232" s="54" t="s">
        <v>1178</v>
      </c>
      <c r="GE232" s="54" t="s">
        <v>1075</v>
      </c>
      <c r="GF232" s="54" t="s">
        <v>1277</v>
      </c>
      <c r="GG232" s="55">
        <v>46205</v>
      </c>
      <c r="GH232" s="54"/>
      <c r="GI232" s="54"/>
      <c r="GJ232" s="54" t="s">
        <v>1076</v>
      </c>
      <c r="GK232" s="54" t="s">
        <v>1077</v>
      </c>
      <c r="GL232" s="54"/>
      <c r="GM232" s="54"/>
      <c r="GN232" s="54" t="s">
        <v>1078</v>
      </c>
      <c r="GO232" s="54" t="s">
        <v>1059</v>
      </c>
      <c r="GP232" s="54"/>
      <c r="GQ232" s="56">
        <v>0</v>
      </c>
      <c r="GR232" s="54" t="s">
        <v>1079</v>
      </c>
      <c r="GS232" s="54" t="s">
        <v>1101</v>
      </c>
    </row>
    <row r="233" spans="1:201" x14ac:dyDescent="0.25">
      <c r="A233" s="54" t="s">
        <v>1032</v>
      </c>
      <c r="B233" s="54" t="s">
        <v>1033</v>
      </c>
      <c r="C233" s="54" t="s">
        <v>1269</v>
      </c>
      <c r="D233" s="54" t="s">
        <v>1035</v>
      </c>
      <c r="E233" s="54" t="s">
        <v>1036</v>
      </c>
      <c r="F233" s="55">
        <v>46189</v>
      </c>
      <c r="G233" s="55">
        <v>46189</v>
      </c>
      <c r="H233" s="54" t="s">
        <v>1037</v>
      </c>
      <c r="I233" s="54" t="s">
        <v>1038</v>
      </c>
      <c r="J233" s="54" t="s">
        <v>1039</v>
      </c>
      <c r="K233" s="55"/>
      <c r="L233" s="54" t="s">
        <v>1040</v>
      </c>
      <c r="M233" s="54"/>
      <c r="N233" s="54" t="s">
        <v>1270</v>
      </c>
      <c r="O233" s="54" t="s">
        <v>1149</v>
      </c>
      <c r="P233" s="54" t="s">
        <v>751</v>
      </c>
      <c r="Q233" s="54" t="s">
        <v>753</v>
      </c>
      <c r="R233" s="54" t="s">
        <v>1043</v>
      </c>
      <c r="S233" s="56">
        <v>712</v>
      </c>
      <c r="T233" s="56">
        <v>0</v>
      </c>
      <c r="U233" s="56">
        <v>704.88</v>
      </c>
      <c r="V233" s="56">
        <v>0</v>
      </c>
      <c r="W233" s="56">
        <v>0</v>
      </c>
      <c r="X233" s="56">
        <v>0</v>
      </c>
      <c r="Y233" s="56">
        <v>0</v>
      </c>
      <c r="Z233" s="56">
        <v>100</v>
      </c>
      <c r="AA233" s="56">
        <v>0</v>
      </c>
      <c r="AB233" s="59">
        <v>99</v>
      </c>
      <c r="AC233" s="56">
        <v>0</v>
      </c>
      <c r="AD233" s="56">
        <v>0</v>
      </c>
      <c r="AE233" s="56">
        <v>0</v>
      </c>
      <c r="AF233" s="54" t="s">
        <v>1044</v>
      </c>
      <c r="AG233" s="57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 t="s">
        <v>1045</v>
      </c>
      <c r="AS233" s="54" t="s">
        <v>1046</v>
      </c>
      <c r="AT233" s="54" t="s">
        <v>1047</v>
      </c>
      <c r="AU233" s="54" t="s">
        <v>1048</v>
      </c>
      <c r="AV233" s="54"/>
      <c r="AW233" s="55">
        <v>46202</v>
      </c>
      <c r="AX233" s="55">
        <v>46189</v>
      </c>
      <c r="AY233" s="55">
        <v>46189</v>
      </c>
      <c r="AZ233" s="55"/>
      <c r="BA233" s="55">
        <v>46202</v>
      </c>
      <c r="BB233" s="56">
        <v>0</v>
      </c>
      <c r="BC233" s="56">
        <v>0</v>
      </c>
      <c r="BD233" s="56">
        <v>0</v>
      </c>
      <c r="BE233" s="56">
        <v>0</v>
      </c>
      <c r="BF233" s="56">
        <v>0</v>
      </c>
      <c r="BG233" s="56">
        <v>0</v>
      </c>
      <c r="BH233" s="56">
        <v>0</v>
      </c>
      <c r="BI233" s="56">
        <v>0</v>
      </c>
      <c r="BJ233" s="56">
        <v>0</v>
      </c>
      <c r="BK233" s="56">
        <v>0</v>
      </c>
      <c r="BL233" s="56">
        <v>0</v>
      </c>
      <c r="BM233" s="56">
        <v>0</v>
      </c>
      <c r="BN233" s="56">
        <v>0</v>
      </c>
      <c r="BO233" s="56">
        <v>0</v>
      </c>
      <c r="BP233" s="54" t="s">
        <v>1049</v>
      </c>
      <c r="BQ233" s="54" t="s">
        <v>1050</v>
      </c>
      <c r="BR233" s="54" t="s">
        <v>1049</v>
      </c>
      <c r="BS233" s="54" t="s">
        <v>1050</v>
      </c>
      <c r="BT233" s="54" t="s">
        <v>1051</v>
      </c>
      <c r="BU233" s="54" t="s">
        <v>1043</v>
      </c>
      <c r="BV233" s="58">
        <v>0</v>
      </c>
      <c r="BW233" s="54" t="s">
        <v>1052</v>
      </c>
      <c r="BX233" s="54" t="s">
        <v>1053</v>
      </c>
      <c r="BY233" s="54" t="s">
        <v>1054</v>
      </c>
      <c r="BZ233" s="54" t="s">
        <v>1055</v>
      </c>
      <c r="CA233" s="55"/>
      <c r="CB233" s="54" t="s">
        <v>1056</v>
      </c>
      <c r="CC233" s="54" t="s">
        <v>1057</v>
      </c>
      <c r="CD233" s="54" t="s">
        <v>1058</v>
      </c>
      <c r="CE233" s="54" t="s">
        <v>1059</v>
      </c>
      <c r="CF233" s="54" t="s">
        <v>1060</v>
      </c>
      <c r="CG233" s="54" t="s">
        <v>1061</v>
      </c>
      <c r="CH233" s="54" t="s">
        <v>1062</v>
      </c>
      <c r="CI233" s="54" t="s">
        <v>1063</v>
      </c>
      <c r="CJ233" s="54" t="s">
        <v>1064</v>
      </c>
      <c r="CK233" s="54" t="s">
        <v>1065</v>
      </c>
      <c r="CL233" s="54" t="s">
        <v>1066</v>
      </c>
      <c r="CM233" s="54" t="s">
        <v>1067</v>
      </c>
      <c r="CN233" s="54" t="s">
        <v>1068</v>
      </c>
      <c r="CO233" s="54" t="s">
        <v>1069</v>
      </c>
      <c r="CP233" s="56">
        <v>0</v>
      </c>
      <c r="CQ233" s="56">
        <v>0</v>
      </c>
      <c r="CR233" s="56">
        <v>0</v>
      </c>
      <c r="CS233" s="56">
        <v>0</v>
      </c>
      <c r="CT233" s="56">
        <v>0</v>
      </c>
      <c r="CU233" s="56">
        <v>0</v>
      </c>
      <c r="CV233" s="56">
        <v>0</v>
      </c>
      <c r="CW233" s="56">
        <v>0</v>
      </c>
      <c r="CX233" s="56">
        <v>0</v>
      </c>
      <c r="CY233" s="56">
        <v>0</v>
      </c>
      <c r="CZ233" s="56">
        <v>0</v>
      </c>
      <c r="DA233" s="56">
        <v>0</v>
      </c>
      <c r="DB233" s="56">
        <v>0</v>
      </c>
      <c r="DC233" s="56">
        <v>0</v>
      </c>
      <c r="DD233" s="56">
        <v>0</v>
      </c>
      <c r="DE233" s="56">
        <v>0</v>
      </c>
      <c r="DF233" s="56">
        <v>0</v>
      </c>
      <c r="DG233" s="56">
        <v>0</v>
      </c>
      <c r="DH233" s="56">
        <v>0</v>
      </c>
      <c r="DI233" s="56">
        <v>0</v>
      </c>
      <c r="DJ233" s="56">
        <v>0</v>
      </c>
      <c r="DK233" s="56">
        <v>0</v>
      </c>
      <c r="DL233" s="56">
        <v>0</v>
      </c>
      <c r="DM233" s="56">
        <v>0</v>
      </c>
      <c r="DN233" s="56">
        <v>0</v>
      </c>
      <c r="DO233" s="56">
        <v>0</v>
      </c>
      <c r="DP233" s="56">
        <v>0</v>
      </c>
      <c r="DQ233" s="56">
        <v>0</v>
      </c>
      <c r="DR233" s="56">
        <v>0</v>
      </c>
      <c r="DS233" s="56">
        <v>0</v>
      </c>
      <c r="DT233" s="56">
        <v>0</v>
      </c>
      <c r="DU233" s="56">
        <v>0</v>
      </c>
      <c r="DV233" s="56">
        <v>0</v>
      </c>
      <c r="DW233" s="56">
        <v>0</v>
      </c>
      <c r="DX233" s="56">
        <v>0</v>
      </c>
      <c r="DY233" s="56">
        <v>0</v>
      </c>
      <c r="DZ233" s="56">
        <v>0</v>
      </c>
      <c r="EA233" s="56">
        <v>0</v>
      </c>
      <c r="EB233" s="56">
        <v>0</v>
      </c>
      <c r="EC233" s="56">
        <v>84.59</v>
      </c>
      <c r="ED233" s="56">
        <v>0</v>
      </c>
      <c r="EE233" s="56">
        <v>0</v>
      </c>
      <c r="EF233" s="56">
        <v>0</v>
      </c>
      <c r="EG233" s="56">
        <v>0</v>
      </c>
      <c r="EH233" s="56">
        <v>85.44</v>
      </c>
      <c r="EI233" s="56">
        <v>0</v>
      </c>
      <c r="EJ233" s="56">
        <v>0</v>
      </c>
      <c r="EK233" s="56">
        <v>0</v>
      </c>
      <c r="EL233" s="56">
        <v>0</v>
      </c>
      <c r="EM233" s="56">
        <v>0</v>
      </c>
      <c r="EN233" s="56">
        <v>0</v>
      </c>
      <c r="EO233" s="56">
        <v>0</v>
      </c>
      <c r="EP233" s="56">
        <v>704.88</v>
      </c>
      <c r="EQ233" s="56">
        <v>0</v>
      </c>
      <c r="ER233" s="56">
        <v>0</v>
      </c>
      <c r="ES233" s="56">
        <v>99</v>
      </c>
      <c r="ET233" s="56">
        <v>0</v>
      </c>
      <c r="EU233" s="56">
        <v>0</v>
      </c>
      <c r="EV233" s="56">
        <v>0</v>
      </c>
      <c r="EW233" s="56">
        <v>0</v>
      </c>
      <c r="EX233" s="56">
        <v>0</v>
      </c>
      <c r="EY233" s="56">
        <v>0</v>
      </c>
      <c r="EZ233" s="56">
        <v>0</v>
      </c>
      <c r="FA233" s="56">
        <v>0</v>
      </c>
      <c r="FB233" s="56">
        <v>0</v>
      </c>
      <c r="FC233" s="58">
        <v>0</v>
      </c>
      <c r="FD233" s="56">
        <v>0</v>
      </c>
      <c r="FE233" s="56">
        <v>0</v>
      </c>
      <c r="FF233" s="56">
        <v>0</v>
      </c>
      <c r="FG233" s="56">
        <v>0</v>
      </c>
      <c r="FH233" s="56">
        <v>0</v>
      </c>
      <c r="FI233" s="56">
        <v>0</v>
      </c>
      <c r="FJ233" s="56">
        <v>0</v>
      </c>
      <c r="FK233" s="56">
        <v>0</v>
      </c>
      <c r="FL233" s="56">
        <v>0</v>
      </c>
      <c r="FM233" s="56">
        <v>0</v>
      </c>
      <c r="FN233" s="56">
        <v>0</v>
      </c>
      <c r="FO233" s="56">
        <v>0</v>
      </c>
      <c r="FP233" s="56">
        <v>0</v>
      </c>
      <c r="FQ233" s="56">
        <v>0</v>
      </c>
      <c r="FR233" s="56">
        <v>0</v>
      </c>
      <c r="FS233" s="58">
        <v>0</v>
      </c>
      <c r="FT233" s="56">
        <v>0</v>
      </c>
      <c r="FU233" s="56">
        <v>0</v>
      </c>
      <c r="FV233" s="56">
        <v>0</v>
      </c>
      <c r="FW233" s="56">
        <v>0</v>
      </c>
      <c r="FX233" s="56">
        <v>0</v>
      </c>
      <c r="FY233" s="56">
        <v>0</v>
      </c>
      <c r="FZ233" s="54" t="s">
        <v>1070</v>
      </c>
      <c r="GA233" s="54" t="s">
        <v>1071</v>
      </c>
      <c r="GB233" s="54" t="s">
        <v>1072</v>
      </c>
      <c r="GC233" s="54" t="s">
        <v>1073</v>
      </c>
      <c r="GD233" s="54"/>
      <c r="GE233" s="54"/>
      <c r="GF233" s="54" t="s">
        <v>1278</v>
      </c>
      <c r="GG233" s="55">
        <v>46205</v>
      </c>
      <c r="GH233" s="54"/>
      <c r="GI233" s="54"/>
      <c r="GJ233" s="54" t="s">
        <v>1076</v>
      </c>
      <c r="GK233" s="54" t="s">
        <v>1077</v>
      </c>
      <c r="GL233" s="54"/>
      <c r="GM233" s="54"/>
      <c r="GN233" s="54" t="s">
        <v>1078</v>
      </c>
      <c r="GO233" s="54" t="s">
        <v>1059</v>
      </c>
      <c r="GP233" s="54"/>
      <c r="GQ233" s="56">
        <v>0</v>
      </c>
      <c r="GR233" s="54" t="s">
        <v>1079</v>
      </c>
      <c r="GS233" s="54" t="s">
        <v>1101</v>
      </c>
    </row>
    <row r="234" spans="1:201" x14ac:dyDescent="0.25">
      <c r="A234" s="54" t="s">
        <v>1032</v>
      </c>
      <c r="B234" s="54" t="s">
        <v>1033</v>
      </c>
      <c r="C234" s="54" t="s">
        <v>1269</v>
      </c>
      <c r="D234" s="54" t="s">
        <v>1035</v>
      </c>
      <c r="E234" s="54" t="s">
        <v>1036</v>
      </c>
      <c r="F234" s="55">
        <v>46189</v>
      </c>
      <c r="G234" s="55">
        <v>46189</v>
      </c>
      <c r="H234" s="54" t="s">
        <v>1037</v>
      </c>
      <c r="I234" s="54" t="s">
        <v>1038</v>
      </c>
      <c r="J234" s="54" t="s">
        <v>1039</v>
      </c>
      <c r="K234" s="55"/>
      <c r="L234" s="54" t="s">
        <v>1040</v>
      </c>
      <c r="M234" s="54"/>
      <c r="N234" s="54" t="s">
        <v>1270</v>
      </c>
      <c r="O234" s="54" t="s">
        <v>1151</v>
      </c>
      <c r="P234" s="54" t="s">
        <v>215</v>
      </c>
      <c r="Q234" s="54" t="s">
        <v>48</v>
      </c>
      <c r="R234" s="54" t="s">
        <v>1043</v>
      </c>
      <c r="S234" s="56">
        <v>1210</v>
      </c>
      <c r="T234" s="56">
        <v>1210</v>
      </c>
      <c r="U234" s="56">
        <v>0</v>
      </c>
      <c r="V234" s="56">
        <v>0</v>
      </c>
      <c r="W234" s="56">
        <v>0</v>
      </c>
      <c r="X234" s="56">
        <v>0</v>
      </c>
      <c r="Y234" s="56">
        <v>0</v>
      </c>
      <c r="Z234" s="56">
        <v>100</v>
      </c>
      <c r="AA234" s="56">
        <v>100</v>
      </c>
      <c r="AB234" s="59">
        <v>0</v>
      </c>
      <c r="AC234" s="56">
        <v>0</v>
      </c>
      <c r="AD234" s="56">
        <v>0</v>
      </c>
      <c r="AE234" s="56">
        <v>0</v>
      </c>
      <c r="AF234" s="54" t="s">
        <v>1044</v>
      </c>
      <c r="AG234" s="57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 t="s">
        <v>1045</v>
      </c>
      <c r="AS234" s="54" t="s">
        <v>1046</v>
      </c>
      <c r="AT234" s="54" t="s">
        <v>1047</v>
      </c>
      <c r="AU234" s="54" t="s">
        <v>1048</v>
      </c>
      <c r="AV234" s="54"/>
      <c r="AW234" s="55">
        <v>46202</v>
      </c>
      <c r="AX234" s="55">
        <v>46189</v>
      </c>
      <c r="AY234" s="55">
        <v>46189</v>
      </c>
      <c r="AZ234" s="55"/>
      <c r="BA234" s="55">
        <v>46202</v>
      </c>
      <c r="BB234" s="56">
        <v>0</v>
      </c>
      <c r="BC234" s="56">
        <v>0</v>
      </c>
      <c r="BD234" s="56">
        <v>0</v>
      </c>
      <c r="BE234" s="56">
        <v>0</v>
      </c>
      <c r="BF234" s="56">
        <v>0</v>
      </c>
      <c r="BG234" s="56">
        <v>0</v>
      </c>
      <c r="BH234" s="56">
        <v>0</v>
      </c>
      <c r="BI234" s="56">
        <v>0</v>
      </c>
      <c r="BJ234" s="56">
        <v>0</v>
      </c>
      <c r="BK234" s="56">
        <v>0</v>
      </c>
      <c r="BL234" s="56">
        <v>0</v>
      </c>
      <c r="BM234" s="56">
        <v>0</v>
      </c>
      <c r="BN234" s="56">
        <v>0</v>
      </c>
      <c r="BO234" s="56">
        <v>0</v>
      </c>
      <c r="BP234" s="54" t="s">
        <v>1049</v>
      </c>
      <c r="BQ234" s="54" t="s">
        <v>1050</v>
      </c>
      <c r="BR234" s="54" t="s">
        <v>1049</v>
      </c>
      <c r="BS234" s="54" t="s">
        <v>1050</v>
      </c>
      <c r="BT234" s="54" t="s">
        <v>1051</v>
      </c>
      <c r="BU234" s="54" t="s">
        <v>1043</v>
      </c>
      <c r="BV234" s="58">
        <v>100</v>
      </c>
      <c r="BW234" s="54" t="s">
        <v>1052</v>
      </c>
      <c r="BX234" s="54" t="s">
        <v>1053</v>
      </c>
      <c r="BY234" s="54" t="s">
        <v>1054</v>
      </c>
      <c r="BZ234" s="54" t="s">
        <v>1055</v>
      </c>
      <c r="CA234" s="55"/>
      <c r="CB234" s="54" t="s">
        <v>1056</v>
      </c>
      <c r="CC234" s="54" t="s">
        <v>1057</v>
      </c>
      <c r="CD234" s="54" t="s">
        <v>1058</v>
      </c>
      <c r="CE234" s="54" t="s">
        <v>1059</v>
      </c>
      <c r="CF234" s="54" t="s">
        <v>1060</v>
      </c>
      <c r="CG234" s="54" t="s">
        <v>1061</v>
      </c>
      <c r="CH234" s="54" t="s">
        <v>1062</v>
      </c>
      <c r="CI234" s="54" t="s">
        <v>1063</v>
      </c>
      <c r="CJ234" s="54" t="s">
        <v>1064</v>
      </c>
      <c r="CK234" s="54" t="s">
        <v>1065</v>
      </c>
      <c r="CL234" s="54" t="s">
        <v>1066</v>
      </c>
      <c r="CM234" s="54" t="s">
        <v>1067</v>
      </c>
      <c r="CN234" s="54" t="s">
        <v>1068</v>
      </c>
      <c r="CO234" s="54" t="s">
        <v>1069</v>
      </c>
      <c r="CP234" s="56">
        <v>0</v>
      </c>
      <c r="CQ234" s="56">
        <v>0</v>
      </c>
      <c r="CR234" s="56">
        <v>0</v>
      </c>
      <c r="CS234" s="56">
        <v>0</v>
      </c>
      <c r="CT234" s="56">
        <v>0</v>
      </c>
      <c r="CU234" s="56">
        <v>0</v>
      </c>
      <c r="CV234" s="56">
        <v>0</v>
      </c>
      <c r="CW234" s="56">
        <v>0</v>
      </c>
      <c r="CX234" s="56">
        <v>0</v>
      </c>
      <c r="CY234" s="56">
        <v>0</v>
      </c>
      <c r="CZ234" s="56">
        <v>0</v>
      </c>
      <c r="DA234" s="56">
        <v>0</v>
      </c>
      <c r="DB234" s="56">
        <v>0</v>
      </c>
      <c r="DC234" s="56">
        <v>0</v>
      </c>
      <c r="DD234" s="56">
        <v>0</v>
      </c>
      <c r="DE234" s="56">
        <v>0</v>
      </c>
      <c r="DF234" s="56">
        <v>0</v>
      </c>
      <c r="DG234" s="56">
        <v>0</v>
      </c>
      <c r="DH234" s="56">
        <v>0</v>
      </c>
      <c r="DI234" s="56">
        <v>0</v>
      </c>
      <c r="DJ234" s="56">
        <v>0</v>
      </c>
      <c r="DK234" s="56">
        <v>0</v>
      </c>
      <c r="DL234" s="56">
        <v>0</v>
      </c>
      <c r="DM234" s="56">
        <v>0</v>
      </c>
      <c r="DN234" s="56">
        <v>0</v>
      </c>
      <c r="DO234" s="56">
        <v>0</v>
      </c>
      <c r="DP234" s="56">
        <v>0</v>
      </c>
      <c r="DQ234" s="56">
        <v>0</v>
      </c>
      <c r="DR234" s="56">
        <v>0</v>
      </c>
      <c r="DS234" s="56">
        <v>0</v>
      </c>
      <c r="DT234" s="56">
        <v>0</v>
      </c>
      <c r="DU234" s="56">
        <v>0</v>
      </c>
      <c r="DV234" s="56">
        <v>0</v>
      </c>
      <c r="DW234" s="56">
        <v>0</v>
      </c>
      <c r="DX234" s="56">
        <v>0</v>
      </c>
      <c r="DY234" s="56">
        <v>0</v>
      </c>
      <c r="DZ234" s="56">
        <v>0</v>
      </c>
      <c r="EA234" s="56">
        <v>0</v>
      </c>
      <c r="EB234" s="56">
        <v>0</v>
      </c>
      <c r="EC234" s="56">
        <v>0</v>
      </c>
      <c r="ED234" s="56">
        <v>0</v>
      </c>
      <c r="EE234" s="56">
        <v>0</v>
      </c>
      <c r="EF234" s="56">
        <v>0</v>
      </c>
      <c r="EG234" s="56">
        <v>0</v>
      </c>
      <c r="EH234" s="56">
        <v>145.19999999999999</v>
      </c>
      <c r="EI234" s="56">
        <v>0</v>
      </c>
      <c r="EJ234" s="56">
        <v>0</v>
      </c>
      <c r="EK234" s="56">
        <v>0</v>
      </c>
      <c r="EL234" s="56">
        <v>0</v>
      </c>
      <c r="EM234" s="56">
        <v>0</v>
      </c>
      <c r="EN234" s="56">
        <v>0</v>
      </c>
      <c r="EO234" s="56">
        <v>0</v>
      </c>
      <c r="EP234" s="56">
        <v>0</v>
      </c>
      <c r="EQ234" s="56">
        <v>0</v>
      </c>
      <c r="ER234" s="56">
        <v>0</v>
      </c>
      <c r="ES234" s="56">
        <v>0</v>
      </c>
      <c r="ET234" s="56">
        <v>0</v>
      </c>
      <c r="EU234" s="56">
        <v>0</v>
      </c>
      <c r="EV234" s="56">
        <v>0</v>
      </c>
      <c r="EW234" s="56">
        <v>0</v>
      </c>
      <c r="EX234" s="56">
        <v>0</v>
      </c>
      <c r="EY234" s="56">
        <v>0</v>
      </c>
      <c r="EZ234" s="56">
        <v>0</v>
      </c>
      <c r="FA234" s="56">
        <v>0</v>
      </c>
      <c r="FB234" s="56">
        <v>0</v>
      </c>
      <c r="FC234" s="58">
        <v>0</v>
      </c>
      <c r="FD234" s="56">
        <v>0</v>
      </c>
      <c r="FE234" s="56">
        <v>0</v>
      </c>
      <c r="FF234" s="56">
        <v>0</v>
      </c>
      <c r="FG234" s="56">
        <v>0</v>
      </c>
      <c r="FH234" s="56">
        <v>0</v>
      </c>
      <c r="FI234" s="56">
        <v>0</v>
      </c>
      <c r="FJ234" s="56">
        <v>0</v>
      </c>
      <c r="FK234" s="56">
        <v>0</v>
      </c>
      <c r="FL234" s="56">
        <v>0</v>
      </c>
      <c r="FM234" s="56">
        <v>0</v>
      </c>
      <c r="FN234" s="56">
        <v>0</v>
      </c>
      <c r="FO234" s="56">
        <v>0</v>
      </c>
      <c r="FP234" s="56">
        <v>0</v>
      </c>
      <c r="FQ234" s="56">
        <v>0</v>
      </c>
      <c r="FR234" s="56">
        <v>0</v>
      </c>
      <c r="FS234" s="58">
        <v>0</v>
      </c>
      <c r="FT234" s="56">
        <v>0</v>
      </c>
      <c r="FU234" s="56">
        <v>0</v>
      </c>
      <c r="FV234" s="56">
        <v>0</v>
      </c>
      <c r="FW234" s="56">
        <v>0</v>
      </c>
      <c r="FX234" s="56">
        <v>0</v>
      </c>
      <c r="FY234" s="56">
        <v>0</v>
      </c>
      <c r="FZ234" s="54" t="s">
        <v>1083</v>
      </c>
      <c r="GA234" s="54" t="s">
        <v>1084</v>
      </c>
      <c r="GB234" s="54" t="s">
        <v>1072</v>
      </c>
      <c r="GC234" s="54" t="s">
        <v>1073</v>
      </c>
      <c r="GD234" s="54" t="s">
        <v>1183</v>
      </c>
      <c r="GE234" s="54" t="s">
        <v>1075</v>
      </c>
      <c r="GF234" s="54"/>
      <c r="GG234" s="55"/>
      <c r="GH234" s="54"/>
      <c r="GI234" s="54"/>
      <c r="GJ234" s="54" t="s">
        <v>1076</v>
      </c>
      <c r="GK234" s="54" t="s">
        <v>1077</v>
      </c>
      <c r="GL234" s="54"/>
      <c r="GM234" s="54"/>
      <c r="GN234" s="54" t="s">
        <v>1078</v>
      </c>
      <c r="GO234" s="54" t="s">
        <v>1059</v>
      </c>
      <c r="GP234" s="54"/>
      <c r="GQ234" s="56">
        <v>0</v>
      </c>
      <c r="GR234" s="54" t="s">
        <v>1079</v>
      </c>
      <c r="GS234" s="54"/>
    </row>
    <row r="235" spans="1:201" x14ac:dyDescent="0.25">
      <c r="A235" s="54" t="s">
        <v>1032</v>
      </c>
      <c r="B235" s="54" t="s">
        <v>1033</v>
      </c>
      <c r="C235" s="54" t="s">
        <v>1269</v>
      </c>
      <c r="D235" s="54" t="s">
        <v>1035</v>
      </c>
      <c r="E235" s="54" t="s">
        <v>1036</v>
      </c>
      <c r="F235" s="55">
        <v>46189</v>
      </c>
      <c r="G235" s="55">
        <v>46189</v>
      </c>
      <c r="H235" s="54" t="s">
        <v>1037</v>
      </c>
      <c r="I235" s="54" t="s">
        <v>1038</v>
      </c>
      <c r="J235" s="54" t="s">
        <v>1039</v>
      </c>
      <c r="K235" s="55"/>
      <c r="L235" s="54" t="s">
        <v>1040</v>
      </c>
      <c r="M235" s="54"/>
      <c r="N235" s="54" t="s">
        <v>1270</v>
      </c>
      <c r="O235" s="54" t="s">
        <v>1153</v>
      </c>
      <c r="P235" s="54" t="s">
        <v>339</v>
      </c>
      <c r="Q235" s="54" t="s">
        <v>395</v>
      </c>
      <c r="R235" s="54" t="s">
        <v>1043</v>
      </c>
      <c r="S235" s="56">
        <v>2991.6</v>
      </c>
      <c r="T235" s="56">
        <v>2991.6</v>
      </c>
      <c r="U235" s="56">
        <v>0</v>
      </c>
      <c r="V235" s="56">
        <v>0</v>
      </c>
      <c r="W235" s="56">
        <v>0</v>
      </c>
      <c r="X235" s="56">
        <v>0</v>
      </c>
      <c r="Y235" s="56">
        <v>0</v>
      </c>
      <c r="Z235" s="56">
        <v>120</v>
      </c>
      <c r="AA235" s="56">
        <v>120</v>
      </c>
      <c r="AB235" s="59">
        <v>0</v>
      </c>
      <c r="AC235" s="56">
        <v>0</v>
      </c>
      <c r="AD235" s="56">
        <v>0</v>
      </c>
      <c r="AE235" s="56">
        <v>0</v>
      </c>
      <c r="AF235" s="54" t="s">
        <v>1044</v>
      </c>
      <c r="AG235" s="57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 t="s">
        <v>1045</v>
      </c>
      <c r="AS235" s="54" t="s">
        <v>1046</v>
      </c>
      <c r="AT235" s="54" t="s">
        <v>1047</v>
      </c>
      <c r="AU235" s="54" t="s">
        <v>1048</v>
      </c>
      <c r="AV235" s="54"/>
      <c r="AW235" s="55">
        <v>46202</v>
      </c>
      <c r="AX235" s="55">
        <v>46189</v>
      </c>
      <c r="AY235" s="55">
        <v>46189</v>
      </c>
      <c r="AZ235" s="55"/>
      <c r="BA235" s="55">
        <v>46202</v>
      </c>
      <c r="BB235" s="56">
        <v>0</v>
      </c>
      <c r="BC235" s="56">
        <v>0</v>
      </c>
      <c r="BD235" s="56">
        <v>0</v>
      </c>
      <c r="BE235" s="56">
        <v>0</v>
      </c>
      <c r="BF235" s="56">
        <v>0</v>
      </c>
      <c r="BG235" s="56">
        <v>0</v>
      </c>
      <c r="BH235" s="56">
        <v>0</v>
      </c>
      <c r="BI235" s="56">
        <v>0</v>
      </c>
      <c r="BJ235" s="56">
        <v>0</v>
      </c>
      <c r="BK235" s="56">
        <v>0</v>
      </c>
      <c r="BL235" s="56">
        <v>0</v>
      </c>
      <c r="BM235" s="56">
        <v>0</v>
      </c>
      <c r="BN235" s="56">
        <v>0</v>
      </c>
      <c r="BO235" s="56">
        <v>0</v>
      </c>
      <c r="BP235" s="54" t="s">
        <v>1049</v>
      </c>
      <c r="BQ235" s="54" t="s">
        <v>1050</v>
      </c>
      <c r="BR235" s="54" t="s">
        <v>1049</v>
      </c>
      <c r="BS235" s="54" t="s">
        <v>1050</v>
      </c>
      <c r="BT235" s="54" t="s">
        <v>1051</v>
      </c>
      <c r="BU235" s="54" t="s">
        <v>1043</v>
      </c>
      <c r="BV235" s="58">
        <v>120</v>
      </c>
      <c r="BW235" s="54" t="s">
        <v>1052</v>
      </c>
      <c r="BX235" s="54" t="s">
        <v>1053</v>
      </c>
      <c r="BY235" s="54" t="s">
        <v>1054</v>
      </c>
      <c r="BZ235" s="54" t="s">
        <v>1055</v>
      </c>
      <c r="CA235" s="55"/>
      <c r="CB235" s="54" t="s">
        <v>1056</v>
      </c>
      <c r="CC235" s="54" t="s">
        <v>1057</v>
      </c>
      <c r="CD235" s="54" t="s">
        <v>1058</v>
      </c>
      <c r="CE235" s="54" t="s">
        <v>1059</v>
      </c>
      <c r="CF235" s="54" t="s">
        <v>1060</v>
      </c>
      <c r="CG235" s="54" t="s">
        <v>1061</v>
      </c>
      <c r="CH235" s="54" t="s">
        <v>1062</v>
      </c>
      <c r="CI235" s="54" t="s">
        <v>1063</v>
      </c>
      <c r="CJ235" s="54" t="s">
        <v>1064</v>
      </c>
      <c r="CK235" s="54" t="s">
        <v>1065</v>
      </c>
      <c r="CL235" s="54" t="s">
        <v>1066</v>
      </c>
      <c r="CM235" s="54" t="s">
        <v>1067</v>
      </c>
      <c r="CN235" s="54" t="s">
        <v>1068</v>
      </c>
      <c r="CO235" s="54" t="s">
        <v>1069</v>
      </c>
      <c r="CP235" s="56">
        <v>0</v>
      </c>
      <c r="CQ235" s="56">
        <v>0</v>
      </c>
      <c r="CR235" s="56">
        <v>0</v>
      </c>
      <c r="CS235" s="56">
        <v>0</v>
      </c>
      <c r="CT235" s="56">
        <v>0</v>
      </c>
      <c r="CU235" s="56">
        <v>0</v>
      </c>
      <c r="CV235" s="56">
        <v>0</v>
      </c>
      <c r="CW235" s="56">
        <v>0</v>
      </c>
      <c r="CX235" s="56">
        <v>0</v>
      </c>
      <c r="CY235" s="56">
        <v>0</v>
      </c>
      <c r="CZ235" s="56">
        <v>0</v>
      </c>
      <c r="DA235" s="56">
        <v>0</v>
      </c>
      <c r="DB235" s="56">
        <v>0</v>
      </c>
      <c r="DC235" s="56">
        <v>0</v>
      </c>
      <c r="DD235" s="56">
        <v>0</v>
      </c>
      <c r="DE235" s="56">
        <v>0</v>
      </c>
      <c r="DF235" s="56">
        <v>0</v>
      </c>
      <c r="DG235" s="56">
        <v>0</v>
      </c>
      <c r="DH235" s="56">
        <v>0</v>
      </c>
      <c r="DI235" s="56">
        <v>0</v>
      </c>
      <c r="DJ235" s="56">
        <v>0</v>
      </c>
      <c r="DK235" s="56">
        <v>0</v>
      </c>
      <c r="DL235" s="56">
        <v>0</v>
      </c>
      <c r="DM235" s="56">
        <v>0</v>
      </c>
      <c r="DN235" s="56">
        <v>0</v>
      </c>
      <c r="DO235" s="56">
        <v>0</v>
      </c>
      <c r="DP235" s="56">
        <v>0</v>
      </c>
      <c r="DQ235" s="56">
        <v>0</v>
      </c>
      <c r="DR235" s="56">
        <v>0</v>
      </c>
      <c r="DS235" s="56">
        <v>0</v>
      </c>
      <c r="DT235" s="56">
        <v>0</v>
      </c>
      <c r="DU235" s="56">
        <v>0</v>
      </c>
      <c r="DV235" s="56">
        <v>0</v>
      </c>
      <c r="DW235" s="56">
        <v>0</v>
      </c>
      <c r="DX235" s="56">
        <v>0</v>
      </c>
      <c r="DY235" s="56">
        <v>0</v>
      </c>
      <c r="DZ235" s="56">
        <v>0</v>
      </c>
      <c r="EA235" s="56">
        <v>0</v>
      </c>
      <c r="EB235" s="56">
        <v>0</v>
      </c>
      <c r="EC235" s="56">
        <v>0</v>
      </c>
      <c r="ED235" s="56">
        <v>0</v>
      </c>
      <c r="EE235" s="56">
        <v>0</v>
      </c>
      <c r="EF235" s="56">
        <v>0</v>
      </c>
      <c r="EG235" s="56">
        <v>0</v>
      </c>
      <c r="EH235" s="56">
        <v>358.99</v>
      </c>
      <c r="EI235" s="56">
        <v>0</v>
      </c>
      <c r="EJ235" s="56">
        <v>0</v>
      </c>
      <c r="EK235" s="56">
        <v>0</v>
      </c>
      <c r="EL235" s="56">
        <v>0</v>
      </c>
      <c r="EM235" s="56">
        <v>0</v>
      </c>
      <c r="EN235" s="56">
        <v>0</v>
      </c>
      <c r="EO235" s="56">
        <v>0</v>
      </c>
      <c r="EP235" s="56">
        <v>0</v>
      </c>
      <c r="EQ235" s="56">
        <v>0</v>
      </c>
      <c r="ER235" s="56">
        <v>0</v>
      </c>
      <c r="ES235" s="56">
        <v>0</v>
      </c>
      <c r="ET235" s="56">
        <v>0</v>
      </c>
      <c r="EU235" s="56">
        <v>0</v>
      </c>
      <c r="EV235" s="56">
        <v>0</v>
      </c>
      <c r="EW235" s="56">
        <v>0</v>
      </c>
      <c r="EX235" s="56">
        <v>0</v>
      </c>
      <c r="EY235" s="56">
        <v>0</v>
      </c>
      <c r="EZ235" s="56">
        <v>0</v>
      </c>
      <c r="FA235" s="56">
        <v>0</v>
      </c>
      <c r="FB235" s="56">
        <v>0</v>
      </c>
      <c r="FC235" s="58">
        <v>0</v>
      </c>
      <c r="FD235" s="56">
        <v>0</v>
      </c>
      <c r="FE235" s="56">
        <v>0</v>
      </c>
      <c r="FF235" s="56">
        <v>0</v>
      </c>
      <c r="FG235" s="56">
        <v>0</v>
      </c>
      <c r="FH235" s="56">
        <v>0</v>
      </c>
      <c r="FI235" s="56">
        <v>0</v>
      </c>
      <c r="FJ235" s="56">
        <v>0</v>
      </c>
      <c r="FK235" s="56">
        <v>0</v>
      </c>
      <c r="FL235" s="56">
        <v>0</v>
      </c>
      <c r="FM235" s="56">
        <v>0</v>
      </c>
      <c r="FN235" s="56">
        <v>0</v>
      </c>
      <c r="FO235" s="56">
        <v>0</v>
      </c>
      <c r="FP235" s="56">
        <v>0</v>
      </c>
      <c r="FQ235" s="56">
        <v>0</v>
      </c>
      <c r="FR235" s="56">
        <v>0</v>
      </c>
      <c r="FS235" s="58">
        <v>0</v>
      </c>
      <c r="FT235" s="56">
        <v>0</v>
      </c>
      <c r="FU235" s="56">
        <v>0</v>
      </c>
      <c r="FV235" s="56">
        <v>0</v>
      </c>
      <c r="FW235" s="56">
        <v>0</v>
      </c>
      <c r="FX235" s="56">
        <v>0</v>
      </c>
      <c r="FY235" s="56">
        <v>0</v>
      </c>
      <c r="FZ235" s="54" t="s">
        <v>1070</v>
      </c>
      <c r="GA235" s="54" t="s">
        <v>1071</v>
      </c>
      <c r="GB235" s="54" t="s">
        <v>1072</v>
      </c>
      <c r="GC235" s="54" t="s">
        <v>1073</v>
      </c>
      <c r="GD235" s="54" t="s">
        <v>1279</v>
      </c>
      <c r="GE235" s="54" t="s">
        <v>1075</v>
      </c>
      <c r="GF235" s="54"/>
      <c r="GG235" s="55"/>
      <c r="GH235" s="54"/>
      <c r="GI235" s="54"/>
      <c r="GJ235" s="54" t="s">
        <v>1076</v>
      </c>
      <c r="GK235" s="54" t="s">
        <v>1077</v>
      </c>
      <c r="GL235" s="54"/>
      <c r="GM235" s="54"/>
      <c r="GN235" s="54" t="s">
        <v>1078</v>
      </c>
      <c r="GO235" s="54" t="s">
        <v>1059</v>
      </c>
      <c r="GP235" s="54"/>
      <c r="GQ235" s="56">
        <v>0</v>
      </c>
      <c r="GR235" s="54" t="s">
        <v>1079</v>
      </c>
      <c r="GS235" s="54"/>
    </row>
    <row r="236" spans="1:201" x14ac:dyDescent="0.25">
      <c r="A236" s="54" t="s">
        <v>1032</v>
      </c>
      <c r="B236" s="54" t="s">
        <v>1033</v>
      </c>
      <c r="C236" s="54" t="s">
        <v>1269</v>
      </c>
      <c r="D236" s="54" t="s">
        <v>1035</v>
      </c>
      <c r="E236" s="54" t="s">
        <v>1036</v>
      </c>
      <c r="F236" s="55">
        <v>46189</v>
      </c>
      <c r="G236" s="55">
        <v>46189</v>
      </c>
      <c r="H236" s="54" t="s">
        <v>1037</v>
      </c>
      <c r="I236" s="54" t="s">
        <v>1038</v>
      </c>
      <c r="J236" s="54" t="s">
        <v>1039</v>
      </c>
      <c r="K236" s="55"/>
      <c r="L236" s="54" t="s">
        <v>1040</v>
      </c>
      <c r="M236" s="54"/>
      <c r="N236" s="54" t="s">
        <v>1270</v>
      </c>
      <c r="O236" s="54" t="s">
        <v>1159</v>
      </c>
      <c r="P236" s="54" t="s">
        <v>225</v>
      </c>
      <c r="Q236" s="54" t="s">
        <v>60</v>
      </c>
      <c r="R236" s="54" t="s">
        <v>1043</v>
      </c>
      <c r="S236" s="56">
        <v>95280</v>
      </c>
      <c r="T236" s="56">
        <v>95280</v>
      </c>
      <c r="U236" s="56">
        <v>0</v>
      </c>
      <c r="V236" s="56">
        <v>0</v>
      </c>
      <c r="W236" s="56">
        <v>0</v>
      </c>
      <c r="X236" s="56">
        <v>0</v>
      </c>
      <c r="Y236" s="56">
        <v>0</v>
      </c>
      <c r="Z236" s="56">
        <v>12000</v>
      </c>
      <c r="AA236" s="56">
        <v>12000</v>
      </c>
      <c r="AB236" s="59">
        <v>0</v>
      </c>
      <c r="AC236" s="56">
        <v>0</v>
      </c>
      <c r="AD236" s="56">
        <v>0</v>
      </c>
      <c r="AE236" s="56">
        <v>0</v>
      </c>
      <c r="AF236" s="54" t="s">
        <v>1044</v>
      </c>
      <c r="AG236" s="57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 t="s">
        <v>1045</v>
      </c>
      <c r="AS236" s="54" t="s">
        <v>1046</v>
      </c>
      <c r="AT236" s="54" t="s">
        <v>1047</v>
      </c>
      <c r="AU236" s="54" t="s">
        <v>1048</v>
      </c>
      <c r="AV236" s="54"/>
      <c r="AW236" s="55">
        <v>46202</v>
      </c>
      <c r="AX236" s="55">
        <v>46189</v>
      </c>
      <c r="AY236" s="55">
        <v>46189</v>
      </c>
      <c r="AZ236" s="55"/>
      <c r="BA236" s="55">
        <v>46202</v>
      </c>
      <c r="BB236" s="56">
        <v>0</v>
      </c>
      <c r="BC236" s="56">
        <v>0</v>
      </c>
      <c r="BD236" s="56">
        <v>0</v>
      </c>
      <c r="BE236" s="56">
        <v>0</v>
      </c>
      <c r="BF236" s="56">
        <v>0</v>
      </c>
      <c r="BG236" s="56">
        <v>0</v>
      </c>
      <c r="BH236" s="56">
        <v>0</v>
      </c>
      <c r="BI236" s="56">
        <v>0</v>
      </c>
      <c r="BJ236" s="56">
        <v>0</v>
      </c>
      <c r="BK236" s="56">
        <v>0</v>
      </c>
      <c r="BL236" s="56">
        <v>0</v>
      </c>
      <c r="BM236" s="56">
        <v>0</v>
      </c>
      <c r="BN236" s="56">
        <v>0</v>
      </c>
      <c r="BO236" s="56">
        <v>0</v>
      </c>
      <c r="BP236" s="54" t="s">
        <v>1049</v>
      </c>
      <c r="BQ236" s="54" t="s">
        <v>1050</v>
      </c>
      <c r="BR236" s="54" t="s">
        <v>1049</v>
      </c>
      <c r="BS236" s="54" t="s">
        <v>1050</v>
      </c>
      <c r="BT236" s="54" t="s">
        <v>1051</v>
      </c>
      <c r="BU236" s="54" t="s">
        <v>1043</v>
      </c>
      <c r="BV236" s="58">
        <v>12000</v>
      </c>
      <c r="BW236" s="54" t="s">
        <v>1052</v>
      </c>
      <c r="BX236" s="54" t="s">
        <v>1053</v>
      </c>
      <c r="BY236" s="54" t="s">
        <v>1054</v>
      </c>
      <c r="BZ236" s="54" t="s">
        <v>1055</v>
      </c>
      <c r="CA236" s="55"/>
      <c r="CB236" s="54" t="s">
        <v>1056</v>
      </c>
      <c r="CC236" s="54" t="s">
        <v>1057</v>
      </c>
      <c r="CD236" s="54" t="s">
        <v>1058</v>
      </c>
      <c r="CE236" s="54" t="s">
        <v>1059</v>
      </c>
      <c r="CF236" s="54" t="s">
        <v>1060</v>
      </c>
      <c r="CG236" s="54" t="s">
        <v>1061</v>
      </c>
      <c r="CH236" s="54" t="s">
        <v>1062</v>
      </c>
      <c r="CI236" s="54" t="s">
        <v>1063</v>
      </c>
      <c r="CJ236" s="54" t="s">
        <v>1064</v>
      </c>
      <c r="CK236" s="54" t="s">
        <v>1065</v>
      </c>
      <c r="CL236" s="54" t="s">
        <v>1066</v>
      </c>
      <c r="CM236" s="54" t="s">
        <v>1067</v>
      </c>
      <c r="CN236" s="54" t="s">
        <v>1068</v>
      </c>
      <c r="CO236" s="54" t="s">
        <v>1069</v>
      </c>
      <c r="CP236" s="56">
        <v>0</v>
      </c>
      <c r="CQ236" s="56">
        <v>0</v>
      </c>
      <c r="CR236" s="56">
        <v>0</v>
      </c>
      <c r="CS236" s="56">
        <v>0</v>
      </c>
      <c r="CT236" s="56">
        <v>0</v>
      </c>
      <c r="CU236" s="56">
        <v>0</v>
      </c>
      <c r="CV236" s="56">
        <v>0</v>
      </c>
      <c r="CW236" s="56">
        <v>0</v>
      </c>
      <c r="CX236" s="56">
        <v>0</v>
      </c>
      <c r="CY236" s="56">
        <v>0</v>
      </c>
      <c r="CZ236" s="56">
        <v>0</v>
      </c>
      <c r="DA236" s="56">
        <v>0</v>
      </c>
      <c r="DB236" s="56">
        <v>0</v>
      </c>
      <c r="DC236" s="56">
        <v>0</v>
      </c>
      <c r="DD236" s="56">
        <v>0</v>
      </c>
      <c r="DE236" s="56">
        <v>0</v>
      </c>
      <c r="DF236" s="56">
        <v>0</v>
      </c>
      <c r="DG236" s="56">
        <v>0</v>
      </c>
      <c r="DH236" s="56">
        <v>0</v>
      </c>
      <c r="DI236" s="56">
        <v>0</v>
      </c>
      <c r="DJ236" s="56">
        <v>0</v>
      </c>
      <c r="DK236" s="56">
        <v>0</v>
      </c>
      <c r="DL236" s="56">
        <v>0</v>
      </c>
      <c r="DM236" s="56">
        <v>0</v>
      </c>
      <c r="DN236" s="56">
        <v>0</v>
      </c>
      <c r="DO236" s="56">
        <v>0</v>
      </c>
      <c r="DP236" s="56">
        <v>0</v>
      </c>
      <c r="DQ236" s="56">
        <v>0</v>
      </c>
      <c r="DR236" s="56">
        <v>0</v>
      </c>
      <c r="DS236" s="56">
        <v>0</v>
      </c>
      <c r="DT236" s="56">
        <v>0</v>
      </c>
      <c r="DU236" s="56">
        <v>0</v>
      </c>
      <c r="DV236" s="56">
        <v>0</v>
      </c>
      <c r="DW236" s="56">
        <v>0</v>
      </c>
      <c r="DX236" s="56">
        <v>0</v>
      </c>
      <c r="DY236" s="56">
        <v>0</v>
      </c>
      <c r="DZ236" s="56">
        <v>0</v>
      </c>
      <c r="EA236" s="56">
        <v>0</v>
      </c>
      <c r="EB236" s="56">
        <v>0</v>
      </c>
      <c r="EC236" s="56">
        <v>0</v>
      </c>
      <c r="ED236" s="56">
        <v>0</v>
      </c>
      <c r="EE236" s="56">
        <v>0</v>
      </c>
      <c r="EF236" s="56">
        <v>0</v>
      </c>
      <c r="EG236" s="56">
        <v>0</v>
      </c>
      <c r="EH236" s="56">
        <v>11433.6</v>
      </c>
      <c r="EI236" s="56">
        <v>0</v>
      </c>
      <c r="EJ236" s="56">
        <v>0</v>
      </c>
      <c r="EK236" s="56">
        <v>0</v>
      </c>
      <c r="EL236" s="56">
        <v>0</v>
      </c>
      <c r="EM236" s="56">
        <v>0</v>
      </c>
      <c r="EN236" s="56">
        <v>0</v>
      </c>
      <c r="EO236" s="56">
        <v>0</v>
      </c>
      <c r="EP236" s="56">
        <v>0</v>
      </c>
      <c r="EQ236" s="56">
        <v>0</v>
      </c>
      <c r="ER236" s="56">
        <v>0</v>
      </c>
      <c r="ES236" s="56">
        <v>0</v>
      </c>
      <c r="ET236" s="56">
        <v>0</v>
      </c>
      <c r="EU236" s="56">
        <v>0</v>
      </c>
      <c r="EV236" s="56">
        <v>0</v>
      </c>
      <c r="EW236" s="56">
        <v>0</v>
      </c>
      <c r="EX236" s="56">
        <v>0</v>
      </c>
      <c r="EY236" s="56">
        <v>0</v>
      </c>
      <c r="EZ236" s="56">
        <v>0</v>
      </c>
      <c r="FA236" s="56">
        <v>0</v>
      </c>
      <c r="FB236" s="56">
        <v>0</v>
      </c>
      <c r="FC236" s="58">
        <v>0</v>
      </c>
      <c r="FD236" s="56">
        <v>0</v>
      </c>
      <c r="FE236" s="56">
        <v>0</v>
      </c>
      <c r="FF236" s="56">
        <v>0</v>
      </c>
      <c r="FG236" s="56">
        <v>0</v>
      </c>
      <c r="FH236" s="56">
        <v>0</v>
      </c>
      <c r="FI236" s="56">
        <v>0</v>
      </c>
      <c r="FJ236" s="56">
        <v>0</v>
      </c>
      <c r="FK236" s="56">
        <v>0</v>
      </c>
      <c r="FL236" s="56">
        <v>0</v>
      </c>
      <c r="FM236" s="56">
        <v>0</v>
      </c>
      <c r="FN236" s="56">
        <v>0</v>
      </c>
      <c r="FO236" s="56">
        <v>0</v>
      </c>
      <c r="FP236" s="56">
        <v>0</v>
      </c>
      <c r="FQ236" s="56">
        <v>0</v>
      </c>
      <c r="FR236" s="56">
        <v>0</v>
      </c>
      <c r="FS236" s="58">
        <v>0</v>
      </c>
      <c r="FT236" s="56">
        <v>0</v>
      </c>
      <c r="FU236" s="56">
        <v>0</v>
      </c>
      <c r="FV236" s="56">
        <v>0</v>
      </c>
      <c r="FW236" s="56">
        <v>0</v>
      </c>
      <c r="FX236" s="56">
        <v>0</v>
      </c>
      <c r="FY236" s="56">
        <v>0</v>
      </c>
      <c r="FZ236" s="54" t="s">
        <v>1083</v>
      </c>
      <c r="GA236" s="54" t="s">
        <v>1084</v>
      </c>
      <c r="GB236" s="54" t="s">
        <v>1072</v>
      </c>
      <c r="GC236" s="54" t="s">
        <v>1073</v>
      </c>
      <c r="GD236" s="54" t="s">
        <v>1190</v>
      </c>
      <c r="GE236" s="54" t="s">
        <v>1075</v>
      </c>
      <c r="GF236" s="54"/>
      <c r="GG236" s="55"/>
      <c r="GH236" s="54"/>
      <c r="GI236" s="54"/>
      <c r="GJ236" s="54" t="s">
        <v>1076</v>
      </c>
      <c r="GK236" s="54" t="s">
        <v>1077</v>
      </c>
      <c r="GL236" s="54"/>
      <c r="GM236" s="54"/>
      <c r="GN236" s="54" t="s">
        <v>1078</v>
      </c>
      <c r="GO236" s="54" t="s">
        <v>1059</v>
      </c>
      <c r="GP236" s="54"/>
      <c r="GQ236" s="56">
        <v>0</v>
      </c>
      <c r="GR236" s="54" t="s">
        <v>1079</v>
      </c>
      <c r="GS236" s="54"/>
    </row>
    <row r="237" spans="1:201" x14ac:dyDescent="0.25">
      <c r="A237" s="54" t="s">
        <v>1032</v>
      </c>
      <c r="B237" s="54" t="s">
        <v>1033</v>
      </c>
      <c r="C237" s="54" t="s">
        <v>1269</v>
      </c>
      <c r="D237" s="54" t="s">
        <v>1035</v>
      </c>
      <c r="E237" s="54" t="s">
        <v>1036</v>
      </c>
      <c r="F237" s="55">
        <v>46189</v>
      </c>
      <c r="G237" s="55">
        <v>46189</v>
      </c>
      <c r="H237" s="54" t="s">
        <v>1037</v>
      </c>
      <c r="I237" s="54" t="s">
        <v>1038</v>
      </c>
      <c r="J237" s="54" t="s">
        <v>1039</v>
      </c>
      <c r="K237" s="55"/>
      <c r="L237" s="54" t="s">
        <v>1040</v>
      </c>
      <c r="M237" s="54"/>
      <c r="N237" s="54" t="s">
        <v>1270</v>
      </c>
      <c r="O237" s="54" t="s">
        <v>1161</v>
      </c>
      <c r="P237" s="54" t="s">
        <v>224</v>
      </c>
      <c r="Q237" s="54" t="s">
        <v>59</v>
      </c>
      <c r="R237" s="54" t="s">
        <v>1043</v>
      </c>
      <c r="S237" s="56">
        <v>9870</v>
      </c>
      <c r="T237" s="56">
        <v>9870</v>
      </c>
      <c r="U237" s="56">
        <v>0</v>
      </c>
      <c r="V237" s="56">
        <v>0</v>
      </c>
      <c r="W237" s="56">
        <v>0</v>
      </c>
      <c r="X237" s="56">
        <v>0</v>
      </c>
      <c r="Y237" s="56">
        <v>0</v>
      </c>
      <c r="Z237" s="56">
        <v>3000</v>
      </c>
      <c r="AA237" s="56">
        <v>3000</v>
      </c>
      <c r="AB237" s="59">
        <v>0</v>
      </c>
      <c r="AC237" s="56">
        <v>0</v>
      </c>
      <c r="AD237" s="56">
        <v>0</v>
      </c>
      <c r="AE237" s="56">
        <v>0</v>
      </c>
      <c r="AF237" s="54" t="s">
        <v>1044</v>
      </c>
      <c r="AG237" s="57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 t="s">
        <v>1045</v>
      </c>
      <c r="AS237" s="54" t="s">
        <v>1046</v>
      </c>
      <c r="AT237" s="54" t="s">
        <v>1047</v>
      </c>
      <c r="AU237" s="54" t="s">
        <v>1048</v>
      </c>
      <c r="AV237" s="54"/>
      <c r="AW237" s="55">
        <v>46202</v>
      </c>
      <c r="AX237" s="55">
        <v>46189</v>
      </c>
      <c r="AY237" s="55">
        <v>46189</v>
      </c>
      <c r="AZ237" s="55"/>
      <c r="BA237" s="55">
        <v>46202</v>
      </c>
      <c r="BB237" s="56">
        <v>0</v>
      </c>
      <c r="BC237" s="56">
        <v>0</v>
      </c>
      <c r="BD237" s="56">
        <v>0</v>
      </c>
      <c r="BE237" s="56">
        <v>0</v>
      </c>
      <c r="BF237" s="56">
        <v>0</v>
      </c>
      <c r="BG237" s="56">
        <v>0</v>
      </c>
      <c r="BH237" s="56">
        <v>0</v>
      </c>
      <c r="BI237" s="56">
        <v>0</v>
      </c>
      <c r="BJ237" s="56">
        <v>0</v>
      </c>
      <c r="BK237" s="56">
        <v>0</v>
      </c>
      <c r="BL237" s="56">
        <v>0</v>
      </c>
      <c r="BM237" s="56">
        <v>0</v>
      </c>
      <c r="BN237" s="56">
        <v>0</v>
      </c>
      <c r="BO237" s="56">
        <v>0</v>
      </c>
      <c r="BP237" s="54" t="s">
        <v>1049</v>
      </c>
      <c r="BQ237" s="54" t="s">
        <v>1050</v>
      </c>
      <c r="BR237" s="54" t="s">
        <v>1049</v>
      </c>
      <c r="BS237" s="54" t="s">
        <v>1050</v>
      </c>
      <c r="BT237" s="54" t="s">
        <v>1051</v>
      </c>
      <c r="BU237" s="54" t="s">
        <v>1043</v>
      </c>
      <c r="BV237" s="58">
        <v>3000</v>
      </c>
      <c r="BW237" s="54" t="s">
        <v>1052</v>
      </c>
      <c r="BX237" s="54" t="s">
        <v>1053</v>
      </c>
      <c r="BY237" s="54" t="s">
        <v>1054</v>
      </c>
      <c r="BZ237" s="54" t="s">
        <v>1055</v>
      </c>
      <c r="CA237" s="55"/>
      <c r="CB237" s="54" t="s">
        <v>1056</v>
      </c>
      <c r="CC237" s="54" t="s">
        <v>1057</v>
      </c>
      <c r="CD237" s="54" t="s">
        <v>1058</v>
      </c>
      <c r="CE237" s="54" t="s">
        <v>1059</v>
      </c>
      <c r="CF237" s="54" t="s">
        <v>1060</v>
      </c>
      <c r="CG237" s="54" t="s">
        <v>1061</v>
      </c>
      <c r="CH237" s="54" t="s">
        <v>1062</v>
      </c>
      <c r="CI237" s="54" t="s">
        <v>1063</v>
      </c>
      <c r="CJ237" s="54" t="s">
        <v>1064</v>
      </c>
      <c r="CK237" s="54" t="s">
        <v>1065</v>
      </c>
      <c r="CL237" s="54" t="s">
        <v>1066</v>
      </c>
      <c r="CM237" s="54" t="s">
        <v>1067</v>
      </c>
      <c r="CN237" s="54" t="s">
        <v>1068</v>
      </c>
      <c r="CO237" s="54" t="s">
        <v>1069</v>
      </c>
      <c r="CP237" s="56">
        <v>0</v>
      </c>
      <c r="CQ237" s="56">
        <v>0</v>
      </c>
      <c r="CR237" s="56">
        <v>0</v>
      </c>
      <c r="CS237" s="56">
        <v>0</v>
      </c>
      <c r="CT237" s="56">
        <v>0</v>
      </c>
      <c r="CU237" s="56">
        <v>0</v>
      </c>
      <c r="CV237" s="56">
        <v>0</v>
      </c>
      <c r="CW237" s="56">
        <v>0</v>
      </c>
      <c r="CX237" s="56">
        <v>0</v>
      </c>
      <c r="CY237" s="56">
        <v>0</v>
      </c>
      <c r="CZ237" s="56">
        <v>0</v>
      </c>
      <c r="DA237" s="56">
        <v>0</v>
      </c>
      <c r="DB237" s="56">
        <v>0</v>
      </c>
      <c r="DC237" s="56">
        <v>0</v>
      </c>
      <c r="DD237" s="56">
        <v>0</v>
      </c>
      <c r="DE237" s="56">
        <v>0</v>
      </c>
      <c r="DF237" s="56">
        <v>0</v>
      </c>
      <c r="DG237" s="56">
        <v>0</v>
      </c>
      <c r="DH237" s="56">
        <v>0</v>
      </c>
      <c r="DI237" s="56">
        <v>0</v>
      </c>
      <c r="DJ237" s="56">
        <v>0</v>
      </c>
      <c r="DK237" s="56">
        <v>0</v>
      </c>
      <c r="DL237" s="56">
        <v>0</v>
      </c>
      <c r="DM237" s="56">
        <v>0</v>
      </c>
      <c r="DN237" s="56">
        <v>0</v>
      </c>
      <c r="DO237" s="56">
        <v>0</v>
      </c>
      <c r="DP237" s="56">
        <v>0</v>
      </c>
      <c r="DQ237" s="56">
        <v>0</v>
      </c>
      <c r="DR237" s="56">
        <v>0</v>
      </c>
      <c r="DS237" s="56">
        <v>0</v>
      </c>
      <c r="DT237" s="56">
        <v>0</v>
      </c>
      <c r="DU237" s="56">
        <v>0</v>
      </c>
      <c r="DV237" s="56">
        <v>0</v>
      </c>
      <c r="DW237" s="56">
        <v>0</v>
      </c>
      <c r="DX237" s="56">
        <v>0</v>
      </c>
      <c r="DY237" s="56">
        <v>0</v>
      </c>
      <c r="DZ237" s="56">
        <v>0</v>
      </c>
      <c r="EA237" s="56">
        <v>0</v>
      </c>
      <c r="EB237" s="56">
        <v>0</v>
      </c>
      <c r="EC237" s="56">
        <v>0</v>
      </c>
      <c r="ED237" s="56">
        <v>0</v>
      </c>
      <c r="EE237" s="56">
        <v>0</v>
      </c>
      <c r="EF237" s="56">
        <v>0</v>
      </c>
      <c r="EG237" s="56">
        <v>0</v>
      </c>
      <c r="EH237" s="56">
        <v>1184.4000000000001</v>
      </c>
      <c r="EI237" s="56">
        <v>0</v>
      </c>
      <c r="EJ237" s="56">
        <v>0</v>
      </c>
      <c r="EK237" s="56">
        <v>0</v>
      </c>
      <c r="EL237" s="56">
        <v>0</v>
      </c>
      <c r="EM237" s="56">
        <v>0</v>
      </c>
      <c r="EN237" s="56">
        <v>0</v>
      </c>
      <c r="EO237" s="56">
        <v>0</v>
      </c>
      <c r="EP237" s="56">
        <v>0</v>
      </c>
      <c r="EQ237" s="56">
        <v>0</v>
      </c>
      <c r="ER237" s="56">
        <v>0</v>
      </c>
      <c r="ES237" s="56">
        <v>0</v>
      </c>
      <c r="ET237" s="56">
        <v>0</v>
      </c>
      <c r="EU237" s="56">
        <v>0</v>
      </c>
      <c r="EV237" s="56">
        <v>0</v>
      </c>
      <c r="EW237" s="56">
        <v>0</v>
      </c>
      <c r="EX237" s="56">
        <v>0</v>
      </c>
      <c r="EY237" s="56">
        <v>0</v>
      </c>
      <c r="EZ237" s="56">
        <v>0</v>
      </c>
      <c r="FA237" s="56">
        <v>0</v>
      </c>
      <c r="FB237" s="56">
        <v>0</v>
      </c>
      <c r="FC237" s="58">
        <v>0</v>
      </c>
      <c r="FD237" s="56">
        <v>0</v>
      </c>
      <c r="FE237" s="56">
        <v>0</v>
      </c>
      <c r="FF237" s="56">
        <v>0</v>
      </c>
      <c r="FG237" s="56">
        <v>0</v>
      </c>
      <c r="FH237" s="56">
        <v>0</v>
      </c>
      <c r="FI237" s="56">
        <v>0</v>
      </c>
      <c r="FJ237" s="56">
        <v>0</v>
      </c>
      <c r="FK237" s="56">
        <v>0</v>
      </c>
      <c r="FL237" s="56">
        <v>0</v>
      </c>
      <c r="FM237" s="56">
        <v>0</v>
      </c>
      <c r="FN237" s="56">
        <v>0</v>
      </c>
      <c r="FO237" s="56">
        <v>0</v>
      </c>
      <c r="FP237" s="56">
        <v>0</v>
      </c>
      <c r="FQ237" s="56">
        <v>0</v>
      </c>
      <c r="FR237" s="56">
        <v>0</v>
      </c>
      <c r="FS237" s="58">
        <v>0</v>
      </c>
      <c r="FT237" s="56">
        <v>0</v>
      </c>
      <c r="FU237" s="56">
        <v>0</v>
      </c>
      <c r="FV237" s="56">
        <v>0</v>
      </c>
      <c r="FW237" s="56">
        <v>0</v>
      </c>
      <c r="FX237" s="56">
        <v>0</v>
      </c>
      <c r="FY237" s="56">
        <v>0</v>
      </c>
      <c r="FZ237" s="54" t="s">
        <v>1083</v>
      </c>
      <c r="GA237" s="54" t="s">
        <v>1084</v>
      </c>
      <c r="GB237" s="54" t="s">
        <v>1072</v>
      </c>
      <c r="GC237" s="54" t="s">
        <v>1073</v>
      </c>
      <c r="GD237" s="54" t="s">
        <v>1190</v>
      </c>
      <c r="GE237" s="54" t="s">
        <v>1075</v>
      </c>
      <c r="GF237" s="54"/>
      <c r="GG237" s="55"/>
      <c r="GH237" s="54"/>
      <c r="GI237" s="54"/>
      <c r="GJ237" s="54" t="s">
        <v>1076</v>
      </c>
      <c r="GK237" s="54" t="s">
        <v>1077</v>
      </c>
      <c r="GL237" s="54"/>
      <c r="GM237" s="54"/>
      <c r="GN237" s="54" t="s">
        <v>1078</v>
      </c>
      <c r="GO237" s="54" t="s">
        <v>1059</v>
      </c>
      <c r="GP237" s="54"/>
      <c r="GQ237" s="56">
        <v>0</v>
      </c>
      <c r="GR237" s="54" t="s">
        <v>1079</v>
      </c>
      <c r="GS237" s="54"/>
    </row>
    <row r="238" spans="1:201" x14ac:dyDescent="0.25">
      <c r="A238" s="54" t="s">
        <v>1032</v>
      </c>
      <c r="B238" s="54" t="s">
        <v>1033</v>
      </c>
      <c r="C238" s="54" t="s">
        <v>1269</v>
      </c>
      <c r="D238" s="54" t="s">
        <v>1035</v>
      </c>
      <c r="E238" s="54" t="s">
        <v>1036</v>
      </c>
      <c r="F238" s="55">
        <v>46189</v>
      </c>
      <c r="G238" s="55">
        <v>46189</v>
      </c>
      <c r="H238" s="54" t="s">
        <v>1037</v>
      </c>
      <c r="I238" s="54" t="s">
        <v>1038</v>
      </c>
      <c r="J238" s="54" t="s">
        <v>1039</v>
      </c>
      <c r="K238" s="55"/>
      <c r="L238" s="54" t="s">
        <v>1040</v>
      </c>
      <c r="M238" s="54"/>
      <c r="N238" s="54" t="s">
        <v>1270</v>
      </c>
      <c r="O238" s="54" t="s">
        <v>1162</v>
      </c>
      <c r="P238" s="54" t="s">
        <v>223</v>
      </c>
      <c r="Q238" s="54" t="s">
        <v>58</v>
      </c>
      <c r="R238" s="54" t="s">
        <v>1043</v>
      </c>
      <c r="S238" s="56">
        <v>3454.8</v>
      </c>
      <c r="T238" s="56">
        <v>3454.8</v>
      </c>
      <c r="U238" s="56">
        <v>0</v>
      </c>
      <c r="V238" s="56">
        <v>0</v>
      </c>
      <c r="W238" s="56">
        <v>0</v>
      </c>
      <c r="X238" s="56">
        <v>0</v>
      </c>
      <c r="Y238" s="56">
        <v>0</v>
      </c>
      <c r="Z238" s="56">
        <v>120</v>
      </c>
      <c r="AA238" s="56">
        <v>120</v>
      </c>
      <c r="AB238" s="59">
        <v>0</v>
      </c>
      <c r="AC238" s="56">
        <v>0</v>
      </c>
      <c r="AD238" s="56">
        <v>0</v>
      </c>
      <c r="AE238" s="56">
        <v>0</v>
      </c>
      <c r="AF238" s="54" t="s">
        <v>1044</v>
      </c>
      <c r="AG238" s="57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 t="s">
        <v>1045</v>
      </c>
      <c r="AS238" s="54" t="s">
        <v>1046</v>
      </c>
      <c r="AT238" s="54" t="s">
        <v>1047</v>
      </c>
      <c r="AU238" s="54" t="s">
        <v>1048</v>
      </c>
      <c r="AV238" s="54"/>
      <c r="AW238" s="55">
        <v>46202</v>
      </c>
      <c r="AX238" s="55">
        <v>46189</v>
      </c>
      <c r="AY238" s="55">
        <v>46189</v>
      </c>
      <c r="AZ238" s="55"/>
      <c r="BA238" s="55">
        <v>46202</v>
      </c>
      <c r="BB238" s="56">
        <v>0</v>
      </c>
      <c r="BC238" s="56">
        <v>0</v>
      </c>
      <c r="BD238" s="56">
        <v>0</v>
      </c>
      <c r="BE238" s="56">
        <v>0</v>
      </c>
      <c r="BF238" s="56">
        <v>0</v>
      </c>
      <c r="BG238" s="56">
        <v>0</v>
      </c>
      <c r="BH238" s="56">
        <v>0</v>
      </c>
      <c r="BI238" s="56">
        <v>0</v>
      </c>
      <c r="BJ238" s="56">
        <v>0</v>
      </c>
      <c r="BK238" s="56">
        <v>0</v>
      </c>
      <c r="BL238" s="56">
        <v>0</v>
      </c>
      <c r="BM238" s="56">
        <v>0</v>
      </c>
      <c r="BN238" s="56">
        <v>0</v>
      </c>
      <c r="BO238" s="56">
        <v>0</v>
      </c>
      <c r="BP238" s="54" t="s">
        <v>1049</v>
      </c>
      <c r="BQ238" s="54" t="s">
        <v>1050</v>
      </c>
      <c r="BR238" s="54" t="s">
        <v>1049</v>
      </c>
      <c r="BS238" s="54" t="s">
        <v>1050</v>
      </c>
      <c r="BT238" s="54" t="s">
        <v>1051</v>
      </c>
      <c r="BU238" s="54" t="s">
        <v>1043</v>
      </c>
      <c r="BV238" s="58">
        <v>120</v>
      </c>
      <c r="BW238" s="54" t="s">
        <v>1052</v>
      </c>
      <c r="BX238" s="54" t="s">
        <v>1053</v>
      </c>
      <c r="BY238" s="54" t="s">
        <v>1054</v>
      </c>
      <c r="BZ238" s="54" t="s">
        <v>1055</v>
      </c>
      <c r="CA238" s="55"/>
      <c r="CB238" s="54" t="s">
        <v>1056</v>
      </c>
      <c r="CC238" s="54" t="s">
        <v>1057</v>
      </c>
      <c r="CD238" s="54" t="s">
        <v>1058</v>
      </c>
      <c r="CE238" s="54" t="s">
        <v>1059</v>
      </c>
      <c r="CF238" s="54" t="s">
        <v>1060</v>
      </c>
      <c r="CG238" s="54" t="s">
        <v>1061</v>
      </c>
      <c r="CH238" s="54" t="s">
        <v>1062</v>
      </c>
      <c r="CI238" s="54" t="s">
        <v>1063</v>
      </c>
      <c r="CJ238" s="54" t="s">
        <v>1064</v>
      </c>
      <c r="CK238" s="54" t="s">
        <v>1065</v>
      </c>
      <c r="CL238" s="54" t="s">
        <v>1066</v>
      </c>
      <c r="CM238" s="54" t="s">
        <v>1067</v>
      </c>
      <c r="CN238" s="54" t="s">
        <v>1068</v>
      </c>
      <c r="CO238" s="54" t="s">
        <v>1069</v>
      </c>
      <c r="CP238" s="56">
        <v>0</v>
      </c>
      <c r="CQ238" s="56">
        <v>0</v>
      </c>
      <c r="CR238" s="56">
        <v>0</v>
      </c>
      <c r="CS238" s="56">
        <v>0</v>
      </c>
      <c r="CT238" s="56">
        <v>0</v>
      </c>
      <c r="CU238" s="56">
        <v>0</v>
      </c>
      <c r="CV238" s="56">
        <v>0</v>
      </c>
      <c r="CW238" s="56">
        <v>0</v>
      </c>
      <c r="CX238" s="56">
        <v>0</v>
      </c>
      <c r="CY238" s="56">
        <v>0</v>
      </c>
      <c r="CZ238" s="56">
        <v>0</v>
      </c>
      <c r="DA238" s="56">
        <v>0</v>
      </c>
      <c r="DB238" s="56">
        <v>0</v>
      </c>
      <c r="DC238" s="56">
        <v>0</v>
      </c>
      <c r="DD238" s="56">
        <v>0</v>
      </c>
      <c r="DE238" s="56">
        <v>0</v>
      </c>
      <c r="DF238" s="56">
        <v>0</v>
      </c>
      <c r="DG238" s="56">
        <v>0</v>
      </c>
      <c r="DH238" s="56">
        <v>0</v>
      </c>
      <c r="DI238" s="56">
        <v>0</v>
      </c>
      <c r="DJ238" s="56">
        <v>0</v>
      </c>
      <c r="DK238" s="56">
        <v>0</v>
      </c>
      <c r="DL238" s="56">
        <v>0</v>
      </c>
      <c r="DM238" s="56">
        <v>0</v>
      </c>
      <c r="DN238" s="56">
        <v>0</v>
      </c>
      <c r="DO238" s="56">
        <v>0</v>
      </c>
      <c r="DP238" s="56">
        <v>0</v>
      </c>
      <c r="DQ238" s="56">
        <v>0</v>
      </c>
      <c r="DR238" s="56">
        <v>0</v>
      </c>
      <c r="DS238" s="56">
        <v>0</v>
      </c>
      <c r="DT238" s="56">
        <v>0</v>
      </c>
      <c r="DU238" s="56">
        <v>0</v>
      </c>
      <c r="DV238" s="56">
        <v>0</v>
      </c>
      <c r="DW238" s="56">
        <v>0</v>
      </c>
      <c r="DX238" s="56">
        <v>0</v>
      </c>
      <c r="DY238" s="56">
        <v>0</v>
      </c>
      <c r="DZ238" s="56">
        <v>0</v>
      </c>
      <c r="EA238" s="56">
        <v>0</v>
      </c>
      <c r="EB238" s="56">
        <v>0</v>
      </c>
      <c r="EC238" s="56">
        <v>0</v>
      </c>
      <c r="ED238" s="56">
        <v>0</v>
      </c>
      <c r="EE238" s="56">
        <v>0</v>
      </c>
      <c r="EF238" s="56">
        <v>0</v>
      </c>
      <c r="EG238" s="56">
        <v>0</v>
      </c>
      <c r="EH238" s="56">
        <v>414.58</v>
      </c>
      <c r="EI238" s="56">
        <v>0</v>
      </c>
      <c r="EJ238" s="56">
        <v>0</v>
      </c>
      <c r="EK238" s="56">
        <v>0</v>
      </c>
      <c r="EL238" s="56">
        <v>0</v>
      </c>
      <c r="EM238" s="56">
        <v>0</v>
      </c>
      <c r="EN238" s="56">
        <v>0</v>
      </c>
      <c r="EO238" s="56">
        <v>0</v>
      </c>
      <c r="EP238" s="56">
        <v>0</v>
      </c>
      <c r="EQ238" s="56">
        <v>0</v>
      </c>
      <c r="ER238" s="56">
        <v>0</v>
      </c>
      <c r="ES238" s="56">
        <v>0</v>
      </c>
      <c r="ET238" s="56">
        <v>0</v>
      </c>
      <c r="EU238" s="56">
        <v>0</v>
      </c>
      <c r="EV238" s="56">
        <v>0</v>
      </c>
      <c r="EW238" s="56">
        <v>0</v>
      </c>
      <c r="EX238" s="56">
        <v>0</v>
      </c>
      <c r="EY238" s="56">
        <v>0</v>
      </c>
      <c r="EZ238" s="56">
        <v>0</v>
      </c>
      <c r="FA238" s="56">
        <v>0</v>
      </c>
      <c r="FB238" s="56">
        <v>0</v>
      </c>
      <c r="FC238" s="58">
        <v>0</v>
      </c>
      <c r="FD238" s="56">
        <v>0</v>
      </c>
      <c r="FE238" s="56">
        <v>0</v>
      </c>
      <c r="FF238" s="56">
        <v>0</v>
      </c>
      <c r="FG238" s="56">
        <v>0</v>
      </c>
      <c r="FH238" s="56">
        <v>0</v>
      </c>
      <c r="FI238" s="56">
        <v>0</v>
      </c>
      <c r="FJ238" s="56">
        <v>0</v>
      </c>
      <c r="FK238" s="56">
        <v>0</v>
      </c>
      <c r="FL238" s="56">
        <v>0</v>
      </c>
      <c r="FM238" s="56">
        <v>0</v>
      </c>
      <c r="FN238" s="56">
        <v>0</v>
      </c>
      <c r="FO238" s="56">
        <v>0</v>
      </c>
      <c r="FP238" s="56">
        <v>0</v>
      </c>
      <c r="FQ238" s="56">
        <v>0</v>
      </c>
      <c r="FR238" s="56">
        <v>0</v>
      </c>
      <c r="FS238" s="58">
        <v>0</v>
      </c>
      <c r="FT238" s="56">
        <v>0</v>
      </c>
      <c r="FU238" s="56">
        <v>0</v>
      </c>
      <c r="FV238" s="56">
        <v>0</v>
      </c>
      <c r="FW238" s="56">
        <v>0</v>
      </c>
      <c r="FX238" s="56">
        <v>0</v>
      </c>
      <c r="FY238" s="56">
        <v>0</v>
      </c>
      <c r="FZ238" s="54" t="s">
        <v>1083</v>
      </c>
      <c r="GA238" s="54" t="s">
        <v>1084</v>
      </c>
      <c r="GB238" s="54" t="s">
        <v>1072</v>
      </c>
      <c r="GC238" s="54" t="s">
        <v>1073</v>
      </c>
      <c r="GD238" s="54" t="s">
        <v>1190</v>
      </c>
      <c r="GE238" s="54" t="s">
        <v>1075</v>
      </c>
      <c r="GF238" s="54"/>
      <c r="GG238" s="55"/>
      <c r="GH238" s="54"/>
      <c r="GI238" s="54"/>
      <c r="GJ238" s="54" t="s">
        <v>1076</v>
      </c>
      <c r="GK238" s="54" t="s">
        <v>1077</v>
      </c>
      <c r="GL238" s="54"/>
      <c r="GM238" s="54"/>
      <c r="GN238" s="54" t="s">
        <v>1078</v>
      </c>
      <c r="GO238" s="54" t="s">
        <v>1059</v>
      </c>
      <c r="GP238" s="54"/>
      <c r="GQ238" s="56">
        <v>0</v>
      </c>
      <c r="GR238" s="54" t="s">
        <v>1079</v>
      </c>
      <c r="GS238" s="54"/>
    </row>
    <row r="239" spans="1:201" x14ac:dyDescent="0.25">
      <c r="A239" s="54" t="s">
        <v>1032</v>
      </c>
      <c r="B239" s="54" t="s">
        <v>1033</v>
      </c>
      <c r="C239" s="54" t="s">
        <v>1269</v>
      </c>
      <c r="D239" s="54" t="s">
        <v>1035</v>
      </c>
      <c r="E239" s="54" t="s">
        <v>1036</v>
      </c>
      <c r="F239" s="55">
        <v>46189</v>
      </c>
      <c r="G239" s="55">
        <v>46189</v>
      </c>
      <c r="H239" s="54" t="s">
        <v>1037</v>
      </c>
      <c r="I239" s="54" t="s">
        <v>1038</v>
      </c>
      <c r="J239" s="54" t="s">
        <v>1039</v>
      </c>
      <c r="K239" s="55"/>
      <c r="L239" s="54" t="s">
        <v>1040</v>
      </c>
      <c r="M239" s="54"/>
      <c r="N239" s="54" t="s">
        <v>1270</v>
      </c>
      <c r="O239" s="54" t="s">
        <v>1163</v>
      </c>
      <c r="P239" s="54" t="s">
        <v>226</v>
      </c>
      <c r="Q239" s="54" t="s">
        <v>61</v>
      </c>
      <c r="R239" s="54" t="s">
        <v>1043</v>
      </c>
      <c r="S239" s="56">
        <v>5052</v>
      </c>
      <c r="T239" s="56">
        <v>0</v>
      </c>
      <c r="U239" s="56">
        <v>5052</v>
      </c>
      <c r="V239" s="56">
        <v>0</v>
      </c>
      <c r="W239" s="56">
        <v>0</v>
      </c>
      <c r="X239" s="56">
        <v>0</v>
      </c>
      <c r="Y239" s="56">
        <v>0</v>
      </c>
      <c r="Z239" s="56">
        <v>600</v>
      </c>
      <c r="AA239" s="56">
        <v>0</v>
      </c>
      <c r="AB239" s="59">
        <v>600</v>
      </c>
      <c r="AC239" s="56">
        <v>0</v>
      </c>
      <c r="AD239" s="56">
        <v>0</v>
      </c>
      <c r="AE239" s="56">
        <v>0</v>
      </c>
      <c r="AF239" s="54" t="s">
        <v>1044</v>
      </c>
      <c r="AG239" s="57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 t="s">
        <v>1045</v>
      </c>
      <c r="AS239" s="54" t="s">
        <v>1046</v>
      </c>
      <c r="AT239" s="54" t="s">
        <v>1047</v>
      </c>
      <c r="AU239" s="54" t="s">
        <v>1048</v>
      </c>
      <c r="AV239" s="54"/>
      <c r="AW239" s="55">
        <v>46202</v>
      </c>
      <c r="AX239" s="55">
        <v>46189</v>
      </c>
      <c r="AY239" s="55">
        <v>46189</v>
      </c>
      <c r="AZ239" s="55"/>
      <c r="BA239" s="55">
        <v>46202</v>
      </c>
      <c r="BB239" s="56">
        <v>0</v>
      </c>
      <c r="BC239" s="56">
        <v>0</v>
      </c>
      <c r="BD239" s="56">
        <v>0</v>
      </c>
      <c r="BE239" s="56">
        <v>0</v>
      </c>
      <c r="BF239" s="56">
        <v>0</v>
      </c>
      <c r="BG239" s="56">
        <v>0</v>
      </c>
      <c r="BH239" s="56">
        <v>0</v>
      </c>
      <c r="BI239" s="56">
        <v>0</v>
      </c>
      <c r="BJ239" s="56">
        <v>0</v>
      </c>
      <c r="BK239" s="56">
        <v>0</v>
      </c>
      <c r="BL239" s="56">
        <v>0</v>
      </c>
      <c r="BM239" s="56">
        <v>0</v>
      </c>
      <c r="BN239" s="56">
        <v>0</v>
      </c>
      <c r="BO239" s="56">
        <v>0</v>
      </c>
      <c r="BP239" s="54" t="s">
        <v>1049</v>
      </c>
      <c r="BQ239" s="54" t="s">
        <v>1050</v>
      </c>
      <c r="BR239" s="54" t="s">
        <v>1049</v>
      </c>
      <c r="BS239" s="54" t="s">
        <v>1050</v>
      </c>
      <c r="BT239" s="54" t="s">
        <v>1051</v>
      </c>
      <c r="BU239" s="54" t="s">
        <v>1043</v>
      </c>
      <c r="BV239" s="58">
        <v>0</v>
      </c>
      <c r="BW239" s="54" t="s">
        <v>1052</v>
      </c>
      <c r="BX239" s="54" t="s">
        <v>1053</v>
      </c>
      <c r="BY239" s="54" t="s">
        <v>1054</v>
      </c>
      <c r="BZ239" s="54" t="s">
        <v>1055</v>
      </c>
      <c r="CA239" s="55"/>
      <c r="CB239" s="54" t="s">
        <v>1056</v>
      </c>
      <c r="CC239" s="54" t="s">
        <v>1057</v>
      </c>
      <c r="CD239" s="54" t="s">
        <v>1058</v>
      </c>
      <c r="CE239" s="54" t="s">
        <v>1059</v>
      </c>
      <c r="CF239" s="54" t="s">
        <v>1060</v>
      </c>
      <c r="CG239" s="54" t="s">
        <v>1061</v>
      </c>
      <c r="CH239" s="54" t="s">
        <v>1062</v>
      </c>
      <c r="CI239" s="54" t="s">
        <v>1063</v>
      </c>
      <c r="CJ239" s="54" t="s">
        <v>1064</v>
      </c>
      <c r="CK239" s="54" t="s">
        <v>1065</v>
      </c>
      <c r="CL239" s="54" t="s">
        <v>1066</v>
      </c>
      <c r="CM239" s="54" t="s">
        <v>1067</v>
      </c>
      <c r="CN239" s="54" t="s">
        <v>1068</v>
      </c>
      <c r="CO239" s="54" t="s">
        <v>1069</v>
      </c>
      <c r="CP239" s="56">
        <v>0</v>
      </c>
      <c r="CQ239" s="56">
        <v>0</v>
      </c>
      <c r="CR239" s="56">
        <v>0</v>
      </c>
      <c r="CS239" s="56">
        <v>0</v>
      </c>
      <c r="CT239" s="56">
        <v>0</v>
      </c>
      <c r="CU239" s="56">
        <v>0</v>
      </c>
      <c r="CV239" s="56">
        <v>0</v>
      </c>
      <c r="CW239" s="56">
        <v>0</v>
      </c>
      <c r="CX239" s="56">
        <v>0</v>
      </c>
      <c r="CY239" s="56">
        <v>0</v>
      </c>
      <c r="CZ239" s="56">
        <v>0</v>
      </c>
      <c r="DA239" s="56">
        <v>0</v>
      </c>
      <c r="DB239" s="56">
        <v>0</v>
      </c>
      <c r="DC239" s="56">
        <v>0</v>
      </c>
      <c r="DD239" s="56">
        <v>0</v>
      </c>
      <c r="DE239" s="56">
        <v>0</v>
      </c>
      <c r="DF239" s="56">
        <v>0</v>
      </c>
      <c r="DG239" s="56">
        <v>0</v>
      </c>
      <c r="DH239" s="56">
        <v>0</v>
      </c>
      <c r="DI239" s="56">
        <v>0</v>
      </c>
      <c r="DJ239" s="56">
        <v>0</v>
      </c>
      <c r="DK239" s="56">
        <v>0</v>
      </c>
      <c r="DL239" s="56">
        <v>0</v>
      </c>
      <c r="DM239" s="56">
        <v>0</v>
      </c>
      <c r="DN239" s="56">
        <v>0</v>
      </c>
      <c r="DO239" s="56">
        <v>0</v>
      </c>
      <c r="DP239" s="56">
        <v>0</v>
      </c>
      <c r="DQ239" s="56">
        <v>0</v>
      </c>
      <c r="DR239" s="56">
        <v>0</v>
      </c>
      <c r="DS239" s="56">
        <v>0</v>
      </c>
      <c r="DT239" s="56">
        <v>0</v>
      </c>
      <c r="DU239" s="56">
        <v>0</v>
      </c>
      <c r="DV239" s="56">
        <v>0</v>
      </c>
      <c r="DW239" s="56">
        <v>0</v>
      </c>
      <c r="DX239" s="56">
        <v>0</v>
      </c>
      <c r="DY239" s="56">
        <v>0</v>
      </c>
      <c r="DZ239" s="56">
        <v>0</v>
      </c>
      <c r="EA239" s="56">
        <v>0</v>
      </c>
      <c r="EB239" s="56">
        <v>0</v>
      </c>
      <c r="EC239" s="56">
        <v>606.24</v>
      </c>
      <c r="ED239" s="56">
        <v>0</v>
      </c>
      <c r="EE239" s="56">
        <v>0</v>
      </c>
      <c r="EF239" s="56">
        <v>0</v>
      </c>
      <c r="EG239" s="56">
        <v>0</v>
      </c>
      <c r="EH239" s="56">
        <v>606.24</v>
      </c>
      <c r="EI239" s="56">
        <v>0</v>
      </c>
      <c r="EJ239" s="56">
        <v>0</v>
      </c>
      <c r="EK239" s="56">
        <v>0</v>
      </c>
      <c r="EL239" s="56">
        <v>0</v>
      </c>
      <c r="EM239" s="56">
        <v>0</v>
      </c>
      <c r="EN239" s="56">
        <v>0</v>
      </c>
      <c r="EO239" s="56">
        <v>0</v>
      </c>
      <c r="EP239" s="56">
        <v>5052</v>
      </c>
      <c r="EQ239" s="56">
        <v>0</v>
      </c>
      <c r="ER239" s="56">
        <v>0</v>
      </c>
      <c r="ES239" s="56">
        <v>600</v>
      </c>
      <c r="ET239" s="56">
        <v>0</v>
      </c>
      <c r="EU239" s="56">
        <v>0</v>
      </c>
      <c r="EV239" s="56">
        <v>0</v>
      </c>
      <c r="EW239" s="56">
        <v>0</v>
      </c>
      <c r="EX239" s="56">
        <v>0</v>
      </c>
      <c r="EY239" s="56">
        <v>0</v>
      </c>
      <c r="EZ239" s="56">
        <v>0</v>
      </c>
      <c r="FA239" s="56">
        <v>0</v>
      </c>
      <c r="FB239" s="56">
        <v>0</v>
      </c>
      <c r="FC239" s="58">
        <v>0</v>
      </c>
      <c r="FD239" s="56">
        <v>0</v>
      </c>
      <c r="FE239" s="56">
        <v>0</v>
      </c>
      <c r="FF239" s="56">
        <v>0</v>
      </c>
      <c r="FG239" s="56">
        <v>0</v>
      </c>
      <c r="FH239" s="56">
        <v>0</v>
      </c>
      <c r="FI239" s="56">
        <v>0</v>
      </c>
      <c r="FJ239" s="56">
        <v>0</v>
      </c>
      <c r="FK239" s="56">
        <v>0</v>
      </c>
      <c r="FL239" s="56">
        <v>0</v>
      </c>
      <c r="FM239" s="56">
        <v>0</v>
      </c>
      <c r="FN239" s="56">
        <v>0</v>
      </c>
      <c r="FO239" s="56">
        <v>0</v>
      </c>
      <c r="FP239" s="56">
        <v>0</v>
      </c>
      <c r="FQ239" s="56">
        <v>0</v>
      </c>
      <c r="FR239" s="56">
        <v>0</v>
      </c>
      <c r="FS239" s="58">
        <v>0</v>
      </c>
      <c r="FT239" s="56">
        <v>0</v>
      </c>
      <c r="FU239" s="56">
        <v>0</v>
      </c>
      <c r="FV239" s="56">
        <v>0</v>
      </c>
      <c r="FW239" s="56">
        <v>0</v>
      </c>
      <c r="FX239" s="56">
        <v>0</v>
      </c>
      <c r="FY239" s="56">
        <v>0</v>
      </c>
      <c r="FZ239" s="54" t="s">
        <v>1070</v>
      </c>
      <c r="GA239" s="54" t="s">
        <v>1071</v>
      </c>
      <c r="GB239" s="54" t="s">
        <v>1072</v>
      </c>
      <c r="GC239" s="54" t="s">
        <v>1073</v>
      </c>
      <c r="GD239" s="54" t="s">
        <v>1192</v>
      </c>
      <c r="GE239" s="54" t="s">
        <v>1075</v>
      </c>
      <c r="GF239" s="54" t="s">
        <v>1280</v>
      </c>
      <c r="GG239" s="55">
        <v>46205</v>
      </c>
      <c r="GH239" s="54"/>
      <c r="GI239" s="54"/>
      <c r="GJ239" s="54" t="s">
        <v>1076</v>
      </c>
      <c r="GK239" s="54" t="s">
        <v>1077</v>
      </c>
      <c r="GL239" s="54"/>
      <c r="GM239" s="54"/>
      <c r="GN239" s="54" t="s">
        <v>1078</v>
      </c>
      <c r="GO239" s="54" t="s">
        <v>1059</v>
      </c>
      <c r="GP239" s="54"/>
      <c r="GQ239" s="56">
        <v>0</v>
      </c>
      <c r="GR239" s="54" t="s">
        <v>1079</v>
      </c>
      <c r="GS239" s="54" t="s">
        <v>1101</v>
      </c>
    </row>
    <row r="240" spans="1:201" x14ac:dyDescent="0.25">
      <c r="A240" s="54" t="s">
        <v>1032</v>
      </c>
      <c r="B240" s="54" t="s">
        <v>1033</v>
      </c>
      <c r="C240" s="54" t="s">
        <v>1269</v>
      </c>
      <c r="D240" s="54" t="s">
        <v>1035</v>
      </c>
      <c r="E240" s="54" t="s">
        <v>1036</v>
      </c>
      <c r="F240" s="55">
        <v>46189</v>
      </c>
      <c r="G240" s="55">
        <v>46189</v>
      </c>
      <c r="H240" s="54" t="s">
        <v>1037</v>
      </c>
      <c r="I240" s="54" t="s">
        <v>1038</v>
      </c>
      <c r="J240" s="54" t="s">
        <v>1039</v>
      </c>
      <c r="K240" s="55"/>
      <c r="L240" s="54" t="s">
        <v>1040</v>
      </c>
      <c r="M240" s="54"/>
      <c r="N240" s="54" t="s">
        <v>1270</v>
      </c>
      <c r="O240" s="54" t="s">
        <v>1167</v>
      </c>
      <c r="P240" s="54" t="s">
        <v>823</v>
      </c>
      <c r="Q240" s="54" t="s">
        <v>826</v>
      </c>
      <c r="R240" s="54" t="s">
        <v>1043</v>
      </c>
      <c r="S240" s="56">
        <v>1141.2</v>
      </c>
      <c r="T240" s="56">
        <v>1141.2</v>
      </c>
      <c r="U240" s="56">
        <v>0</v>
      </c>
      <c r="V240" s="56">
        <v>0</v>
      </c>
      <c r="W240" s="56">
        <v>0</v>
      </c>
      <c r="X240" s="56">
        <v>0</v>
      </c>
      <c r="Y240" s="56">
        <v>0</v>
      </c>
      <c r="Z240" s="56">
        <v>180</v>
      </c>
      <c r="AA240" s="56">
        <v>180</v>
      </c>
      <c r="AB240" s="59">
        <v>0</v>
      </c>
      <c r="AC240" s="56">
        <v>0</v>
      </c>
      <c r="AD240" s="56">
        <v>0</v>
      </c>
      <c r="AE240" s="56">
        <v>0</v>
      </c>
      <c r="AF240" s="54" t="s">
        <v>1044</v>
      </c>
      <c r="AG240" s="57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 t="s">
        <v>1045</v>
      </c>
      <c r="AS240" s="54" t="s">
        <v>1046</v>
      </c>
      <c r="AT240" s="54" t="s">
        <v>1047</v>
      </c>
      <c r="AU240" s="54" t="s">
        <v>1048</v>
      </c>
      <c r="AV240" s="54"/>
      <c r="AW240" s="55">
        <v>46202</v>
      </c>
      <c r="AX240" s="55">
        <v>46189</v>
      </c>
      <c r="AY240" s="55">
        <v>46189</v>
      </c>
      <c r="AZ240" s="55"/>
      <c r="BA240" s="55">
        <v>46202</v>
      </c>
      <c r="BB240" s="56">
        <v>0</v>
      </c>
      <c r="BC240" s="56">
        <v>0</v>
      </c>
      <c r="BD240" s="56">
        <v>0</v>
      </c>
      <c r="BE240" s="56">
        <v>0</v>
      </c>
      <c r="BF240" s="56">
        <v>0</v>
      </c>
      <c r="BG240" s="56">
        <v>0</v>
      </c>
      <c r="BH240" s="56">
        <v>0</v>
      </c>
      <c r="BI240" s="56">
        <v>0</v>
      </c>
      <c r="BJ240" s="56">
        <v>0</v>
      </c>
      <c r="BK240" s="56">
        <v>0</v>
      </c>
      <c r="BL240" s="56">
        <v>0</v>
      </c>
      <c r="BM240" s="56">
        <v>0</v>
      </c>
      <c r="BN240" s="56">
        <v>0</v>
      </c>
      <c r="BO240" s="56">
        <v>0</v>
      </c>
      <c r="BP240" s="54" t="s">
        <v>1049</v>
      </c>
      <c r="BQ240" s="54" t="s">
        <v>1050</v>
      </c>
      <c r="BR240" s="54" t="s">
        <v>1049</v>
      </c>
      <c r="BS240" s="54" t="s">
        <v>1050</v>
      </c>
      <c r="BT240" s="54" t="s">
        <v>1051</v>
      </c>
      <c r="BU240" s="54" t="s">
        <v>1043</v>
      </c>
      <c r="BV240" s="58">
        <v>180</v>
      </c>
      <c r="BW240" s="54" t="s">
        <v>1052</v>
      </c>
      <c r="BX240" s="54" t="s">
        <v>1053</v>
      </c>
      <c r="BY240" s="54" t="s">
        <v>1054</v>
      </c>
      <c r="BZ240" s="54" t="s">
        <v>1055</v>
      </c>
      <c r="CA240" s="55"/>
      <c r="CB240" s="54" t="s">
        <v>1056</v>
      </c>
      <c r="CC240" s="54" t="s">
        <v>1057</v>
      </c>
      <c r="CD240" s="54" t="s">
        <v>1058</v>
      </c>
      <c r="CE240" s="54" t="s">
        <v>1059</v>
      </c>
      <c r="CF240" s="54" t="s">
        <v>1060</v>
      </c>
      <c r="CG240" s="54" t="s">
        <v>1061</v>
      </c>
      <c r="CH240" s="54" t="s">
        <v>1062</v>
      </c>
      <c r="CI240" s="54" t="s">
        <v>1063</v>
      </c>
      <c r="CJ240" s="54" t="s">
        <v>1064</v>
      </c>
      <c r="CK240" s="54" t="s">
        <v>1065</v>
      </c>
      <c r="CL240" s="54" t="s">
        <v>1066</v>
      </c>
      <c r="CM240" s="54" t="s">
        <v>1067</v>
      </c>
      <c r="CN240" s="54" t="s">
        <v>1068</v>
      </c>
      <c r="CO240" s="54" t="s">
        <v>1069</v>
      </c>
      <c r="CP240" s="56">
        <v>0</v>
      </c>
      <c r="CQ240" s="56">
        <v>0</v>
      </c>
      <c r="CR240" s="56">
        <v>0</v>
      </c>
      <c r="CS240" s="56">
        <v>0</v>
      </c>
      <c r="CT240" s="56">
        <v>0</v>
      </c>
      <c r="CU240" s="56">
        <v>0</v>
      </c>
      <c r="CV240" s="56">
        <v>0</v>
      </c>
      <c r="CW240" s="56">
        <v>0</v>
      </c>
      <c r="CX240" s="56">
        <v>0</v>
      </c>
      <c r="CY240" s="56">
        <v>0</v>
      </c>
      <c r="CZ240" s="56">
        <v>0</v>
      </c>
      <c r="DA240" s="56">
        <v>0</v>
      </c>
      <c r="DB240" s="56">
        <v>0</v>
      </c>
      <c r="DC240" s="56">
        <v>0</v>
      </c>
      <c r="DD240" s="56">
        <v>0</v>
      </c>
      <c r="DE240" s="56">
        <v>0</v>
      </c>
      <c r="DF240" s="56">
        <v>0</v>
      </c>
      <c r="DG240" s="56">
        <v>0</v>
      </c>
      <c r="DH240" s="56">
        <v>0</v>
      </c>
      <c r="DI240" s="56">
        <v>0</v>
      </c>
      <c r="DJ240" s="56">
        <v>0</v>
      </c>
      <c r="DK240" s="56">
        <v>0</v>
      </c>
      <c r="DL240" s="56">
        <v>0</v>
      </c>
      <c r="DM240" s="56">
        <v>0</v>
      </c>
      <c r="DN240" s="56">
        <v>0</v>
      </c>
      <c r="DO240" s="56">
        <v>0</v>
      </c>
      <c r="DP240" s="56">
        <v>0</v>
      </c>
      <c r="DQ240" s="56">
        <v>0</v>
      </c>
      <c r="DR240" s="56">
        <v>0</v>
      </c>
      <c r="DS240" s="56">
        <v>0</v>
      </c>
      <c r="DT240" s="56">
        <v>0</v>
      </c>
      <c r="DU240" s="56">
        <v>0</v>
      </c>
      <c r="DV240" s="56">
        <v>0</v>
      </c>
      <c r="DW240" s="56">
        <v>0</v>
      </c>
      <c r="DX240" s="56">
        <v>0</v>
      </c>
      <c r="DY240" s="56">
        <v>0</v>
      </c>
      <c r="DZ240" s="56">
        <v>0</v>
      </c>
      <c r="EA240" s="56">
        <v>0</v>
      </c>
      <c r="EB240" s="56">
        <v>0</v>
      </c>
      <c r="EC240" s="56">
        <v>0</v>
      </c>
      <c r="ED240" s="56">
        <v>0</v>
      </c>
      <c r="EE240" s="56">
        <v>0</v>
      </c>
      <c r="EF240" s="56">
        <v>0</v>
      </c>
      <c r="EG240" s="56">
        <v>0</v>
      </c>
      <c r="EH240" s="56">
        <v>136.94</v>
      </c>
      <c r="EI240" s="56">
        <v>0</v>
      </c>
      <c r="EJ240" s="56">
        <v>0</v>
      </c>
      <c r="EK240" s="56">
        <v>0</v>
      </c>
      <c r="EL240" s="56">
        <v>0</v>
      </c>
      <c r="EM240" s="56">
        <v>0</v>
      </c>
      <c r="EN240" s="56">
        <v>0</v>
      </c>
      <c r="EO240" s="56">
        <v>0</v>
      </c>
      <c r="EP240" s="56">
        <v>0</v>
      </c>
      <c r="EQ240" s="56">
        <v>0</v>
      </c>
      <c r="ER240" s="56">
        <v>0</v>
      </c>
      <c r="ES240" s="56">
        <v>0</v>
      </c>
      <c r="ET240" s="56">
        <v>0</v>
      </c>
      <c r="EU240" s="56">
        <v>0</v>
      </c>
      <c r="EV240" s="56">
        <v>0</v>
      </c>
      <c r="EW240" s="56">
        <v>0</v>
      </c>
      <c r="EX240" s="56">
        <v>0</v>
      </c>
      <c r="EY240" s="56">
        <v>0</v>
      </c>
      <c r="EZ240" s="56">
        <v>0</v>
      </c>
      <c r="FA240" s="56">
        <v>0</v>
      </c>
      <c r="FB240" s="56">
        <v>0</v>
      </c>
      <c r="FC240" s="58">
        <v>0</v>
      </c>
      <c r="FD240" s="56">
        <v>0</v>
      </c>
      <c r="FE240" s="56">
        <v>0</v>
      </c>
      <c r="FF240" s="56">
        <v>0</v>
      </c>
      <c r="FG240" s="56">
        <v>0</v>
      </c>
      <c r="FH240" s="56">
        <v>0</v>
      </c>
      <c r="FI240" s="56">
        <v>0</v>
      </c>
      <c r="FJ240" s="56">
        <v>0</v>
      </c>
      <c r="FK240" s="56">
        <v>0</v>
      </c>
      <c r="FL240" s="56">
        <v>0</v>
      </c>
      <c r="FM240" s="56">
        <v>0</v>
      </c>
      <c r="FN240" s="56">
        <v>0</v>
      </c>
      <c r="FO240" s="56">
        <v>0</v>
      </c>
      <c r="FP240" s="56">
        <v>0</v>
      </c>
      <c r="FQ240" s="56">
        <v>0</v>
      </c>
      <c r="FR240" s="56">
        <v>0</v>
      </c>
      <c r="FS240" s="58">
        <v>0</v>
      </c>
      <c r="FT240" s="56">
        <v>0</v>
      </c>
      <c r="FU240" s="56">
        <v>0</v>
      </c>
      <c r="FV240" s="56">
        <v>0</v>
      </c>
      <c r="FW240" s="56">
        <v>0</v>
      </c>
      <c r="FX240" s="56">
        <v>0</v>
      </c>
      <c r="FY240" s="56">
        <v>0</v>
      </c>
      <c r="FZ240" s="54" t="s">
        <v>1083</v>
      </c>
      <c r="GA240" s="54" t="s">
        <v>1084</v>
      </c>
      <c r="GB240" s="54" t="s">
        <v>1072</v>
      </c>
      <c r="GC240" s="54" t="s">
        <v>1073</v>
      </c>
      <c r="GD240" s="54"/>
      <c r="GE240" s="54"/>
      <c r="GF240" s="54"/>
      <c r="GG240" s="55"/>
      <c r="GH240" s="54"/>
      <c r="GI240" s="54"/>
      <c r="GJ240" s="54" t="s">
        <v>1076</v>
      </c>
      <c r="GK240" s="54" t="s">
        <v>1077</v>
      </c>
      <c r="GL240" s="54"/>
      <c r="GM240" s="54"/>
      <c r="GN240" s="54" t="s">
        <v>1078</v>
      </c>
      <c r="GO240" s="54" t="s">
        <v>1059</v>
      </c>
      <c r="GP240" s="54"/>
      <c r="GQ240" s="56">
        <v>0</v>
      </c>
      <c r="GR240" s="54" t="s">
        <v>1079</v>
      </c>
      <c r="GS240" s="54"/>
    </row>
    <row r="241" spans="1:201" x14ac:dyDescent="0.25">
      <c r="A241" s="54" t="s">
        <v>1032</v>
      </c>
      <c r="B241" s="54" t="s">
        <v>1033</v>
      </c>
      <c r="C241" s="54" t="s">
        <v>1269</v>
      </c>
      <c r="D241" s="54" t="s">
        <v>1035</v>
      </c>
      <c r="E241" s="54" t="s">
        <v>1036</v>
      </c>
      <c r="F241" s="55">
        <v>46189</v>
      </c>
      <c r="G241" s="55">
        <v>46189</v>
      </c>
      <c r="H241" s="54" t="s">
        <v>1037</v>
      </c>
      <c r="I241" s="54" t="s">
        <v>1038</v>
      </c>
      <c r="J241" s="54" t="s">
        <v>1039</v>
      </c>
      <c r="K241" s="55"/>
      <c r="L241" s="54" t="s">
        <v>1040</v>
      </c>
      <c r="M241" s="54"/>
      <c r="N241" s="54" t="s">
        <v>1270</v>
      </c>
      <c r="O241" s="54" t="s">
        <v>1168</v>
      </c>
      <c r="P241" s="54" t="s">
        <v>797</v>
      </c>
      <c r="Q241" s="54" t="s">
        <v>801</v>
      </c>
      <c r="R241" s="54" t="s">
        <v>1043</v>
      </c>
      <c r="S241" s="56">
        <v>3024</v>
      </c>
      <c r="T241" s="56">
        <v>3024</v>
      </c>
      <c r="U241" s="56">
        <v>0</v>
      </c>
      <c r="V241" s="56">
        <v>0</v>
      </c>
      <c r="W241" s="56">
        <v>0</v>
      </c>
      <c r="X241" s="56">
        <v>0</v>
      </c>
      <c r="Y241" s="56">
        <v>0</v>
      </c>
      <c r="Z241" s="56">
        <v>480</v>
      </c>
      <c r="AA241" s="56">
        <v>480</v>
      </c>
      <c r="AB241" s="59">
        <v>0</v>
      </c>
      <c r="AC241" s="56">
        <v>0</v>
      </c>
      <c r="AD241" s="56">
        <v>0</v>
      </c>
      <c r="AE241" s="56">
        <v>0</v>
      </c>
      <c r="AF241" s="54" t="s">
        <v>1044</v>
      </c>
      <c r="AG241" s="57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 t="s">
        <v>1045</v>
      </c>
      <c r="AS241" s="54" t="s">
        <v>1046</v>
      </c>
      <c r="AT241" s="54" t="s">
        <v>1047</v>
      </c>
      <c r="AU241" s="54" t="s">
        <v>1048</v>
      </c>
      <c r="AV241" s="54"/>
      <c r="AW241" s="55">
        <v>46202</v>
      </c>
      <c r="AX241" s="55">
        <v>46189</v>
      </c>
      <c r="AY241" s="55">
        <v>46189</v>
      </c>
      <c r="AZ241" s="55"/>
      <c r="BA241" s="55">
        <v>46202</v>
      </c>
      <c r="BB241" s="56">
        <v>0</v>
      </c>
      <c r="BC241" s="56">
        <v>0</v>
      </c>
      <c r="BD241" s="56">
        <v>0</v>
      </c>
      <c r="BE241" s="56">
        <v>0</v>
      </c>
      <c r="BF241" s="56">
        <v>0</v>
      </c>
      <c r="BG241" s="56">
        <v>0</v>
      </c>
      <c r="BH241" s="56">
        <v>0</v>
      </c>
      <c r="BI241" s="56">
        <v>0</v>
      </c>
      <c r="BJ241" s="56">
        <v>0</v>
      </c>
      <c r="BK241" s="56">
        <v>0</v>
      </c>
      <c r="BL241" s="56">
        <v>0</v>
      </c>
      <c r="BM241" s="56">
        <v>0</v>
      </c>
      <c r="BN241" s="56">
        <v>0</v>
      </c>
      <c r="BO241" s="56">
        <v>0</v>
      </c>
      <c r="BP241" s="54" t="s">
        <v>1049</v>
      </c>
      <c r="BQ241" s="54" t="s">
        <v>1050</v>
      </c>
      <c r="BR241" s="54" t="s">
        <v>1049</v>
      </c>
      <c r="BS241" s="54" t="s">
        <v>1050</v>
      </c>
      <c r="BT241" s="54" t="s">
        <v>1051</v>
      </c>
      <c r="BU241" s="54" t="s">
        <v>1043</v>
      </c>
      <c r="BV241" s="58">
        <v>480</v>
      </c>
      <c r="BW241" s="54" t="s">
        <v>1052</v>
      </c>
      <c r="BX241" s="54" t="s">
        <v>1053</v>
      </c>
      <c r="BY241" s="54" t="s">
        <v>1054</v>
      </c>
      <c r="BZ241" s="54" t="s">
        <v>1055</v>
      </c>
      <c r="CA241" s="55"/>
      <c r="CB241" s="54" t="s">
        <v>1056</v>
      </c>
      <c r="CC241" s="54" t="s">
        <v>1057</v>
      </c>
      <c r="CD241" s="54" t="s">
        <v>1058</v>
      </c>
      <c r="CE241" s="54" t="s">
        <v>1059</v>
      </c>
      <c r="CF241" s="54" t="s">
        <v>1060</v>
      </c>
      <c r="CG241" s="54" t="s">
        <v>1061</v>
      </c>
      <c r="CH241" s="54" t="s">
        <v>1062</v>
      </c>
      <c r="CI241" s="54" t="s">
        <v>1063</v>
      </c>
      <c r="CJ241" s="54" t="s">
        <v>1064</v>
      </c>
      <c r="CK241" s="54" t="s">
        <v>1065</v>
      </c>
      <c r="CL241" s="54" t="s">
        <v>1066</v>
      </c>
      <c r="CM241" s="54" t="s">
        <v>1067</v>
      </c>
      <c r="CN241" s="54" t="s">
        <v>1068</v>
      </c>
      <c r="CO241" s="54" t="s">
        <v>1069</v>
      </c>
      <c r="CP241" s="56">
        <v>0</v>
      </c>
      <c r="CQ241" s="56">
        <v>0</v>
      </c>
      <c r="CR241" s="56">
        <v>0</v>
      </c>
      <c r="CS241" s="56">
        <v>0</v>
      </c>
      <c r="CT241" s="56">
        <v>0</v>
      </c>
      <c r="CU241" s="56">
        <v>0</v>
      </c>
      <c r="CV241" s="56">
        <v>0</v>
      </c>
      <c r="CW241" s="56">
        <v>0</v>
      </c>
      <c r="CX241" s="56">
        <v>0</v>
      </c>
      <c r="CY241" s="56">
        <v>0</v>
      </c>
      <c r="CZ241" s="56">
        <v>0</v>
      </c>
      <c r="DA241" s="56">
        <v>0</v>
      </c>
      <c r="DB241" s="56">
        <v>0</v>
      </c>
      <c r="DC241" s="56">
        <v>0</v>
      </c>
      <c r="DD241" s="56">
        <v>0</v>
      </c>
      <c r="DE241" s="56">
        <v>0</v>
      </c>
      <c r="DF241" s="56">
        <v>0</v>
      </c>
      <c r="DG241" s="56">
        <v>0</v>
      </c>
      <c r="DH241" s="56">
        <v>0</v>
      </c>
      <c r="DI241" s="56">
        <v>0</v>
      </c>
      <c r="DJ241" s="56">
        <v>0</v>
      </c>
      <c r="DK241" s="56">
        <v>0</v>
      </c>
      <c r="DL241" s="56">
        <v>0</v>
      </c>
      <c r="DM241" s="56">
        <v>0</v>
      </c>
      <c r="DN241" s="56">
        <v>0</v>
      </c>
      <c r="DO241" s="56">
        <v>0</v>
      </c>
      <c r="DP241" s="56">
        <v>0</v>
      </c>
      <c r="DQ241" s="56">
        <v>0</v>
      </c>
      <c r="DR241" s="56">
        <v>0</v>
      </c>
      <c r="DS241" s="56">
        <v>0</v>
      </c>
      <c r="DT241" s="56">
        <v>0</v>
      </c>
      <c r="DU241" s="56">
        <v>0</v>
      </c>
      <c r="DV241" s="56">
        <v>0</v>
      </c>
      <c r="DW241" s="56">
        <v>0</v>
      </c>
      <c r="DX241" s="56">
        <v>0</v>
      </c>
      <c r="DY241" s="56">
        <v>0</v>
      </c>
      <c r="DZ241" s="56">
        <v>0</v>
      </c>
      <c r="EA241" s="56">
        <v>0</v>
      </c>
      <c r="EB241" s="56">
        <v>0</v>
      </c>
      <c r="EC241" s="56">
        <v>0</v>
      </c>
      <c r="ED241" s="56">
        <v>0</v>
      </c>
      <c r="EE241" s="56">
        <v>0</v>
      </c>
      <c r="EF241" s="56">
        <v>0</v>
      </c>
      <c r="EG241" s="56">
        <v>0</v>
      </c>
      <c r="EH241" s="56">
        <v>362.88</v>
      </c>
      <c r="EI241" s="56">
        <v>0</v>
      </c>
      <c r="EJ241" s="56">
        <v>0</v>
      </c>
      <c r="EK241" s="56">
        <v>0</v>
      </c>
      <c r="EL241" s="56">
        <v>0</v>
      </c>
      <c r="EM241" s="56">
        <v>0</v>
      </c>
      <c r="EN241" s="56">
        <v>0</v>
      </c>
      <c r="EO241" s="56">
        <v>0</v>
      </c>
      <c r="EP241" s="56">
        <v>0</v>
      </c>
      <c r="EQ241" s="56">
        <v>0</v>
      </c>
      <c r="ER241" s="56">
        <v>0</v>
      </c>
      <c r="ES241" s="56">
        <v>0</v>
      </c>
      <c r="ET241" s="56">
        <v>0</v>
      </c>
      <c r="EU241" s="56">
        <v>0</v>
      </c>
      <c r="EV241" s="56">
        <v>0</v>
      </c>
      <c r="EW241" s="56">
        <v>0</v>
      </c>
      <c r="EX241" s="56">
        <v>0</v>
      </c>
      <c r="EY241" s="56">
        <v>0</v>
      </c>
      <c r="EZ241" s="56">
        <v>0</v>
      </c>
      <c r="FA241" s="56">
        <v>0</v>
      </c>
      <c r="FB241" s="56">
        <v>0</v>
      </c>
      <c r="FC241" s="58">
        <v>0</v>
      </c>
      <c r="FD241" s="56">
        <v>0</v>
      </c>
      <c r="FE241" s="56">
        <v>0</v>
      </c>
      <c r="FF241" s="56">
        <v>0</v>
      </c>
      <c r="FG241" s="56">
        <v>0</v>
      </c>
      <c r="FH241" s="56">
        <v>0</v>
      </c>
      <c r="FI241" s="56">
        <v>0</v>
      </c>
      <c r="FJ241" s="56">
        <v>0</v>
      </c>
      <c r="FK241" s="56">
        <v>0</v>
      </c>
      <c r="FL241" s="56">
        <v>0</v>
      </c>
      <c r="FM241" s="56">
        <v>0</v>
      </c>
      <c r="FN241" s="56">
        <v>0</v>
      </c>
      <c r="FO241" s="56">
        <v>0</v>
      </c>
      <c r="FP241" s="56">
        <v>0</v>
      </c>
      <c r="FQ241" s="56">
        <v>0</v>
      </c>
      <c r="FR241" s="56">
        <v>0</v>
      </c>
      <c r="FS241" s="58">
        <v>0</v>
      </c>
      <c r="FT241" s="56">
        <v>0</v>
      </c>
      <c r="FU241" s="56">
        <v>0</v>
      </c>
      <c r="FV241" s="56">
        <v>0</v>
      </c>
      <c r="FW241" s="56">
        <v>0</v>
      </c>
      <c r="FX241" s="56">
        <v>0</v>
      </c>
      <c r="FY241" s="56">
        <v>0</v>
      </c>
      <c r="FZ241" s="54" t="s">
        <v>1083</v>
      </c>
      <c r="GA241" s="54" t="s">
        <v>1084</v>
      </c>
      <c r="GB241" s="54" t="s">
        <v>1072</v>
      </c>
      <c r="GC241" s="54" t="s">
        <v>1073</v>
      </c>
      <c r="GD241" s="54"/>
      <c r="GE241" s="54"/>
      <c r="GF241" s="54"/>
      <c r="GG241" s="55"/>
      <c r="GH241" s="54"/>
      <c r="GI241" s="54"/>
      <c r="GJ241" s="54" t="s">
        <v>1076</v>
      </c>
      <c r="GK241" s="54" t="s">
        <v>1077</v>
      </c>
      <c r="GL241" s="54"/>
      <c r="GM241" s="54"/>
      <c r="GN241" s="54" t="s">
        <v>1078</v>
      </c>
      <c r="GO241" s="54" t="s">
        <v>1059</v>
      </c>
      <c r="GP241" s="54"/>
      <c r="GQ241" s="56">
        <v>0</v>
      </c>
      <c r="GR241" s="54" t="s">
        <v>1079</v>
      </c>
      <c r="GS241" s="54"/>
    </row>
    <row r="242" spans="1:201" x14ac:dyDescent="0.25">
      <c r="A242" s="54" t="s">
        <v>1032</v>
      </c>
      <c r="B242" s="54" t="s">
        <v>1033</v>
      </c>
      <c r="C242" s="54" t="s">
        <v>1281</v>
      </c>
      <c r="D242" s="54" t="s">
        <v>1035</v>
      </c>
      <c r="E242" s="54" t="s">
        <v>1036</v>
      </c>
      <c r="F242" s="55">
        <v>46189</v>
      </c>
      <c r="G242" s="55">
        <v>46189</v>
      </c>
      <c r="H242" s="54" t="s">
        <v>1037</v>
      </c>
      <c r="I242" s="54" t="s">
        <v>1038</v>
      </c>
      <c r="J242" s="54" t="s">
        <v>1039</v>
      </c>
      <c r="K242" s="55"/>
      <c r="L242" s="54" t="s">
        <v>1040</v>
      </c>
      <c r="M242" s="54"/>
      <c r="N242" s="54" t="s">
        <v>1282</v>
      </c>
      <c r="O242" s="54" t="s">
        <v>1042</v>
      </c>
      <c r="P242" s="54" t="s">
        <v>802</v>
      </c>
      <c r="Q242" s="54" t="s">
        <v>804</v>
      </c>
      <c r="R242" s="54" t="s">
        <v>1043</v>
      </c>
      <c r="S242" s="56">
        <v>2378.4</v>
      </c>
      <c r="T242" s="56">
        <v>2378.4</v>
      </c>
      <c r="U242" s="56">
        <v>0</v>
      </c>
      <c r="V242" s="56">
        <v>0</v>
      </c>
      <c r="W242" s="56">
        <v>0</v>
      </c>
      <c r="X242" s="56">
        <v>0</v>
      </c>
      <c r="Y242" s="56">
        <v>0</v>
      </c>
      <c r="Z242" s="56">
        <v>240</v>
      </c>
      <c r="AA242" s="56">
        <v>240</v>
      </c>
      <c r="AB242" s="59">
        <v>0</v>
      </c>
      <c r="AC242" s="56">
        <v>0</v>
      </c>
      <c r="AD242" s="56">
        <v>0</v>
      </c>
      <c r="AE242" s="56">
        <v>0</v>
      </c>
      <c r="AF242" s="54" t="s">
        <v>1044</v>
      </c>
      <c r="AG242" s="57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 t="s">
        <v>1045</v>
      </c>
      <c r="AS242" s="54" t="s">
        <v>1103</v>
      </c>
      <c r="AT242" s="54" t="s">
        <v>1104</v>
      </c>
      <c r="AU242" s="54" t="s">
        <v>1048</v>
      </c>
      <c r="AV242" s="54"/>
      <c r="AW242" s="55">
        <v>46202</v>
      </c>
      <c r="AX242" s="55">
        <v>46189</v>
      </c>
      <c r="AY242" s="55">
        <v>46189</v>
      </c>
      <c r="AZ242" s="55">
        <v>46191</v>
      </c>
      <c r="BA242" s="55">
        <v>46202</v>
      </c>
      <c r="BB242" s="56">
        <v>0</v>
      </c>
      <c r="BC242" s="56">
        <v>0</v>
      </c>
      <c r="BD242" s="56">
        <v>0</v>
      </c>
      <c r="BE242" s="56">
        <v>0</v>
      </c>
      <c r="BF242" s="56">
        <v>0</v>
      </c>
      <c r="BG242" s="56">
        <v>0</v>
      </c>
      <c r="BH242" s="56">
        <v>0</v>
      </c>
      <c r="BI242" s="56">
        <v>0</v>
      </c>
      <c r="BJ242" s="56">
        <v>0</v>
      </c>
      <c r="BK242" s="56">
        <v>0</v>
      </c>
      <c r="BL242" s="56">
        <v>0</v>
      </c>
      <c r="BM242" s="56">
        <v>0</v>
      </c>
      <c r="BN242" s="56">
        <v>0</v>
      </c>
      <c r="BO242" s="56">
        <v>0</v>
      </c>
      <c r="BP242" s="54" t="s">
        <v>1049</v>
      </c>
      <c r="BQ242" s="54" t="s">
        <v>1050</v>
      </c>
      <c r="BR242" s="54" t="s">
        <v>1049</v>
      </c>
      <c r="BS242" s="54" t="s">
        <v>1050</v>
      </c>
      <c r="BT242" s="54" t="s">
        <v>1051</v>
      </c>
      <c r="BU242" s="54" t="s">
        <v>1043</v>
      </c>
      <c r="BV242" s="58">
        <v>240</v>
      </c>
      <c r="BW242" s="54" t="s">
        <v>1052</v>
      </c>
      <c r="BX242" s="54" t="s">
        <v>1053</v>
      </c>
      <c r="BY242" s="54" t="s">
        <v>1054</v>
      </c>
      <c r="BZ242" s="54" t="s">
        <v>1055</v>
      </c>
      <c r="CA242" s="55"/>
      <c r="CB242" s="54" t="s">
        <v>1056</v>
      </c>
      <c r="CC242" s="54" t="s">
        <v>1057</v>
      </c>
      <c r="CD242" s="54" t="s">
        <v>1200</v>
      </c>
      <c r="CE242" s="54" t="s">
        <v>1201</v>
      </c>
      <c r="CF242" s="54" t="s">
        <v>1202</v>
      </c>
      <c r="CG242" s="54" t="s">
        <v>1203</v>
      </c>
      <c r="CH242" s="54" t="s">
        <v>1204</v>
      </c>
      <c r="CI242" s="54" t="s">
        <v>1203</v>
      </c>
      <c r="CJ242" s="54" t="s">
        <v>1064</v>
      </c>
      <c r="CK242" s="54" t="s">
        <v>1065</v>
      </c>
      <c r="CL242" s="54" t="s">
        <v>1205</v>
      </c>
      <c r="CM242" s="54" t="s">
        <v>1206</v>
      </c>
      <c r="CN242" s="54" t="s">
        <v>1068</v>
      </c>
      <c r="CO242" s="54" t="s">
        <v>1069</v>
      </c>
      <c r="CP242" s="56">
        <v>0</v>
      </c>
      <c r="CQ242" s="56">
        <v>0</v>
      </c>
      <c r="CR242" s="56">
        <v>0</v>
      </c>
      <c r="CS242" s="56">
        <v>0</v>
      </c>
      <c r="CT242" s="56">
        <v>0</v>
      </c>
      <c r="CU242" s="56">
        <v>0</v>
      </c>
      <c r="CV242" s="56">
        <v>0</v>
      </c>
      <c r="CW242" s="56">
        <v>0</v>
      </c>
      <c r="CX242" s="56">
        <v>0</v>
      </c>
      <c r="CY242" s="56">
        <v>0</v>
      </c>
      <c r="CZ242" s="56">
        <v>0</v>
      </c>
      <c r="DA242" s="56">
        <v>0</v>
      </c>
      <c r="DB242" s="56">
        <v>0</v>
      </c>
      <c r="DC242" s="56">
        <v>0</v>
      </c>
      <c r="DD242" s="56">
        <v>0</v>
      </c>
      <c r="DE242" s="56">
        <v>0</v>
      </c>
      <c r="DF242" s="56">
        <v>0</v>
      </c>
      <c r="DG242" s="56">
        <v>0</v>
      </c>
      <c r="DH242" s="56">
        <v>0</v>
      </c>
      <c r="DI242" s="56">
        <v>0</v>
      </c>
      <c r="DJ242" s="56">
        <v>0</v>
      </c>
      <c r="DK242" s="56">
        <v>0</v>
      </c>
      <c r="DL242" s="56">
        <v>0</v>
      </c>
      <c r="DM242" s="56">
        <v>0</v>
      </c>
      <c r="DN242" s="56">
        <v>0</v>
      </c>
      <c r="DO242" s="56">
        <v>0</v>
      </c>
      <c r="DP242" s="56">
        <v>0</v>
      </c>
      <c r="DQ242" s="56">
        <v>0</v>
      </c>
      <c r="DR242" s="56">
        <v>0</v>
      </c>
      <c r="DS242" s="56">
        <v>0</v>
      </c>
      <c r="DT242" s="56">
        <v>0</v>
      </c>
      <c r="DU242" s="56">
        <v>0</v>
      </c>
      <c r="DV242" s="56">
        <v>0</v>
      </c>
      <c r="DW242" s="56">
        <v>0</v>
      </c>
      <c r="DX242" s="56">
        <v>0</v>
      </c>
      <c r="DY242" s="56">
        <v>0</v>
      </c>
      <c r="DZ242" s="56">
        <v>0</v>
      </c>
      <c r="EA242" s="56">
        <v>0</v>
      </c>
      <c r="EB242" s="56">
        <v>0</v>
      </c>
      <c r="EC242" s="56">
        <v>0</v>
      </c>
      <c r="ED242" s="56">
        <v>0</v>
      </c>
      <c r="EE242" s="56">
        <v>0</v>
      </c>
      <c r="EF242" s="56">
        <v>180.76</v>
      </c>
      <c r="EG242" s="56">
        <v>39.24</v>
      </c>
      <c r="EH242" s="56">
        <v>285.41000000000003</v>
      </c>
      <c r="EI242" s="56">
        <v>0</v>
      </c>
      <c r="EJ242" s="56">
        <v>0</v>
      </c>
      <c r="EK242" s="56">
        <v>0</v>
      </c>
      <c r="EL242" s="56">
        <v>0</v>
      </c>
      <c r="EM242" s="56">
        <v>0</v>
      </c>
      <c r="EN242" s="56">
        <v>0</v>
      </c>
      <c r="EO242" s="56">
        <v>0</v>
      </c>
      <c r="EP242" s="56">
        <v>0</v>
      </c>
      <c r="EQ242" s="56">
        <v>0</v>
      </c>
      <c r="ER242" s="56">
        <v>0</v>
      </c>
      <c r="ES242" s="56">
        <v>0</v>
      </c>
      <c r="ET242" s="56">
        <v>0</v>
      </c>
      <c r="EU242" s="56">
        <v>0</v>
      </c>
      <c r="EV242" s="56">
        <v>0</v>
      </c>
      <c r="EW242" s="56">
        <v>0</v>
      </c>
      <c r="EX242" s="56">
        <v>0</v>
      </c>
      <c r="EY242" s="56">
        <v>0</v>
      </c>
      <c r="EZ242" s="56">
        <v>0</v>
      </c>
      <c r="FA242" s="56">
        <v>0</v>
      </c>
      <c r="FB242" s="56">
        <v>0</v>
      </c>
      <c r="FC242" s="58">
        <v>0</v>
      </c>
      <c r="FD242" s="56">
        <v>0</v>
      </c>
      <c r="FE242" s="56">
        <v>0</v>
      </c>
      <c r="FF242" s="56">
        <v>0</v>
      </c>
      <c r="FG242" s="56">
        <v>0</v>
      </c>
      <c r="FH242" s="56">
        <v>0</v>
      </c>
      <c r="FI242" s="56">
        <v>0</v>
      </c>
      <c r="FJ242" s="56">
        <v>0</v>
      </c>
      <c r="FK242" s="56">
        <v>0</v>
      </c>
      <c r="FL242" s="56">
        <v>0</v>
      </c>
      <c r="FM242" s="56">
        <v>0</v>
      </c>
      <c r="FN242" s="56">
        <v>0</v>
      </c>
      <c r="FO242" s="56">
        <v>0</v>
      </c>
      <c r="FP242" s="56">
        <v>0</v>
      </c>
      <c r="FQ242" s="56">
        <v>0</v>
      </c>
      <c r="FR242" s="56">
        <v>0</v>
      </c>
      <c r="FS242" s="58">
        <v>0</v>
      </c>
      <c r="FT242" s="56">
        <v>0</v>
      </c>
      <c r="FU242" s="56">
        <v>0</v>
      </c>
      <c r="FV242" s="56">
        <v>0</v>
      </c>
      <c r="FW242" s="56">
        <v>0</v>
      </c>
      <c r="FX242" s="56">
        <v>0</v>
      </c>
      <c r="FY242" s="56">
        <v>0</v>
      </c>
      <c r="FZ242" s="54" t="s">
        <v>1105</v>
      </c>
      <c r="GA242" s="54" t="s">
        <v>1106</v>
      </c>
      <c r="GB242" s="54" t="s">
        <v>1072</v>
      </c>
      <c r="GC242" s="54" t="s">
        <v>1073</v>
      </c>
      <c r="GD242" s="54"/>
      <c r="GE242" s="54"/>
      <c r="GF242" s="54"/>
      <c r="GG242" s="55"/>
      <c r="GH242" s="54"/>
      <c r="GI242" s="54"/>
      <c r="GJ242" s="54" t="s">
        <v>1076</v>
      </c>
      <c r="GK242" s="54" t="s">
        <v>1077</v>
      </c>
      <c r="GL242" s="54"/>
      <c r="GM242" s="54"/>
      <c r="GN242" s="54" t="s">
        <v>1208</v>
      </c>
      <c r="GO242" s="54" t="s">
        <v>1209</v>
      </c>
      <c r="GP242" s="54"/>
      <c r="GQ242" s="56">
        <v>0</v>
      </c>
      <c r="GR242" s="54" t="s">
        <v>1079</v>
      </c>
      <c r="GS242" s="54"/>
    </row>
    <row r="243" spans="1:201" x14ac:dyDescent="0.25">
      <c r="A243" s="54" t="s">
        <v>1032</v>
      </c>
      <c r="B243" s="54" t="s">
        <v>1033</v>
      </c>
      <c r="C243" s="54" t="s">
        <v>1281</v>
      </c>
      <c r="D243" s="54" t="s">
        <v>1035</v>
      </c>
      <c r="E243" s="54" t="s">
        <v>1036</v>
      </c>
      <c r="F243" s="55">
        <v>46189</v>
      </c>
      <c r="G243" s="55">
        <v>46189</v>
      </c>
      <c r="H243" s="54" t="s">
        <v>1037</v>
      </c>
      <c r="I243" s="54" t="s">
        <v>1038</v>
      </c>
      <c r="J243" s="54" t="s">
        <v>1039</v>
      </c>
      <c r="K243" s="55"/>
      <c r="L243" s="54" t="s">
        <v>1040</v>
      </c>
      <c r="M243" s="54"/>
      <c r="N243" s="54" t="s">
        <v>1282</v>
      </c>
      <c r="O243" s="54" t="s">
        <v>1080</v>
      </c>
      <c r="P243" s="54" t="s">
        <v>341</v>
      </c>
      <c r="Q243" s="54" t="s">
        <v>68</v>
      </c>
      <c r="R243" s="54" t="s">
        <v>1043</v>
      </c>
      <c r="S243" s="56">
        <v>1245.5999999999999</v>
      </c>
      <c r="T243" s="56">
        <v>1245.5999999999999</v>
      </c>
      <c r="U243" s="56">
        <v>0</v>
      </c>
      <c r="V243" s="56">
        <v>0</v>
      </c>
      <c r="W243" s="56">
        <v>0</v>
      </c>
      <c r="X243" s="56">
        <v>0</v>
      </c>
      <c r="Y243" s="56">
        <v>0</v>
      </c>
      <c r="Z243" s="56">
        <v>180</v>
      </c>
      <c r="AA243" s="56">
        <v>180</v>
      </c>
      <c r="AB243" s="59">
        <v>0</v>
      </c>
      <c r="AC243" s="56">
        <v>0</v>
      </c>
      <c r="AD243" s="56">
        <v>0</v>
      </c>
      <c r="AE243" s="56">
        <v>0</v>
      </c>
      <c r="AF243" s="54" t="s">
        <v>1044</v>
      </c>
      <c r="AG243" s="57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 t="s">
        <v>1045</v>
      </c>
      <c r="AS243" s="54" t="s">
        <v>1046</v>
      </c>
      <c r="AT243" s="54" t="s">
        <v>1047</v>
      </c>
      <c r="AU243" s="54" t="s">
        <v>1048</v>
      </c>
      <c r="AV243" s="54"/>
      <c r="AW243" s="55">
        <v>46202</v>
      </c>
      <c r="AX243" s="55">
        <v>46189</v>
      </c>
      <c r="AY243" s="55">
        <v>46189</v>
      </c>
      <c r="AZ243" s="55">
        <v>46191</v>
      </c>
      <c r="BA243" s="55">
        <v>46202</v>
      </c>
      <c r="BB243" s="56">
        <v>0</v>
      </c>
      <c r="BC243" s="56">
        <v>0</v>
      </c>
      <c r="BD243" s="56">
        <v>0</v>
      </c>
      <c r="BE243" s="56">
        <v>0</v>
      </c>
      <c r="BF243" s="56">
        <v>0</v>
      </c>
      <c r="BG243" s="56">
        <v>0</v>
      </c>
      <c r="BH243" s="56">
        <v>0</v>
      </c>
      <c r="BI243" s="56">
        <v>0</v>
      </c>
      <c r="BJ243" s="56">
        <v>0</v>
      </c>
      <c r="BK243" s="56">
        <v>0</v>
      </c>
      <c r="BL243" s="56">
        <v>0</v>
      </c>
      <c r="BM243" s="56">
        <v>0</v>
      </c>
      <c r="BN243" s="56">
        <v>0</v>
      </c>
      <c r="BO243" s="56">
        <v>0</v>
      </c>
      <c r="BP243" s="54" t="s">
        <v>1049</v>
      </c>
      <c r="BQ243" s="54" t="s">
        <v>1050</v>
      </c>
      <c r="BR243" s="54" t="s">
        <v>1049</v>
      </c>
      <c r="BS243" s="54" t="s">
        <v>1050</v>
      </c>
      <c r="BT243" s="54" t="s">
        <v>1051</v>
      </c>
      <c r="BU243" s="54" t="s">
        <v>1043</v>
      </c>
      <c r="BV243" s="58">
        <v>180</v>
      </c>
      <c r="BW243" s="54" t="s">
        <v>1052</v>
      </c>
      <c r="BX243" s="54" t="s">
        <v>1053</v>
      </c>
      <c r="BY243" s="54" t="s">
        <v>1054</v>
      </c>
      <c r="BZ243" s="54" t="s">
        <v>1055</v>
      </c>
      <c r="CA243" s="55"/>
      <c r="CB243" s="54" t="s">
        <v>1056</v>
      </c>
      <c r="CC243" s="54" t="s">
        <v>1057</v>
      </c>
      <c r="CD243" s="54" t="s">
        <v>1200</v>
      </c>
      <c r="CE243" s="54" t="s">
        <v>1201</v>
      </c>
      <c r="CF243" s="54" t="s">
        <v>1202</v>
      </c>
      <c r="CG243" s="54" t="s">
        <v>1203</v>
      </c>
      <c r="CH243" s="54" t="s">
        <v>1204</v>
      </c>
      <c r="CI243" s="54" t="s">
        <v>1203</v>
      </c>
      <c r="CJ243" s="54" t="s">
        <v>1064</v>
      </c>
      <c r="CK243" s="54" t="s">
        <v>1065</v>
      </c>
      <c r="CL243" s="54" t="s">
        <v>1205</v>
      </c>
      <c r="CM243" s="54" t="s">
        <v>1206</v>
      </c>
      <c r="CN243" s="54" t="s">
        <v>1068</v>
      </c>
      <c r="CO243" s="54" t="s">
        <v>1069</v>
      </c>
      <c r="CP243" s="56">
        <v>0</v>
      </c>
      <c r="CQ243" s="56">
        <v>0</v>
      </c>
      <c r="CR243" s="56">
        <v>0</v>
      </c>
      <c r="CS243" s="56">
        <v>0</v>
      </c>
      <c r="CT243" s="56">
        <v>0</v>
      </c>
      <c r="CU243" s="56">
        <v>0</v>
      </c>
      <c r="CV243" s="56">
        <v>0</v>
      </c>
      <c r="CW243" s="56">
        <v>0</v>
      </c>
      <c r="CX243" s="56">
        <v>0</v>
      </c>
      <c r="CY243" s="56">
        <v>0</v>
      </c>
      <c r="CZ243" s="56">
        <v>0</v>
      </c>
      <c r="DA243" s="56">
        <v>0</v>
      </c>
      <c r="DB243" s="56">
        <v>0</v>
      </c>
      <c r="DC243" s="56">
        <v>0</v>
      </c>
      <c r="DD243" s="56">
        <v>0</v>
      </c>
      <c r="DE243" s="56">
        <v>0</v>
      </c>
      <c r="DF243" s="56">
        <v>0</v>
      </c>
      <c r="DG243" s="56">
        <v>0</v>
      </c>
      <c r="DH243" s="56">
        <v>0</v>
      </c>
      <c r="DI243" s="56">
        <v>0</v>
      </c>
      <c r="DJ243" s="56">
        <v>0</v>
      </c>
      <c r="DK243" s="56">
        <v>0</v>
      </c>
      <c r="DL243" s="56">
        <v>0</v>
      </c>
      <c r="DM243" s="56">
        <v>0</v>
      </c>
      <c r="DN243" s="56">
        <v>0</v>
      </c>
      <c r="DO243" s="56">
        <v>0</v>
      </c>
      <c r="DP243" s="56">
        <v>0</v>
      </c>
      <c r="DQ243" s="56">
        <v>0</v>
      </c>
      <c r="DR243" s="56">
        <v>0</v>
      </c>
      <c r="DS243" s="56">
        <v>0</v>
      </c>
      <c r="DT243" s="56">
        <v>0</v>
      </c>
      <c r="DU243" s="56">
        <v>0</v>
      </c>
      <c r="DV243" s="56">
        <v>0</v>
      </c>
      <c r="DW243" s="56">
        <v>0</v>
      </c>
      <c r="DX243" s="56">
        <v>0</v>
      </c>
      <c r="DY243" s="56">
        <v>0</v>
      </c>
      <c r="DZ243" s="56">
        <v>0</v>
      </c>
      <c r="EA243" s="56">
        <v>0</v>
      </c>
      <c r="EB243" s="56">
        <v>0</v>
      </c>
      <c r="EC243" s="56">
        <v>0</v>
      </c>
      <c r="ED243" s="56">
        <v>0</v>
      </c>
      <c r="EE243" s="56">
        <v>0</v>
      </c>
      <c r="EF243" s="56">
        <v>0</v>
      </c>
      <c r="EG243" s="56">
        <v>0</v>
      </c>
      <c r="EH243" s="56">
        <v>149.47</v>
      </c>
      <c r="EI243" s="56">
        <v>0</v>
      </c>
      <c r="EJ243" s="56">
        <v>0</v>
      </c>
      <c r="EK243" s="56">
        <v>0</v>
      </c>
      <c r="EL243" s="56">
        <v>0</v>
      </c>
      <c r="EM243" s="56">
        <v>0</v>
      </c>
      <c r="EN243" s="56">
        <v>0</v>
      </c>
      <c r="EO243" s="56">
        <v>0</v>
      </c>
      <c r="EP243" s="56">
        <v>0</v>
      </c>
      <c r="EQ243" s="56">
        <v>0</v>
      </c>
      <c r="ER243" s="56">
        <v>0</v>
      </c>
      <c r="ES243" s="56">
        <v>0</v>
      </c>
      <c r="ET243" s="56">
        <v>0</v>
      </c>
      <c r="EU243" s="56">
        <v>0</v>
      </c>
      <c r="EV243" s="56">
        <v>0</v>
      </c>
      <c r="EW243" s="56">
        <v>0</v>
      </c>
      <c r="EX243" s="56">
        <v>0</v>
      </c>
      <c r="EY243" s="56">
        <v>0</v>
      </c>
      <c r="EZ243" s="56">
        <v>0</v>
      </c>
      <c r="FA243" s="56">
        <v>0</v>
      </c>
      <c r="FB243" s="56">
        <v>0</v>
      </c>
      <c r="FC243" s="58">
        <v>0</v>
      </c>
      <c r="FD243" s="56">
        <v>0</v>
      </c>
      <c r="FE243" s="56">
        <v>0</v>
      </c>
      <c r="FF243" s="56">
        <v>0</v>
      </c>
      <c r="FG243" s="56">
        <v>0</v>
      </c>
      <c r="FH243" s="56">
        <v>0</v>
      </c>
      <c r="FI243" s="56">
        <v>0</v>
      </c>
      <c r="FJ243" s="56">
        <v>0</v>
      </c>
      <c r="FK243" s="56">
        <v>0</v>
      </c>
      <c r="FL243" s="56">
        <v>0</v>
      </c>
      <c r="FM243" s="56">
        <v>0</v>
      </c>
      <c r="FN243" s="56">
        <v>0</v>
      </c>
      <c r="FO243" s="56">
        <v>0</v>
      </c>
      <c r="FP243" s="56">
        <v>0</v>
      </c>
      <c r="FQ243" s="56">
        <v>0</v>
      </c>
      <c r="FR243" s="56">
        <v>0</v>
      </c>
      <c r="FS243" s="58">
        <v>0</v>
      </c>
      <c r="FT243" s="56">
        <v>0</v>
      </c>
      <c r="FU243" s="56">
        <v>0</v>
      </c>
      <c r="FV243" s="56">
        <v>0</v>
      </c>
      <c r="FW243" s="56">
        <v>0</v>
      </c>
      <c r="FX243" s="56">
        <v>0</v>
      </c>
      <c r="FY243" s="56">
        <v>0</v>
      </c>
      <c r="FZ243" s="54" t="s">
        <v>1070</v>
      </c>
      <c r="GA243" s="54" t="s">
        <v>1071</v>
      </c>
      <c r="GB243" s="54" t="s">
        <v>1072</v>
      </c>
      <c r="GC243" s="54" t="s">
        <v>1073</v>
      </c>
      <c r="GD243" s="54" t="s">
        <v>1212</v>
      </c>
      <c r="GE243" s="54" t="s">
        <v>1201</v>
      </c>
      <c r="GF243" s="54"/>
      <c r="GG243" s="55"/>
      <c r="GH243" s="54"/>
      <c r="GI243" s="54"/>
      <c r="GJ243" s="54" t="s">
        <v>1076</v>
      </c>
      <c r="GK243" s="54" t="s">
        <v>1077</v>
      </c>
      <c r="GL243" s="54"/>
      <c r="GM243" s="54"/>
      <c r="GN243" s="54" t="s">
        <v>1208</v>
      </c>
      <c r="GO243" s="54" t="s">
        <v>1209</v>
      </c>
      <c r="GP243" s="54"/>
      <c r="GQ243" s="56">
        <v>0</v>
      </c>
      <c r="GR243" s="54" t="s">
        <v>1079</v>
      </c>
      <c r="GS243" s="54"/>
    </row>
    <row r="244" spans="1:201" x14ac:dyDescent="0.25">
      <c r="A244" s="54" t="s">
        <v>1032</v>
      </c>
      <c r="B244" s="54" t="s">
        <v>1033</v>
      </c>
      <c r="C244" s="54" t="s">
        <v>1281</v>
      </c>
      <c r="D244" s="54" t="s">
        <v>1035</v>
      </c>
      <c r="E244" s="54" t="s">
        <v>1036</v>
      </c>
      <c r="F244" s="55">
        <v>46189</v>
      </c>
      <c r="G244" s="55">
        <v>46189</v>
      </c>
      <c r="H244" s="54" t="s">
        <v>1037</v>
      </c>
      <c r="I244" s="54" t="s">
        <v>1038</v>
      </c>
      <c r="J244" s="54" t="s">
        <v>1039</v>
      </c>
      <c r="K244" s="55"/>
      <c r="L244" s="54" t="s">
        <v>1040</v>
      </c>
      <c r="M244" s="54"/>
      <c r="N244" s="54" t="s">
        <v>1282</v>
      </c>
      <c r="O244" s="54" t="s">
        <v>1086</v>
      </c>
      <c r="P244" s="54" t="s">
        <v>477</v>
      </c>
      <c r="Q244" s="54" t="s">
        <v>481</v>
      </c>
      <c r="R244" s="54" t="s">
        <v>1043</v>
      </c>
      <c r="S244" s="56">
        <v>664.8</v>
      </c>
      <c r="T244" s="56">
        <v>664.8</v>
      </c>
      <c r="U244" s="56">
        <v>0</v>
      </c>
      <c r="V244" s="56">
        <v>0</v>
      </c>
      <c r="W244" s="56">
        <v>0</v>
      </c>
      <c r="X244" s="56">
        <v>0</v>
      </c>
      <c r="Y244" s="56">
        <v>0</v>
      </c>
      <c r="Z244" s="56">
        <v>24</v>
      </c>
      <c r="AA244" s="56">
        <v>24</v>
      </c>
      <c r="AB244" s="59">
        <v>0</v>
      </c>
      <c r="AC244" s="56">
        <v>0</v>
      </c>
      <c r="AD244" s="56">
        <v>0</v>
      </c>
      <c r="AE244" s="56">
        <v>0</v>
      </c>
      <c r="AF244" s="54" t="s">
        <v>1044</v>
      </c>
      <c r="AG244" s="57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 t="s">
        <v>1045</v>
      </c>
      <c r="AS244" s="54" t="s">
        <v>1046</v>
      </c>
      <c r="AT244" s="54" t="s">
        <v>1047</v>
      </c>
      <c r="AU244" s="54" t="s">
        <v>1048</v>
      </c>
      <c r="AV244" s="54"/>
      <c r="AW244" s="55">
        <v>46202</v>
      </c>
      <c r="AX244" s="55">
        <v>46189</v>
      </c>
      <c r="AY244" s="55">
        <v>46189</v>
      </c>
      <c r="AZ244" s="55">
        <v>46191</v>
      </c>
      <c r="BA244" s="55">
        <v>46202</v>
      </c>
      <c r="BB244" s="56">
        <v>0</v>
      </c>
      <c r="BC244" s="56">
        <v>0</v>
      </c>
      <c r="BD244" s="56">
        <v>0</v>
      </c>
      <c r="BE244" s="56">
        <v>0</v>
      </c>
      <c r="BF244" s="56">
        <v>0</v>
      </c>
      <c r="BG244" s="56">
        <v>0</v>
      </c>
      <c r="BH244" s="56">
        <v>0</v>
      </c>
      <c r="BI244" s="56">
        <v>0</v>
      </c>
      <c r="BJ244" s="56">
        <v>0</v>
      </c>
      <c r="BK244" s="56">
        <v>0</v>
      </c>
      <c r="BL244" s="56">
        <v>0</v>
      </c>
      <c r="BM244" s="56">
        <v>0</v>
      </c>
      <c r="BN244" s="56">
        <v>0</v>
      </c>
      <c r="BO244" s="56">
        <v>0</v>
      </c>
      <c r="BP244" s="54" t="s">
        <v>1049</v>
      </c>
      <c r="BQ244" s="54" t="s">
        <v>1050</v>
      </c>
      <c r="BR244" s="54" t="s">
        <v>1049</v>
      </c>
      <c r="BS244" s="54" t="s">
        <v>1050</v>
      </c>
      <c r="BT244" s="54" t="s">
        <v>1051</v>
      </c>
      <c r="BU244" s="54" t="s">
        <v>1043</v>
      </c>
      <c r="BV244" s="58">
        <v>24</v>
      </c>
      <c r="BW244" s="54" t="s">
        <v>1052</v>
      </c>
      <c r="BX244" s="54" t="s">
        <v>1053</v>
      </c>
      <c r="BY244" s="54" t="s">
        <v>1054</v>
      </c>
      <c r="BZ244" s="54" t="s">
        <v>1055</v>
      </c>
      <c r="CA244" s="55"/>
      <c r="CB244" s="54" t="s">
        <v>1056</v>
      </c>
      <c r="CC244" s="54" t="s">
        <v>1057</v>
      </c>
      <c r="CD244" s="54" t="s">
        <v>1200</v>
      </c>
      <c r="CE244" s="54" t="s">
        <v>1201</v>
      </c>
      <c r="CF244" s="54" t="s">
        <v>1202</v>
      </c>
      <c r="CG244" s="54" t="s">
        <v>1203</v>
      </c>
      <c r="CH244" s="54" t="s">
        <v>1204</v>
      </c>
      <c r="CI244" s="54" t="s">
        <v>1203</v>
      </c>
      <c r="CJ244" s="54" t="s">
        <v>1064</v>
      </c>
      <c r="CK244" s="54" t="s">
        <v>1065</v>
      </c>
      <c r="CL244" s="54" t="s">
        <v>1205</v>
      </c>
      <c r="CM244" s="54" t="s">
        <v>1206</v>
      </c>
      <c r="CN244" s="54" t="s">
        <v>1068</v>
      </c>
      <c r="CO244" s="54" t="s">
        <v>1069</v>
      </c>
      <c r="CP244" s="56">
        <v>0</v>
      </c>
      <c r="CQ244" s="56">
        <v>0</v>
      </c>
      <c r="CR244" s="56">
        <v>0</v>
      </c>
      <c r="CS244" s="56">
        <v>0</v>
      </c>
      <c r="CT244" s="56">
        <v>0</v>
      </c>
      <c r="CU244" s="56">
        <v>0</v>
      </c>
      <c r="CV244" s="56">
        <v>0</v>
      </c>
      <c r="CW244" s="56">
        <v>0</v>
      </c>
      <c r="CX244" s="56">
        <v>0</v>
      </c>
      <c r="CY244" s="56">
        <v>0</v>
      </c>
      <c r="CZ244" s="56">
        <v>0</v>
      </c>
      <c r="DA244" s="56">
        <v>0</v>
      </c>
      <c r="DB244" s="56">
        <v>0</v>
      </c>
      <c r="DC244" s="56">
        <v>0</v>
      </c>
      <c r="DD244" s="56">
        <v>0</v>
      </c>
      <c r="DE244" s="56">
        <v>0</v>
      </c>
      <c r="DF244" s="56">
        <v>0</v>
      </c>
      <c r="DG244" s="56">
        <v>0</v>
      </c>
      <c r="DH244" s="56">
        <v>0</v>
      </c>
      <c r="DI244" s="56">
        <v>0</v>
      </c>
      <c r="DJ244" s="56">
        <v>0</v>
      </c>
      <c r="DK244" s="56">
        <v>0</v>
      </c>
      <c r="DL244" s="56">
        <v>0</v>
      </c>
      <c r="DM244" s="56">
        <v>0</v>
      </c>
      <c r="DN244" s="56">
        <v>0</v>
      </c>
      <c r="DO244" s="56">
        <v>0</v>
      </c>
      <c r="DP244" s="56">
        <v>0</v>
      </c>
      <c r="DQ244" s="56">
        <v>0</v>
      </c>
      <c r="DR244" s="56">
        <v>0</v>
      </c>
      <c r="DS244" s="56">
        <v>0</v>
      </c>
      <c r="DT244" s="56">
        <v>0</v>
      </c>
      <c r="DU244" s="56">
        <v>0</v>
      </c>
      <c r="DV244" s="56">
        <v>0</v>
      </c>
      <c r="DW244" s="56">
        <v>0</v>
      </c>
      <c r="DX244" s="56">
        <v>0</v>
      </c>
      <c r="DY244" s="56">
        <v>0</v>
      </c>
      <c r="DZ244" s="56">
        <v>0</v>
      </c>
      <c r="EA244" s="56">
        <v>0</v>
      </c>
      <c r="EB244" s="56">
        <v>0</v>
      </c>
      <c r="EC244" s="56">
        <v>0</v>
      </c>
      <c r="ED244" s="56">
        <v>0</v>
      </c>
      <c r="EE244" s="56">
        <v>0</v>
      </c>
      <c r="EF244" s="56">
        <v>0</v>
      </c>
      <c r="EG244" s="56">
        <v>0</v>
      </c>
      <c r="EH244" s="56">
        <v>26.59</v>
      </c>
      <c r="EI244" s="56">
        <v>0</v>
      </c>
      <c r="EJ244" s="56">
        <v>0</v>
      </c>
      <c r="EK244" s="56">
        <v>0</v>
      </c>
      <c r="EL244" s="56">
        <v>0</v>
      </c>
      <c r="EM244" s="56">
        <v>0</v>
      </c>
      <c r="EN244" s="56">
        <v>0</v>
      </c>
      <c r="EO244" s="56">
        <v>0</v>
      </c>
      <c r="EP244" s="56">
        <v>0</v>
      </c>
      <c r="EQ244" s="56">
        <v>0</v>
      </c>
      <c r="ER244" s="56">
        <v>0</v>
      </c>
      <c r="ES244" s="56">
        <v>0</v>
      </c>
      <c r="ET244" s="56">
        <v>0</v>
      </c>
      <c r="EU244" s="56">
        <v>0</v>
      </c>
      <c r="EV244" s="56">
        <v>0</v>
      </c>
      <c r="EW244" s="56">
        <v>0</v>
      </c>
      <c r="EX244" s="56">
        <v>0</v>
      </c>
      <c r="EY244" s="56">
        <v>0</v>
      </c>
      <c r="EZ244" s="56">
        <v>0</v>
      </c>
      <c r="FA244" s="56">
        <v>0</v>
      </c>
      <c r="FB244" s="56">
        <v>0</v>
      </c>
      <c r="FC244" s="58">
        <v>0</v>
      </c>
      <c r="FD244" s="56">
        <v>0</v>
      </c>
      <c r="FE244" s="56">
        <v>0</v>
      </c>
      <c r="FF244" s="56">
        <v>0</v>
      </c>
      <c r="FG244" s="56">
        <v>0</v>
      </c>
      <c r="FH244" s="56">
        <v>0</v>
      </c>
      <c r="FI244" s="56">
        <v>0</v>
      </c>
      <c r="FJ244" s="56">
        <v>0</v>
      </c>
      <c r="FK244" s="56">
        <v>0</v>
      </c>
      <c r="FL244" s="56">
        <v>0</v>
      </c>
      <c r="FM244" s="56">
        <v>0</v>
      </c>
      <c r="FN244" s="56">
        <v>0</v>
      </c>
      <c r="FO244" s="56">
        <v>0</v>
      </c>
      <c r="FP244" s="56">
        <v>0</v>
      </c>
      <c r="FQ244" s="56">
        <v>0</v>
      </c>
      <c r="FR244" s="56">
        <v>0</v>
      </c>
      <c r="FS244" s="58">
        <v>0</v>
      </c>
      <c r="FT244" s="56">
        <v>0</v>
      </c>
      <c r="FU244" s="56">
        <v>0</v>
      </c>
      <c r="FV244" s="56">
        <v>0</v>
      </c>
      <c r="FW244" s="56">
        <v>0</v>
      </c>
      <c r="FX244" s="56">
        <v>0</v>
      </c>
      <c r="FY244" s="56">
        <v>0</v>
      </c>
      <c r="FZ244" s="54" t="s">
        <v>1070</v>
      </c>
      <c r="GA244" s="54" t="s">
        <v>1071</v>
      </c>
      <c r="GB244" s="54" t="s">
        <v>1072</v>
      </c>
      <c r="GC244" s="54" t="s">
        <v>1073</v>
      </c>
      <c r="GD244" s="54"/>
      <c r="GE244" s="54"/>
      <c r="GF244" s="54"/>
      <c r="GG244" s="55"/>
      <c r="GH244" s="54"/>
      <c r="GI244" s="54"/>
      <c r="GJ244" s="54" t="s">
        <v>1076</v>
      </c>
      <c r="GK244" s="54" t="s">
        <v>1077</v>
      </c>
      <c r="GL244" s="54"/>
      <c r="GM244" s="54"/>
      <c r="GN244" s="54" t="s">
        <v>1208</v>
      </c>
      <c r="GO244" s="54" t="s">
        <v>1209</v>
      </c>
      <c r="GP244" s="54"/>
      <c r="GQ244" s="56">
        <v>0</v>
      </c>
      <c r="GR244" s="54" t="s">
        <v>1079</v>
      </c>
      <c r="GS244" s="54"/>
    </row>
    <row r="245" spans="1:201" x14ac:dyDescent="0.25">
      <c r="A245" s="54" t="s">
        <v>1032</v>
      </c>
      <c r="B245" s="54" t="s">
        <v>1033</v>
      </c>
      <c r="C245" s="54" t="s">
        <v>1281</v>
      </c>
      <c r="D245" s="54" t="s">
        <v>1035</v>
      </c>
      <c r="E245" s="54" t="s">
        <v>1036</v>
      </c>
      <c r="F245" s="55">
        <v>46189</v>
      </c>
      <c r="G245" s="55">
        <v>46189</v>
      </c>
      <c r="H245" s="54" t="s">
        <v>1037</v>
      </c>
      <c r="I245" s="54" t="s">
        <v>1038</v>
      </c>
      <c r="J245" s="54" t="s">
        <v>1039</v>
      </c>
      <c r="K245" s="55"/>
      <c r="L245" s="54" t="s">
        <v>1040</v>
      </c>
      <c r="M245" s="54"/>
      <c r="N245" s="54" t="s">
        <v>1282</v>
      </c>
      <c r="O245" s="54" t="s">
        <v>1088</v>
      </c>
      <c r="P245" s="54" t="s">
        <v>342</v>
      </c>
      <c r="Q245" s="54" t="s">
        <v>71</v>
      </c>
      <c r="R245" s="54" t="s">
        <v>1043</v>
      </c>
      <c r="S245" s="56">
        <v>684</v>
      </c>
      <c r="T245" s="56">
        <v>684</v>
      </c>
      <c r="U245" s="56">
        <v>0</v>
      </c>
      <c r="V245" s="56">
        <v>0</v>
      </c>
      <c r="W245" s="56">
        <v>0</v>
      </c>
      <c r="X245" s="56">
        <v>0</v>
      </c>
      <c r="Y245" s="56">
        <v>0</v>
      </c>
      <c r="Z245" s="56">
        <v>360</v>
      </c>
      <c r="AA245" s="56">
        <v>360</v>
      </c>
      <c r="AB245" s="59">
        <v>0</v>
      </c>
      <c r="AC245" s="56">
        <v>0</v>
      </c>
      <c r="AD245" s="56">
        <v>0</v>
      </c>
      <c r="AE245" s="56">
        <v>0</v>
      </c>
      <c r="AF245" s="54" t="s">
        <v>1044</v>
      </c>
      <c r="AG245" s="57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 t="s">
        <v>1045</v>
      </c>
      <c r="AS245" s="54" t="s">
        <v>1046</v>
      </c>
      <c r="AT245" s="54" t="s">
        <v>1047</v>
      </c>
      <c r="AU245" s="54" t="s">
        <v>1048</v>
      </c>
      <c r="AV245" s="54"/>
      <c r="AW245" s="55">
        <v>46202</v>
      </c>
      <c r="AX245" s="55">
        <v>46189</v>
      </c>
      <c r="AY245" s="55">
        <v>46189</v>
      </c>
      <c r="AZ245" s="55"/>
      <c r="BA245" s="55">
        <v>46202</v>
      </c>
      <c r="BB245" s="56">
        <v>0</v>
      </c>
      <c r="BC245" s="56">
        <v>0</v>
      </c>
      <c r="BD245" s="56">
        <v>0</v>
      </c>
      <c r="BE245" s="56">
        <v>0</v>
      </c>
      <c r="BF245" s="56">
        <v>0</v>
      </c>
      <c r="BG245" s="56">
        <v>0</v>
      </c>
      <c r="BH245" s="56">
        <v>0</v>
      </c>
      <c r="BI245" s="56">
        <v>0</v>
      </c>
      <c r="BJ245" s="56">
        <v>0</v>
      </c>
      <c r="BK245" s="56">
        <v>0</v>
      </c>
      <c r="BL245" s="56">
        <v>0</v>
      </c>
      <c r="BM245" s="56">
        <v>0</v>
      </c>
      <c r="BN245" s="56">
        <v>0</v>
      </c>
      <c r="BO245" s="56">
        <v>0</v>
      </c>
      <c r="BP245" s="54" t="s">
        <v>1049</v>
      </c>
      <c r="BQ245" s="54" t="s">
        <v>1050</v>
      </c>
      <c r="BR245" s="54" t="s">
        <v>1049</v>
      </c>
      <c r="BS245" s="54" t="s">
        <v>1050</v>
      </c>
      <c r="BT245" s="54" t="s">
        <v>1051</v>
      </c>
      <c r="BU245" s="54" t="s">
        <v>1043</v>
      </c>
      <c r="BV245" s="58">
        <v>360</v>
      </c>
      <c r="BW245" s="54" t="s">
        <v>1052</v>
      </c>
      <c r="BX245" s="54" t="s">
        <v>1053</v>
      </c>
      <c r="BY245" s="54" t="s">
        <v>1054</v>
      </c>
      <c r="BZ245" s="54" t="s">
        <v>1055</v>
      </c>
      <c r="CA245" s="55"/>
      <c r="CB245" s="54" t="s">
        <v>1056</v>
      </c>
      <c r="CC245" s="54" t="s">
        <v>1057</v>
      </c>
      <c r="CD245" s="54" t="s">
        <v>1200</v>
      </c>
      <c r="CE245" s="54" t="s">
        <v>1201</v>
      </c>
      <c r="CF245" s="54" t="s">
        <v>1202</v>
      </c>
      <c r="CG245" s="54" t="s">
        <v>1203</v>
      </c>
      <c r="CH245" s="54" t="s">
        <v>1204</v>
      </c>
      <c r="CI245" s="54" t="s">
        <v>1203</v>
      </c>
      <c r="CJ245" s="54" t="s">
        <v>1064</v>
      </c>
      <c r="CK245" s="54" t="s">
        <v>1065</v>
      </c>
      <c r="CL245" s="54" t="s">
        <v>1205</v>
      </c>
      <c r="CM245" s="54" t="s">
        <v>1206</v>
      </c>
      <c r="CN245" s="54" t="s">
        <v>1068</v>
      </c>
      <c r="CO245" s="54" t="s">
        <v>1069</v>
      </c>
      <c r="CP245" s="56">
        <v>0</v>
      </c>
      <c r="CQ245" s="56">
        <v>0</v>
      </c>
      <c r="CR245" s="56">
        <v>0</v>
      </c>
      <c r="CS245" s="56">
        <v>0</v>
      </c>
      <c r="CT245" s="56">
        <v>0</v>
      </c>
      <c r="CU245" s="56">
        <v>0</v>
      </c>
      <c r="CV245" s="56">
        <v>0</v>
      </c>
      <c r="CW245" s="56">
        <v>0</v>
      </c>
      <c r="CX245" s="56">
        <v>0</v>
      </c>
      <c r="CY245" s="56">
        <v>0</v>
      </c>
      <c r="CZ245" s="56">
        <v>0</v>
      </c>
      <c r="DA245" s="56">
        <v>0</v>
      </c>
      <c r="DB245" s="56">
        <v>0</v>
      </c>
      <c r="DC245" s="56">
        <v>0</v>
      </c>
      <c r="DD245" s="56">
        <v>0</v>
      </c>
      <c r="DE245" s="56">
        <v>0</v>
      </c>
      <c r="DF245" s="56">
        <v>0</v>
      </c>
      <c r="DG245" s="56">
        <v>0</v>
      </c>
      <c r="DH245" s="56">
        <v>0</v>
      </c>
      <c r="DI245" s="56">
        <v>0</v>
      </c>
      <c r="DJ245" s="56">
        <v>0</v>
      </c>
      <c r="DK245" s="56">
        <v>0</v>
      </c>
      <c r="DL245" s="56">
        <v>0</v>
      </c>
      <c r="DM245" s="56">
        <v>0</v>
      </c>
      <c r="DN245" s="56">
        <v>0</v>
      </c>
      <c r="DO245" s="56">
        <v>0</v>
      </c>
      <c r="DP245" s="56">
        <v>0</v>
      </c>
      <c r="DQ245" s="56">
        <v>0</v>
      </c>
      <c r="DR245" s="56">
        <v>0</v>
      </c>
      <c r="DS245" s="56">
        <v>0</v>
      </c>
      <c r="DT245" s="56">
        <v>0</v>
      </c>
      <c r="DU245" s="56">
        <v>0</v>
      </c>
      <c r="DV245" s="56">
        <v>0</v>
      </c>
      <c r="DW245" s="56">
        <v>0</v>
      </c>
      <c r="DX245" s="56">
        <v>0</v>
      </c>
      <c r="DY245" s="56">
        <v>0</v>
      </c>
      <c r="DZ245" s="56">
        <v>0</v>
      </c>
      <c r="EA245" s="56">
        <v>0</v>
      </c>
      <c r="EB245" s="56">
        <v>0</v>
      </c>
      <c r="EC245" s="56">
        <v>0</v>
      </c>
      <c r="ED245" s="56">
        <v>0</v>
      </c>
      <c r="EE245" s="56">
        <v>0</v>
      </c>
      <c r="EF245" s="56">
        <v>0</v>
      </c>
      <c r="EG245" s="56">
        <v>0</v>
      </c>
      <c r="EH245" s="56">
        <v>82.08</v>
      </c>
      <c r="EI245" s="56">
        <v>0</v>
      </c>
      <c r="EJ245" s="56">
        <v>0</v>
      </c>
      <c r="EK245" s="56">
        <v>0</v>
      </c>
      <c r="EL245" s="56">
        <v>0</v>
      </c>
      <c r="EM245" s="56">
        <v>0</v>
      </c>
      <c r="EN245" s="56">
        <v>0</v>
      </c>
      <c r="EO245" s="56">
        <v>0</v>
      </c>
      <c r="EP245" s="56">
        <v>0</v>
      </c>
      <c r="EQ245" s="56">
        <v>0</v>
      </c>
      <c r="ER245" s="56">
        <v>0</v>
      </c>
      <c r="ES245" s="56">
        <v>0</v>
      </c>
      <c r="ET245" s="56">
        <v>0</v>
      </c>
      <c r="EU245" s="56">
        <v>0</v>
      </c>
      <c r="EV245" s="56">
        <v>0</v>
      </c>
      <c r="EW245" s="56">
        <v>0</v>
      </c>
      <c r="EX245" s="56">
        <v>0</v>
      </c>
      <c r="EY245" s="56">
        <v>0</v>
      </c>
      <c r="EZ245" s="56">
        <v>0</v>
      </c>
      <c r="FA245" s="56">
        <v>0</v>
      </c>
      <c r="FB245" s="56">
        <v>0</v>
      </c>
      <c r="FC245" s="58">
        <v>0</v>
      </c>
      <c r="FD245" s="56">
        <v>0</v>
      </c>
      <c r="FE245" s="56">
        <v>0</v>
      </c>
      <c r="FF245" s="56">
        <v>0</v>
      </c>
      <c r="FG245" s="56">
        <v>0</v>
      </c>
      <c r="FH245" s="56">
        <v>0</v>
      </c>
      <c r="FI245" s="56">
        <v>0</v>
      </c>
      <c r="FJ245" s="56">
        <v>0</v>
      </c>
      <c r="FK245" s="56">
        <v>0</v>
      </c>
      <c r="FL245" s="56">
        <v>0</v>
      </c>
      <c r="FM245" s="56">
        <v>0</v>
      </c>
      <c r="FN245" s="56">
        <v>0</v>
      </c>
      <c r="FO245" s="56">
        <v>0</v>
      </c>
      <c r="FP245" s="56">
        <v>0</v>
      </c>
      <c r="FQ245" s="56">
        <v>0</v>
      </c>
      <c r="FR245" s="56">
        <v>0</v>
      </c>
      <c r="FS245" s="58">
        <v>0</v>
      </c>
      <c r="FT245" s="56">
        <v>0</v>
      </c>
      <c r="FU245" s="56">
        <v>0</v>
      </c>
      <c r="FV245" s="56">
        <v>0</v>
      </c>
      <c r="FW245" s="56">
        <v>0</v>
      </c>
      <c r="FX245" s="56">
        <v>0</v>
      </c>
      <c r="FY245" s="56">
        <v>0</v>
      </c>
      <c r="FZ245" s="54" t="s">
        <v>1070</v>
      </c>
      <c r="GA245" s="54" t="s">
        <v>1071</v>
      </c>
      <c r="GB245" s="54" t="s">
        <v>1072</v>
      </c>
      <c r="GC245" s="54" t="s">
        <v>1073</v>
      </c>
      <c r="GD245" s="54" t="s">
        <v>1214</v>
      </c>
      <c r="GE245" s="54" t="s">
        <v>1201</v>
      </c>
      <c r="GF245" s="54"/>
      <c r="GG245" s="55"/>
      <c r="GH245" s="54"/>
      <c r="GI245" s="54"/>
      <c r="GJ245" s="54" t="s">
        <v>1076</v>
      </c>
      <c r="GK245" s="54" t="s">
        <v>1077</v>
      </c>
      <c r="GL245" s="54"/>
      <c r="GM245" s="54"/>
      <c r="GN245" s="54" t="s">
        <v>1208</v>
      </c>
      <c r="GO245" s="54" t="s">
        <v>1209</v>
      </c>
      <c r="GP245" s="54"/>
      <c r="GQ245" s="56">
        <v>0</v>
      </c>
      <c r="GR245" s="54" t="s">
        <v>1079</v>
      </c>
      <c r="GS245" s="54"/>
    </row>
    <row r="246" spans="1:201" x14ac:dyDescent="0.25">
      <c r="A246" s="54" t="s">
        <v>1032</v>
      </c>
      <c r="B246" s="54" t="s">
        <v>1033</v>
      </c>
      <c r="C246" s="54" t="s">
        <v>1281</v>
      </c>
      <c r="D246" s="54" t="s">
        <v>1035</v>
      </c>
      <c r="E246" s="54" t="s">
        <v>1036</v>
      </c>
      <c r="F246" s="55">
        <v>46189</v>
      </c>
      <c r="G246" s="55">
        <v>46189</v>
      </c>
      <c r="H246" s="54" t="s">
        <v>1037</v>
      </c>
      <c r="I246" s="54" t="s">
        <v>1038</v>
      </c>
      <c r="J246" s="54" t="s">
        <v>1039</v>
      </c>
      <c r="K246" s="55"/>
      <c r="L246" s="54" t="s">
        <v>1040</v>
      </c>
      <c r="M246" s="54"/>
      <c r="N246" s="54" t="s">
        <v>1282</v>
      </c>
      <c r="O246" s="54" t="s">
        <v>1089</v>
      </c>
      <c r="P246" s="54" t="s">
        <v>234</v>
      </c>
      <c r="Q246" s="54" t="s">
        <v>76</v>
      </c>
      <c r="R246" s="54" t="s">
        <v>1043</v>
      </c>
      <c r="S246" s="56">
        <v>2403.84</v>
      </c>
      <c r="T246" s="56">
        <v>2403.84</v>
      </c>
      <c r="U246" s="56">
        <v>0</v>
      </c>
      <c r="V246" s="56">
        <v>0</v>
      </c>
      <c r="W246" s="56">
        <v>0</v>
      </c>
      <c r="X246" s="56">
        <v>0</v>
      </c>
      <c r="Y246" s="56">
        <v>0</v>
      </c>
      <c r="Z246" s="56">
        <v>192</v>
      </c>
      <c r="AA246" s="56">
        <v>192</v>
      </c>
      <c r="AB246" s="59">
        <v>0</v>
      </c>
      <c r="AC246" s="56">
        <v>0</v>
      </c>
      <c r="AD246" s="56">
        <v>0</v>
      </c>
      <c r="AE246" s="56">
        <v>0</v>
      </c>
      <c r="AF246" s="54" t="s">
        <v>1044</v>
      </c>
      <c r="AG246" s="57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 t="s">
        <v>1045</v>
      </c>
      <c r="AS246" s="54" t="s">
        <v>1046</v>
      </c>
      <c r="AT246" s="54" t="s">
        <v>1047</v>
      </c>
      <c r="AU246" s="54" t="s">
        <v>1048</v>
      </c>
      <c r="AV246" s="54"/>
      <c r="AW246" s="55">
        <v>46202</v>
      </c>
      <c r="AX246" s="55">
        <v>46189</v>
      </c>
      <c r="AY246" s="55">
        <v>46189</v>
      </c>
      <c r="AZ246" s="55">
        <v>46191</v>
      </c>
      <c r="BA246" s="55">
        <v>46202</v>
      </c>
      <c r="BB246" s="56">
        <v>0</v>
      </c>
      <c r="BC246" s="56">
        <v>0</v>
      </c>
      <c r="BD246" s="56">
        <v>0</v>
      </c>
      <c r="BE246" s="56">
        <v>0</v>
      </c>
      <c r="BF246" s="56">
        <v>0</v>
      </c>
      <c r="BG246" s="56">
        <v>0</v>
      </c>
      <c r="BH246" s="56">
        <v>0</v>
      </c>
      <c r="BI246" s="56">
        <v>0</v>
      </c>
      <c r="BJ246" s="56">
        <v>0</v>
      </c>
      <c r="BK246" s="56">
        <v>0</v>
      </c>
      <c r="BL246" s="56">
        <v>0</v>
      </c>
      <c r="BM246" s="56">
        <v>0</v>
      </c>
      <c r="BN246" s="56">
        <v>0</v>
      </c>
      <c r="BO246" s="56">
        <v>0</v>
      </c>
      <c r="BP246" s="54" t="s">
        <v>1049</v>
      </c>
      <c r="BQ246" s="54" t="s">
        <v>1050</v>
      </c>
      <c r="BR246" s="54" t="s">
        <v>1049</v>
      </c>
      <c r="BS246" s="54" t="s">
        <v>1050</v>
      </c>
      <c r="BT246" s="54" t="s">
        <v>1051</v>
      </c>
      <c r="BU246" s="54" t="s">
        <v>1043</v>
      </c>
      <c r="BV246" s="58">
        <v>192</v>
      </c>
      <c r="BW246" s="54" t="s">
        <v>1052</v>
      </c>
      <c r="BX246" s="54" t="s">
        <v>1053</v>
      </c>
      <c r="BY246" s="54" t="s">
        <v>1054</v>
      </c>
      <c r="BZ246" s="54" t="s">
        <v>1055</v>
      </c>
      <c r="CA246" s="55"/>
      <c r="CB246" s="54" t="s">
        <v>1056</v>
      </c>
      <c r="CC246" s="54" t="s">
        <v>1057</v>
      </c>
      <c r="CD246" s="54" t="s">
        <v>1200</v>
      </c>
      <c r="CE246" s="54" t="s">
        <v>1201</v>
      </c>
      <c r="CF246" s="54" t="s">
        <v>1202</v>
      </c>
      <c r="CG246" s="54" t="s">
        <v>1203</v>
      </c>
      <c r="CH246" s="54" t="s">
        <v>1204</v>
      </c>
      <c r="CI246" s="54" t="s">
        <v>1203</v>
      </c>
      <c r="CJ246" s="54" t="s">
        <v>1064</v>
      </c>
      <c r="CK246" s="54" t="s">
        <v>1065</v>
      </c>
      <c r="CL246" s="54" t="s">
        <v>1205</v>
      </c>
      <c r="CM246" s="54" t="s">
        <v>1206</v>
      </c>
      <c r="CN246" s="54" t="s">
        <v>1068</v>
      </c>
      <c r="CO246" s="54" t="s">
        <v>1069</v>
      </c>
      <c r="CP246" s="56">
        <v>0</v>
      </c>
      <c r="CQ246" s="56">
        <v>0</v>
      </c>
      <c r="CR246" s="56">
        <v>0</v>
      </c>
      <c r="CS246" s="56">
        <v>0</v>
      </c>
      <c r="CT246" s="56">
        <v>0</v>
      </c>
      <c r="CU246" s="56">
        <v>0</v>
      </c>
      <c r="CV246" s="56">
        <v>0</v>
      </c>
      <c r="CW246" s="56">
        <v>0</v>
      </c>
      <c r="CX246" s="56">
        <v>0</v>
      </c>
      <c r="CY246" s="56">
        <v>0</v>
      </c>
      <c r="CZ246" s="56">
        <v>0</v>
      </c>
      <c r="DA246" s="56">
        <v>0</v>
      </c>
      <c r="DB246" s="56">
        <v>0</v>
      </c>
      <c r="DC246" s="56">
        <v>0</v>
      </c>
      <c r="DD246" s="56">
        <v>0</v>
      </c>
      <c r="DE246" s="56">
        <v>0</v>
      </c>
      <c r="DF246" s="56">
        <v>0</v>
      </c>
      <c r="DG246" s="56">
        <v>0</v>
      </c>
      <c r="DH246" s="56">
        <v>0</v>
      </c>
      <c r="DI246" s="56">
        <v>0</v>
      </c>
      <c r="DJ246" s="56">
        <v>0</v>
      </c>
      <c r="DK246" s="56">
        <v>0</v>
      </c>
      <c r="DL246" s="56">
        <v>0</v>
      </c>
      <c r="DM246" s="56">
        <v>0</v>
      </c>
      <c r="DN246" s="56">
        <v>0</v>
      </c>
      <c r="DO246" s="56">
        <v>0</v>
      </c>
      <c r="DP246" s="56">
        <v>0</v>
      </c>
      <c r="DQ246" s="56">
        <v>0</v>
      </c>
      <c r="DR246" s="56">
        <v>0</v>
      </c>
      <c r="DS246" s="56">
        <v>0</v>
      </c>
      <c r="DT246" s="56">
        <v>0</v>
      </c>
      <c r="DU246" s="56">
        <v>0</v>
      </c>
      <c r="DV246" s="56">
        <v>0</v>
      </c>
      <c r="DW246" s="56">
        <v>0</v>
      </c>
      <c r="DX246" s="56">
        <v>0</v>
      </c>
      <c r="DY246" s="56">
        <v>0</v>
      </c>
      <c r="DZ246" s="56">
        <v>0</v>
      </c>
      <c r="EA246" s="56">
        <v>0</v>
      </c>
      <c r="EB246" s="56">
        <v>0</v>
      </c>
      <c r="EC246" s="56">
        <v>0</v>
      </c>
      <c r="ED246" s="56">
        <v>0</v>
      </c>
      <c r="EE246" s="56">
        <v>0</v>
      </c>
      <c r="EF246" s="56">
        <v>0</v>
      </c>
      <c r="EG246" s="56">
        <v>0</v>
      </c>
      <c r="EH246" s="56">
        <v>288.45999999999998</v>
      </c>
      <c r="EI246" s="56">
        <v>0</v>
      </c>
      <c r="EJ246" s="56">
        <v>0</v>
      </c>
      <c r="EK246" s="56">
        <v>0</v>
      </c>
      <c r="EL246" s="56">
        <v>0</v>
      </c>
      <c r="EM246" s="56">
        <v>0</v>
      </c>
      <c r="EN246" s="56">
        <v>0</v>
      </c>
      <c r="EO246" s="56">
        <v>0</v>
      </c>
      <c r="EP246" s="56">
        <v>0</v>
      </c>
      <c r="EQ246" s="56">
        <v>0</v>
      </c>
      <c r="ER246" s="56">
        <v>0</v>
      </c>
      <c r="ES246" s="56">
        <v>0</v>
      </c>
      <c r="ET246" s="56">
        <v>0</v>
      </c>
      <c r="EU246" s="56">
        <v>0</v>
      </c>
      <c r="EV246" s="56">
        <v>0</v>
      </c>
      <c r="EW246" s="56">
        <v>0</v>
      </c>
      <c r="EX246" s="56">
        <v>0</v>
      </c>
      <c r="EY246" s="56">
        <v>0</v>
      </c>
      <c r="EZ246" s="56">
        <v>0</v>
      </c>
      <c r="FA246" s="56">
        <v>0</v>
      </c>
      <c r="FB246" s="56">
        <v>0</v>
      </c>
      <c r="FC246" s="58">
        <v>0</v>
      </c>
      <c r="FD246" s="56">
        <v>0</v>
      </c>
      <c r="FE246" s="56">
        <v>0</v>
      </c>
      <c r="FF246" s="56">
        <v>0</v>
      </c>
      <c r="FG246" s="56">
        <v>0</v>
      </c>
      <c r="FH246" s="56">
        <v>0</v>
      </c>
      <c r="FI246" s="56">
        <v>0</v>
      </c>
      <c r="FJ246" s="56">
        <v>0</v>
      </c>
      <c r="FK246" s="56">
        <v>0</v>
      </c>
      <c r="FL246" s="56">
        <v>0</v>
      </c>
      <c r="FM246" s="56">
        <v>0</v>
      </c>
      <c r="FN246" s="56">
        <v>0</v>
      </c>
      <c r="FO246" s="56">
        <v>0</v>
      </c>
      <c r="FP246" s="56">
        <v>0</v>
      </c>
      <c r="FQ246" s="56">
        <v>0</v>
      </c>
      <c r="FR246" s="56">
        <v>0</v>
      </c>
      <c r="FS246" s="58">
        <v>0</v>
      </c>
      <c r="FT246" s="56">
        <v>0</v>
      </c>
      <c r="FU246" s="56">
        <v>0</v>
      </c>
      <c r="FV246" s="56">
        <v>0</v>
      </c>
      <c r="FW246" s="56">
        <v>0</v>
      </c>
      <c r="FX246" s="56">
        <v>0</v>
      </c>
      <c r="FY246" s="56">
        <v>0</v>
      </c>
      <c r="FZ246" s="54" t="s">
        <v>1070</v>
      </c>
      <c r="GA246" s="54" t="s">
        <v>1071</v>
      </c>
      <c r="GB246" s="54" t="s">
        <v>1072</v>
      </c>
      <c r="GC246" s="54" t="s">
        <v>1073</v>
      </c>
      <c r="GD246" s="54" t="s">
        <v>1283</v>
      </c>
      <c r="GE246" s="54" t="s">
        <v>1201</v>
      </c>
      <c r="GF246" s="54"/>
      <c r="GG246" s="55"/>
      <c r="GH246" s="54"/>
      <c r="GI246" s="54"/>
      <c r="GJ246" s="54" t="s">
        <v>1076</v>
      </c>
      <c r="GK246" s="54" t="s">
        <v>1077</v>
      </c>
      <c r="GL246" s="54"/>
      <c r="GM246" s="54"/>
      <c r="GN246" s="54" t="s">
        <v>1208</v>
      </c>
      <c r="GO246" s="54" t="s">
        <v>1209</v>
      </c>
      <c r="GP246" s="54"/>
      <c r="GQ246" s="56">
        <v>0</v>
      </c>
      <c r="GR246" s="54" t="s">
        <v>1079</v>
      </c>
      <c r="GS246" s="54"/>
    </row>
    <row r="247" spans="1:201" x14ac:dyDescent="0.25">
      <c r="A247" s="54" t="s">
        <v>1032</v>
      </c>
      <c r="B247" s="54" t="s">
        <v>1033</v>
      </c>
      <c r="C247" s="54" t="s">
        <v>1281</v>
      </c>
      <c r="D247" s="54" t="s">
        <v>1035</v>
      </c>
      <c r="E247" s="54" t="s">
        <v>1036</v>
      </c>
      <c r="F247" s="55">
        <v>46189</v>
      </c>
      <c r="G247" s="55">
        <v>46189</v>
      </c>
      <c r="H247" s="54" t="s">
        <v>1037</v>
      </c>
      <c r="I247" s="54" t="s">
        <v>1038</v>
      </c>
      <c r="J247" s="54" t="s">
        <v>1039</v>
      </c>
      <c r="K247" s="55"/>
      <c r="L247" s="54" t="s">
        <v>1040</v>
      </c>
      <c r="M247" s="54"/>
      <c r="N247" s="54" t="s">
        <v>1282</v>
      </c>
      <c r="O247" s="54" t="s">
        <v>1090</v>
      </c>
      <c r="P247" s="54" t="s">
        <v>235</v>
      </c>
      <c r="Q247" s="54" t="s">
        <v>77</v>
      </c>
      <c r="R247" s="54" t="s">
        <v>1043</v>
      </c>
      <c r="S247" s="56">
        <v>216.6</v>
      </c>
      <c r="T247" s="56">
        <v>216.6</v>
      </c>
      <c r="U247" s="56">
        <v>0</v>
      </c>
      <c r="V247" s="56">
        <v>0</v>
      </c>
      <c r="W247" s="56">
        <v>0</v>
      </c>
      <c r="X247" s="56">
        <v>0</v>
      </c>
      <c r="Y247" s="56">
        <v>0</v>
      </c>
      <c r="Z247" s="56">
        <v>60</v>
      </c>
      <c r="AA247" s="56">
        <v>60</v>
      </c>
      <c r="AB247" s="59">
        <v>0</v>
      </c>
      <c r="AC247" s="56">
        <v>0</v>
      </c>
      <c r="AD247" s="56">
        <v>0</v>
      </c>
      <c r="AE247" s="56">
        <v>0</v>
      </c>
      <c r="AF247" s="54" t="s">
        <v>1044</v>
      </c>
      <c r="AG247" s="57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 t="s">
        <v>1045</v>
      </c>
      <c r="AS247" s="54" t="s">
        <v>1046</v>
      </c>
      <c r="AT247" s="54" t="s">
        <v>1047</v>
      </c>
      <c r="AU247" s="54" t="s">
        <v>1048</v>
      </c>
      <c r="AV247" s="54"/>
      <c r="AW247" s="55">
        <v>46202</v>
      </c>
      <c r="AX247" s="55">
        <v>46189</v>
      </c>
      <c r="AY247" s="55">
        <v>46189</v>
      </c>
      <c r="AZ247" s="55">
        <v>46191</v>
      </c>
      <c r="BA247" s="55">
        <v>46202</v>
      </c>
      <c r="BB247" s="56">
        <v>0</v>
      </c>
      <c r="BC247" s="56">
        <v>0</v>
      </c>
      <c r="BD247" s="56">
        <v>0</v>
      </c>
      <c r="BE247" s="56">
        <v>0</v>
      </c>
      <c r="BF247" s="56">
        <v>0</v>
      </c>
      <c r="BG247" s="56">
        <v>0</v>
      </c>
      <c r="BH247" s="56">
        <v>0</v>
      </c>
      <c r="BI247" s="56">
        <v>0</v>
      </c>
      <c r="BJ247" s="56">
        <v>0</v>
      </c>
      <c r="BK247" s="56">
        <v>0</v>
      </c>
      <c r="BL247" s="56">
        <v>0</v>
      </c>
      <c r="BM247" s="56">
        <v>0</v>
      </c>
      <c r="BN247" s="56">
        <v>0</v>
      </c>
      <c r="BO247" s="56">
        <v>0</v>
      </c>
      <c r="BP247" s="54" t="s">
        <v>1049</v>
      </c>
      <c r="BQ247" s="54" t="s">
        <v>1050</v>
      </c>
      <c r="BR247" s="54" t="s">
        <v>1049</v>
      </c>
      <c r="BS247" s="54" t="s">
        <v>1050</v>
      </c>
      <c r="BT247" s="54" t="s">
        <v>1051</v>
      </c>
      <c r="BU247" s="54" t="s">
        <v>1043</v>
      </c>
      <c r="BV247" s="58">
        <v>60</v>
      </c>
      <c r="BW247" s="54" t="s">
        <v>1052</v>
      </c>
      <c r="BX247" s="54" t="s">
        <v>1053</v>
      </c>
      <c r="BY247" s="54" t="s">
        <v>1054</v>
      </c>
      <c r="BZ247" s="54" t="s">
        <v>1055</v>
      </c>
      <c r="CA247" s="55"/>
      <c r="CB247" s="54" t="s">
        <v>1056</v>
      </c>
      <c r="CC247" s="54" t="s">
        <v>1057</v>
      </c>
      <c r="CD247" s="54" t="s">
        <v>1200</v>
      </c>
      <c r="CE247" s="54" t="s">
        <v>1201</v>
      </c>
      <c r="CF247" s="54" t="s">
        <v>1202</v>
      </c>
      <c r="CG247" s="54" t="s">
        <v>1203</v>
      </c>
      <c r="CH247" s="54" t="s">
        <v>1204</v>
      </c>
      <c r="CI247" s="54" t="s">
        <v>1203</v>
      </c>
      <c r="CJ247" s="54" t="s">
        <v>1064</v>
      </c>
      <c r="CK247" s="54" t="s">
        <v>1065</v>
      </c>
      <c r="CL247" s="54" t="s">
        <v>1205</v>
      </c>
      <c r="CM247" s="54" t="s">
        <v>1206</v>
      </c>
      <c r="CN247" s="54" t="s">
        <v>1068</v>
      </c>
      <c r="CO247" s="54" t="s">
        <v>1069</v>
      </c>
      <c r="CP247" s="56">
        <v>0</v>
      </c>
      <c r="CQ247" s="56">
        <v>0</v>
      </c>
      <c r="CR247" s="56">
        <v>0</v>
      </c>
      <c r="CS247" s="56">
        <v>0</v>
      </c>
      <c r="CT247" s="56">
        <v>0</v>
      </c>
      <c r="CU247" s="56">
        <v>0</v>
      </c>
      <c r="CV247" s="56">
        <v>0</v>
      </c>
      <c r="CW247" s="56">
        <v>0</v>
      </c>
      <c r="CX247" s="56">
        <v>0</v>
      </c>
      <c r="CY247" s="56">
        <v>0</v>
      </c>
      <c r="CZ247" s="56">
        <v>0</v>
      </c>
      <c r="DA247" s="56">
        <v>0</v>
      </c>
      <c r="DB247" s="56">
        <v>0</v>
      </c>
      <c r="DC247" s="56">
        <v>0</v>
      </c>
      <c r="DD247" s="56">
        <v>0</v>
      </c>
      <c r="DE247" s="56">
        <v>0</v>
      </c>
      <c r="DF247" s="56">
        <v>0</v>
      </c>
      <c r="DG247" s="56">
        <v>0</v>
      </c>
      <c r="DH247" s="56">
        <v>0</v>
      </c>
      <c r="DI247" s="56">
        <v>0</v>
      </c>
      <c r="DJ247" s="56">
        <v>0</v>
      </c>
      <c r="DK247" s="56">
        <v>0</v>
      </c>
      <c r="DL247" s="56">
        <v>0</v>
      </c>
      <c r="DM247" s="56">
        <v>0</v>
      </c>
      <c r="DN247" s="56">
        <v>0</v>
      </c>
      <c r="DO247" s="56">
        <v>0</v>
      </c>
      <c r="DP247" s="56">
        <v>0</v>
      </c>
      <c r="DQ247" s="56">
        <v>0</v>
      </c>
      <c r="DR247" s="56">
        <v>0</v>
      </c>
      <c r="DS247" s="56">
        <v>0</v>
      </c>
      <c r="DT247" s="56">
        <v>0</v>
      </c>
      <c r="DU247" s="56">
        <v>0</v>
      </c>
      <c r="DV247" s="56">
        <v>0</v>
      </c>
      <c r="DW247" s="56">
        <v>0</v>
      </c>
      <c r="DX247" s="56">
        <v>0</v>
      </c>
      <c r="DY247" s="56">
        <v>0</v>
      </c>
      <c r="DZ247" s="56">
        <v>0</v>
      </c>
      <c r="EA247" s="56">
        <v>0</v>
      </c>
      <c r="EB247" s="56">
        <v>0</v>
      </c>
      <c r="EC247" s="56">
        <v>0</v>
      </c>
      <c r="ED247" s="56">
        <v>0</v>
      </c>
      <c r="EE247" s="56">
        <v>0</v>
      </c>
      <c r="EF247" s="56">
        <v>0</v>
      </c>
      <c r="EG247" s="56">
        <v>0</v>
      </c>
      <c r="EH247" s="56">
        <v>25.99</v>
      </c>
      <c r="EI247" s="56">
        <v>0</v>
      </c>
      <c r="EJ247" s="56">
        <v>0</v>
      </c>
      <c r="EK247" s="56">
        <v>0</v>
      </c>
      <c r="EL247" s="56">
        <v>0</v>
      </c>
      <c r="EM247" s="56">
        <v>0</v>
      </c>
      <c r="EN247" s="56">
        <v>0</v>
      </c>
      <c r="EO247" s="56">
        <v>0</v>
      </c>
      <c r="EP247" s="56">
        <v>0</v>
      </c>
      <c r="EQ247" s="56">
        <v>0</v>
      </c>
      <c r="ER247" s="56">
        <v>0</v>
      </c>
      <c r="ES247" s="56">
        <v>0</v>
      </c>
      <c r="ET247" s="56">
        <v>0</v>
      </c>
      <c r="EU247" s="56">
        <v>0</v>
      </c>
      <c r="EV247" s="56">
        <v>0</v>
      </c>
      <c r="EW247" s="56">
        <v>0</v>
      </c>
      <c r="EX247" s="56">
        <v>0</v>
      </c>
      <c r="EY247" s="56">
        <v>0</v>
      </c>
      <c r="EZ247" s="56">
        <v>0</v>
      </c>
      <c r="FA247" s="56">
        <v>0</v>
      </c>
      <c r="FB247" s="56">
        <v>0</v>
      </c>
      <c r="FC247" s="58">
        <v>0</v>
      </c>
      <c r="FD247" s="56">
        <v>0</v>
      </c>
      <c r="FE247" s="56">
        <v>0</v>
      </c>
      <c r="FF247" s="56">
        <v>0</v>
      </c>
      <c r="FG247" s="56">
        <v>0</v>
      </c>
      <c r="FH247" s="56">
        <v>0</v>
      </c>
      <c r="FI247" s="56">
        <v>0</v>
      </c>
      <c r="FJ247" s="56">
        <v>0</v>
      </c>
      <c r="FK247" s="56">
        <v>0</v>
      </c>
      <c r="FL247" s="56">
        <v>0</v>
      </c>
      <c r="FM247" s="56">
        <v>0</v>
      </c>
      <c r="FN247" s="56">
        <v>0</v>
      </c>
      <c r="FO247" s="56">
        <v>0</v>
      </c>
      <c r="FP247" s="56">
        <v>0</v>
      </c>
      <c r="FQ247" s="56">
        <v>0</v>
      </c>
      <c r="FR247" s="56">
        <v>0</v>
      </c>
      <c r="FS247" s="58">
        <v>0</v>
      </c>
      <c r="FT247" s="56">
        <v>0</v>
      </c>
      <c r="FU247" s="56">
        <v>0</v>
      </c>
      <c r="FV247" s="56">
        <v>0</v>
      </c>
      <c r="FW247" s="56">
        <v>0</v>
      </c>
      <c r="FX247" s="56">
        <v>0</v>
      </c>
      <c r="FY247" s="56">
        <v>0</v>
      </c>
      <c r="FZ247" s="54" t="s">
        <v>1070</v>
      </c>
      <c r="GA247" s="54" t="s">
        <v>1071</v>
      </c>
      <c r="GB247" s="54" t="s">
        <v>1072</v>
      </c>
      <c r="GC247" s="54" t="s">
        <v>1073</v>
      </c>
      <c r="GD247" s="54" t="s">
        <v>1215</v>
      </c>
      <c r="GE247" s="54" t="s">
        <v>1201</v>
      </c>
      <c r="GF247" s="54"/>
      <c r="GG247" s="55"/>
      <c r="GH247" s="54"/>
      <c r="GI247" s="54"/>
      <c r="GJ247" s="54" t="s">
        <v>1076</v>
      </c>
      <c r="GK247" s="54" t="s">
        <v>1077</v>
      </c>
      <c r="GL247" s="54"/>
      <c r="GM247" s="54"/>
      <c r="GN247" s="54" t="s">
        <v>1208</v>
      </c>
      <c r="GO247" s="54" t="s">
        <v>1209</v>
      </c>
      <c r="GP247" s="54"/>
      <c r="GQ247" s="56">
        <v>0</v>
      </c>
      <c r="GR247" s="54" t="s">
        <v>1079</v>
      </c>
      <c r="GS247" s="54"/>
    </row>
    <row r="248" spans="1:201" x14ac:dyDescent="0.25">
      <c r="A248" s="54" t="s">
        <v>1032</v>
      </c>
      <c r="B248" s="54" t="s">
        <v>1033</v>
      </c>
      <c r="C248" s="54" t="s">
        <v>1281</v>
      </c>
      <c r="D248" s="54" t="s">
        <v>1035</v>
      </c>
      <c r="E248" s="54" t="s">
        <v>1036</v>
      </c>
      <c r="F248" s="55">
        <v>46189</v>
      </c>
      <c r="G248" s="55">
        <v>46189</v>
      </c>
      <c r="H248" s="54" t="s">
        <v>1037</v>
      </c>
      <c r="I248" s="54" t="s">
        <v>1038</v>
      </c>
      <c r="J248" s="54" t="s">
        <v>1039</v>
      </c>
      <c r="K248" s="55"/>
      <c r="L248" s="54" t="s">
        <v>1040</v>
      </c>
      <c r="M248" s="54"/>
      <c r="N248" s="54" t="s">
        <v>1282</v>
      </c>
      <c r="O248" s="54" t="s">
        <v>1081</v>
      </c>
      <c r="P248" s="54" t="s">
        <v>607</v>
      </c>
      <c r="Q248" s="54" t="s">
        <v>658</v>
      </c>
      <c r="R248" s="54" t="s">
        <v>1043</v>
      </c>
      <c r="S248" s="56">
        <v>4941</v>
      </c>
      <c r="T248" s="56">
        <v>4941</v>
      </c>
      <c r="U248" s="56">
        <v>0</v>
      </c>
      <c r="V248" s="56">
        <v>0</v>
      </c>
      <c r="W248" s="56">
        <v>0</v>
      </c>
      <c r="X248" s="56">
        <v>0</v>
      </c>
      <c r="Y248" s="56">
        <v>0</v>
      </c>
      <c r="Z248" s="56">
        <v>900</v>
      </c>
      <c r="AA248" s="56">
        <v>900</v>
      </c>
      <c r="AB248" s="59">
        <v>0</v>
      </c>
      <c r="AC248" s="56">
        <v>0</v>
      </c>
      <c r="AD248" s="56">
        <v>0</v>
      </c>
      <c r="AE248" s="56">
        <v>0</v>
      </c>
      <c r="AF248" s="54" t="s">
        <v>1044</v>
      </c>
      <c r="AG248" s="57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 t="s">
        <v>1045</v>
      </c>
      <c r="AS248" s="54" t="s">
        <v>1046</v>
      </c>
      <c r="AT248" s="54" t="s">
        <v>1047</v>
      </c>
      <c r="AU248" s="54" t="s">
        <v>1048</v>
      </c>
      <c r="AV248" s="54"/>
      <c r="AW248" s="55">
        <v>46202</v>
      </c>
      <c r="AX248" s="55">
        <v>46189</v>
      </c>
      <c r="AY248" s="55">
        <v>46189</v>
      </c>
      <c r="AZ248" s="55"/>
      <c r="BA248" s="55">
        <v>46202</v>
      </c>
      <c r="BB248" s="56">
        <v>0</v>
      </c>
      <c r="BC248" s="56">
        <v>0</v>
      </c>
      <c r="BD248" s="56">
        <v>0</v>
      </c>
      <c r="BE248" s="56">
        <v>0</v>
      </c>
      <c r="BF248" s="56">
        <v>0</v>
      </c>
      <c r="BG248" s="56">
        <v>0</v>
      </c>
      <c r="BH248" s="56">
        <v>0</v>
      </c>
      <c r="BI248" s="56">
        <v>0</v>
      </c>
      <c r="BJ248" s="56">
        <v>0</v>
      </c>
      <c r="BK248" s="56">
        <v>0</v>
      </c>
      <c r="BL248" s="56">
        <v>0</v>
      </c>
      <c r="BM248" s="56">
        <v>0</v>
      </c>
      <c r="BN248" s="56">
        <v>0</v>
      </c>
      <c r="BO248" s="56">
        <v>0</v>
      </c>
      <c r="BP248" s="54" t="s">
        <v>1049</v>
      </c>
      <c r="BQ248" s="54" t="s">
        <v>1050</v>
      </c>
      <c r="BR248" s="54" t="s">
        <v>1049</v>
      </c>
      <c r="BS248" s="54" t="s">
        <v>1050</v>
      </c>
      <c r="BT248" s="54" t="s">
        <v>1051</v>
      </c>
      <c r="BU248" s="54" t="s">
        <v>1043</v>
      </c>
      <c r="BV248" s="58">
        <v>900</v>
      </c>
      <c r="BW248" s="54" t="s">
        <v>1052</v>
      </c>
      <c r="BX248" s="54" t="s">
        <v>1053</v>
      </c>
      <c r="BY248" s="54" t="s">
        <v>1054</v>
      </c>
      <c r="BZ248" s="54" t="s">
        <v>1055</v>
      </c>
      <c r="CA248" s="55"/>
      <c r="CB248" s="54" t="s">
        <v>1056</v>
      </c>
      <c r="CC248" s="54" t="s">
        <v>1057</v>
      </c>
      <c r="CD248" s="54" t="s">
        <v>1200</v>
      </c>
      <c r="CE248" s="54" t="s">
        <v>1201</v>
      </c>
      <c r="CF248" s="54" t="s">
        <v>1202</v>
      </c>
      <c r="CG248" s="54" t="s">
        <v>1203</v>
      </c>
      <c r="CH248" s="54" t="s">
        <v>1204</v>
      </c>
      <c r="CI248" s="54" t="s">
        <v>1203</v>
      </c>
      <c r="CJ248" s="54" t="s">
        <v>1064</v>
      </c>
      <c r="CK248" s="54" t="s">
        <v>1065</v>
      </c>
      <c r="CL248" s="54" t="s">
        <v>1205</v>
      </c>
      <c r="CM248" s="54" t="s">
        <v>1206</v>
      </c>
      <c r="CN248" s="54" t="s">
        <v>1068</v>
      </c>
      <c r="CO248" s="54" t="s">
        <v>1069</v>
      </c>
      <c r="CP248" s="56">
        <v>0</v>
      </c>
      <c r="CQ248" s="56">
        <v>0</v>
      </c>
      <c r="CR248" s="56">
        <v>0</v>
      </c>
      <c r="CS248" s="56">
        <v>0</v>
      </c>
      <c r="CT248" s="56">
        <v>0</v>
      </c>
      <c r="CU248" s="56">
        <v>0</v>
      </c>
      <c r="CV248" s="56">
        <v>0</v>
      </c>
      <c r="CW248" s="56">
        <v>0</v>
      </c>
      <c r="CX248" s="56">
        <v>0</v>
      </c>
      <c r="CY248" s="56">
        <v>0</v>
      </c>
      <c r="CZ248" s="56">
        <v>0</v>
      </c>
      <c r="DA248" s="56">
        <v>0</v>
      </c>
      <c r="DB248" s="56">
        <v>0</v>
      </c>
      <c r="DC248" s="56">
        <v>0</v>
      </c>
      <c r="DD248" s="56">
        <v>0</v>
      </c>
      <c r="DE248" s="56">
        <v>0</v>
      </c>
      <c r="DF248" s="56">
        <v>0</v>
      </c>
      <c r="DG248" s="56">
        <v>0</v>
      </c>
      <c r="DH248" s="56">
        <v>0</v>
      </c>
      <c r="DI248" s="56">
        <v>0</v>
      </c>
      <c r="DJ248" s="56">
        <v>0</v>
      </c>
      <c r="DK248" s="56">
        <v>0</v>
      </c>
      <c r="DL248" s="56">
        <v>0</v>
      </c>
      <c r="DM248" s="56">
        <v>0</v>
      </c>
      <c r="DN248" s="56">
        <v>0</v>
      </c>
      <c r="DO248" s="56">
        <v>0</v>
      </c>
      <c r="DP248" s="56">
        <v>0</v>
      </c>
      <c r="DQ248" s="56">
        <v>0</v>
      </c>
      <c r="DR248" s="56">
        <v>0</v>
      </c>
      <c r="DS248" s="56">
        <v>0</v>
      </c>
      <c r="DT248" s="56">
        <v>0</v>
      </c>
      <c r="DU248" s="56">
        <v>0</v>
      </c>
      <c r="DV248" s="56">
        <v>0</v>
      </c>
      <c r="DW248" s="56">
        <v>0</v>
      </c>
      <c r="DX248" s="56">
        <v>0</v>
      </c>
      <c r="DY248" s="56">
        <v>0</v>
      </c>
      <c r="DZ248" s="56">
        <v>0</v>
      </c>
      <c r="EA248" s="56">
        <v>0</v>
      </c>
      <c r="EB248" s="56">
        <v>0</v>
      </c>
      <c r="EC248" s="56">
        <v>0</v>
      </c>
      <c r="ED248" s="56">
        <v>0</v>
      </c>
      <c r="EE248" s="56">
        <v>0</v>
      </c>
      <c r="EF248" s="56">
        <v>0</v>
      </c>
      <c r="EG248" s="56">
        <v>0</v>
      </c>
      <c r="EH248" s="56">
        <v>592.91999999999996</v>
      </c>
      <c r="EI248" s="56">
        <v>0</v>
      </c>
      <c r="EJ248" s="56">
        <v>0</v>
      </c>
      <c r="EK248" s="56">
        <v>0</v>
      </c>
      <c r="EL248" s="56">
        <v>0</v>
      </c>
      <c r="EM248" s="56">
        <v>0</v>
      </c>
      <c r="EN248" s="56">
        <v>0</v>
      </c>
      <c r="EO248" s="56">
        <v>0</v>
      </c>
      <c r="EP248" s="56">
        <v>0</v>
      </c>
      <c r="EQ248" s="56">
        <v>0</v>
      </c>
      <c r="ER248" s="56">
        <v>0</v>
      </c>
      <c r="ES248" s="56">
        <v>0</v>
      </c>
      <c r="ET248" s="56">
        <v>0</v>
      </c>
      <c r="EU248" s="56">
        <v>0</v>
      </c>
      <c r="EV248" s="56">
        <v>0</v>
      </c>
      <c r="EW248" s="56">
        <v>0</v>
      </c>
      <c r="EX248" s="56">
        <v>0</v>
      </c>
      <c r="EY248" s="56">
        <v>0</v>
      </c>
      <c r="EZ248" s="56">
        <v>0</v>
      </c>
      <c r="FA248" s="56">
        <v>0</v>
      </c>
      <c r="FB248" s="56">
        <v>0</v>
      </c>
      <c r="FC248" s="58">
        <v>0</v>
      </c>
      <c r="FD248" s="56">
        <v>0</v>
      </c>
      <c r="FE248" s="56">
        <v>0</v>
      </c>
      <c r="FF248" s="56">
        <v>0</v>
      </c>
      <c r="FG248" s="56">
        <v>0</v>
      </c>
      <c r="FH248" s="56">
        <v>0</v>
      </c>
      <c r="FI248" s="56">
        <v>0</v>
      </c>
      <c r="FJ248" s="56">
        <v>0</v>
      </c>
      <c r="FK248" s="56">
        <v>0</v>
      </c>
      <c r="FL248" s="56">
        <v>0</v>
      </c>
      <c r="FM248" s="56">
        <v>0</v>
      </c>
      <c r="FN248" s="56">
        <v>0</v>
      </c>
      <c r="FO248" s="56">
        <v>0</v>
      </c>
      <c r="FP248" s="56">
        <v>0</v>
      </c>
      <c r="FQ248" s="56">
        <v>0</v>
      </c>
      <c r="FR248" s="56">
        <v>0</v>
      </c>
      <c r="FS248" s="58">
        <v>0</v>
      </c>
      <c r="FT248" s="56">
        <v>0</v>
      </c>
      <c r="FU248" s="56">
        <v>0</v>
      </c>
      <c r="FV248" s="56">
        <v>0</v>
      </c>
      <c r="FW248" s="56">
        <v>0</v>
      </c>
      <c r="FX248" s="56">
        <v>0</v>
      </c>
      <c r="FY248" s="56">
        <v>0</v>
      </c>
      <c r="FZ248" s="54" t="s">
        <v>1070</v>
      </c>
      <c r="GA248" s="54" t="s">
        <v>1071</v>
      </c>
      <c r="GB248" s="54" t="s">
        <v>1072</v>
      </c>
      <c r="GC248" s="54" t="s">
        <v>1073</v>
      </c>
      <c r="GD248" s="54"/>
      <c r="GE248" s="54"/>
      <c r="GF248" s="54"/>
      <c r="GG248" s="55"/>
      <c r="GH248" s="54"/>
      <c r="GI248" s="54"/>
      <c r="GJ248" s="54" t="s">
        <v>1076</v>
      </c>
      <c r="GK248" s="54" t="s">
        <v>1077</v>
      </c>
      <c r="GL248" s="54"/>
      <c r="GM248" s="54"/>
      <c r="GN248" s="54" t="s">
        <v>1208</v>
      </c>
      <c r="GO248" s="54" t="s">
        <v>1209</v>
      </c>
      <c r="GP248" s="54"/>
      <c r="GQ248" s="56">
        <v>0</v>
      </c>
      <c r="GR248" s="54" t="s">
        <v>1079</v>
      </c>
      <c r="GS248" s="54"/>
    </row>
    <row r="249" spans="1:201" x14ac:dyDescent="0.25">
      <c r="A249" s="54" t="s">
        <v>1032</v>
      </c>
      <c r="B249" s="54" t="s">
        <v>1033</v>
      </c>
      <c r="C249" s="54" t="s">
        <v>1281</v>
      </c>
      <c r="D249" s="54" t="s">
        <v>1035</v>
      </c>
      <c r="E249" s="54" t="s">
        <v>1036</v>
      </c>
      <c r="F249" s="55">
        <v>46189</v>
      </c>
      <c r="G249" s="55">
        <v>46189</v>
      </c>
      <c r="H249" s="54" t="s">
        <v>1037</v>
      </c>
      <c r="I249" s="54" t="s">
        <v>1038</v>
      </c>
      <c r="J249" s="54" t="s">
        <v>1039</v>
      </c>
      <c r="K249" s="55"/>
      <c r="L249" s="54" t="s">
        <v>1040</v>
      </c>
      <c r="M249" s="54"/>
      <c r="N249" s="54" t="s">
        <v>1282</v>
      </c>
      <c r="O249" s="54" t="s">
        <v>1046</v>
      </c>
      <c r="P249" s="54" t="s">
        <v>347</v>
      </c>
      <c r="Q249" s="54" t="s">
        <v>82</v>
      </c>
      <c r="R249" s="54" t="s">
        <v>1043</v>
      </c>
      <c r="S249" s="56">
        <v>11502</v>
      </c>
      <c r="T249" s="56">
        <v>11502</v>
      </c>
      <c r="U249" s="56">
        <v>0</v>
      </c>
      <c r="V249" s="56">
        <v>0</v>
      </c>
      <c r="W249" s="56">
        <v>0</v>
      </c>
      <c r="X249" s="56">
        <v>0</v>
      </c>
      <c r="Y249" s="56">
        <v>0</v>
      </c>
      <c r="Z249" s="56">
        <v>900</v>
      </c>
      <c r="AA249" s="56">
        <v>900</v>
      </c>
      <c r="AB249" s="59">
        <v>0</v>
      </c>
      <c r="AC249" s="56">
        <v>0</v>
      </c>
      <c r="AD249" s="56">
        <v>0</v>
      </c>
      <c r="AE249" s="56">
        <v>0</v>
      </c>
      <c r="AF249" s="54" t="s">
        <v>1044</v>
      </c>
      <c r="AG249" s="57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 t="s">
        <v>1045</v>
      </c>
      <c r="AS249" s="54" t="s">
        <v>1046</v>
      </c>
      <c r="AT249" s="54" t="s">
        <v>1047</v>
      </c>
      <c r="AU249" s="54" t="s">
        <v>1048</v>
      </c>
      <c r="AV249" s="54"/>
      <c r="AW249" s="55">
        <v>46202</v>
      </c>
      <c r="AX249" s="55">
        <v>46189</v>
      </c>
      <c r="AY249" s="55">
        <v>46189</v>
      </c>
      <c r="AZ249" s="55">
        <v>46191</v>
      </c>
      <c r="BA249" s="55">
        <v>46202</v>
      </c>
      <c r="BB249" s="56">
        <v>0</v>
      </c>
      <c r="BC249" s="56">
        <v>0</v>
      </c>
      <c r="BD249" s="56">
        <v>0</v>
      </c>
      <c r="BE249" s="56">
        <v>0</v>
      </c>
      <c r="BF249" s="56">
        <v>0</v>
      </c>
      <c r="BG249" s="56">
        <v>0</v>
      </c>
      <c r="BH249" s="56">
        <v>0</v>
      </c>
      <c r="BI249" s="56">
        <v>0</v>
      </c>
      <c r="BJ249" s="56">
        <v>0</v>
      </c>
      <c r="BK249" s="56">
        <v>0</v>
      </c>
      <c r="BL249" s="56">
        <v>0</v>
      </c>
      <c r="BM249" s="56">
        <v>0</v>
      </c>
      <c r="BN249" s="56">
        <v>0</v>
      </c>
      <c r="BO249" s="56">
        <v>0</v>
      </c>
      <c r="BP249" s="54" t="s">
        <v>1049</v>
      </c>
      <c r="BQ249" s="54" t="s">
        <v>1050</v>
      </c>
      <c r="BR249" s="54" t="s">
        <v>1049</v>
      </c>
      <c r="BS249" s="54" t="s">
        <v>1050</v>
      </c>
      <c r="BT249" s="54" t="s">
        <v>1051</v>
      </c>
      <c r="BU249" s="54" t="s">
        <v>1043</v>
      </c>
      <c r="BV249" s="58">
        <v>900</v>
      </c>
      <c r="BW249" s="54" t="s">
        <v>1052</v>
      </c>
      <c r="BX249" s="54" t="s">
        <v>1053</v>
      </c>
      <c r="BY249" s="54" t="s">
        <v>1054</v>
      </c>
      <c r="BZ249" s="54" t="s">
        <v>1055</v>
      </c>
      <c r="CA249" s="55"/>
      <c r="CB249" s="54" t="s">
        <v>1056</v>
      </c>
      <c r="CC249" s="54" t="s">
        <v>1057</v>
      </c>
      <c r="CD249" s="54" t="s">
        <v>1200</v>
      </c>
      <c r="CE249" s="54" t="s">
        <v>1201</v>
      </c>
      <c r="CF249" s="54" t="s">
        <v>1202</v>
      </c>
      <c r="CG249" s="54" t="s">
        <v>1203</v>
      </c>
      <c r="CH249" s="54" t="s">
        <v>1204</v>
      </c>
      <c r="CI249" s="54" t="s">
        <v>1203</v>
      </c>
      <c r="CJ249" s="54" t="s">
        <v>1064</v>
      </c>
      <c r="CK249" s="54" t="s">
        <v>1065</v>
      </c>
      <c r="CL249" s="54" t="s">
        <v>1205</v>
      </c>
      <c r="CM249" s="54" t="s">
        <v>1206</v>
      </c>
      <c r="CN249" s="54" t="s">
        <v>1068</v>
      </c>
      <c r="CO249" s="54" t="s">
        <v>1069</v>
      </c>
      <c r="CP249" s="56">
        <v>0</v>
      </c>
      <c r="CQ249" s="56">
        <v>0</v>
      </c>
      <c r="CR249" s="56">
        <v>0</v>
      </c>
      <c r="CS249" s="56">
        <v>0</v>
      </c>
      <c r="CT249" s="56">
        <v>0</v>
      </c>
      <c r="CU249" s="56">
        <v>0</v>
      </c>
      <c r="CV249" s="56">
        <v>0</v>
      </c>
      <c r="CW249" s="56">
        <v>0</v>
      </c>
      <c r="CX249" s="56">
        <v>0</v>
      </c>
      <c r="CY249" s="56">
        <v>0</v>
      </c>
      <c r="CZ249" s="56">
        <v>0</v>
      </c>
      <c r="DA249" s="56">
        <v>0</v>
      </c>
      <c r="DB249" s="56">
        <v>0</v>
      </c>
      <c r="DC249" s="56">
        <v>0</v>
      </c>
      <c r="DD249" s="56">
        <v>0</v>
      </c>
      <c r="DE249" s="56">
        <v>0</v>
      </c>
      <c r="DF249" s="56">
        <v>0</v>
      </c>
      <c r="DG249" s="56">
        <v>0</v>
      </c>
      <c r="DH249" s="56">
        <v>0</v>
      </c>
      <c r="DI249" s="56">
        <v>0</v>
      </c>
      <c r="DJ249" s="56">
        <v>0</v>
      </c>
      <c r="DK249" s="56">
        <v>0</v>
      </c>
      <c r="DL249" s="56">
        <v>0</v>
      </c>
      <c r="DM249" s="56">
        <v>0</v>
      </c>
      <c r="DN249" s="56">
        <v>0</v>
      </c>
      <c r="DO249" s="56">
        <v>0</v>
      </c>
      <c r="DP249" s="56">
        <v>0</v>
      </c>
      <c r="DQ249" s="56">
        <v>0</v>
      </c>
      <c r="DR249" s="56">
        <v>0</v>
      </c>
      <c r="DS249" s="56">
        <v>0</v>
      </c>
      <c r="DT249" s="56">
        <v>0</v>
      </c>
      <c r="DU249" s="56">
        <v>0</v>
      </c>
      <c r="DV249" s="56">
        <v>0</v>
      </c>
      <c r="DW249" s="56">
        <v>0</v>
      </c>
      <c r="DX249" s="56">
        <v>0</v>
      </c>
      <c r="DY249" s="56">
        <v>0</v>
      </c>
      <c r="DZ249" s="56">
        <v>0</v>
      </c>
      <c r="EA249" s="56">
        <v>0</v>
      </c>
      <c r="EB249" s="56">
        <v>0</v>
      </c>
      <c r="EC249" s="56">
        <v>0</v>
      </c>
      <c r="ED249" s="56">
        <v>0</v>
      </c>
      <c r="EE249" s="56">
        <v>0</v>
      </c>
      <c r="EF249" s="56">
        <v>0</v>
      </c>
      <c r="EG249" s="56">
        <v>0</v>
      </c>
      <c r="EH249" s="56">
        <v>1380.24</v>
      </c>
      <c r="EI249" s="56">
        <v>0</v>
      </c>
      <c r="EJ249" s="56">
        <v>0</v>
      </c>
      <c r="EK249" s="56">
        <v>0</v>
      </c>
      <c r="EL249" s="56">
        <v>0</v>
      </c>
      <c r="EM249" s="56">
        <v>0</v>
      </c>
      <c r="EN249" s="56">
        <v>0</v>
      </c>
      <c r="EO249" s="56">
        <v>0</v>
      </c>
      <c r="EP249" s="56">
        <v>0</v>
      </c>
      <c r="EQ249" s="56">
        <v>0</v>
      </c>
      <c r="ER249" s="56">
        <v>0</v>
      </c>
      <c r="ES249" s="56">
        <v>0</v>
      </c>
      <c r="ET249" s="56">
        <v>0</v>
      </c>
      <c r="EU249" s="56">
        <v>0</v>
      </c>
      <c r="EV249" s="56">
        <v>0</v>
      </c>
      <c r="EW249" s="56">
        <v>0</v>
      </c>
      <c r="EX249" s="56">
        <v>0</v>
      </c>
      <c r="EY249" s="56">
        <v>0</v>
      </c>
      <c r="EZ249" s="56">
        <v>0</v>
      </c>
      <c r="FA249" s="56">
        <v>0</v>
      </c>
      <c r="FB249" s="56">
        <v>0</v>
      </c>
      <c r="FC249" s="58">
        <v>0</v>
      </c>
      <c r="FD249" s="56">
        <v>0</v>
      </c>
      <c r="FE249" s="56">
        <v>0</v>
      </c>
      <c r="FF249" s="56">
        <v>0</v>
      </c>
      <c r="FG249" s="56">
        <v>0</v>
      </c>
      <c r="FH249" s="56">
        <v>0</v>
      </c>
      <c r="FI249" s="56">
        <v>0</v>
      </c>
      <c r="FJ249" s="56">
        <v>0</v>
      </c>
      <c r="FK249" s="56">
        <v>0</v>
      </c>
      <c r="FL249" s="56">
        <v>0</v>
      </c>
      <c r="FM249" s="56">
        <v>0</v>
      </c>
      <c r="FN249" s="56">
        <v>0</v>
      </c>
      <c r="FO249" s="56">
        <v>0</v>
      </c>
      <c r="FP249" s="56">
        <v>0</v>
      </c>
      <c r="FQ249" s="56">
        <v>0</v>
      </c>
      <c r="FR249" s="56">
        <v>0</v>
      </c>
      <c r="FS249" s="58">
        <v>0</v>
      </c>
      <c r="FT249" s="56">
        <v>0</v>
      </c>
      <c r="FU249" s="56">
        <v>0</v>
      </c>
      <c r="FV249" s="56">
        <v>0</v>
      </c>
      <c r="FW249" s="56">
        <v>0</v>
      </c>
      <c r="FX249" s="56">
        <v>0</v>
      </c>
      <c r="FY249" s="56">
        <v>0</v>
      </c>
      <c r="FZ249" s="54" t="s">
        <v>1070</v>
      </c>
      <c r="GA249" s="54" t="s">
        <v>1071</v>
      </c>
      <c r="GB249" s="54" t="s">
        <v>1072</v>
      </c>
      <c r="GC249" s="54" t="s">
        <v>1073</v>
      </c>
      <c r="GD249" s="54" t="s">
        <v>1284</v>
      </c>
      <c r="GE249" s="54" t="s">
        <v>1201</v>
      </c>
      <c r="GF249" s="54"/>
      <c r="GG249" s="55"/>
      <c r="GH249" s="54"/>
      <c r="GI249" s="54"/>
      <c r="GJ249" s="54" t="s">
        <v>1076</v>
      </c>
      <c r="GK249" s="54" t="s">
        <v>1077</v>
      </c>
      <c r="GL249" s="54"/>
      <c r="GM249" s="54"/>
      <c r="GN249" s="54" t="s">
        <v>1208</v>
      </c>
      <c r="GO249" s="54" t="s">
        <v>1209</v>
      </c>
      <c r="GP249" s="54"/>
      <c r="GQ249" s="56">
        <v>0</v>
      </c>
      <c r="GR249" s="54" t="s">
        <v>1079</v>
      </c>
      <c r="GS249" s="54"/>
    </row>
    <row r="250" spans="1:201" x14ac:dyDescent="0.25">
      <c r="A250" s="54" t="s">
        <v>1032</v>
      </c>
      <c r="B250" s="54" t="s">
        <v>1033</v>
      </c>
      <c r="C250" s="54" t="s">
        <v>1281</v>
      </c>
      <c r="D250" s="54" t="s">
        <v>1035</v>
      </c>
      <c r="E250" s="54" t="s">
        <v>1036</v>
      </c>
      <c r="F250" s="55">
        <v>46189</v>
      </c>
      <c r="G250" s="55">
        <v>46189</v>
      </c>
      <c r="H250" s="54" t="s">
        <v>1037</v>
      </c>
      <c r="I250" s="54" t="s">
        <v>1038</v>
      </c>
      <c r="J250" s="54" t="s">
        <v>1039</v>
      </c>
      <c r="K250" s="55"/>
      <c r="L250" s="54" t="s">
        <v>1040</v>
      </c>
      <c r="M250" s="54"/>
      <c r="N250" s="54" t="s">
        <v>1282</v>
      </c>
      <c r="O250" s="54" t="s">
        <v>1091</v>
      </c>
      <c r="P250" s="54" t="s">
        <v>241</v>
      </c>
      <c r="Q250" s="54" t="s">
        <v>85</v>
      </c>
      <c r="R250" s="54" t="s">
        <v>1043</v>
      </c>
      <c r="S250" s="56">
        <v>426</v>
      </c>
      <c r="T250" s="56">
        <v>426</v>
      </c>
      <c r="U250" s="56">
        <v>0</v>
      </c>
      <c r="V250" s="56">
        <v>0</v>
      </c>
      <c r="W250" s="56">
        <v>0</v>
      </c>
      <c r="X250" s="56">
        <v>0</v>
      </c>
      <c r="Y250" s="56">
        <v>0</v>
      </c>
      <c r="Z250" s="56">
        <v>300</v>
      </c>
      <c r="AA250" s="56">
        <v>300</v>
      </c>
      <c r="AB250" s="59">
        <v>0</v>
      </c>
      <c r="AC250" s="56">
        <v>0</v>
      </c>
      <c r="AD250" s="56">
        <v>0</v>
      </c>
      <c r="AE250" s="56">
        <v>0</v>
      </c>
      <c r="AF250" s="54" t="s">
        <v>1044</v>
      </c>
      <c r="AG250" s="57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 t="s">
        <v>1045</v>
      </c>
      <c r="AS250" s="54" t="s">
        <v>1046</v>
      </c>
      <c r="AT250" s="54" t="s">
        <v>1047</v>
      </c>
      <c r="AU250" s="54" t="s">
        <v>1048</v>
      </c>
      <c r="AV250" s="54"/>
      <c r="AW250" s="55">
        <v>46202</v>
      </c>
      <c r="AX250" s="55">
        <v>46189</v>
      </c>
      <c r="AY250" s="55">
        <v>46189</v>
      </c>
      <c r="AZ250" s="55">
        <v>46191</v>
      </c>
      <c r="BA250" s="55">
        <v>46202</v>
      </c>
      <c r="BB250" s="56">
        <v>0</v>
      </c>
      <c r="BC250" s="56">
        <v>0</v>
      </c>
      <c r="BD250" s="56">
        <v>0</v>
      </c>
      <c r="BE250" s="56">
        <v>0</v>
      </c>
      <c r="BF250" s="56">
        <v>0</v>
      </c>
      <c r="BG250" s="56">
        <v>0</v>
      </c>
      <c r="BH250" s="56">
        <v>0</v>
      </c>
      <c r="BI250" s="56">
        <v>0</v>
      </c>
      <c r="BJ250" s="56">
        <v>0</v>
      </c>
      <c r="BK250" s="56">
        <v>0</v>
      </c>
      <c r="BL250" s="56">
        <v>0</v>
      </c>
      <c r="BM250" s="56">
        <v>0</v>
      </c>
      <c r="BN250" s="56">
        <v>0</v>
      </c>
      <c r="BO250" s="56">
        <v>0</v>
      </c>
      <c r="BP250" s="54" t="s">
        <v>1049</v>
      </c>
      <c r="BQ250" s="54" t="s">
        <v>1050</v>
      </c>
      <c r="BR250" s="54" t="s">
        <v>1049</v>
      </c>
      <c r="BS250" s="54" t="s">
        <v>1050</v>
      </c>
      <c r="BT250" s="54" t="s">
        <v>1051</v>
      </c>
      <c r="BU250" s="54" t="s">
        <v>1043</v>
      </c>
      <c r="BV250" s="58">
        <v>300</v>
      </c>
      <c r="BW250" s="54" t="s">
        <v>1052</v>
      </c>
      <c r="BX250" s="54" t="s">
        <v>1053</v>
      </c>
      <c r="BY250" s="54" t="s">
        <v>1054</v>
      </c>
      <c r="BZ250" s="54" t="s">
        <v>1055</v>
      </c>
      <c r="CA250" s="55"/>
      <c r="CB250" s="54" t="s">
        <v>1056</v>
      </c>
      <c r="CC250" s="54" t="s">
        <v>1057</v>
      </c>
      <c r="CD250" s="54" t="s">
        <v>1200</v>
      </c>
      <c r="CE250" s="54" t="s">
        <v>1201</v>
      </c>
      <c r="CF250" s="54" t="s">
        <v>1202</v>
      </c>
      <c r="CG250" s="54" t="s">
        <v>1203</v>
      </c>
      <c r="CH250" s="54" t="s">
        <v>1204</v>
      </c>
      <c r="CI250" s="54" t="s">
        <v>1203</v>
      </c>
      <c r="CJ250" s="54" t="s">
        <v>1064</v>
      </c>
      <c r="CK250" s="54" t="s">
        <v>1065</v>
      </c>
      <c r="CL250" s="54" t="s">
        <v>1205</v>
      </c>
      <c r="CM250" s="54" t="s">
        <v>1206</v>
      </c>
      <c r="CN250" s="54" t="s">
        <v>1068</v>
      </c>
      <c r="CO250" s="54" t="s">
        <v>1069</v>
      </c>
      <c r="CP250" s="56">
        <v>0</v>
      </c>
      <c r="CQ250" s="56">
        <v>0</v>
      </c>
      <c r="CR250" s="56">
        <v>0</v>
      </c>
      <c r="CS250" s="56">
        <v>0</v>
      </c>
      <c r="CT250" s="56">
        <v>0</v>
      </c>
      <c r="CU250" s="56">
        <v>0</v>
      </c>
      <c r="CV250" s="56">
        <v>0</v>
      </c>
      <c r="CW250" s="56">
        <v>0</v>
      </c>
      <c r="CX250" s="56">
        <v>0</v>
      </c>
      <c r="CY250" s="56">
        <v>0</v>
      </c>
      <c r="CZ250" s="56">
        <v>0</v>
      </c>
      <c r="DA250" s="56">
        <v>0</v>
      </c>
      <c r="DB250" s="56">
        <v>0</v>
      </c>
      <c r="DC250" s="56">
        <v>0</v>
      </c>
      <c r="DD250" s="56">
        <v>0</v>
      </c>
      <c r="DE250" s="56">
        <v>0</v>
      </c>
      <c r="DF250" s="56">
        <v>0</v>
      </c>
      <c r="DG250" s="56">
        <v>0</v>
      </c>
      <c r="DH250" s="56">
        <v>0</v>
      </c>
      <c r="DI250" s="56">
        <v>0</v>
      </c>
      <c r="DJ250" s="56">
        <v>0</v>
      </c>
      <c r="DK250" s="56">
        <v>0</v>
      </c>
      <c r="DL250" s="56">
        <v>0</v>
      </c>
      <c r="DM250" s="56">
        <v>0</v>
      </c>
      <c r="DN250" s="56">
        <v>0</v>
      </c>
      <c r="DO250" s="56">
        <v>0</v>
      </c>
      <c r="DP250" s="56">
        <v>0</v>
      </c>
      <c r="DQ250" s="56">
        <v>0</v>
      </c>
      <c r="DR250" s="56">
        <v>0</v>
      </c>
      <c r="DS250" s="56">
        <v>0</v>
      </c>
      <c r="DT250" s="56">
        <v>0</v>
      </c>
      <c r="DU250" s="56">
        <v>0</v>
      </c>
      <c r="DV250" s="56">
        <v>0</v>
      </c>
      <c r="DW250" s="56">
        <v>0</v>
      </c>
      <c r="DX250" s="56">
        <v>0</v>
      </c>
      <c r="DY250" s="56">
        <v>0</v>
      </c>
      <c r="DZ250" s="56">
        <v>0</v>
      </c>
      <c r="EA250" s="56">
        <v>0</v>
      </c>
      <c r="EB250" s="56">
        <v>0</v>
      </c>
      <c r="EC250" s="56">
        <v>0</v>
      </c>
      <c r="ED250" s="56">
        <v>0</v>
      </c>
      <c r="EE250" s="56">
        <v>0</v>
      </c>
      <c r="EF250" s="56">
        <v>0</v>
      </c>
      <c r="EG250" s="56">
        <v>0</v>
      </c>
      <c r="EH250" s="56">
        <v>51.12</v>
      </c>
      <c r="EI250" s="56">
        <v>0</v>
      </c>
      <c r="EJ250" s="56">
        <v>0</v>
      </c>
      <c r="EK250" s="56">
        <v>0</v>
      </c>
      <c r="EL250" s="56">
        <v>0</v>
      </c>
      <c r="EM250" s="56">
        <v>0</v>
      </c>
      <c r="EN250" s="56">
        <v>0</v>
      </c>
      <c r="EO250" s="56">
        <v>0</v>
      </c>
      <c r="EP250" s="56">
        <v>0</v>
      </c>
      <c r="EQ250" s="56">
        <v>0</v>
      </c>
      <c r="ER250" s="56">
        <v>0</v>
      </c>
      <c r="ES250" s="56">
        <v>0</v>
      </c>
      <c r="ET250" s="56">
        <v>0</v>
      </c>
      <c r="EU250" s="56">
        <v>0</v>
      </c>
      <c r="EV250" s="56">
        <v>0</v>
      </c>
      <c r="EW250" s="56">
        <v>0</v>
      </c>
      <c r="EX250" s="56">
        <v>0</v>
      </c>
      <c r="EY250" s="56">
        <v>0</v>
      </c>
      <c r="EZ250" s="56">
        <v>0</v>
      </c>
      <c r="FA250" s="56">
        <v>0</v>
      </c>
      <c r="FB250" s="56">
        <v>0</v>
      </c>
      <c r="FC250" s="58">
        <v>0</v>
      </c>
      <c r="FD250" s="56">
        <v>0</v>
      </c>
      <c r="FE250" s="56">
        <v>0</v>
      </c>
      <c r="FF250" s="56">
        <v>0</v>
      </c>
      <c r="FG250" s="56">
        <v>0</v>
      </c>
      <c r="FH250" s="56">
        <v>0</v>
      </c>
      <c r="FI250" s="56">
        <v>0</v>
      </c>
      <c r="FJ250" s="56">
        <v>0</v>
      </c>
      <c r="FK250" s="56">
        <v>0</v>
      </c>
      <c r="FL250" s="56">
        <v>0</v>
      </c>
      <c r="FM250" s="56">
        <v>0</v>
      </c>
      <c r="FN250" s="56">
        <v>0</v>
      </c>
      <c r="FO250" s="56">
        <v>0</v>
      </c>
      <c r="FP250" s="56">
        <v>0</v>
      </c>
      <c r="FQ250" s="56">
        <v>0</v>
      </c>
      <c r="FR250" s="56">
        <v>0</v>
      </c>
      <c r="FS250" s="58">
        <v>0</v>
      </c>
      <c r="FT250" s="56">
        <v>0</v>
      </c>
      <c r="FU250" s="56">
        <v>0</v>
      </c>
      <c r="FV250" s="56">
        <v>0</v>
      </c>
      <c r="FW250" s="56">
        <v>0</v>
      </c>
      <c r="FX250" s="56">
        <v>0</v>
      </c>
      <c r="FY250" s="56">
        <v>0</v>
      </c>
      <c r="FZ250" s="54" t="s">
        <v>1083</v>
      </c>
      <c r="GA250" s="54" t="s">
        <v>1084</v>
      </c>
      <c r="GB250" s="54" t="s">
        <v>1072</v>
      </c>
      <c r="GC250" s="54" t="s">
        <v>1073</v>
      </c>
      <c r="GD250" s="54" t="s">
        <v>1216</v>
      </c>
      <c r="GE250" s="54" t="s">
        <v>1201</v>
      </c>
      <c r="GF250" s="54"/>
      <c r="GG250" s="55"/>
      <c r="GH250" s="54"/>
      <c r="GI250" s="54"/>
      <c r="GJ250" s="54" t="s">
        <v>1076</v>
      </c>
      <c r="GK250" s="54" t="s">
        <v>1077</v>
      </c>
      <c r="GL250" s="54"/>
      <c r="GM250" s="54"/>
      <c r="GN250" s="54" t="s">
        <v>1208</v>
      </c>
      <c r="GO250" s="54" t="s">
        <v>1209</v>
      </c>
      <c r="GP250" s="54"/>
      <c r="GQ250" s="56">
        <v>0</v>
      </c>
      <c r="GR250" s="54" t="s">
        <v>1079</v>
      </c>
      <c r="GS250" s="54"/>
    </row>
    <row r="251" spans="1:201" x14ac:dyDescent="0.25">
      <c r="A251" s="54" t="s">
        <v>1032</v>
      </c>
      <c r="B251" s="54" t="s">
        <v>1033</v>
      </c>
      <c r="C251" s="54" t="s">
        <v>1281</v>
      </c>
      <c r="D251" s="54" t="s">
        <v>1035</v>
      </c>
      <c r="E251" s="54" t="s">
        <v>1036</v>
      </c>
      <c r="F251" s="55">
        <v>46189</v>
      </c>
      <c r="G251" s="55">
        <v>46189</v>
      </c>
      <c r="H251" s="54" t="s">
        <v>1037</v>
      </c>
      <c r="I251" s="54" t="s">
        <v>1038</v>
      </c>
      <c r="J251" s="54" t="s">
        <v>1039</v>
      </c>
      <c r="K251" s="55"/>
      <c r="L251" s="54" t="s">
        <v>1040</v>
      </c>
      <c r="M251" s="54"/>
      <c r="N251" s="54" t="s">
        <v>1282</v>
      </c>
      <c r="O251" s="54" t="s">
        <v>1093</v>
      </c>
      <c r="P251" s="54" t="s">
        <v>485</v>
      </c>
      <c r="Q251" s="54" t="s">
        <v>486</v>
      </c>
      <c r="R251" s="54" t="s">
        <v>1043</v>
      </c>
      <c r="S251" s="56">
        <v>508.2</v>
      </c>
      <c r="T251" s="56">
        <v>508.2</v>
      </c>
      <c r="U251" s="56">
        <v>0</v>
      </c>
      <c r="V251" s="56">
        <v>0</v>
      </c>
      <c r="W251" s="56">
        <v>0</v>
      </c>
      <c r="X251" s="56">
        <v>0</v>
      </c>
      <c r="Y251" s="56">
        <v>0</v>
      </c>
      <c r="Z251" s="56">
        <v>70</v>
      </c>
      <c r="AA251" s="56">
        <v>70</v>
      </c>
      <c r="AB251" s="59">
        <v>0</v>
      </c>
      <c r="AC251" s="56">
        <v>0</v>
      </c>
      <c r="AD251" s="56">
        <v>0</v>
      </c>
      <c r="AE251" s="56">
        <v>0</v>
      </c>
      <c r="AF251" s="54" t="s">
        <v>1044</v>
      </c>
      <c r="AG251" s="57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 t="s">
        <v>1045</v>
      </c>
      <c r="AS251" s="54" t="s">
        <v>1046</v>
      </c>
      <c r="AT251" s="54" t="s">
        <v>1047</v>
      </c>
      <c r="AU251" s="54" t="s">
        <v>1048</v>
      </c>
      <c r="AV251" s="54"/>
      <c r="AW251" s="55">
        <v>46202</v>
      </c>
      <c r="AX251" s="55">
        <v>46189</v>
      </c>
      <c r="AY251" s="55">
        <v>46189</v>
      </c>
      <c r="AZ251" s="55">
        <v>46191</v>
      </c>
      <c r="BA251" s="55">
        <v>46202</v>
      </c>
      <c r="BB251" s="56">
        <v>0</v>
      </c>
      <c r="BC251" s="56">
        <v>0</v>
      </c>
      <c r="BD251" s="56">
        <v>0</v>
      </c>
      <c r="BE251" s="56">
        <v>0</v>
      </c>
      <c r="BF251" s="56">
        <v>0</v>
      </c>
      <c r="BG251" s="56">
        <v>0</v>
      </c>
      <c r="BH251" s="56">
        <v>0</v>
      </c>
      <c r="BI251" s="56">
        <v>0</v>
      </c>
      <c r="BJ251" s="56">
        <v>0</v>
      </c>
      <c r="BK251" s="56">
        <v>0</v>
      </c>
      <c r="BL251" s="56">
        <v>0</v>
      </c>
      <c r="BM251" s="56">
        <v>0</v>
      </c>
      <c r="BN251" s="56">
        <v>0</v>
      </c>
      <c r="BO251" s="56">
        <v>0</v>
      </c>
      <c r="BP251" s="54" t="s">
        <v>1049</v>
      </c>
      <c r="BQ251" s="54" t="s">
        <v>1050</v>
      </c>
      <c r="BR251" s="54" t="s">
        <v>1049</v>
      </c>
      <c r="BS251" s="54" t="s">
        <v>1050</v>
      </c>
      <c r="BT251" s="54" t="s">
        <v>1051</v>
      </c>
      <c r="BU251" s="54" t="s">
        <v>1043</v>
      </c>
      <c r="BV251" s="58">
        <v>70</v>
      </c>
      <c r="BW251" s="54" t="s">
        <v>1052</v>
      </c>
      <c r="BX251" s="54" t="s">
        <v>1053</v>
      </c>
      <c r="BY251" s="54" t="s">
        <v>1054</v>
      </c>
      <c r="BZ251" s="54" t="s">
        <v>1055</v>
      </c>
      <c r="CA251" s="55"/>
      <c r="CB251" s="54" t="s">
        <v>1056</v>
      </c>
      <c r="CC251" s="54" t="s">
        <v>1057</v>
      </c>
      <c r="CD251" s="54" t="s">
        <v>1200</v>
      </c>
      <c r="CE251" s="54" t="s">
        <v>1201</v>
      </c>
      <c r="CF251" s="54" t="s">
        <v>1202</v>
      </c>
      <c r="CG251" s="54" t="s">
        <v>1203</v>
      </c>
      <c r="CH251" s="54" t="s">
        <v>1204</v>
      </c>
      <c r="CI251" s="54" t="s">
        <v>1203</v>
      </c>
      <c r="CJ251" s="54" t="s">
        <v>1064</v>
      </c>
      <c r="CK251" s="54" t="s">
        <v>1065</v>
      </c>
      <c r="CL251" s="54" t="s">
        <v>1205</v>
      </c>
      <c r="CM251" s="54" t="s">
        <v>1206</v>
      </c>
      <c r="CN251" s="54" t="s">
        <v>1068</v>
      </c>
      <c r="CO251" s="54" t="s">
        <v>1069</v>
      </c>
      <c r="CP251" s="56">
        <v>0</v>
      </c>
      <c r="CQ251" s="56">
        <v>0</v>
      </c>
      <c r="CR251" s="56">
        <v>0</v>
      </c>
      <c r="CS251" s="56">
        <v>0</v>
      </c>
      <c r="CT251" s="56">
        <v>0</v>
      </c>
      <c r="CU251" s="56">
        <v>0</v>
      </c>
      <c r="CV251" s="56">
        <v>0</v>
      </c>
      <c r="CW251" s="56">
        <v>0</v>
      </c>
      <c r="CX251" s="56">
        <v>0</v>
      </c>
      <c r="CY251" s="56">
        <v>0</v>
      </c>
      <c r="CZ251" s="56">
        <v>0</v>
      </c>
      <c r="DA251" s="56">
        <v>0</v>
      </c>
      <c r="DB251" s="56">
        <v>0</v>
      </c>
      <c r="DC251" s="56">
        <v>0</v>
      </c>
      <c r="DD251" s="56">
        <v>0</v>
      </c>
      <c r="DE251" s="56">
        <v>0</v>
      </c>
      <c r="DF251" s="56">
        <v>0</v>
      </c>
      <c r="DG251" s="56">
        <v>0</v>
      </c>
      <c r="DH251" s="56">
        <v>0</v>
      </c>
      <c r="DI251" s="56">
        <v>0</v>
      </c>
      <c r="DJ251" s="56">
        <v>0</v>
      </c>
      <c r="DK251" s="56">
        <v>0</v>
      </c>
      <c r="DL251" s="56">
        <v>0</v>
      </c>
      <c r="DM251" s="56">
        <v>0</v>
      </c>
      <c r="DN251" s="56">
        <v>0</v>
      </c>
      <c r="DO251" s="56">
        <v>0</v>
      </c>
      <c r="DP251" s="56">
        <v>0</v>
      </c>
      <c r="DQ251" s="56">
        <v>0</v>
      </c>
      <c r="DR251" s="56">
        <v>0</v>
      </c>
      <c r="DS251" s="56">
        <v>0</v>
      </c>
      <c r="DT251" s="56">
        <v>0</v>
      </c>
      <c r="DU251" s="56">
        <v>0</v>
      </c>
      <c r="DV251" s="56">
        <v>0</v>
      </c>
      <c r="DW251" s="56">
        <v>0</v>
      </c>
      <c r="DX251" s="56">
        <v>0</v>
      </c>
      <c r="DY251" s="56">
        <v>0</v>
      </c>
      <c r="DZ251" s="56">
        <v>0</v>
      </c>
      <c r="EA251" s="56">
        <v>0</v>
      </c>
      <c r="EB251" s="56">
        <v>0</v>
      </c>
      <c r="EC251" s="56">
        <v>0</v>
      </c>
      <c r="ED251" s="56">
        <v>0</v>
      </c>
      <c r="EE251" s="56">
        <v>0</v>
      </c>
      <c r="EF251" s="56">
        <v>0</v>
      </c>
      <c r="EG251" s="56">
        <v>0</v>
      </c>
      <c r="EH251" s="56">
        <v>60.98</v>
      </c>
      <c r="EI251" s="56">
        <v>0</v>
      </c>
      <c r="EJ251" s="56">
        <v>0</v>
      </c>
      <c r="EK251" s="56">
        <v>0</v>
      </c>
      <c r="EL251" s="56">
        <v>0</v>
      </c>
      <c r="EM251" s="56">
        <v>0</v>
      </c>
      <c r="EN251" s="56">
        <v>0</v>
      </c>
      <c r="EO251" s="56">
        <v>0</v>
      </c>
      <c r="EP251" s="56">
        <v>0</v>
      </c>
      <c r="EQ251" s="56">
        <v>0</v>
      </c>
      <c r="ER251" s="56">
        <v>0</v>
      </c>
      <c r="ES251" s="56">
        <v>0</v>
      </c>
      <c r="ET251" s="56">
        <v>0</v>
      </c>
      <c r="EU251" s="56">
        <v>0</v>
      </c>
      <c r="EV251" s="56">
        <v>0</v>
      </c>
      <c r="EW251" s="56">
        <v>0</v>
      </c>
      <c r="EX251" s="56">
        <v>0</v>
      </c>
      <c r="EY251" s="56">
        <v>0</v>
      </c>
      <c r="EZ251" s="56">
        <v>0</v>
      </c>
      <c r="FA251" s="56">
        <v>0</v>
      </c>
      <c r="FB251" s="56">
        <v>0</v>
      </c>
      <c r="FC251" s="58">
        <v>0</v>
      </c>
      <c r="FD251" s="56">
        <v>0</v>
      </c>
      <c r="FE251" s="56">
        <v>0</v>
      </c>
      <c r="FF251" s="56">
        <v>0</v>
      </c>
      <c r="FG251" s="56">
        <v>0</v>
      </c>
      <c r="FH251" s="56">
        <v>0</v>
      </c>
      <c r="FI251" s="56">
        <v>0</v>
      </c>
      <c r="FJ251" s="56">
        <v>0</v>
      </c>
      <c r="FK251" s="56">
        <v>0</v>
      </c>
      <c r="FL251" s="56">
        <v>0</v>
      </c>
      <c r="FM251" s="56">
        <v>0</v>
      </c>
      <c r="FN251" s="56">
        <v>0</v>
      </c>
      <c r="FO251" s="56">
        <v>0</v>
      </c>
      <c r="FP251" s="56">
        <v>0</v>
      </c>
      <c r="FQ251" s="56">
        <v>0</v>
      </c>
      <c r="FR251" s="56">
        <v>0</v>
      </c>
      <c r="FS251" s="58">
        <v>0</v>
      </c>
      <c r="FT251" s="56">
        <v>0</v>
      </c>
      <c r="FU251" s="56">
        <v>0</v>
      </c>
      <c r="FV251" s="56">
        <v>0</v>
      </c>
      <c r="FW251" s="56">
        <v>0</v>
      </c>
      <c r="FX251" s="56">
        <v>0</v>
      </c>
      <c r="FY251" s="56">
        <v>0</v>
      </c>
      <c r="FZ251" s="54" t="s">
        <v>1070</v>
      </c>
      <c r="GA251" s="54" t="s">
        <v>1071</v>
      </c>
      <c r="GB251" s="54" t="s">
        <v>1072</v>
      </c>
      <c r="GC251" s="54" t="s">
        <v>1073</v>
      </c>
      <c r="GD251" s="54"/>
      <c r="GE251" s="54"/>
      <c r="GF251" s="54"/>
      <c r="GG251" s="55"/>
      <c r="GH251" s="54"/>
      <c r="GI251" s="54"/>
      <c r="GJ251" s="54" t="s">
        <v>1076</v>
      </c>
      <c r="GK251" s="54" t="s">
        <v>1077</v>
      </c>
      <c r="GL251" s="54"/>
      <c r="GM251" s="54"/>
      <c r="GN251" s="54" t="s">
        <v>1208</v>
      </c>
      <c r="GO251" s="54" t="s">
        <v>1209</v>
      </c>
      <c r="GP251" s="54"/>
      <c r="GQ251" s="56">
        <v>0</v>
      </c>
      <c r="GR251" s="54" t="s">
        <v>1079</v>
      </c>
      <c r="GS251" s="54"/>
    </row>
    <row r="252" spans="1:201" x14ac:dyDescent="0.25">
      <c r="A252" s="54" t="s">
        <v>1032</v>
      </c>
      <c r="B252" s="54" t="s">
        <v>1033</v>
      </c>
      <c r="C252" s="54" t="s">
        <v>1281</v>
      </c>
      <c r="D252" s="54" t="s">
        <v>1035</v>
      </c>
      <c r="E252" s="54" t="s">
        <v>1036</v>
      </c>
      <c r="F252" s="55">
        <v>46189</v>
      </c>
      <c r="G252" s="55">
        <v>46189</v>
      </c>
      <c r="H252" s="54" t="s">
        <v>1037</v>
      </c>
      <c r="I252" s="54" t="s">
        <v>1038</v>
      </c>
      <c r="J252" s="54" t="s">
        <v>1039</v>
      </c>
      <c r="K252" s="55"/>
      <c r="L252" s="54" t="s">
        <v>1040</v>
      </c>
      <c r="M252" s="54"/>
      <c r="N252" s="54" t="s">
        <v>1282</v>
      </c>
      <c r="O252" s="54" t="s">
        <v>1099</v>
      </c>
      <c r="P252" s="54" t="s">
        <v>244</v>
      </c>
      <c r="Q252" s="54" t="s">
        <v>88</v>
      </c>
      <c r="R252" s="54" t="s">
        <v>1043</v>
      </c>
      <c r="S252" s="56">
        <v>1264.8</v>
      </c>
      <c r="T252" s="56">
        <v>1264.8</v>
      </c>
      <c r="U252" s="56">
        <v>0</v>
      </c>
      <c r="V252" s="56">
        <v>0</v>
      </c>
      <c r="W252" s="56">
        <v>0</v>
      </c>
      <c r="X252" s="56">
        <v>0</v>
      </c>
      <c r="Y252" s="56">
        <v>0</v>
      </c>
      <c r="Z252" s="56">
        <v>240</v>
      </c>
      <c r="AA252" s="56">
        <v>240</v>
      </c>
      <c r="AB252" s="59">
        <v>0</v>
      </c>
      <c r="AC252" s="56">
        <v>0</v>
      </c>
      <c r="AD252" s="56">
        <v>0</v>
      </c>
      <c r="AE252" s="56">
        <v>0</v>
      </c>
      <c r="AF252" s="54" t="s">
        <v>1044</v>
      </c>
      <c r="AG252" s="57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 t="s">
        <v>1045</v>
      </c>
      <c r="AS252" s="54" t="s">
        <v>1046</v>
      </c>
      <c r="AT252" s="54" t="s">
        <v>1047</v>
      </c>
      <c r="AU252" s="54" t="s">
        <v>1048</v>
      </c>
      <c r="AV252" s="54"/>
      <c r="AW252" s="55">
        <v>46202</v>
      </c>
      <c r="AX252" s="55">
        <v>46189</v>
      </c>
      <c r="AY252" s="55">
        <v>46189</v>
      </c>
      <c r="AZ252" s="55">
        <v>46191</v>
      </c>
      <c r="BA252" s="55">
        <v>46202</v>
      </c>
      <c r="BB252" s="56">
        <v>0</v>
      </c>
      <c r="BC252" s="56">
        <v>0</v>
      </c>
      <c r="BD252" s="56">
        <v>0</v>
      </c>
      <c r="BE252" s="56">
        <v>0</v>
      </c>
      <c r="BF252" s="56">
        <v>0</v>
      </c>
      <c r="BG252" s="56">
        <v>0</v>
      </c>
      <c r="BH252" s="56">
        <v>0</v>
      </c>
      <c r="BI252" s="56">
        <v>0</v>
      </c>
      <c r="BJ252" s="56">
        <v>0</v>
      </c>
      <c r="BK252" s="56">
        <v>0</v>
      </c>
      <c r="BL252" s="56">
        <v>0</v>
      </c>
      <c r="BM252" s="56">
        <v>0</v>
      </c>
      <c r="BN252" s="56">
        <v>0</v>
      </c>
      <c r="BO252" s="56">
        <v>0</v>
      </c>
      <c r="BP252" s="54" t="s">
        <v>1049</v>
      </c>
      <c r="BQ252" s="54" t="s">
        <v>1050</v>
      </c>
      <c r="BR252" s="54" t="s">
        <v>1049</v>
      </c>
      <c r="BS252" s="54" t="s">
        <v>1050</v>
      </c>
      <c r="BT252" s="54" t="s">
        <v>1051</v>
      </c>
      <c r="BU252" s="54" t="s">
        <v>1043</v>
      </c>
      <c r="BV252" s="58">
        <v>240</v>
      </c>
      <c r="BW252" s="54" t="s">
        <v>1052</v>
      </c>
      <c r="BX252" s="54" t="s">
        <v>1053</v>
      </c>
      <c r="BY252" s="54" t="s">
        <v>1054</v>
      </c>
      <c r="BZ252" s="54" t="s">
        <v>1055</v>
      </c>
      <c r="CA252" s="55"/>
      <c r="CB252" s="54" t="s">
        <v>1056</v>
      </c>
      <c r="CC252" s="54" t="s">
        <v>1057</v>
      </c>
      <c r="CD252" s="54" t="s">
        <v>1200</v>
      </c>
      <c r="CE252" s="54" t="s">
        <v>1201</v>
      </c>
      <c r="CF252" s="54" t="s">
        <v>1202</v>
      </c>
      <c r="CG252" s="54" t="s">
        <v>1203</v>
      </c>
      <c r="CH252" s="54" t="s">
        <v>1204</v>
      </c>
      <c r="CI252" s="54" t="s">
        <v>1203</v>
      </c>
      <c r="CJ252" s="54" t="s">
        <v>1064</v>
      </c>
      <c r="CK252" s="54" t="s">
        <v>1065</v>
      </c>
      <c r="CL252" s="54" t="s">
        <v>1205</v>
      </c>
      <c r="CM252" s="54" t="s">
        <v>1206</v>
      </c>
      <c r="CN252" s="54" t="s">
        <v>1068</v>
      </c>
      <c r="CO252" s="54" t="s">
        <v>1069</v>
      </c>
      <c r="CP252" s="56">
        <v>0</v>
      </c>
      <c r="CQ252" s="56">
        <v>0</v>
      </c>
      <c r="CR252" s="56">
        <v>0</v>
      </c>
      <c r="CS252" s="56">
        <v>0</v>
      </c>
      <c r="CT252" s="56">
        <v>0</v>
      </c>
      <c r="CU252" s="56">
        <v>0</v>
      </c>
      <c r="CV252" s="56">
        <v>0</v>
      </c>
      <c r="CW252" s="56">
        <v>0</v>
      </c>
      <c r="CX252" s="56">
        <v>0</v>
      </c>
      <c r="CY252" s="56">
        <v>0</v>
      </c>
      <c r="CZ252" s="56">
        <v>0</v>
      </c>
      <c r="DA252" s="56">
        <v>0</v>
      </c>
      <c r="DB252" s="56">
        <v>0</v>
      </c>
      <c r="DC252" s="56">
        <v>0</v>
      </c>
      <c r="DD252" s="56">
        <v>0</v>
      </c>
      <c r="DE252" s="56">
        <v>0</v>
      </c>
      <c r="DF252" s="56">
        <v>0</v>
      </c>
      <c r="DG252" s="56">
        <v>0</v>
      </c>
      <c r="DH252" s="56">
        <v>0</v>
      </c>
      <c r="DI252" s="56">
        <v>0</v>
      </c>
      <c r="DJ252" s="56">
        <v>0</v>
      </c>
      <c r="DK252" s="56">
        <v>0</v>
      </c>
      <c r="DL252" s="56">
        <v>0</v>
      </c>
      <c r="DM252" s="56">
        <v>0</v>
      </c>
      <c r="DN252" s="56">
        <v>0</v>
      </c>
      <c r="DO252" s="56">
        <v>0</v>
      </c>
      <c r="DP252" s="56">
        <v>0</v>
      </c>
      <c r="DQ252" s="56">
        <v>0</v>
      </c>
      <c r="DR252" s="56">
        <v>0</v>
      </c>
      <c r="DS252" s="56">
        <v>0</v>
      </c>
      <c r="DT252" s="56">
        <v>0</v>
      </c>
      <c r="DU252" s="56">
        <v>0</v>
      </c>
      <c r="DV252" s="56">
        <v>0</v>
      </c>
      <c r="DW252" s="56">
        <v>0</v>
      </c>
      <c r="DX252" s="56">
        <v>0</v>
      </c>
      <c r="DY252" s="56">
        <v>0</v>
      </c>
      <c r="DZ252" s="56">
        <v>0</v>
      </c>
      <c r="EA252" s="56">
        <v>0</v>
      </c>
      <c r="EB252" s="56">
        <v>0</v>
      </c>
      <c r="EC252" s="56">
        <v>0</v>
      </c>
      <c r="ED252" s="56">
        <v>0</v>
      </c>
      <c r="EE252" s="56">
        <v>0</v>
      </c>
      <c r="EF252" s="56">
        <v>0</v>
      </c>
      <c r="EG252" s="56">
        <v>0</v>
      </c>
      <c r="EH252" s="56">
        <v>151.78</v>
      </c>
      <c r="EI252" s="56">
        <v>0</v>
      </c>
      <c r="EJ252" s="56">
        <v>0</v>
      </c>
      <c r="EK252" s="56">
        <v>0</v>
      </c>
      <c r="EL252" s="56">
        <v>0</v>
      </c>
      <c r="EM252" s="56">
        <v>0</v>
      </c>
      <c r="EN252" s="56">
        <v>0</v>
      </c>
      <c r="EO252" s="56">
        <v>0</v>
      </c>
      <c r="EP252" s="56">
        <v>0</v>
      </c>
      <c r="EQ252" s="56">
        <v>0</v>
      </c>
      <c r="ER252" s="56">
        <v>0</v>
      </c>
      <c r="ES252" s="56">
        <v>0</v>
      </c>
      <c r="ET252" s="56">
        <v>0</v>
      </c>
      <c r="EU252" s="56">
        <v>0</v>
      </c>
      <c r="EV252" s="56">
        <v>0</v>
      </c>
      <c r="EW252" s="56">
        <v>0</v>
      </c>
      <c r="EX252" s="56">
        <v>0</v>
      </c>
      <c r="EY252" s="56">
        <v>0</v>
      </c>
      <c r="EZ252" s="56">
        <v>0</v>
      </c>
      <c r="FA252" s="56">
        <v>0</v>
      </c>
      <c r="FB252" s="56">
        <v>0</v>
      </c>
      <c r="FC252" s="58">
        <v>0</v>
      </c>
      <c r="FD252" s="56">
        <v>0</v>
      </c>
      <c r="FE252" s="56">
        <v>0</v>
      </c>
      <c r="FF252" s="56">
        <v>0</v>
      </c>
      <c r="FG252" s="56">
        <v>0</v>
      </c>
      <c r="FH252" s="56">
        <v>0</v>
      </c>
      <c r="FI252" s="56">
        <v>0</v>
      </c>
      <c r="FJ252" s="56">
        <v>0</v>
      </c>
      <c r="FK252" s="56">
        <v>0</v>
      </c>
      <c r="FL252" s="56">
        <v>0</v>
      </c>
      <c r="FM252" s="56">
        <v>0</v>
      </c>
      <c r="FN252" s="56">
        <v>0</v>
      </c>
      <c r="FO252" s="56">
        <v>0</v>
      </c>
      <c r="FP252" s="56">
        <v>0</v>
      </c>
      <c r="FQ252" s="56">
        <v>0</v>
      </c>
      <c r="FR252" s="56">
        <v>0</v>
      </c>
      <c r="FS252" s="58">
        <v>0</v>
      </c>
      <c r="FT252" s="56">
        <v>0</v>
      </c>
      <c r="FU252" s="56">
        <v>0</v>
      </c>
      <c r="FV252" s="56">
        <v>0</v>
      </c>
      <c r="FW252" s="56">
        <v>0</v>
      </c>
      <c r="FX252" s="56">
        <v>0</v>
      </c>
      <c r="FY252" s="56">
        <v>0</v>
      </c>
      <c r="FZ252" s="54" t="s">
        <v>1070</v>
      </c>
      <c r="GA252" s="54" t="s">
        <v>1071</v>
      </c>
      <c r="GB252" s="54" t="s">
        <v>1072</v>
      </c>
      <c r="GC252" s="54" t="s">
        <v>1073</v>
      </c>
      <c r="GD252" s="54" t="s">
        <v>1218</v>
      </c>
      <c r="GE252" s="54" t="s">
        <v>1201</v>
      </c>
      <c r="GF252" s="54"/>
      <c r="GG252" s="55"/>
      <c r="GH252" s="54"/>
      <c r="GI252" s="54"/>
      <c r="GJ252" s="54" t="s">
        <v>1076</v>
      </c>
      <c r="GK252" s="54" t="s">
        <v>1077</v>
      </c>
      <c r="GL252" s="54"/>
      <c r="GM252" s="54"/>
      <c r="GN252" s="54" t="s">
        <v>1208</v>
      </c>
      <c r="GO252" s="54" t="s">
        <v>1209</v>
      </c>
      <c r="GP252" s="54"/>
      <c r="GQ252" s="56">
        <v>0</v>
      </c>
      <c r="GR252" s="54" t="s">
        <v>1079</v>
      </c>
      <c r="GS252" s="54"/>
    </row>
    <row r="253" spans="1:201" x14ac:dyDescent="0.25">
      <c r="A253" s="54" t="s">
        <v>1032</v>
      </c>
      <c r="B253" s="54" t="s">
        <v>1033</v>
      </c>
      <c r="C253" s="54" t="s">
        <v>1281</v>
      </c>
      <c r="D253" s="54" t="s">
        <v>1035</v>
      </c>
      <c r="E253" s="54" t="s">
        <v>1036</v>
      </c>
      <c r="F253" s="55">
        <v>46189</v>
      </c>
      <c r="G253" s="55">
        <v>46189</v>
      </c>
      <c r="H253" s="54" t="s">
        <v>1037</v>
      </c>
      <c r="I253" s="54" t="s">
        <v>1038</v>
      </c>
      <c r="J253" s="54" t="s">
        <v>1039</v>
      </c>
      <c r="K253" s="55"/>
      <c r="L253" s="54" t="s">
        <v>1040</v>
      </c>
      <c r="M253" s="54"/>
      <c r="N253" s="54" t="s">
        <v>1282</v>
      </c>
      <c r="O253" s="54" t="s">
        <v>1102</v>
      </c>
      <c r="P253" s="54" t="s">
        <v>444</v>
      </c>
      <c r="Q253" s="54" t="s">
        <v>527</v>
      </c>
      <c r="R253" s="54" t="s">
        <v>1043</v>
      </c>
      <c r="S253" s="56">
        <v>5226.8999999999996</v>
      </c>
      <c r="T253" s="56">
        <v>5226.8999999999996</v>
      </c>
      <c r="U253" s="56">
        <v>0</v>
      </c>
      <c r="V253" s="56">
        <v>0</v>
      </c>
      <c r="W253" s="56">
        <v>0</v>
      </c>
      <c r="X253" s="56">
        <v>0</v>
      </c>
      <c r="Y253" s="56">
        <v>0</v>
      </c>
      <c r="Z253" s="56">
        <v>210</v>
      </c>
      <c r="AA253" s="56">
        <v>210</v>
      </c>
      <c r="AB253" s="59">
        <v>0</v>
      </c>
      <c r="AC253" s="56">
        <v>0</v>
      </c>
      <c r="AD253" s="56">
        <v>0</v>
      </c>
      <c r="AE253" s="56">
        <v>0</v>
      </c>
      <c r="AF253" s="54" t="s">
        <v>1044</v>
      </c>
      <c r="AG253" s="57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 t="s">
        <v>1045</v>
      </c>
      <c r="AS253" s="54" t="s">
        <v>1046</v>
      </c>
      <c r="AT253" s="54" t="s">
        <v>1047</v>
      </c>
      <c r="AU253" s="54" t="s">
        <v>1048</v>
      </c>
      <c r="AV253" s="54"/>
      <c r="AW253" s="55">
        <v>46202</v>
      </c>
      <c r="AX253" s="55">
        <v>46189</v>
      </c>
      <c r="AY253" s="55">
        <v>46189</v>
      </c>
      <c r="AZ253" s="55">
        <v>46191</v>
      </c>
      <c r="BA253" s="55">
        <v>46202</v>
      </c>
      <c r="BB253" s="56">
        <v>0</v>
      </c>
      <c r="BC253" s="56">
        <v>0</v>
      </c>
      <c r="BD253" s="56">
        <v>0</v>
      </c>
      <c r="BE253" s="56">
        <v>0</v>
      </c>
      <c r="BF253" s="56">
        <v>0</v>
      </c>
      <c r="BG253" s="56">
        <v>0</v>
      </c>
      <c r="BH253" s="56">
        <v>0</v>
      </c>
      <c r="BI253" s="56">
        <v>0</v>
      </c>
      <c r="BJ253" s="56">
        <v>0</v>
      </c>
      <c r="BK253" s="56">
        <v>0</v>
      </c>
      <c r="BL253" s="56">
        <v>0</v>
      </c>
      <c r="BM253" s="56">
        <v>0</v>
      </c>
      <c r="BN253" s="56">
        <v>0</v>
      </c>
      <c r="BO253" s="56">
        <v>0</v>
      </c>
      <c r="BP253" s="54" t="s">
        <v>1049</v>
      </c>
      <c r="BQ253" s="54" t="s">
        <v>1050</v>
      </c>
      <c r="BR253" s="54" t="s">
        <v>1049</v>
      </c>
      <c r="BS253" s="54" t="s">
        <v>1050</v>
      </c>
      <c r="BT253" s="54" t="s">
        <v>1051</v>
      </c>
      <c r="BU253" s="54" t="s">
        <v>1043</v>
      </c>
      <c r="BV253" s="58">
        <v>210</v>
      </c>
      <c r="BW253" s="54" t="s">
        <v>1052</v>
      </c>
      <c r="BX253" s="54" t="s">
        <v>1053</v>
      </c>
      <c r="BY253" s="54" t="s">
        <v>1054</v>
      </c>
      <c r="BZ253" s="54" t="s">
        <v>1055</v>
      </c>
      <c r="CA253" s="55"/>
      <c r="CB253" s="54" t="s">
        <v>1056</v>
      </c>
      <c r="CC253" s="54" t="s">
        <v>1057</v>
      </c>
      <c r="CD253" s="54" t="s">
        <v>1200</v>
      </c>
      <c r="CE253" s="54" t="s">
        <v>1201</v>
      </c>
      <c r="CF253" s="54" t="s">
        <v>1202</v>
      </c>
      <c r="CG253" s="54" t="s">
        <v>1203</v>
      </c>
      <c r="CH253" s="54" t="s">
        <v>1204</v>
      </c>
      <c r="CI253" s="54" t="s">
        <v>1203</v>
      </c>
      <c r="CJ253" s="54" t="s">
        <v>1064</v>
      </c>
      <c r="CK253" s="54" t="s">
        <v>1065</v>
      </c>
      <c r="CL253" s="54" t="s">
        <v>1205</v>
      </c>
      <c r="CM253" s="54" t="s">
        <v>1206</v>
      </c>
      <c r="CN253" s="54" t="s">
        <v>1068</v>
      </c>
      <c r="CO253" s="54" t="s">
        <v>1069</v>
      </c>
      <c r="CP253" s="56">
        <v>0</v>
      </c>
      <c r="CQ253" s="56">
        <v>0</v>
      </c>
      <c r="CR253" s="56">
        <v>0</v>
      </c>
      <c r="CS253" s="56">
        <v>0</v>
      </c>
      <c r="CT253" s="56">
        <v>0</v>
      </c>
      <c r="CU253" s="56">
        <v>0</v>
      </c>
      <c r="CV253" s="56">
        <v>0</v>
      </c>
      <c r="CW253" s="56">
        <v>0</v>
      </c>
      <c r="CX253" s="56">
        <v>0</v>
      </c>
      <c r="CY253" s="56">
        <v>0</v>
      </c>
      <c r="CZ253" s="56">
        <v>0</v>
      </c>
      <c r="DA253" s="56">
        <v>0</v>
      </c>
      <c r="DB253" s="56">
        <v>0</v>
      </c>
      <c r="DC253" s="56">
        <v>0</v>
      </c>
      <c r="DD253" s="56">
        <v>0</v>
      </c>
      <c r="DE253" s="56">
        <v>0</v>
      </c>
      <c r="DF253" s="56">
        <v>0</v>
      </c>
      <c r="DG253" s="56">
        <v>0</v>
      </c>
      <c r="DH253" s="56">
        <v>0</v>
      </c>
      <c r="DI253" s="56">
        <v>0</v>
      </c>
      <c r="DJ253" s="56">
        <v>0</v>
      </c>
      <c r="DK253" s="56">
        <v>0</v>
      </c>
      <c r="DL253" s="56">
        <v>0</v>
      </c>
      <c r="DM253" s="56">
        <v>0</v>
      </c>
      <c r="DN253" s="56">
        <v>0</v>
      </c>
      <c r="DO253" s="56">
        <v>0</v>
      </c>
      <c r="DP253" s="56">
        <v>0</v>
      </c>
      <c r="DQ253" s="56">
        <v>0</v>
      </c>
      <c r="DR253" s="56">
        <v>0</v>
      </c>
      <c r="DS253" s="56">
        <v>0</v>
      </c>
      <c r="DT253" s="56">
        <v>0</v>
      </c>
      <c r="DU253" s="56">
        <v>0</v>
      </c>
      <c r="DV253" s="56">
        <v>0</v>
      </c>
      <c r="DW253" s="56">
        <v>0</v>
      </c>
      <c r="DX253" s="56">
        <v>0</v>
      </c>
      <c r="DY253" s="56">
        <v>0</v>
      </c>
      <c r="DZ253" s="56">
        <v>0</v>
      </c>
      <c r="EA253" s="56">
        <v>0</v>
      </c>
      <c r="EB253" s="56">
        <v>0</v>
      </c>
      <c r="EC253" s="56">
        <v>0</v>
      </c>
      <c r="ED253" s="56">
        <v>0</v>
      </c>
      <c r="EE253" s="56">
        <v>0</v>
      </c>
      <c r="EF253" s="56">
        <v>0</v>
      </c>
      <c r="EG253" s="56">
        <v>0</v>
      </c>
      <c r="EH253" s="56">
        <v>209.08</v>
      </c>
      <c r="EI253" s="56">
        <v>0</v>
      </c>
      <c r="EJ253" s="56">
        <v>0</v>
      </c>
      <c r="EK253" s="56">
        <v>0</v>
      </c>
      <c r="EL253" s="56">
        <v>0</v>
      </c>
      <c r="EM253" s="56">
        <v>0</v>
      </c>
      <c r="EN253" s="56">
        <v>0</v>
      </c>
      <c r="EO253" s="56">
        <v>0</v>
      </c>
      <c r="EP253" s="56">
        <v>0</v>
      </c>
      <c r="EQ253" s="56">
        <v>0</v>
      </c>
      <c r="ER253" s="56">
        <v>0</v>
      </c>
      <c r="ES253" s="56">
        <v>0</v>
      </c>
      <c r="ET253" s="56">
        <v>0</v>
      </c>
      <c r="EU253" s="56">
        <v>0</v>
      </c>
      <c r="EV253" s="56">
        <v>0</v>
      </c>
      <c r="EW253" s="56">
        <v>0</v>
      </c>
      <c r="EX253" s="56">
        <v>0</v>
      </c>
      <c r="EY253" s="56">
        <v>0</v>
      </c>
      <c r="EZ253" s="56">
        <v>0</v>
      </c>
      <c r="FA253" s="56">
        <v>0</v>
      </c>
      <c r="FB253" s="56">
        <v>0</v>
      </c>
      <c r="FC253" s="58">
        <v>0</v>
      </c>
      <c r="FD253" s="56">
        <v>0</v>
      </c>
      <c r="FE253" s="56">
        <v>0</v>
      </c>
      <c r="FF253" s="56">
        <v>0</v>
      </c>
      <c r="FG253" s="56">
        <v>0</v>
      </c>
      <c r="FH253" s="56">
        <v>0</v>
      </c>
      <c r="FI253" s="56">
        <v>0</v>
      </c>
      <c r="FJ253" s="56">
        <v>0</v>
      </c>
      <c r="FK253" s="56">
        <v>0</v>
      </c>
      <c r="FL253" s="56">
        <v>0</v>
      </c>
      <c r="FM253" s="56">
        <v>0</v>
      </c>
      <c r="FN253" s="56">
        <v>0</v>
      </c>
      <c r="FO253" s="56">
        <v>0</v>
      </c>
      <c r="FP253" s="56">
        <v>0</v>
      </c>
      <c r="FQ253" s="56">
        <v>0</v>
      </c>
      <c r="FR253" s="56">
        <v>0</v>
      </c>
      <c r="FS253" s="58">
        <v>0</v>
      </c>
      <c r="FT253" s="56">
        <v>0</v>
      </c>
      <c r="FU253" s="56">
        <v>0</v>
      </c>
      <c r="FV253" s="56">
        <v>0</v>
      </c>
      <c r="FW253" s="56">
        <v>0</v>
      </c>
      <c r="FX253" s="56">
        <v>0</v>
      </c>
      <c r="FY253" s="56">
        <v>0</v>
      </c>
      <c r="FZ253" s="54" t="s">
        <v>1070</v>
      </c>
      <c r="GA253" s="54" t="s">
        <v>1071</v>
      </c>
      <c r="GB253" s="54" t="s">
        <v>1072</v>
      </c>
      <c r="GC253" s="54" t="s">
        <v>1073</v>
      </c>
      <c r="GD253" s="54"/>
      <c r="GE253" s="54"/>
      <c r="GF253" s="54"/>
      <c r="GG253" s="55"/>
      <c r="GH253" s="54"/>
      <c r="GI253" s="54"/>
      <c r="GJ253" s="54" t="s">
        <v>1076</v>
      </c>
      <c r="GK253" s="54" t="s">
        <v>1077</v>
      </c>
      <c r="GL253" s="54"/>
      <c r="GM253" s="54"/>
      <c r="GN253" s="54" t="s">
        <v>1208</v>
      </c>
      <c r="GO253" s="54" t="s">
        <v>1209</v>
      </c>
      <c r="GP253" s="54"/>
      <c r="GQ253" s="56">
        <v>0</v>
      </c>
      <c r="GR253" s="54" t="s">
        <v>1079</v>
      </c>
      <c r="GS253" s="54"/>
    </row>
    <row r="254" spans="1:201" x14ac:dyDescent="0.25">
      <c r="A254" s="54" t="s">
        <v>1032</v>
      </c>
      <c r="B254" s="54" t="s">
        <v>1033</v>
      </c>
      <c r="C254" s="54" t="s">
        <v>1281</v>
      </c>
      <c r="D254" s="54" t="s">
        <v>1035</v>
      </c>
      <c r="E254" s="54" t="s">
        <v>1036</v>
      </c>
      <c r="F254" s="55">
        <v>46189</v>
      </c>
      <c r="G254" s="55">
        <v>46189</v>
      </c>
      <c r="H254" s="54" t="s">
        <v>1037</v>
      </c>
      <c r="I254" s="54" t="s">
        <v>1038</v>
      </c>
      <c r="J254" s="54" t="s">
        <v>1039</v>
      </c>
      <c r="K254" s="55"/>
      <c r="L254" s="54" t="s">
        <v>1040</v>
      </c>
      <c r="M254" s="54"/>
      <c r="N254" s="54" t="s">
        <v>1282</v>
      </c>
      <c r="O254" s="54" t="s">
        <v>1107</v>
      </c>
      <c r="P254" s="54" t="s">
        <v>689</v>
      </c>
      <c r="Q254" s="54" t="s">
        <v>366</v>
      </c>
      <c r="R254" s="54" t="s">
        <v>1043</v>
      </c>
      <c r="S254" s="56">
        <v>2665.44</v>
      </c>
      <c r="T254" s="56">
        <v>2665.44</v>
      </c>
      <c r="U254" s="56">
        <v>0</v>
      </c>
      <c r="V254" s="56">
        <v>0</v>
      </c>
      <c r="W254" s="56">
        <v>0</v>
      </c>
      <c r="X254" s="56">
        <v>0</v>
      </c>
      <c r="Y254" s="56">
        <v>0</v>
      </c>
      <c r="Z254" s="56">
        <v>108</v>
      </c>
      <c r="AA254" s="56">
        <v>108</v>
      </c>
      <c r="AB254" s="59">
        <v>0</v>
      </c>
      <c r="AC254" s="56">
        <v>0</v>
      </c>
      <c r="AD254" s="56">
        <v>0</v>
      </c>
      <c r="AE254" s="56">
        <v>0</v>
      </c>
      <c r="AF254" s="54" t="s">
        <v>1044</v>
      </c>
      <c r="AG254" s="57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 t="s">
        <v>1045</v>
      </c>
      <c r="AS254" s="54" t="s">
        <v>1046</v>
      </c>
      <c r="AT254" s="54" t="s">
        <v>1047</v>
      </c>
      <c r="AU254" s="54" t="s">
        <v>1048</v>
      </c>
      <c r="AV254" s="54"/>
      <c r="AW254" s="55">
        <v>46202</v>
      </c>
      <c r="AX254" s="55">
        <v>46189</v>
      </c>
      <c r="AY254" s="55">
        <v>46189</v>
      </c>
      <c r="AZ254" s="55"/>
      <c r="BA254" s="55">
        <v>46202</v>
      </c>
      <c r="BB254" s="56">
        <v>0</v>
      </c>
      <c r="BC254" s="56">
        <v>0</v>
      </c>
      <c r="BD254" s="56">
        <v>0</v>
      </c>
      <c r="BE254" s="56">
        <v>0</v>
      </c>
      <c r="BF254" s="56">
        <v>0</v>
      </c>
      <c r="BG254" s="56">
        <v>0</v>
      </c>
      <c r="BH254" s="56">
        <v>0</v>
      </c>
      <c r="BI254" s="56">
        <v>0</v>
      </c>
      <c r="BJ254" s="56">
        <v>0</v>
      </c>
      <c r="BK254" s="56">
        <v>0</v>
      </c>
      <c r="BL254" s="56">
        <v>0</v>
      </c>
      <c r="BM254" s="56">
        <v>0</v>
      </c>
      <c r="BN254" s="56">
        <v>0</v>
      </c>
      <c r="BO254" s="56">
        <v>0</v>
      </c>
      <c r="BP254" s="54" t="s">
        <v>1049</v>
      </c>
      <c r="BQ254" s="54" t="s">
        <v>1050</v>
      </c>
      <c r="BR254" s="54" t="s">
        <v>1049</v>
      </c>
      <c r="BS254" s="54" t="s">
        <v>1050</v>
      </c>
      <c r="BT254" s="54" t="s">
        <v>1051</v>
      </c>
      <c r="BU254" s="54" t="s">
        <v>1043</v>
      </c>
      <c r="BV254" s="58">
        <v>108</v>
      </c>
      <c r="BW254" s="54" t="s">
        <v>1052</v>
      </c>
      <c r="BX254" s="54" t="s">
        <v>1053</v>
      </c>
      <c r="BY254" s="54" t="s">
        <v>1054</v>
      </c>
      <c r="BZ254" s="54" t="s">
        <v>1055</v>
      </c>
      <c r="CA254" s="55"/>
      <c r="CB254" s="54" t="s">
        <v>1056</v>
      </c>
      <c r="CC254" s="54" t="s">
        <v>1057</v>
      </c>
      <c r="CD254" s="54" t="s">
        <v>1200</v>
      </c>
      <c r="CE254" s="54" t="s">
        <v>1201</v>
      </c>
      <c r="CF254" s="54" t="s">
        <v>1202</v>
      </c>
      <c r="CG254" s="54" t="s">
        <v>1203</v>
      </c>
      <c r="CH254" s="54" t="s">
        <v>1204</v>
      </c>
      <c r="CI254" s="54" t="s">
        <v>1203</v>
      </c>
      <c r="CJ254" s="54" t="s">
        <v>1064</v>
      </c>
      <c r="CK254" s="54" t="s">
        <v>1065</v>
      </c>
      <c r="CL254" s="54" t="s">
        <v>1205</v>
      </c>
      <c r="CM254" s="54" t="s">
        <v>1206</v>
      </c>
      <c r="CN254" s="54" t="s">
        <v>1068</v>
      </c>
      <c r="CO254" s="54" t="s">
        <v>1069</v>
      </c>
      <c r="CP254" s="56">
        <v>0</v>
      </c>
      <c r="CQ254" s="56">
        <v>0</v>
      </c>
      <c r="CR254" s="56">
        <v>0</v>
      </c>
      <c r="CS254" s="56">
        <v>0</v>
      </c>
      <c r="CT254" s="56">
        <v>0</v>
      </c>
      <c r="CU254" s="56">
        <v>0</v>
      </c>
      <c r="CV254" s="56">
        <v>0</v>
      </c>
      <c r="CW254" s="56">
        <v>0</v>
      </c>
      <c r="CX254" s="56">
        <v>0</v>
      </c>
      <c r="CY254" s="56">
        <v>0</v>
      </c>
      <c r="CZ254" s="56">
        <v>0</v>
      </c>
      <c r="DA254" s="56">
        <v>0</v>
      </c>
      <c r="DB254" s="56">
        <v>0</v>
      </c>
      <c r="DC254" s="56">
        <v>0</v>
      </c>
      <c r="DD254" s="56">
        <v>0</v>
      </c>
      <c r="DE254" s="56">
        <v>0</v>
      </c>
      <c r="DF254" s="56">
        <v>0</v>
      </c>
      <c r="DG254" s="56">
        <v>0</v>
      </c>
      <c r="DH254" s="56">
        <v>0</v>
      </c>
      <c r="DI254" s="56">
        <v>0</v>
      </c>
      <c r="DJ254" s="56">
        <v>0</v>
      </c>
      <c r="DK254" s="56">
        <v>0</v>
      </c>
      <c r="DL254" s="56">
        <v>0</v>
      </c>
      <c r="DM254" s="56">
        <v>0</v>
      </c>
      <c r="DN254" s="56">
        <v>0</v>
      </c>
      <c r="DO254" s="56">
        <v>0</v>
      </c>
      <c r="DP254" s="56">
        <v>0</v>
      </c>
      <c r="DQ254" s="56">
        <v>0</v>
      </c>
      <c r="DR254" s="56">
        <v>0</v>
      </c>
      <c r="DS254" s="56">
        <v>0</v>
      </c>
      <c r="DT254" s="56">
        <v>0</v>
      </c>
      <c r="DU254" s="56">
        <v>0</v>
      </c>
      <c r="DV254" s="56">
        <v>0</v>
      </c>
      <c r="DW254" s="56">
        <v>0</v>
      </c>
      <c r="DX254" s="56">
        <v>0</v>
      </c>
      <c r="DY254" s="56">
        <v>0</v>
      </c>
      <c r="DZ254" s="56">
        <v>0</v>
      </c>
      <c r="EA254" s="56">
        <v>0</v>
      </c>
      <c r="EB254" s="56">
        <v>0</v>
      </c>
      <c r="EC254" s="56">
        <v>0</v>
      </c>
      <c r="ED254" s="56">
        <v>0</v>
      </c>
      <c r="EE254" s="56">
        <v>0</v>
      </c>
      <c r="EF254" s="56">
        <v>0</v>
      </c>
      <c r="EG254" s="56">
        <v>0</v>
      </c>
      <c r="EH254" s="56">
        <v>106.62</v>
      </c>
      <c r="EI254" s="56">
        <v>0</v>
      </c>
      <c r="EJ254" s="56">
        <v>0</v>
      </c>
      <c r="EK254" s="56">
        <v>0</v>
      </c>
      <c r="EL254" s="56">
        <v>0</v>
      </c>
      <c r="EM254" s="56">
        <v>0</v>
      </c>
      <c r="EN254" s="56">
        <v>0</v>
      </c>
      <c r="EO254" s="56">
        <v>0</v>
      </c>
      <c r="EP254" s="56">
        <v>0</v>
      </c>
      <c r="EQ254" s="56">
        <v>0</v>
      </c>
      <c r="ER254" s="56">
        <v>0</v>
      </c>
      <c r="ES254" s="56">
        <v>0</v>
      </c>
      <c r="ET254" s="56">
        <v>0</v>
      </c>
      <c r="EU254" s="56">
        <v>0</v>
      </c>
      <c r="EV254" s="56">
        <v>0</v>
      </c>
      <c r="EW254" s="56">
        <v>0</v>
      </c>
      <c r="EX254" s="56">
        <v>0</v>
      </c>
      <c r="EY254" s="56">
        <v>0</v>
      </c>
      <c r="EZ254" s="56">
        <v>0</v>
      </c>
      <c r="FA254" s="56">
        <v>0</v>
      </c>
      <c r="FB254" s="56">
        <v>0</v>
      </c>
      <c r="FC254" s="58">
        <v>0</v>
      </c>
      <c r="FD254" s="56">
        <v>0</v>
      </c>
      <c r="FE254" s="56">
        <v>0</v>
      </c>
      <c r="FF254" s="56">
        <v>0</v>
      </c>
      <c r="FG254" s="56">
        <v>0</v>
      </c>
      <c r="FH254" s="56">
        <v>0</v>
      </c>
      <c r="FI254" s="56">
        <v>0</v>
      </c>
      <c r="FJ254" s="56">
        <v>0</v>
      </c>
      <c r="FK254" s="56">
        <v>0</v>
      </c>
      <c r="FL254" s="56">
        <v>0</v>
      </c>
      <c r="FM254" s="56">
        <v>0</v>
      </c>
      <c r="FN254" s="56">
        <v>0</v>
      </c>
      <c r="FO254" s="56">
        <v>0</v>
      </c>
      <c r="FP254" s="56">
        <v>0</v>
      </c>
      <c r="FQ254" s="56">
        <v>0</v>
      </c>
      <c r="FR254" s="56">
        <v>0</v>
      </c>
      <c r="FS254" s="58">
        <v>0</v>
      </c>
      <c r="FT254" s="56">
        <v>0</v>
      </c>
      <c r="FU254" s="56">
        <v>0</v>
      </c>
      <c r="FV254" s="56">
        <v>0</v>
      </c>
      <c r="FW254" s="56">
        <v>0</v>
      </c>
      <c r="FX254" s="56">
        <v>0</v>
      </c>
      <c r="FY254" s="56">
        <v>0</v>
      </c>
      <c r="FZ254" s="54" t="s">
        <v>1070</v>
      </c>
      <c r="GA254" s="54" t="s">
        <v>1071</v>
      </c>
      <c r="GB254" s="54" t="s">
        <v>1072</v>
      </c>
      <c r="GC254" s="54" t="s">
        <v>1073</v>
      </c>
      <c r="GD254" s="54"/>
      <c r="GE254" s="54"/>
      <c r="GF254" s="54"/>
      <c r="GG254" s="55"/>
      <c r="GH254" s="54"/>
      <c r="GI254" s="54"/>
      <c r="GJ254" s="54" t="s">
        <v>1076</v>
      </c>
      <c r="GK254" s="54" t="s">
        <v>1077</v>
      </c>
      <c r="GL254" s="54"/>
      <c r="GM254" s="54"/>
      <c r="GN254" s="54" t="s">
        <v>1208</v>
      </c>
      <c r="GO254" s="54" t="s">
        <v>1209</v>
      </c>
      <c r="GP254" s="54"/>
      <c r="GQ254" s="56">
        <v>0</v>
      </c>
      <c r="GR254" s="54" t="s">
        <v>1079</v>
      </c>
      <c r="GS254" s="54"/>
    </row>
    <row r="255" spans="1:201" x14ac:dyDescent="0.25">
      <c r="A255" s="54" t="s">
        <v>1032</v>
      </c>
      <c r="B255" s="54" t="s">
        <v>1033</v>
      </c>
      <c r="C255" s="54" t="s">
        <v>1281</v>
      </c>
      <c r="D255" s="54" t="s">
        <v>1035</v>
      </c>
      <c r="E255" s="54" t="s">
        <v>1036</v>
      </c>
      <c r="F255" s="55">
        <v>46189</v>
      </c>
      <c r="G255" s="55">
        <v>46189</v>
      </c>
      <c r="H255" s="54" t="s">
        <v>1037</v>
      </c>
      <c r="I255" s="54" t="s">
        <v>1038</v>
      </c>
      <c r="J255" s="54" t="s">
        <v>1039</v>
      </c>
      <c r="K255" s="55"/>
      <c r="L255" s="54" t="s">
        <v>1040</v>
      </c>
      <c r="M255" s="54"/>
      <c r="N255" s="54" t="s">
        <v>1282</v>
      </c>
      <c r="O255" s="54" t="s">
        <v>1109</v>
      </c>
      <c r="P255" s="54" t="s">
        <v>263</v>
      </c>
      <c r="Q255" s="54" t="s">
        <v>104</v>
      </c>
      <c r="R255" s="54" t="s">
        <v>1043</v>
      </c>
      <c r="S255" s="56">
        <v>1034</v>
      </c>
      <c r="T255" s="56">
        <v>0</v>
      </c>
      <c r="U255" s="56">
        <v>1034</v>
      </c>
      <c r="V255" s="56">
        <v>0</v>
      </c>
      <c r="W255" s="56">
        <v>0</v>
      </c>
      <c r="X255" s="56">
        <v>0</v>
      </c>
      <c r="Y255" s="56">
        <v>0</v>
      </c>
      <c r="Z255" s="56">
        <v>100</v>
      </c>
      <c r="AA255" s="56">
        <v>0</v>
      </c>
      <c r="AB255" s="59">
        <v>100</v>
      </c>
      <c r="AC255" s="56">
        <v>0</v>
      </c>
      <c r="AD255" s="56">
        <v>0</v>
      </c>
      <c r="AE255" s="56">
        <v>0</v>
      </c>
      <c r="AF255" s="54" t="s">
        <v>1044</v>
      </c>
      <c r="AG255" s="57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 t="s">
        <v>1045</v>
      </c>
      <c r="AS255" s="54" t="s">
        <v>1046</v>
      </c>
      <c r="AT255" s="54" t="s">
        <v>1047</v>
      </c>
      <c r="AU255" s="54" t="s">
        <v>1048</v>
      </c>
      <c r="AV255" s="54"/>
      <c r="AW255" s="55">
        <v>46202</v>
      </c>
      <c r="AX255" s="55">
        <v>46189</v>
      </c>
      <c r="AY255" s="55">
        <v>46189</v>
      </c>
      <c r="AZ255" s="55"/>
      <c r="BA255" s="55">
        <v>46202</v>
      </c>
      <c r="BB255" s="56">
        <v>0</v>
      </c>
      <c r="BC255" s="56">
        <v>0</v>
      </c>
      <c r="BD255" s="56">
        <v>0</v>
      </c>
      <c r="BE255" s="56">
        <v>0</v>
      </c>
      <c r="BF255" s="56">
        <v>0</v>
      </c>
      <c r="BG255" s="56">
        <v>0</v>
      </c>
      <c r="BH255" s="56">
        <v>0</v>
      </c>
      <c r="BI255" s="56">
        <v>0</v>
      </c>
      <c r="BJ255" s="56">
        <v>0</v>
      </c>
      <c r="BK255" s="56">
        <v>0</v>
      </c>
      <c r="BL255" s="56">
        <v>0</v>
      </c>
      <c r="BM255" s="56">
        <v>0</v>
      </c>
      <c r="BN255" s="56">
        <v>0</v>
      </c>
      <c r="BO255" s="56">
        <v>0</v>
      </c>
      <c r="BP255" s="54" t="s">
        <v>1049</v>
      </c>
      <c r="BQ255" s="54" t="s">
        <v>1050</v>
      </c>
      <c r="BR255" s="54" t="s">
        <v>1049</v>
      </c>
      <c r="BS255" s="54" t="s">
        <v>1050</v>
      </c>
      <c r="BT255" s="54" t="s">
        <v>1051</v>
      </c>
      <c r="BU255" s="54" t="s">
        <v>1043</v>
      </c>
      <c r="BV255" s="58">
        <v>0</v>
      </c>
      <c r="BW255" s="54" t="s">
        <v>1052</v>
      </c>
      <c r="BX255" s="54" t="s">
        <v>1053</v>
      </c>
      <c r="BY255" s="54" t="s">
        <v>1054</v>
      </c>
      <c r="BZ255" s="54" t="s">
        <v>1055</v>
      </c>
      <c r="CA255" s="55"/>
      <c r="CB255" s="54" t="s">
        <v>1056</v>
      </c>
      <c r="CC255" s="54" t="s">
        <v>1057</v>
      </c>
      <c r="CD255" s="54" t="s">
        <v>1200</v>
      </c>
      <c r="CE255" s="54" t="s">
        <v>1201</v>
      </c>
      <c r="CF255" s="54" t="s">
        <v>1202</v>
      </c>
      <c r="CG255" s="54" t="s">
        <v>1203</v>
      </c>
      <c r="CH255" s="54" t="s">
        <v>1204</v>
      </c>
      <c r="CI255" s="54" t="s">
        <v>1203</v>
      </c>
      <c r="CJ255" s="54" t="s">
        <v>1064</v>
      </c>
      <c r="CK255" s="54" t="s">
        <v>1065</v>
      </c>
      <c r="CL255" s="54" t="s">
        <v>1205</v>
      </c>
      <c r="CM255" s="54" t="s">
        <v>1206</v>
      </c>
      <c r="CN255" s="54" t="s">
        <v>1068</v>
      </c>
      <c r="CO255" s="54" t="s">
        <v>1069</v>
      </c>
      <c r="CP255" s="56">
        <v>0</v>
      </c>
      <c r="CQ255" s="56">
        <v>0</v>
      </c>
      <c r="CR255" s="56">
        <v>0</v>
      </c>
      <c r="CS255" s="56">
        <v>0</v>
      </c>
      <c r="CT255" s="56">
        <v>0</v>
      </c>
      <c r="CU255" s="56">
        <v>0</v>
      </c>
      <c r="CV255" s="56">
        <v>0</v>
      </c>
      <c r="CW255" s="56">
        <v>0</v>
      </c>
      <c r="CX255" s="56">
        <v>0</v>
      </c>
      <c r="CY255" s="56">
        <v>0</v>
      </c>
      <c r="CZ255" s="56">
        <v>0</v>
      </c>
      <c r="DA255" s="56">
        <v>0</v>
      </c>
      <c r="DB255" s="56">
        <v>0</v>
      </c>
      <c r="DC255" s="56">
        <v>0</v>
      </c>
      <c r="DD255" s="56">
        <v>0</v>
      </c>
      <c r="DE255" s="56">
        <v>0</v>
      </c>
      <c r="DF255" s="56">
        <v>0</v>
      </c>
      <c r="DG255" s="56">
        <v>0</v>
      </c>
      <c r="DH255" s="56">
        <v>0</v>
      </c>
      <c r="DI255" s="56">
        <v>0</v>
      </c>
      <c r="DJ255" s="56">
        <v>0</v>
      </c>
      <c r="DK255" s="56">
        <v>0</v>
      </c>
      <c r="DL255" s="56">
        <v>0</v>
      </c>
      <c r="DM255" s="56">
        <v>0</v>
      </c>
      <c r="DN255" s="56">
        <v>0</v>
      </c>
      <c r="DO255" s="56">
        <v>0</v>
      </c>
      <c r="DP255" s="56">
        <v>0</v>
      </c>
      <c r="DQ255" s="56">
        <v>0</v>
      </c>
      <c r="DR255" s="56">
        <v>0</v>
      </c>
      <c r="DS255" s="56">
        <v>0</v>
      </c>
      <c r="DT255" s="56">
        <v>0</v>
      </c>
      <c r="DU255" s="56">
        <v>0</v>
      </c>
      <c r="DV255" s="56">
        <v>0</v>
      </c>
      <c r="DW255" s="56">
        <v>0</v>
      </c>
      <c r="DX255" s="56">
        <v>0</v>
      </c>
      <c r="DY255" s="56">
        <v>0</v>
      </c>
      <c r="DZ255" s="56">
        <v>0</v>
      </c>
      <c r="EA255" s="56">
        <v>0</v>
      </c>
      <c r="EB255" s="56">
        <v>0</v>
      </c>
      <c r="EC255" s="56">
        <v>124.08</v>
      </c>
      <c r="ED255" s="56">
        <v>0</v>
      </c>
      <c r="EE255" s="56">
        <v>0</v>
      </c>
      <c r="EF255" s="56">
        <v>0</v>
      </c>
      <c r="EG255" s="56">
        <v>0</v>
      </c>
      <c r="EH255" s="56">
        <v>124.08</v>
      </c>
      <c r="EI255" s="56">
        <v>0</v>
      </c>
      <c r="EJ255" s="56">
        <v>0</v>
      </c>
      <c r="EK255" s="56">
        <v>0</v>
      </c>
      <c r="EL255" s="56">
        <v>0</v>
      </c>
      <c r="EM255" s="56">
        <v>0</v>
      </c>
      <c r="EN255" s="56">
        <v>0</v>
      </c>
      <c r="EO255" s="56">
        <v>0</v>
      </c>
      <c r="EP255" s="56">
        <v>1034</v>
      </c>
      <c r="EQ255" s="56">
        <v>0</v>
      </c>
      <c r="ER255" s="56">
        <v>0</v>
      </c>
      <c r="ES255" s="56">
        <v>100</v>
      </c>
      <c r="ET255" s="56">
        <v>0</v>
      </c>
      <c r="EU255" s="56">
        <v>0</v>
      </c>
      <c r="EV255" s="56">
        <v>0</v>
      </c>
      <c r="EW255" s="56">
        <v>0</v>
      </c>
      <c r="EX255" s="56">
        <v>0</v>
      </c>
      <c r="EY255" s="56">
        <v>0</v>
      </c>
      <c r="EZ255" s="56">
        <v>0</v>
      </c>
      <c r="FA255" s="56">
        <v>0</v>
      </c>
      <c r="FB255" s="56">
        <v>0</v>
      </c>
      <c r="FC255" s="58">
        <v>0</v>
      </c>
      <c r="FD255" s="56">
        <v>0</v>
      </c>
      <c r="FE255" s="56">
        <v>0</v>
      </c>
      <c r="FF255" s="56">
        <v>0</v>
      </c>
      <c r="FG255" s="56">
        <v>0</v>
      </c>
      <c r="FH255" s="56">
        <v>0</v>
      </c>
      <c r="FI255" s="56">
        <v>0</v>
      </c>
      <c r="FJ255" s="56">
        <v>0</v>
      </c>
      <c r="FK255" s="56">
        <v>0</v>
      </c>
      <c r="FL255" s="56">
        <v>0</v>
      </c>
      <c r="FM255" s="56">
        <v>0</v>
      </c>
      <c r="FN255" s="56">
        <v>0</v>
      </c>
      <c r="FO255" s="56">
        <v>0</v>
      </c>
      <c r="FP255" s="56">
        <v>0</v>
      </c>
      <c r="FQ255" s="56">
        <v>0</v>
      </c>
      <c r="FR255" s="56">
        <v>0</v>
      </c>
      <c r="FS255" s="58">
        <v>0</v>
      </c>
      <c r="FT255" s="56">
        <v>0</v>
      </c>
      <c r="FU255" s="56">
        <v>0</v>
      </c>
      <c r="FV255" s="56">
        <v>0</v>
      </c>
      <c r="FW255" s="56">
        <v>0</v>
      </c>
      <c r="FX255" s="56">
        <v>0</v>
      </c>
      <c r="FY255" s="56">
        <v>0</v>
      </c>
      <c r="FZ255" s="54" t="s">
        <v>1070</v>
      </c>
      <c r="GA255" s="54" t="s">
        <v>1071</v>
      </c>
      <c r="GB255" s="54" t="s">
        <v>1072</v>
      </c>
      <c r="GC255" s="54" t="s">
        <v>1073</v>
      </c>
      <c r="GD255" s="54" t="s">
        <v>1285</v>
      </c>
      <c r="GE255" s="54" t="s">
        <v>1201</v>
      </c>
      <c r="GF255" s="54" t="s">
        <v>1286</v>
      </c>
      <c r="GG255" s="55">
        <v>46205</v>
      </c>
      <c r="GH255" s="54"/>
      <c r="GI255" s="54"/>
      <c r="GJ255" s="54" t="s">
        <v>1076</v>
      </c>
      <c r="GK255" s="54" t="s">
        <v>1077</v>
      </c>
      <c r="GL255" s="54"/>
      <c r="GM255" s="54"/>
      <c r="GN255" s="54" t="s">
        <v>1208</v>
      </c>
      <c r="GO255" s="54" t="s">
        <v>1209</v>
      </c>
      <c r="GP255" s="54"/>
      <c r="GQ255" s="56">
        <v>0</v>
      </c>
      <c r="GR255" s="54" t="s">
        <v>1079</v>
      </c>
      <c r="GS255" s="54" t="s">
        <v>1101</v>
      </c>
    </row>
    <row r="256" spans="1:201" x14ac:dyDescent="0.25">
      <c r="A256" s="54" t="s">
        <v>1032</v>
      </c>
      <c r="B256" s="54" t="s">
        <v>1033</v>
      </c>
      <c r="C256" s="54" t="s">
        <v>1281</v>
      </c>
      <c r="D256" s="54" t="s">
        <v>1035</v>
      </c>
      <c r="E256" s="54" t="s">
        <v>1036</v>
      </c>
      <c r="F256" s="55">
        <v>46189</v>
      </c>
      <c r="G256" s="55">
        <v>46189</v>
      </c>
      <c r="H256" s="54" t="s">
        <v>1037</v>
      </c>
      <c r="I256" s="54" t="s">
        <v>1038</v>
      </c>
      <c r="J256" s="54" t="s">
        <v>1039</v>
      </c>
      <c r="K256" s="55"/>
      <c r="L256" s="54" t="s">
        <v>1040</v>
      </c>
      <c r="M256" s="54"/>
      <c r="N256" s="54" t="s">
        <v>1282</v>
      </c>
      <c r="O256" s="54" t="s">
        <v>1111</v>
      </c>
      <c r="P256" s="54" t="s">
        <v>265</v>
      </c>
      <c r="Q256" s="54" t="s">
        <v>106</v>
      </c>
      <c r="R256" s="54" t="s">
        <v>1043</v>
      </c>
      <c r="S256" s="56">
        <v>184.2</v>
      </c>
      <c r="T256" s="56">
        <v>184.2</v>
      </c>
      <c r="U256" s="56">
        <v>0</v>
      </c>
      <c r="V256" s="56">
        <v>0</v>
      </c>
      <c r="W256" s="56">
        <v>0</v>
      </c>
      <c r="X256" s="56">
        <v>0</v>
      </c>
      <c r="Y256" s="56">
        <v>0</v>
      </c>
      <c r="Z256" s="56">
        <v>60</v>
      </c>
      <c r="AA256" s="56">
        <v>60</v>
      </c>
      <c r="AB256" s="59">
        <v>0</v>
      </c>
      <c r="AC256" s="56">
        <v>0</v>
      </c>
      <c r="AD256" s="56">
        <v>0</v>
      </c>
      <c r="AE256" s="56">
        <v>0</v>
      </c>
      <c r="AF256" s="54" t="s">
        <v>1044</v>
      </c>
      <c r="AG256" s="57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 t="s">
        <v>1045</v>
      </c>
      <c r="AS256" s="54" t="s">
        <v>1046</v>
      </c>
      <c r="AT256" s="54" t="s">
        <v>1047</v>
      </c>
      <c r="AU256" s="54" t="s">
        <v>1048</v>
      </c>
      <c r="AV256" s="54"/>
      <c r="AW256" s="55">
        <v>46202</v>
      </c>
      <c r="AX256" s="55">
        <v>46189</v>
      </c>
      <c r="AY256" s="55">
        <v>46189</v>
      </c>
      <c r="AZ256" s="55">
        <v>46191</v>
      </c>
      <c r="BA256" s="55">
        <v>46202</v>
      </c>
      <c r="BB256" s="56">
        <v>0</v>
      </c>
      <c r="BC256" s="56">
        <v>0</v>
      </c>
      <c r="BD256" s="56">
        <v>0</v>
      </c>
      <c r="BE256" s="56">
        <v>0</v>
      </c>
      <c r="BF256" s="56">
        <v>0</v>
      </c>
      <c r="BG256" s="56">
        <v>0</v>
      </c>
      <c r="BH256" s="56">
        <v>0</v>
      </c>
      <c r="BI256" s="56">
        <v>0</v>
      </c>
      <c r="BJ256" s="56">
        <v>0</v>
      </c>
      <c r="BK256" s="56">
        <v>0</v>
      </c>
      <c r="BL256" s="56">
        <v>0</v>
      </c>
      <c r="BM256" s="56">
        <v>0</v>
      </c>
      <c r="BN256" s="56">
        <v>0</v>
      </c>
      <c r="BO256" s="56">
        <v>0</v>
      </c>
      <c r="BP256" s="54" t="s">
        <v>1049</v>
      </c>
      <c r="BQ256" s="54" t="s">
        <v>1050</v>
      </c>
      <c r="BR256" s="54" t="s">
        <v>1049</v>
      </c>
      <c r="BS256" s="54" t="s">
        <v>1050</v>
      </c>
      <c r="BT256" s="54" t="s">
        <v>1051</v>
      </c>
      <c r="BU256" s="54" t="s">
        <v>1043</v>
      </c>
      <c r="BV256" s="58">
        <v>60</v>
      </c>
      <c r="BW256" s="54" t="s">
        <v>1052</v>
      </c>
      <c r="BX256" s="54" t="s">
        <v>1053</v>
      </c>
      <c r="BY256" s="54" t="s">
        <v>1054</v>
      </c>
      <c r="BZ256" s="54" t="s">
        <v>1055</v>
      </c>
      <c r="CA256" s="55"/>
      <c r="CB256" s="54" t="s">
        <v>1056</v>
      </c>
      <c r="CC256" s="54" t="s">
        <v>1057</v>
      </c>
      <c r="CD256" s="54" t="s">
        <v>1200</v>
      </c>
      <c r="CE256" s="54" t="s">
        <v>1201</v>
      </c>
      <c r="CF256" s="54" t="s">
        <v>1202</v>
      </c>
      <c r="CG256" s="54" t="s">
        <v>1203</v>
      </c>
      <c r="CH256" s="54" t="s">
        <v>1204</v>
      </c>
      <c r="CI256" s="54" t="s">
        <v>1203</v>
      </c>
      <c r="CJ256" s="54" t="s">
        <v>1064</v>
      </c>
      <c r="CK256" s="54" t="s">
        <v>1065</v>
      </c>
      <c r="CL256" s="54" t="s">
        <v>1205</v>
      </c>
      <c r="CM256" s="54" t="s">
        <v>1206</v>
      </c>
      <c r="CN256" s="54" t="s">
        <v>1068</v>
      </c>
      <c r="CO256" s="54" t="s">
        <v>1069</v>
      </c>
      <c r="CP256" s="56">
        <v>0</v>
      </c>
      <c r="CQ256" s="56">
        <v>0</v>
      </c>
      <c r="CR256" s="56">
        <v>0</v>
      </c>
      <c r="CS256" s="56">
        <v>0</v>
      </c>
      <c r="CT256" s="56">
        <v>0</v>
      </c>
      <c r="CU256" s="56">
        <v>0</v>
      </c>
      <c r="CV256" s="56">
        <v>0</v>
      </c>
      <c r="CW256" s="56">
        <v>0</v>
      </c>
      <c r="CX256" s="56">
        <v>0</v>
      </c>
      <c r="CY256" s="56">
        <v>0</v>
      </c>
      <c r="CZ256" s="56">
        <v>0</v>
      </c>
      <c r="DA256" s="56">
        <v>0</v>
      </c>
      <c r="DB256" s="56">
        <v>0</v>
      </c>
      <c r="DC256" s="56">
        <v>0</v>
      </c>
      <c r="DD256" s="56">
        <v>0</v>
      </c>
      <c r="DE256" s="56">
        <v>0</v>
      </c>
      <c r="DF256" s="56">
        <v>0</v>
      </c>
      <c r="DG256" s="56">
        <v>0</v>
      </c>
      <c r="DH256" s="56">
        <v>0</v>
      </c>
      <c r="DI256" s="56">
        <v>0</v>
      </c>
      <c r="DJ256" s="56">
        <v>0</v>
      </c>
      <c r="DK256" s="56">
        <v>0</v>
      </c>
      <c r="DL256" s="56">
        <v>0</v>
      </c>
      <c r="DM256" s="56">
        <v>0</v>
      </c>
      <c r="DN256" s="56">
        <v>0</v>
      </c>
      <c r="DO256" s="56">
        <v>0</v>
      </c>
      <c r="DP256" s="56">
        <v>0</v>
      </c>
      <c r="DQ256" s="56">
        <v>0</v>
      </c>
      <c r="DR256" s="56">
        <v>0</v>
      </c>
      <c r="DS256" s="56">
        <v>0</v>
      </c>
      <c r="DT256" s="56">
        <v>0</v>
      </c>
      <c r="DU256" s="56">
        <v>0</v>
      </c>
      <c r="DV256" s="56">
        <v>0</v>
      </c>
      <c r="DW256" s="56">
        <v>0</v>
      </c>
      <c r="DX256" s="56">
        <v>0</v>
      </c>
      <c r="DY256" s="56">
        <v>0</v>
      </c>
      <c r="DZ256" s="56">
        <v>0</v>
      </c>
      <c r="EA256" s="56">
        <v>0</v>
      </c>
      <c r="EB256" s="56">
        <v>0</v>
      </c>
      <c r="EC256" s="56">
        <v>0</v>
      </c>
      <c r="ED256" s="56">
        <v>0</v>
      </c>
      <c r="EE256" s="56">
        <v>0</v>
      </c>
      <c r="EF256" s="56">
        <v>0</v>
      </c>
      <c r="EG256" s="56">
        <v>0</v>
      </c>
      <c r="EH256" s="56">
        <v>22.1</v>
      </c>
      <c r="EI256" s="56">
        <v>0</v>
      </c>
      <c r="EJ256" s="56">
        <v>0</v>
      </c>
      <c r="EK256" s="56">
        <v>0</v>
      </c>
      <c r="EL256" s="56">
        <v>0</v>
      </c>
      <c r="EM256" s="56">
        <v>0</v>
      </c>
      <c r="EN256" s="56">
        <v>0</v>
      </c>
      <c r="EO256" s="56">
        <v>0</v>
      </c>
      <c r="EP256" s="56">
        <v>0</v>
      </c>
      <c r="EQ256" s="56">
        <v>0</v>
      </c>
      <c r="ER256" s="56">
        <v>0</v>
      </c>
      <c r="ES256" s="56">
        <v>0</v>
      </c>
      <c r="ET256" s="56">
        <v>0</v>
      </c>
      <c r="EU256" s="56">
        <v>0</v>
      </c>
      <c r="EV256" s="56">
        <v>0</v>
      </c>
      <c r="EW256" s="56">
        <v>0</v>
      </c>
      <c r="EX256" s="56">
        <v>0</v>
      </c>
      <c r="EY256" s="56">
        <v>0</v>
      </c>
      <c r="EZ256" s="56">
        <v>0</v>
      </c>
      <c r="FA256" s="56">
        <v>0</v>
      </c>
      <c r="FB256" s="56">
        <v>0</v>
      </c>
      <c r="FC256" s="58">
        <v>0</v>
      </c>
      <c r="FD256" s="56">
        <v>0</v>
      </c>
      <c r="FE256" s="56">
        <v>0</v>
      </c>
      <c r="FF256" s="56">
        <v>0</v>
      </c>
      <c r="FG256" s="56">
        <v>0</v>
      </c>
      <c r="FH256" s="56">
        <v>0</v>
      </c>
      <c r="FI256" s="56">
        <v>0</v>
      </c>
      <c r="FJ256" s="56">
        <v>0</v>
      </c>
      <c r="FK256" s="56">
        <v>0</v>
      </c>
      <c r="FL256" s="56">
        <v>0</v>
      </c>
      <c r="FM256" s="56">
        <v>0</v>
      </c>
      <c r="FN256" s="56">
        <v>0</v>
      </c>
      <c r="FO256" s="56">
        <v>0</v>
      </c>
      <c r="FP256" s="56">
        <v>0</v>
      </c>
      <c r="FQ256" s="56">
        <v>0</v>
      </c>
      <c r="FR256" s="56">
        <v>0</v>
      </c>
      <c r="FS256" s="58">
        <v>0</v>
      </c>
      <c r="FT256" s="56">
        <v>0</v>
      </c>
      <c r="FU256" s="56">
        <v>0</v>
      </c>
      <c r="FV256" s="56">
        <v>0</v>
      </c>
      <c r="FW256" s="56">
        <v>0</v>
      </c>
      <c r="FX256" s="56">
        <v>0</v>
      </c>
      <c r="FY256" s="56">
        <v>0</v>
      </c>
      <c r="FZ256" s="54" t="s">
        <v>1070</v>
      </c>
      <c r="GA256" s="54" t="s">
        <v>1071</v>
      </c>
      <c r="GB256" s="54" t="s">
        <v>1072</v>
      </c>
      <c r="GC256" s="54" t="s">
        <v>1073</v>
      </c>
      <c r="GD256" s="54" t="s">
        <v>1227</v>
      </c>
      <c r="GE256" s="54" t="s">
        <v>1201</v>
      </c>
      <c r="GF256" s="54"/>
      <c r="GG256" s="55"/>
      <c r="GH256" s="54"/>
      <c r="GI256" s="54"/>
      <c r="GJ256" s="54" t="s">
        <v>1076</v>
      </c>
      <c r="GK256" s="54" t="s">
        <v>1077</v>
      </c>
      <c r="GL256" s="54"/>
      <c r="GM256" s="54"/>
      <c r="GN256" s="54" t="s">
        <v>1208</v>
      </c>
      <c r="GO256" s="54" t="s">
        <v>1209</v>
      </c>
      <c r="GP256" s="54"/>
      <c r="GQ256" s="56">
        <v>0</v>
      </c>
      <c r="GR256" s="54" t="s">
        <v>1079</v>
      </c>
      <c r="GS256" s="54"/>
    </row>
    <row r="257" spans="1:201" x14ac:dyDescent="0.25">
      <c r="A257" s="54" t="s">
        <v>1032</v>
      </c>
      <c r="B257" s="54" t="s">
        <v>1033</v>
      </c>
      <c r="C257" s="54" t="s">
        <v>1281</v>
      </c>
      <c r="D257" s="54" t="s">
        <v>1035</v>
      </c>
      <c r="E257" s="54" t="s">
        <v>1036</v>
      </c>
      <c r="F257" s="55">
        <v>46189</v>
      </c>
      <c r="G257" s="55">
        <v>46189</v>
      </c>
      <c r="H257" s="54" t="s">
        <v>1037</v>
      </c>
      <c r="I257" s="54" t="s">
        <v>1038</v>
      </c>
      <c r="J257" s="54" t="s">
        <v>1039</v>
      </c>
      <c r="K257" s="55"/>
      <c r="L257" s="54" t="s">
        <v>1040</v>
      </c>
      <c r="M257" s="54"/>
      <c r="N257" s="54" t="s">
        <v>1282</v>
      </c>
      <c r="O257" s="54" t="s">
        <v>1113</v>
      </c>
      <c r="P257" s="54" t="s">
        <v>266</v>
      </c>
      <c r="Q257" s="54" t="s">
        <v>107</v>
      </c>
      <c r="R257" s="54" t="s">
        <v>1043</v>
      </c>
      <c r="S257" s="56">
        <v>4020</v>
      </c>
      <c r="T257" s="56">
        <v>4020</v>
      </c>
      <c r="U257" s="56">
        <v>0</v>
      </c>
      <c r="V257" s="56">
        <v>0</v>
      </c>
      <c r="W257" s="56">
        <v>0</v>
      </c>
      <c r="X257" s="56">
        <v>0</v>
      </c>
      <c r="Y257" s="56">
        <v>0</v>
      </c>
      <c r="Z257" s="56">
        <v>3000</v>
      </c>
      <c r="AA257" s="56">
        <v>3000</v>
      </c>
      <c r="AB257" s="59">
        <v>0</v>
      </c>
      <c r="AC257" s="56">
        <v>0</v>
      </c>
      <c r="AD257" s="56">
        <v>0</v>
      </c>
      <c r="AE257" s="56">
        <v>0</v>
      </c>
      <c r="AF257" s="54" t="s">
        <v>1044</v>
      </c>
      <c r="AG257" s="57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 t="s">
        <v>1045</v>
      </c>
      <c r="AS257" s="54" t="s">
        <v>1046</v>
      </c>
      <c r="AT257" s="54" t="s">
        <v>1047</v>
      </c>
      <c r="AU257" s="54" t="s">
        <v>1048</v>
      </c>
      <c r="AV257" s="54"/>
      <c r="AW257" s="55">
        <v>46202</v>
      </c>
      <c r="AX257" s="55">
        <v>46189</v>
      </c>
      <c r="AY257" s="55">
        <v>46189</v>
      </c>
      <c r="AZ257" s="55">
        <v>46191</v>
      </c>
      <c r="BA257" s="55">
        <v>46202</v>
      </c>
      <c r="BB257" s="56">
        <v>0</v>
      </c>
      <c r="BC257" s="56">
        <v>0</v>
      </c>
      <c r="BD257" s="56">
        <v>0</v>
      </c>
      <c r="BE257" s="56">
        <v>0</v>
      </c>
      <c r="BF257" s="56">
        <v>0</v>
      </c>
      <c r="BG257" s="56">
        <v>0</v>
      </c>
      <c r="BH257" s="56">
        <v>0</v>
      </c>
      <c r="BI257" s="56">
        <v>0</v>
      </c>
      <c r="BJ257" s="56">
        <v>0</v>
      </c>
      <c r="BK257" s="56">
        <v>0</v>
      </c>
      <c r="BL257" s="56">
        <v>0</v>
      </c>
      <c r="BM257" s="56">
        <v>0</v>
      </c>
      <c r="BN257" s="56">
        <v>0</v>
      </c>
      <c r="BO257" s="56">
        <v>0</v>
      </c>
      <c r="BP257" s="54" t="s">
        <v>1049</v>
      </c>
      <c r="BQ257" s="54" t="s">
        <v>1050</v>
      </c>
      <c r="BR257" s="54" t="s">
        <v>1049</v>
      </c>
      <c r="BS257" s="54" t="s">
        <v>1050</v>
      </c>
      <c r="BT257" s="54" t="s">
        <v>1051</v>
      </c>
      <c r="BU257" s="54" t="s">
        <v>1043</v>
      </c>
      <c r="BV257" s="58">
        <v>3000</v>
      </c>
      <c r="BW257" s="54" t="s">
        <v>1052</v>
      </c>
      <c r="BX257" s="54" t="s">
        <v>1053</v>
      </c>
      <c r="BY257" s="54" t="s">
        <v>1054</v>
      </c>
      <c r="BZ257" s="54" t="s">
        <v>1055</v>
      </c>
      <c r="CA257" s="55"/>
      <c r="CB257" s="54" t="s">
        <v>1056</v>
      </c>
      <c r="CC257" s="54" t="s">
        <v>1057</v>
      </c>
      <c r="CD257" s="54" t="s">
        <v>1200</v>
      </c>
      <c r="CE257" s="54" t="s">
        <v>1201</v>
      </c>
      <c r="CF257" s="54" t="s">
        <v>1202</v>
      </c>
      <c r="CG257" s="54" t="s">
        <v>1203</v>
      </c>
      <c r="CH257" s="54" t="s">
        <v>1204</v>
      </c>
      <c r="CI257" s="54" t="s">
        <v>1203</v>
      </c>
      <c r="CJ257" s="54" t="s">
        <v>1064</v>
      </c>
      <c r="CK257" s="54" t="s">
        <v>1065</v>
      </c>
      <c r="CL257" s="54" t="s">
        <v>1205</v>
      </c>
      <c r="CM257" s="54" t="s">
        <v>1206</v>
      </c>
      <c r="CN257" s="54" t="s">
        <v>1068</v>
      </c>
      <c r="CO257" s="54" t="s">
        <v>1069</v>
      </c>
      <c r="CP257" s="56">
        <v>0</v>
      </c>
      <c r="CQ257" s="56">
        <v>0</v>
      </c>
      <c r="CR257" s="56">
        <v>0</v>
      </c>
      <c r="CS257" s="56">
        <v>0</v>
      </c>
      <c r="CT257" s="56">
        <v>0</v>
      </c>
      <c r="CU257" s="56">
        <v>0</v>
      </c>
      <c r="CV257" s="56">
        <v>0</v>
      </c>
      <c r="CW257" s="56">
        <v>0</v>
      </c>
      <c r="CX257" s="56">
        <v>0</v>
      </c>
      <c r="CY257" s="56">
        <v>0</v>
      </c>
      <c r="CZ257" s="56">
        <v>0</v>
      </c>
      <c r="DA257" s="56">
        <v>0</v>
      </c>
      <c r="DB257" s="56">
        <v>0</v>
      </c>
      <c r="DC257" s="56">
        <v>0</v>
      </c>
      <c r="DD257" s="56">
        <v>0</v>
      </c>
      <c r="DE257" s="56">
        <v>0</v>
      </c>
      <c r="DF257" s="56">
        <v>0</v>
      </c>
      <c r="DG257" s="56">
        <v>0</v>
      </c>
      <c r="DH257" s="56">
        <v>0</v>
      </c>
      <c r="DI257" s="56">
        <v>0</v>
      </c>
      <c r="DJ257" s="56">
        <v>0</v>
      </c>
      <c r="DK257" s="56">
        <v>0</v>
      </c>
      <c r="DL257" s="56">
        <v>0</v>
      </c>
      <c r="DM257" s="56">
        <v>0</v>
      </c>
      <c r="DN257" s="56">
        <v>0</v>
      </c>
      <c r="DO257" s="56">
        <v>0</v>
      </c>
      <c r="DP257" s="56">
        <v>0</v>
      </c>
      <c r="DQ257" s="56">
        <v>0</v>
      </c>
      <c r="DR257" s="56">
        <v>0</v>
      </c>
      <c r="DS257" s="56">
        <v>0</v>
      </c>
      <c r="DT257" s="56">
        <v>0</v>
      </c>
      <c r="DU257" s="56">
        <v>0</v>
      </c>
      <c r="DV257" s="56">
        <v>0</v>
      </c>
      <c r="DW257" s="56">
        <v>0</v>
      </c>
      <c r="DX257" s="56">
        <v>0</v>
      </c>
      <c r="DY257" s="56">
        <v>0</v>
      </c>
      <c r="DZ257" s="56">
        <v>0</v>
      </c>
      <c r="EA257" s="56">
        <v>0</v>
      </c>
      <c r="EB257" s="56">
        <v>0</v>
      </c>
      <c r="EC257" s="56">
        <v>0</v>
      </c>
      <c r="ED257" s="56">
        <v>0</v>
      </c>
      <c r="EE257" s="56">
        <v>0</v>
      </c>
      <c r="EF257" s="56">
        <v>0</v>
      </c>
      <c r="EG257" s="56">
        <v>0</v>
      </c>
      <c r="EH257" s="56">
        <v>482.4</v>
      </c>
      <c r="EI257" s="56">
        <v>0</v>
      </c>
      <c r="EJ257" s="56">
        <v>0</v>
      </c>
      <c r="EK257" s="56">
        <v>0</v>
      </c>
      <c r="EL257" s="56">
        <v>0</v>
      </c>
      <c r="EM257" s="56">
        <v>0</v>
      </c>
      <c r="EN257" s="56">
        <v>0</v>
      </c>
      <c r="EO257" s="56">
        <v>0</v>
      </c>
      <c r="EP257" s="56">
        <v>0</v>
      </c>
      <c r="EQ257" s="56">
        <v>0</v>
      </c>
      <c r="ER257" s="56">
        <v>0</v>
      </c>
      <c r="ES257" s="56">
        <v>0</v>
      </c>
      <c r="ET257" s="56">
        <v>0</v>
      </c>
      <c r="EU257" s="56">
        <v>0</v>
      </c>
      <c r="EV257" s="56">
        <v>0</v>
      </c>
      <c r="EW257" s="56">
        <v>0</v>
      </c>
      <c r="EX257" s="56">
        <v>0</v>
      </c>
      <c r="EY257" s="56">
        <v>0</v>
      </c>
      <c r="EZ257" s="56">
        <v>0</v>
      </c>
      <c r="FA257" s="56">
        <v>0</v>
      </c>
      <c r="FB257" s="56">
        <v>0</v>
      </c>
      <c r="FC257" s="58">
        <v>0</v>
      </c>
      <c r="FD257" s="56">
        <v>0</v>
      </c>
      <c r="FE257" s="56">
        <v>0</v>
      </c>
      <c r="FF257" s="56">
        <v>0</v>
      </c>
      <c r="FG257" s="56">
        <v>0</v>
      </c>
      <c r="FH257" s="56">
        <v>0</v>
      </c>
      <c r="FI257" s="56">
        <v>0</v>
      </c>
      <c r="FJ257" s="56">
        <v>0</v>
      </c>
      <c r="FK257" s="56">
        <v>0</v>
      </c>
      <c r="FL257" s="56">
        <v>0</v>
      </c>
      <c r="FM257" s="56">
        <v>0</v>
      </c>
      <c r="FN257" s="56">
        <v>0</v>
      </c>
      <c r="FO257" s="56">
        <v>0</v>
      </c>
      <c r="FP257" s="56">
        <v>0</v>
      </c>
      <c r="FQ257" s="56">
        <v>0</v>
      </c>
      <c r="FR257" s="56">
        <v>0</v>
      </c>
      <c r="FS257" s="58">
        <v>0</v>
      </c>
      <c r="FT257" s="56">
        <v>0</v>
      </c>
      <c r="FU257" s="56">
        <v>0</v>
      </c>
      <c r="FV257" s="56">
        <v>0</v>
      </c>
      <c r="FW257" s="56">
        <v>0</v>
      </c>
      <c r="FX257" s="56">
        <v>0</v>
      </c>
      <c r="FY257" s="56">
        <v>0</v>
      </c>
      <c r="FZ257" s="54" t="s">
        <v>1070</v>
      </c>
      <c r="GA257" s="54" t="s">
        <v>1071</v>
      </c>
      <c r="GB257" s="54" t="s">
        <v>1072</v>
      </c>
      <c r="GC257" s="54" t="s">
        <v>1073</v>
      </c>
      <c r="GD257" s="54" t="s">
        <v>1287</v>
      </c>
      <c r="GE257" s="54" t="s">
        <v>1201</v>
      </c>
      <c r="GF257" s="54"/>
      <c r="GG257" s="55"/>
      <c r="GH257" s="54"/>
      <c r="GI257" s="54"/>
      <c r="GJ257" s="54" t="s">
        <v>1076</v>
      </c>
      <c r="GK257" s="54" t="s">
        <v>1077</v>
      </c>
      <c r="GL257" s="54"/>
      <c r="GM257" s="54"/>
      <c r="GN257" s="54" t="s">
        <v>1208</v>
      </c>
      <c r="GO257" s="54" t="s">
        <v>1209</v>
      </c>
      <c r="GP257" s="54"/>
      <c r="GQ257" s="56">
        <v>0</v>
      </c>
      <c r="GR257" s="54" t="s">
        <v>1079</v>
      </c>
      <c r="GS257" s="54"/>
    </row>
    <row r="258" spans="1:201" x14ac:dyDescent="0.25">
      <c r="A258" s="54" t="s">
        <v>1032</v>
      </c>
      <c r="B258" s="54" t="s">
        <v>1033</v>
      </c>
      <c r="C258" s="54" t="s">
        <v>1281</v>
      </c>
      <c r="D258" s="54" t="s">
        <v>1035</v>
      </c>
      <c r="E258" s="54" t="s">
        <v>1036</v>
      </c>
      <c r="F258" s="55">
        <v>46189</v>
      </c>
      <c r="G258" s="55">
        <v>46189</v>
      </c>
      <c r="H258" s="54" t="s">
        <v>1037</v>
      </c>
      <c r="I258" s="54" t="s">
        <v>1038</v>
      </c>
      <c r="J258" s="54" t="s">
        <v>1039</v>
      </c>
      <c r="K258" s="55"/>
      <c r="L258" s="54" t="s">
        <v>1040</v>
      </c>
      <c r="M258" s="54"/>
      <c r="N258" s="54" t="s">
        <v>1282</v>
      </c>
      <c r="O258" s="54" t="s">
        <v>1114</v>
      </c>
      <c r="P258" s="54" t="s">
        <v>269</v>
      </c>
      <c r="Q258" s="54" t="s">
        <v>110</v>
      </c>
      <c r="R258" s="54" t="s">
        <v>1043</v>
      </c>
      <c r="S258" s="56">
        <v>1029.5999999999999</v>
      </c>
      <c r="T258" s="56">
        <v>1029.5999999999999</v>
      </c>
      <c r="U258" s="56">
        <v>0</v>
      </c>
      <c r="V258" s="56">
        <v>0</v>
      </c>
      <c r="W258" s="56">
        <v>0</v>
      </c>
      <c r="X258" s="56">
        <v>0</v>
      </c>
      <c r="Y258" s="56">
        <v>0</v>
      </c>
      <c r="Z258" s="56">
        <v>780</v>
      </c>
      <c r="AA258" s="56">
        <v>780</v>
      </c>
      <c r="AB258" s="59">
        <v>0</v>
      </c>
      <c r="AC258" s="56">
        <v>0</v>
      </c>
      <c r="AD258" s="56">
        <v>0</v>
      </c>
      <c r="AE258" s="56">
        <v>0</v>
      </c>
      <c r="AF258" s="54" t="s">
        <v>1044</v>
      </c>
      <c r="AG258" s="57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 t="s">
        <v>1045</v>
      </c>
      <c r="AS258" s="54" t="s">
        <v>1046</v>
      </c>
      <c r="AT258" s="54" t="s">
        <v>1047</v>
      </c>
      <c r="AU258" s="54" t="s">
        <v>1048</v>
      </c>
      <c r="AV258" s="54"/>
      <c r="AW258" s="55">
        <v>46202</v>
      </c>
      <c r="AX258" s="55">
        <v>46189</v>
      </c>
      <c r="AY258" s="55">
        <v>46189</v>
      </c>
      <c r="AZ258" s="55">
        <v>46191</v>
      </c>
      <c r="BA258" s="55">
        <v>46202</v>
      </c>
      <c r="BB258" s="56">
        <v>0</v>
      </c>
      <c r="BC258" s="56">
        <v>0</v>
      </c>
      <c r="BD258" s="56">
        <v>0</v>
      </c>
      <c r="BE258" s="56">
        <v>0</v>
      </c>
      <c r="BF258" s="56">
        <v>0</v>
      </c>
      <c r="BG258" s="56">
        <v>0</v>
      </c>
      <c r="BH258" s="56">
        <v>0</v>
      </c>
      <c r="BI258" s="56">
        <v>0</v>
      </c>
      <c r="BJ258" s="56">
        <v>0</v>
      </c>
      <c r="BK258" s="56">
        <v>0</v>
      </c>
      <c r="BL258" s="56">
        <v>0</v>
      </c>
      <c r="BM258" s="56">
        <v>0</v>
      </c>
      <c r="BN258" s="56">
        <v>0</v>
      </c>
      <c r="BO258" s="56">
        <v>0</v>
      </c>
      <c r="BP258" s="54" t="s">
        <v>1049</v>
      </c>
      <c r="BQ258" s="54" t="s">
        <v>1050</v>
      </c>
      <c r="BR258" s="54" t="s">
        <v>1049</v>
      </c>
      <c r="BS258" s="54" t="s">
        <v>1050</v>
      </c>
      <c r="BT258" s="54" t="s">
        <v>1051</v>
      </c>
      <c r="BU258" s="54" t="s">
        <v>1043</v>
      </c>
      <c r="BV258" s="58">
        <v>780</v>
      </c>
      <c r="BW258" s="54" t="s">
        <v>1052</v>
      </c>
      <c r="BX258" s="54" t="s">
        <v>1053</v>
      </c>
      <c r="BY258" s="54" t="s">
        <v>1054</v>
      </c>
      <c r="BZ258" s="54" t="s">
        <v>1055</v>
      </c>
      <c r="CA258" s="55"/>
      <c r="CB258" s="54" t="s">
        <v>1056</v>
      </c>
      <c r="CC258" s="54" t="s">
        <v>1057</v>
      </c>
      <c r="CD258" s="54" t="s">
        <v>1200</v>
      </c>
      <c r="CE258" s="54" t="s">
        <v>1201</v>
      </c>
      <c r="CF258" s="54" t="s">
        <v>1202</v>
      </c>
      <c r="CG258" s="54" t="s">
        <v>1203</v>
      </c>
      <c r="CH258" s="54" t="s">
        <v>1204</v>
      </c>
      <c r="CI258" s="54" t="s">
        <v>1203</v>
      </c>
      <c r="CJ258" s="54" t="s">
        <v>1064</v>
      </c>
      <c r="CK258" s="54" t="s">
        <v>1065</v>
      </c>
      <c r="CL258" s="54" t="s">
        <v>1205</v>
      </c>
      <c r="CM258" s="54" t="s">
        <v>1206</v>
      </c>
      <c r="CN258" s="54" t="s">
        <v>1068</v>
      </c>
      <c r="CO258" s="54" t="s">
        <v>1069</v>
      </c>
      <c r="CP258" s="56">
        <v>0</v>
      </c>
      <c r="CQ258" s="56">
        <v>0</v>
      </c>
      <c r="CR258" s="56">
        <v>0</v>
      </c>
      <c r="CS258" s="56">
        <v>0</v>
      </c>
      <c r="CT258" s="56">
        <v>0</v>
      </c>
      <c r="CU258" s="56">
        <v>0</v>
      </c>
      <c r="CV258" s="56">
        <v>0</v>
      </c>
      <c r="CW258" s="56">
        <v>0</v>
      </c>
      <c r="CX258" s="56">
        <v>0</v>
      </c>
      <c r="CY258" s="56">
        <v>0</v>
      </c>
      <c r="CZ258" s="56">
        <v>0</v>
      </c>
      <c r="DA258" s="56">
        <v>0</v>
      </c>
      <c r="DB258" s="56">
        <v>0</v>
      </c>
      <c r="DC258" s="56">
        <v>0</v>
      </c>
      <c r="DD258" s="56">
        <v>0</v>
      </c>
      <c r="DE258" s="56">
        <v>0</v>
      </c>
      <c r="DF258" s="56">
        <v>0</v>
      </c>
      <c r="DG258" s="56">
        <v>0</v>
      </c>
      <c r="DH258" s="56">
        <v>0</v>
      </c>
      <c r="DI258" s="56">
        <v>0</v>
      </c>
      <c r="DJ258" s="56">
        <v>0</v>
      </c>
      <c r="DK258" s="56">
        <v>0</v>
      </c>
      <c r="DL258" s="56">
        <v>0</v>
      </c>
      <c r="DM258" s="56">
        <v>0</v>
      </c>
      <c r="DN258" s="56">
        <v>0</v>
      </c>
      <c r="DO258" s="56">
        <v>0</v>
      </c>
      <c r="DP258" s="56">
        <v>0</v>
      </c>
      <c r="DQ258" s="56">
        <v>0</v>
      </c>
      <c r="DR258" s="56">
        <v>0</v>
      </c>
      <c r="DS258" s="56">
        <v>0</v>
      </c>
      <c r="DT258" s="56">
        <v>0</v>
      </c>
      <c r="DU258" s="56">
        <v>0</v>
      </c>
      <c r="DV258" s="56">
        <v>0</v>
      </c>
      <c r="DW258" s="56">
        <v>0</v>
      </c>
      <c r="DX258" s="56">
        <v>0</v>
      </c>
      <c r="DY258" s="56">
        <v>0</v>
      </c>
      <c r="DZ258" s="56">
        <v>0</v>
      </c>
      <c r="EA258" s="56">
        <v>0</v>
      </c>
      <c r="EB258" s="56">
        <v>0</v>
      </c>
      <c r="EC258" s="56">
        <v>0</v>
      </c>
      <c r="ED258" s="56">
        <v>0</v>
      </c>
      <c r="EE258" s="56">
        <v>0</v>
      </c>
      <c r="EF258" s="56">
        <v>0</v>
      </c>
      <c r="EG258" s="56">
        <v>0</v>
      </c>
      <c r="EH258" s="56">
        <v>123.55</v>
      </c>
      <c r="EI258" s="56">
        <v>0</v>
      </c>
      <c r="EJ258" s="56">
        <v>0</v>
      </c>
      <c r="EK258" s="56">
        <v>0</v>
      </c>
      <c r="EL258" s="56">
        <v>0</v>
      </c>
      <c r="EM258" s="56">
        <v>0</v>
      </c>
      <c r="EN258" s="56">
        <v>0</v>
      </c>
      <c r="EO258" s="56">
        <v>0</v>
      </c>
      <c r="EP258" s="56">
        <v>0</v>
      </c>
      <c r="EQ258" s="56">
        <v>0</v>
      </c>
      <c r="ER258" s="56">
        <v>0</v>
      </c>
      <c r="ES258" s="56">
        <v>0</v>
      </c>
      <c r="ET258" s="56">
        <v>0</v>
      </c>
      <c r="EU258" s="56">
        <v>0</v>
      </c>
      <c r="EV258" s="56">
        <v>0</v>
      </c>
      <c r="EW258" s="56">
        <v>0</v>
      </c>
      <c r="EX258" s="56">
        <v>0</v>
      </c>
      <c r="EY258" s="56">
        <v>0</v>
      </c>
      <c r="EZ258" s="56">
        <v>0</v>
      </c>
      <c r="FA258" s="56">
        <v>0</v>
      </c>
      <c r="FB258" s="56">
        <v>0</v>
      </c>
      <c r="FC258" s="58">
        <v>0</v>
      </c>
      <c r="FD258" s="56">
        <v>0</v>
      </c>
      <c r="FE258" s="56">
        <v>0</v>
      </c>
      <c r="FF258" s="56">
        <v>0</v>
      </c>
      <c r="FG258" s="56">
        <v>0</v>
      </c>
      <c r="FH258" s="56">
        <v>0</v>
      </c>
      <c r="FI258" s="56">
        <v>0</v>
      </c>
      <c r="FJ258" s="56">
        <v>0</v>
      </c>
      <c r="FK258" s="56">
        <v>0</v>
      </c>
      <c r="FL258" s="56">
        <v>0</v>
      </c>
      <c r="FM258" s="56">
        <v>0</v>
      </c>
      <c r="FN258" s="56">
        <v>0</v>
      </c>
      <c r="FO258" s="56">
        <v>0</v>
      </c>
      <c r="FP258" s="56">
        <v>0</v>
      </c>
      <c r="FQ258" s="56">
        <v>0</v>
      </c>
      <c r="FR258" s="56">
        <v>0</v>
      </c>
      <c r="FS258" s="58">
        <v>0</v>
      </c>
      <c r="FT258" s="56">
        <v>0</v>
      </c>
      <c r="FU258" s="56">
        <v>0</v>
      </c>
      <c r="FV258" s="56">
        <v>0</v>
      </c>
      <c r="FW258" s="56">
        <v>0</v>
      </c>
      <c r="FX258" s="56">
        <v>0</v>
      </c>
      <c r="FY258" s="56">
        <v>0</v>
      </c>
      <c r="FZ258" s="54" t="s">
        <v>1070</v>
      </c>
      <c r="GA258" s="54" t="s">
        <v>1071</v>
      </c>
      <c r="GB258" s="54" t="s">
        <v>1072</v>
      </c>
      <c r="GC258" s="54" t="s">
        <v>1073</v>
      </c>
      <c r="GD258" s="54" t="s">
        <v>1228</v>
      </c>
      <c r="GE258" s="54" t="s">
        <v>1201</v>
      </c>
      <c r="GF258" s="54"/>
      <c r="GG258" s="55"/>
      <c r="GH258" s="54"/>
      <c r="GI258" s="54"/>
      <c r="GJ258" s="54" t="s">
        <v>1076</v>
      </c>
      <c r="GK258" s="54" t="s">
        <v>1077</v>
      </c>
      <c r="GL258" s="54"/>
      <c r="GM258" s="54"/>
      <c r="GN258" s="54" t="s">
        <v>1208</v>
      </c>
      <c r="GO258" s="54" t="s">
        <v>1209</v>
      </c>
      <c r="GP258" s="54"/>
      <c r="GQ258" s="56">
        <v>0</v>
      </c>
      <c r="GR258" s="54" t="s">
        <v>1079</v>
      </c>
      <c r="GS258" s="54"/>
    </row>
    <row r="259" spans="1:201" x14ac:dyDescent="0.25">
      <c r="A259" s="54" t="s">
        <v>1032</v>
      </c>
      <c r="B259" s="54" t="s">
        <v>1033</v>
      </c>
      <c r="C259" s="54" t="s">
        <v>1281</v>
      </c>
      <c r="D259" s="54" t="s">
        <v>1035</v>
      </c>
      <c r="E259" s="54" t="s">
        <v>1036</v>
      </c>
      <c r="F259" s="55">
        <v>46189</v>
      </c>
      <c r="G259" s="55">
        <v>46189</v>
      </c>
      <c r="H259" s="54" t="s">
        <v>1037</v>
      </c>
      <c r="I259" s="54" t="s">
        <v>1038</v>
      </c>
      <c r="J259" s="54" t="s">
        <v>1039</v>
      </c>
      <c r="K259" s="55"/>
      <c r="L259" s="54" t="s">
        <v>1040</v>
      </c>
      <c r="M259" s="54"/>
      <c r="N259" s="54" t="s">
        <v>1282</v>
      </c>
      <c r="O259" s="54" t="s">
        <v>1115</v>
      </c>
      <c r="P259" s="54" t="s">
        <v>268</v>
      </c>
      <c r="Q259" s="54" t="s">
        <v>109</v>
      </c>
      <c r="R259" s="54" t="s">
        <v>1043</v>
      </c>
      <c r="S259" s="56">
        <v>2157.6</v>
      </c>
      <c r="T259" s="56">
        <v>2157.6</v>
      </c>
      <c r="U259" s="56">
        <v>0</v>
      </c>
      <c r="V259" s="56">
        <v>0</v>
      </c>
      <c r="W259" s="56">
        <v>0</v>
      </c>
      <c r="X259" s="56">
        <v>0</v>
      </c>
      <c r="Y259" s="56">
        <v>0</v>
      </c>
      <c r="Z259" s="56">
        <v>1860</v>
      </c>
      <c r="AA259" s="56">
        <v>1860</v>
      </c>
      <c r="AB259" s="59">
        <v>0</v>
      </c>
      <c r="AC259" s="56">
        <v>0</v>
      </c>
      <c r="AD259" s="56">
        <v>0</v>
      </c>
      <c r="AE259" s="56">
        <v>0</v>
      </c>
      <c r="AF259" s="54" t="s">
        <v>1044</v>
      </c>
      <c r="AG259" s="57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 t="s">
        <v>1045</v>
      </c>
      <c r="AS259" s="54" t="s">
        <v>1046</v>
      </c>
      <c r="AT259" s="54" t="s">
        <v>1047</v>
      </c>
      <c r="AU259" s="54" t="s">
        <v>1048</v>
      </c>
      <c r="AV259" s="54"/>
      <c r="AW259" s="55">
        <v>46202</v>
      </c>
      <c r="AX259" s="55">
        <v>46189</v>
      </c>
      <c r="AY259" s="55">
        <v>46189</v>
      </c>
      <c r="AZ259" s="55">
        <v>46191</v>
      </c>
      <c r="BA259" s="55">
        <v>46202</v>
      </c>
      <c r="BB259" s="56">
        <v>0</v>
      </c>
      <c r="BC259" s="56">
        <v>0</v>
      </c>
      <c r="BD259" s="56">
        <v>0</v>
      </c>
      <c r="BE259" s="56">
        <v>0</v>
      </c>
      <c r="BF259" s="56">
        <v>0</v>
      </c>
      <c r="BG259" s="56">
        <v>0</v>
      </c>
      <c r="BH259" s="56">
        <v>0</v>
      </c>
      <c r="BI259" s="56">
        <v>0</v>
      </c>
      <c r="BJ259" s="56">
        <v>0</v>
      </c>
      <c r="BK259" s="56">
        <v>0</v>
      </c>
      <c r="BL259" s="56">
        <v>0</v>
      </c>
      <c r="BM259" s="56">
        <v>0</v>
      </c>
      <c r="BN259" s="56">
        <v>0</v>
      </c>
      <c r="BO259" s="56">
        <v>0</v>
      </c>
      <c r="BP259" s="54" t="s">
        <v>1049</v>
      </c>
      <c r="BQ259" s="54" t="s">
        <v>1050</v>
      </c>
      <c r="BR259" s="54" t="s">
        <v>1049</v>
      </c>
      <c r="BS259" s="54" t="s">
        <v>1050</v>
      </c>
      <c r="BT259" s="54" t="s">
        <v>1051</v>
      </c>
      <c r="BU259" s="54" t="s">
        <v>1043</v>
      </c>
      <c r="BV259" s="58">
        <v>1860</v>
      </c>
      <c r="BW259" s="54" t="s">
        <v>1052</v>
      </c>
      <c r="BX259" s="54" t="s">
        <v>1053</v>
      </c>
      <c r="BY259" s="54" t="s">
        <v>1054</v>
      </c>
      <c r="BZ259" s="54" t="s">
        <v>1055</v>
      </c>
      <c r="CA259" s="55"/>
      <c r="CB259" s="54" t="s">
        <v>1056</v>
      </c>
      <c r="CC259" s="54" t="s">
        <v>1057</v>
      </c>
      <c r="CD259" s="54" t="s">
        <v>1200</v>
      </c>
      <c r="CE259" s="54" t="s">
        <v>1201</v>
      </c>
      <c r="CF259" s="54" t="s">
        <v>1202</v>
      </c>
      <c r="CG259" s="54" t="s">
        <v>1203</v>
      </c>
      <c r="CH259" s="54" t="s">
        <v>1204</v>
      </c>
      <c r="CI259" s="54" t="s">
        <v>1203</v>
      </c>
      <c r="CJ259" s="54" t="s">
        <v>1064</v>
      </c>
      <c r="CK259" s="54" t="s">
        <v>1065</v>
      </c>
      <c r="CL259" s="54" t="s">
        <v>1205</v>
      </c>
      <c r="CM259" s="54" t="s">
        <v>1206</v>
      </c>
      <c r="CN259" s="54" t="s">
        <v>1068</v>
      </c>
      <c r="CO259" s="54" t="s">
        <v>1069</v>
      </c>
      <c r="CP259" s="56">
        <v>0</v>
      </c>
      <c r="CQ259" s="56">
        <v>0</v>
      </c>
      <c r="CR259" s="56">
        <v>0</v>
      </c>
      <c r="CS259" s="56">
        <v>0</v>
      </c>
      <c r="CT259" s="56">
        <v>0</v>
      </c>
      <c r="CU259" s="56">
        <v>0</v>
      </c>
      <c r="CV259" s="56">
        <v>0</v>
      </c>
      <c r="CW259" s="56">
        <v>0</v>
      </c>
      <c r="CX259" s="56">
        <v>0</v>
      </c>
      <c r="CY259" s="56">
        <v>0</v>
      </c>
      <c r="CZ259" s="56">
        <v>0</v>
      </c>
      <c r="DA259" s="56">
        <v>0</v>
      </c>
      <c r="DB259" s="56">
        <v>0</v>
      </c>
      <c r="DC259" s="56">
        <v>0</v>
      </c>
      <c r="DD259" s="56">
        <v>0</v>
      </c>
      <c r="DE259" s="56">
        <v>0</v>
      </c>
      <c r="DF259" s="56">
        <v>0</v>
      </c>
      <c r="DG259" s="56">
        <v>0</v>
      </c>
      <c r="DH259" s="56">
        <v>0</v>
      </c>
      <c r="DI259" s="56">
        <v>0</v>
      </c>
      <c r="DJ259" s="56">
        <v>0</v>
      </c>
      <c r="DK259" s="56">
        <v>0</v>
      </c>
      <c r="DL259" s="56">
        <v>0</v>
      </c>
      <c r="DM259" s="56">
        <v>0</v>
      </c>
      <c r="DN259" s="56">
        <v>0</v>
      </c>
      <c r="DO259" s="56">
        <v>0</v>
      </c>
      <c r="DP259" s="56">
        <v>0</v>
      </c>
      <c r="DQ259" s="56">
        <v>0</v>
      </c>
      <c r="DR259" s="56">
        <v>0</v>
      </c>
      <c r="DS259" s="56">
        <v>0</v>
      </c>
      <c r="DT259" s="56">
        <v>0</v>
      </c>
      <c r="DU259" s="56">
        <v>0</v>
      </c>
      <c r="DV259" s="56">
        <v>0</v>
      </c>
      <c r="DW259" s="56">
        <v>0</v>
      </c>
      <c r="DX259" s="56">
        <v>0</v>
      </c>
      <c r="DY259" s="56">
        <v>0</v>
      </c>
      <c r="DZ259" s="56">
        <v>0</v>
      </c>
      <c r="EA259" s="56">
        <v>0</v>
      </c>
      <c r="EB259" s="56">
        <v>0</v>
      </c>
      <c r="EC259" s="56">
        <v>0</v>
      </c>
      <c r="ED259" s="56">
        <v>0</v>
      </c>
      <c r="EE259" s="56">
        <v>0</v>
      </c>
      <c r="EF259" s="56">
        <v>0</v>
      </c>
      <c r="EG259" s="56">
        <v>0</v>
      </c>
      <c r="EH259" s="56">
        <v>258.91000000000003</v>
      </c>
      <c r="EI259" s="56">
        <v>0</v>
      </c>
      <c r="EJ259" s="56">
        <v>0</v>
      </c>
      <c r="EK259" s="56">
        <v>0</v>
      </c>
      <c r="EL259" s="56">
        <v>0</v>
      </c>
      <c r="EM259" s="56">
        <v>0</v>
      </c>
      <c r="EN259" s="56">
        <v>0</v>
      </c>
      <c r="EO259" s="56">
        <v>0</v>
      </c>
      <c r="EP259" s="56">
        <v>0</v>
      </c>
      <c r="EQ259" s="56">
        <v>0</v>
      </c>
      <c r="ER259" s="56">
        <v>0</v>
      </c>
      <c r="ES259" s="56">
        <v>0</v>
      </c>
      <c r="ET259" s="56">
        <v>0</v>
      </c>
      <c r="EU259" s="56">
        <v>0</v>
      </c>
      <c r="EV259" s="56">
        <v>0</v>
      </c>
      <c r="EW259" s="56">
        <v>0</v>
      </c>
      <c r="EX259" s="56">
        <v>0</v>
      </c>
      <c r="EY259" s="56">
        <v>0</v>
      </c>
      <c r="EZ259" s="56">
        <v>0</v>
      </c>
      <c r="FA259" s="56">
        <v>0</v>
      </c>
      <c r="FB259" s="56">
        <v>0</v>
      </c>
      <c r="FC259" s="58">
        <v>0</v>
      </c>
      <c r="FD259" s="56">
        <v>0</v>
      </c>
      <c r="FE259" s="56">
        <v>0</v>
      </c>
      <c r="FF259" s="56">
        <v>0</v>
      </c>
      <c r="FG259" s="56">
        <v>0</v>
      </c>
      <c r="FH259" s="56">
        <v>0</v>
      </c>
      <c r="FI259" s="56">
        <v>0</v>
      </c>
      <c r="FJ259" s="56">
        <v>0</v>
      </c>
      <c r="FK259" s="56">
        <v>0</v>
      </c>
      <c r="FL259" s="56">
        <v>0</v>
      </c>
      <c r="FM259" s="56">
        <v>0</v>
      </c>
      <c r="FN259" s="56">
        <v>0</v>
      </c>
      <c r="FO259" s="56">
        <v>0</v>
      </c>
      <c r="FP259" s="56">
        <v>0</v>
      </c>
      <c r="FQ259" s="56">
        <v>0</v>
      </c>
      <c r="FR259" s="56">
        <v>0</v>
      </c>
      <c r="FS259" s="58">
        <v>0</v>
      </c>
      <c r="FT259" s="56">
        <v>0</v>
      </c>
      <c r="FU259" s="56">
        <v>0</v>
      </c>
      <c r="FV259" s="56">
        <v>0</v>
      </c>
      <c r="FW259" s="56">
        <v>0</v>
      </c>
      <c r="FX259" s="56">
        <v>0</v>
      </c>
      <c r="FY259" s="56">
        <v>0</v>
      </c>
      <c r="FZ259" s="54" t="s">
        <v>1070</v>
      </c>
      <c r="GA259" s="54" t="s">
        <v>1071</v>
      </c>
      <c r="GB259" s="54" t="s">
        <v>1072</v>
      </c>
      <c r="GC259" s="54" t="s">
        <v>1073</v>
      </c>
      <c r="GD259" s="54" t="s">
        <v>1228</v>
      </c>
      <c r="GE259" s="54" t="s">
        <v>1201</v>
      </c>
      <c r="GF259" s="54"/>
      <c r="GG259" s="55"/>
      <c r="GH259" s="54"/>
      <c r="GI259" s="54"/>
      <c r="GJ259" s="54" t="s">
        <v>1076</v>
      </c>
      <c r="GK259" s="54" t="s">
        <v>1077</v>
      </c>
      <c r="GL259" s="54"/>
      <c r="GM259" s="54"/>
      <c r="GN259" s="54" t="s">
        <v>1208</v>
      </c>
      <c r="GO259" s="54" t="s">
        <v>1209</v>
      </c>
      <c r="GP259" s="54"/>
      <c r="GQ259" s="56">
        <v>0</v>
      </c>
      <c r="GR259" s="54" t="s">
        <v>1079</v>
      </c>
      <c r="GS259" s="54"/>
    </row>
    <row r="260" spans="1:201" x14ac:dyDescent="0.25">
      <c r="A260" s="54" t="s">
        <v>1032</v>
      </c>
      <c r="B260" s="54" t="s">
        <v>1033</v>
      </c>
      <c r="C260" s="54" t="s">
        <v>1281</v>
      </c>
      <c r="D260" s="54" t="s">
        <v>1035</v>
      </c>
      <c r="E260" s="54" t="s">
        <v>1036</v>
      </c>
      <c r="F260" s="55">
        <v>46189</v>
      </c>
      <c r="G260" s="55">
        <v>46189</v>
      </c>
      <c r="H260" s="54" t="s">
        <v>1037</v>
      </c>
      <c r="I260" s="54" t="s">
        <v>1038</v>
      </c>
      <c r="J260" s="54" t="s">
        <v>1039</v>
      </c>
      <c r="K260" s="55"/>
      <c r="L260" s="54" t="s">
        <v>1040</v>
      </c>
      <c r="M260" s="54"/>
      <c r="N260" s="54" t="s">
        <v>1282</v>
      </c>
      <c r="O260" s="54" t="s">
        <v>1116</v>
      </c>
      <c r="P260" s="54" t="s">
        <v>429</v>
      </c>
      <c r="Q260" s="54" t="s">
        <v>430</v>
      </c>
      <c r="R260" s="54" t="s">
        <v>1043</v>
      </c>
      <c r="S260" s="56">
        <v>2346</v>
      </c>
      <c r="T260" s="56">
        <v>2346</v>
      </c>
      <c r="U260" s="56">
        <v>0</v>
      </c>
      <c r="V260" s="56">
        <v>0</v>
      </c>
      <c r="W260" s="56">
        <v>0</v>
      </c>
      <c r="X260" s="56">
        <v>0</v>
      </c>
      <c r="Y260" s="56">
        <v>0</v>
      </c>
      <c r="Z260" s="56">
        <v>1380</v>
      </c>
      <c r="AA260" s="56">
        <v>1380</v>
      </c>
      <c r="AB260" s="59">
        <v>0</v>
      </c>
      <c r="AC260" s="56">
        <v>0</v>
      </c>
      <c r="AD260" s="56">
        <v>0</v>
      </c>
      <c r="AE260" s="56">
        <v>0</v>
      </c>
      <c r="AF260" s="54" t="s">
        <v>1044</v>
      </c>
      <c r="AG260" s="57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 t="s">
        <v>1045</v>
      </c>
      <c r="AS260" s="54" t="s">
        <v>1046</v>
      </c>
      <c r="AT260" s="54" t="s">
        <v>1047</v>
      </c>
      <c r="AU260" s="54" t="s">
        <v>1048</v>
      </c>
      <c r="AV260" s="54"/>
      <c r="AW260" s="55">
        <v>46202</v>
      </c>
      <c r="AX260" s="55">
        <v>46189</v>
      </c>
      <c r="AY260" s="55">
        <v>46189</v>
      </c>
      <c r="AZ260" s="55">
        <v>46191</v>
      </c>
      <c r="BA260" s="55">
        <v>46202</v>
      </c>
      <c r="BB260" s="56">
        <v>0</v>
      </c>
      <c r="BC260" s="56">
        <v>0</v>
      </c>
      <c r="BD260" s="56">
        <v>0</v>
      </c>
      <c r="BE260" s="56">
        <v>0</v>
      </c>
      <c r="BF260" s="56">
        <v>0</v>
      </c>
      <c r="BG260" s="56">
        <v>0</v>
      </c>
      <c r="BH260" s="56">
        <v>0</v>
      </c>
      <c r="BI260" s="56">
        <v>0</v>
      </c>
      <c r="BJ260" s="56">
        <v>0</v>
      </c>
      <c r="BK260" s="56">
        <v>0</v>
      </c>
      <c r="BL260" s="56">
        <v>0</v>
      </c>
      <c r="BM260" s="56">
        <v>0</v>
      </c>
      <c r="BN260" s="56">
        <v>0</v>
      </c>
      <c r="BO260" s="56">
        <v>0</v>
      </c>
      <c r="BP260" s="54" t="s">
        <v>1049</v>
      </c>
      <c r="BQ260" s="54" t="s">
        <v>1050</v>
      </c>
      <c r="BR260" s="54" t="s">
        <v>1049</v>
      </c>
      <c r="BS260" s="54" t="s">
        <v>1050</v>
      </c>
      <c r="BT260" s="54" t="s">
        <v>1051</v>
      </c>
      <c r="BU260" s="54" t="s">
        <v>1043</v>
      </c>
      <c r="BV260" s="58">
        <v>1380</v>
      </c>
      <c r="BW260" s="54" t="s">
        <v>1052</v>
      </c>
      <c r="BX260" s="54" t="s">
        <v>1053</v>
      </c>
      <c r="BY260" s="54" t="s">
        <v>1054</v>
      </c>
      <c r="BZ260" s="54" t="s">
        <v>1055</v>
      </c>
      <c r="CA260" s="55"/>
      <c r="CB260" s="54" t="s">
        <v>1056</v>
      </c>
      <c r="CC260" s="54" t="s">
        <v>1057</v>
      </c>
      <c r="CD260" s="54" t="s">
        <v>1200</v>
      </c>
      <c r="CE260" s="54" t="s">
        <v>1201</v>
      </c>
      <c r="CF260" s="54" t="s">
        <v>1202</v>
      </c>
      <c r="CG260" s="54" t="s">
        <v>1203</v>
      </c>
      <c r="CH260" s="54" t="s">
        <v>1204</v>
      </c>
      <c r="CI260" s="54" t="s">
        <v>1203</v>
      </c>
      <c r="CJ260" s="54" t="s">
        <v>1064</v>
      </c>
      <c r="CK260" s="54" t="s">
        <v>1065</v>
      </c>
      <c r="CL260" s="54" t="s">
        <v>1205</v>
      </c>
      <c r="CM260" s="54" t="s">
        <v>1206</v>
      </c>
      <c r="CN260" s="54" t="s">
        <v>1068</v>
      </c>
      <c r="CO260" s="54" t="s">
        <v>1069</v>
      </c>
      <c r="CP260" s="56">
        <v>0</v>
      </c>
      <c r="CQ260" s="56">
        <v>0</v>
      </c>
      <c r="CR260" s="56">
        <v>0</v>
      </c>
      <c r="CS260" s="56">
        <v>0</v>
      </c>
      <c r="CT260" s="56">
        <v>0</v>
      </c>
      <c r="CU260" s="56">
        <v>0</v>
      </c>
      <c r="CV260" s="56">
        <v>0</v>
      </c>
      <c r="CW260" s="56">
        <v>0</v>
      </c>
      <c r="CX260" s="56">
        <v>0</v>
      </c>
      <c r="CY260" s="56">
        <v>0</v>
      </c>
      <c r="CZ260" s="56">
        <v>0</v>
      </c>
      <c r="DA260" s="56">
        <v>0</v>
      </c>
      <c r="DB260" s="56">
        <v>0</v>
      </c>
      <c r="DC260" s="56">
        <v>0</v>
      </c>
      <c r="DD260" s="56">
        <v>0</v>
      </c>
      <c r="DE260" s="56">
        <v>0</v>
      </c>
      <c r="DF260" s="56">
        <v>0</v>
      </c>
      <c r="DG260" s="56">
        <v>0</v>
      </c>
      <c r="DH260" s="56">
        <v>0</v>
      </c>
      <c r="DI260" s="56">
        <v>0</v>
      </c>
      <c r="DJ260" s="56">
        <v>0</v>
      </c>
      <c r="DK260" s="56">
        <v>0</v>
      </c>
      <c r="DL260" s="56">
        <v>0</v>
      </c>
      <c r="DM260" s="56">
        <v>0</v>
      </c>
      <c r="DN260" s="56">
        <v>0</v>
      </c>
      <c r="DO260" s="56">
        <v>0</v>
      </c>
      <c r="DP260" s="56">
        <v>0</v>
      </c>
      <c r="DQ260" s="56">
        <v>0</v>
      </c>
      <c r="DR260" s="56">
        <v>0</v>
      </c>
      <c r="DS260" s="56">
        <v>0</v>
      </c>
      <c r="DT260" s="56">
        <v>0</v>
      </c>
      <c r="DU260" s="56">
        <v>0</v>
      </c>
      <c r="DV260" s="56">
        <v>0</v>
      </c>
      <c r="DW260" s="56">
        <v>0</v>
      </c>
      <c r="DX260" s="56">
        <v>0</v>
      </c>
      <c r="DY260" s="56">
        <v>0</v>
      </c>
      <c r="DZ260" s="56">
        <v>0</v>
      </c>
      <c r="EA260" s="56">
        <v>0</v>
      </c>
      <c r="EB260" s="56">
        <v>0</v>
      </c>
      <c r="EC260" s="56">
        <v>0</v>
      </c>
      <c r="ED260" s="56">
        <v>0</v>
      </c>
      <c r="EE260" s="56">
        <v>0</v>
      </c>
      <c r="EF260" s="56">
        <v>0</v>
      </c>
      <c r="EG260" s="56">
        <v>0</v>
      </c>
      <c r="EH260" s="56">
        <v>281.52</v>
      </c>
      <c r="EI260" s="56">
        <v>0</v>
      </c>
      <c r="EJ260" s="56">
        <v>0</v>
      </c>
      <c r="EK260" s="56">
        <v>0</v>
      </c>
      <c r="EL260" s="56">
        <v>0</v>
      </c>
      <c r="EM260" s="56">
        <v>0</v>
      </c>
      <c r="EN260" s="56">
        <v>0</v>
      </c>
      <c r="EO260" s="56">
        <v>0</v>
      </c>
      <c r="EP260" s="56">
        <v>0</v>
      </c>
      <c r="EQ260" s="56">
        <v>0</v>
      </c>
      <c r="ER260" s="56">
        <v>0</v>
      </c>
      <c r="ES260" s="56">
        <v>0</v>
      </c>
      <c r="ET260" s="56">
        <v>0</v>
      </c>
      <c r="EU260" s="56">
        <v>0</v>
      </c>
      <c r="EV260" s="56">
        <v>0</v>
      </c>
      <c r="EW260" s="56">
        <v>0</v>
      </c>
      <c r="EX260" s="56">
        <v>0</v>
      </c>
      <c r="EY260" s="56">
        <v>0</v>
      </c>
      <c r="EZ260" s="56">
        <v>0</v>
      </c>
      <c r="FA260" s="56">
        <v>0</v>
      </c>
      <c r="FB260" s="56">
        <v>0</v>
      </c>
      <c r="FC260" s="58">
        <v>0</v>
      </c>
      <c r="FD260" s="56">
        <v>0</v>
      </c>
      <c r="FE260" s="56">
        <v>0</v>
      </c>
      <c r="FF260" s="56">
        <v>0</v>
      </c>
      <c r="FG260" s="56">
        <v>0</v>
      </c>
      <c r="FH260" s="56">
        <v>0</v>
      </c>
      <c r="FI260" s="56">
        <v>0</v>
      </c>
      <c r="FJ260" s="56">
        <v>0</v>
      </c>
      <c r="FK260" s="56">
        <v>0</v>
      </c>
      <c r="FL260" s="56">
        <v>0</v>
      </c>
      <c r="FM260" s="56">
        <v>0</v>
      </c>
      <c r="FN260" s="56">
        <v>0</v>
      </c>
      <c r="FO260" s="56">
        <v>0</v>
      </c>
      <c r="FP260" s="56">
        <v>0</v>
      </c>
      <c r="FQ260" s="56">
        <v>0</v>
      </c>
      <c r="FR260" s="56">
        <v>0</v>
      </c>
      <c r="FS260" s="58">
        <v>0</v>
      </c>
      <c r="FT260" s="56">
        <v>0</v>
      </c>
      <c r="FU260" s="56">
        <v>0</v>
      </c>
      <c r="FV260" s="56">
        <v>0</v>
      </c>
      <c r="FW260" s="56">
        <v>0</v>
      </c>
      <c r="FX260" s="56">
        <v>0</v>
      </c>
      <c r="FY260" s="56">
        <v>0</v>
      </c>
      <c r="FZ260" s="54" t="s">
        <v>1070</v>
      </c>
      <c r="GA260" s="54" t="s">
        <v>1071</v>
      </c>
      <c r="GB260" s="54" t="s">
        <v>1072</v>
      </c>
      <c r="GC260" s="54" t="s">
        <v>1073</v>
      </c>
      <c r="GD260" s="54"/>
      <c r="GE260" s="54"/>
      <c r="GF260" s="54"/>
      <c r="GG260" s="55"/>
      <c r="GH260" s="54"/>
      <c r="GI260" s="54"/>
      <c r="GJ260" s="54" t="s">
        <v>1076</v>
      </c>
      <c r="GK260" s="54" t="s">
        <v>1077</v>
      </c>
      <c r="GL260" s="54"/>
      <c r="GM260" s="54"/>
      <c r="GN260" s="54" t="s">
        <v>1208</v>
      </c>
      <c r="GO260" s="54" t="s">
        <v>1209</v>
      </c>
      <c r="GP260" s="54"/>
      <c r="GQ260" s="56">
        <v>0</v>
      </c>
      <c r="GR260" s="54" t="s">
        <v>1079</v>
      </c>
      <c r="GS260" s="54"/>
    </row>
    <row r="261" spans="1:201" x14ac:dyDescent="0.25">
      <c r="A261" s="54" t="s">
        <v>1032</v>
      </c>
      <c r="B261" s="54" t="s">
        <v>1033</v>
      </c>
      <c r="C261" s="54" t="s">
        <v>1281</v>
      </c>
      <c r="D261" s="54" t="s">
        <v>1035</v>
      </c>
      <c r="E261" s="54" t="s">
        <v>1036</v>
      </c>
      <c r="F261" s="55">
        <v>46189</v>
      </c>
      <c r="G261" s="55">
        <v>46189</v>
      </c>
      <c r="H261" s="54" t="s">
        <v>1037</v>
      </c>
      <c r="I261" s="54" t="s">
        <v>1038</v>
      </c>
      <c r="J261" s="54" t="s">
        <v>1039</v>
      </c>
      <c r="K261" s="55"/>
      <c r="L261" s="54" t="s">
        <v>1040</v>
      </c>
      <c r="M261" s="54"/>
      <c r="N261" s="54" t="s">
        <v>1282</v>
      </c>
      <c r="O261" s="54" t="s">
        <v>1117</v>
      </c>
      <c r="P261" s="54" t="s">
        <v>272</v>
      </c>
      <c r="Q261" s="54" t="s">
        <v>113</v>
      </c>
      <c r="R261" s="54" t="s">
        <v>1043</v>
      </c>
      <c r="S261" s="56">
        <v>6988.8</v>
      </c>
      <c r="T261" s="56">
        <v>6988.8</v>
      </c>
      <c r="U261" s="56">
        <v>0</v>
      </c>
      <c r="V261" s="56">
        <v>0</v>
      </c>
      <c r="W261" s="56">
        <v>0</v>
      </c>
      <c r="X261" s="56">
        <v>0</v>
      </c>
      <c r="Y261" s="56">
        <v>0</v>
      </c>
      <c r="Z261" s="56">
        <v>3840</v>
      </c>
      <c r="AA261" s="56">
        <v>3840</v>
      </c>
      <c r="AB261" s="59">
        <v>0</v>
      </c>
      <c r="AC261" s="56">
        <v>0</v>
      </c>
      <c r="AD261" s="56">
        <v>0</v>
      </c>
      <c r="AE261" s="56">
        <v>0</v>
      </c>
      <c r="AF261" s="54" t="s">
        <v>1044</v>
      </c>
      <c r="AG261" s="57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 t="s">
        <v>1045</v>
      </c>
      <c r="AS261" s="54" t="s">
        <v>1046</v>
      </c>
      <c r="AT261" s="54" t="s">
        <v>1047</v>
      </c>
      <c r="AU261" s="54" t="s">
        <v>1048</v>
      </c>
      <c r="AV261" s="54"/>
      <c r="AW261" s="55">
        <v>46202</v>
      </c>
      <c r="AX261" s="55">
        <v>46189</v>
      </c>
      <c r="AY261" s="55">
        <v>46189</v>
      </c>
      <c r="AZ261" s="55">
        <v>46191</v>
      </c>
      <c r="BA261" s="55">
        <v>46202</v>
      </c>
      <c r="BB261" s="56">
        <v>0</v>
      </c>
      <c r="BC261" s="56">
        <v>0</v>
      </c>
      <c r="BD261" s="56">
        <v>0</v>
      </c>
      <c r="BE261" s="56">
        <v>0</v>
      </c>
      <c r="BF261" s="56">
        <v>0</v>
      </c>
      <c r="BG261" s="56">
        <v>0</v>
      </c>
      <c r="BH261" s="56">
        <v>0</v>
      </c>
      <c r="BI261" s="56">
        <v>0</v>
      </c>
      <c r="BJ261" s="56">
        <v>0</v>
      </c>
      <c r="BK261" s="56">
        <v>0</v>
      </c>
      <c r="BL261" s="56">
        <v>0</v>
      </c>
      <c r="BM261" s="56">
        <v>0</v>
      </c>
      <c r="BN261" s="56">
        <v>0</v>
      </c>
      <c r="BO261" s="56">
        <v>0</v>
      </c>
      <c r="BP261" s="54" t="s">
        <v>1049</v>
      </c>
      <c r="BQ261" s="54" t="s">
        <v>1050</v>
      </c>
      <c r="BR261" s="54" t="s">
        <v>1049</v>
      </c>
      <c r="BS261" s="54" t="s">
        <v>1050</v>
      </c>
      <c r="BT261" s="54" t="s">
        <v>1051</v>
      </c>
      <c r="BU261" s="54" t="s">
        <v>1043</v>
      </c>
      <c r="BV261" s="58">
        <v>3840</v>
      </c>
      <c r="BW261" s="54" t="s">
        <v>1052</v>
      </c>
      <c r="BX261" s="54" t="s">
        <v>1053</v>
      </c>
      <c r="BY261" s="54" t="s">
        <v>1054</v>
      </c>
      <c r="BZ261" s="54" t="s">
        <v>1055</v>
      </c>
      <c r="CA261" s="55"/>
      <c r="CB261" s="54" t="s">
        <v>1056</v>
      </c>
      <c r="CC261" s="54" t="s">
        <v>1057</v>
      </c>
      <c r="CD261" s="54" t="s">
        <v>1200</v>
      </c>
      <c r="CE261" s="54" t="s">
        <v>1201</v>
      </c>
      <c r="CF261" s="54" t="s">
        <v>1202</v>
      </c>
      <c r="CG261" s="54" t="s">
        <v>1203</v>
      </c>
      <c r="CH261" s="54" t="s">
        <v>1204</v>
      </c>
      <c r="CI261" s="54" t="s">
        <v>1203</v>
      </c>
      <c r="CJ261" s="54" t="s">
        <v>1064</v>
      </c>
      <c r="CK261" s="54" t="s">
        <v>1065</v>
      </c>
      <c r="CL261" s="54" t="s">
        <v>1205</v>
      </c>
      <c r="CM261" s="54" t="s">
        <v>1206</v>
      </c>
      <c r="CN261" s="54" t="s">
        <v>1068</v>
      </c>
      <c r="CO261" s="54" t="s">
        <v>1069</v>
      </c>
      <c r="CP261" s="56">
        <v>0</v>
      </c>
      <c r="CQ261" s="56">
        <v>0</v>
      </c>
      <c r="CR261" s="56">
        <v>0</v>
      </c>
      <c r="CS261" s="56">
        <v>0</v>
      </c>
      <c r="CT261" s="56">
        <v>0</v>
      </c>
      <c r="CU261" s="56">
        <v>0</v>
      </c>
      <c r="CV261" s="56">
        <v>0</v>
      </c>
      <c r="CW261" s="56">
        <v>0</v>
      </c>
      <c r="CX261" s="56">
        <v>0</v>
      </c>
      <c r="CY261" s="56">
        <v>0</v>
      </c>
      <c r="CZ261" s="56">
        <v>0</v>
      </c>
      <c r="DA261" s="56">
        <v>0</v>
      </c>
      <c r="DB261" s="56">
        <v>0</v>
      </c>
      <c r="DC261" s="56">
        <v>0</v>
      </c>
      <c r="DD261" s="56">
        <v>0</v>
      </c>
      <c r="DE261" s="56">
        <v>0</v>
      </c>
      <c r="DF261" s="56">
        <v>0</v>
      </c>
      <c r="DG261" s="56">
        <v>0</v>
      </c>
      <c r="DH261" s="56">
        <v>0</v>
      </c>
      <c r="DI261" s="56">
        <v>0</v>
      </c>
      <c r="DJ261" s="56">
        <v>0</v>
      </c>
      <c r="DK261" s="56">
        <v>0</v>
      </c>
      <c r="DL261" s="56">
        <v>0</v>
      </c>
      <c r="DM261" s="56">
        <v>0</v>
      </c>
      <c r="DN261" s="56">
        <v>0</v>
      </c>
      <c r="DO261" s="56">
        <v>0</v>
      </c>
      <c r="DP261" s="56">
        <v>0</v>
      </c>
      <c r="DQ261" s="56">
        <v>0</v>
      </c>
      <c r="DR261" s="56">
        <v>0</v>
      </c>
      <c r="DS261" s="56">
        <v>0</v>
      </c>
      <c r="DT261" s="56">
        <v>0</v>
      </c>
      <c r="DU261" s="56">
        <v>0</v>
      </c>
      <c r="DV261" s="56">
        <v>0</v>
      </c>
      <c r="DW261" s="56">
        <v>0</v>
      </c>
      <c r="DX261" s="56">
        <v>0</v>
      </c>
      <c r="DY261" s="56">
        <v>0</v>
      </c>
      <c r="DZ261" s="56">
        <v>0</v>
      </c>
      <c r="EA261" s="56">
        <v>0</v>
      </c>
      <c r="EB261" s="56">
        <v>0</v>
      </c>
      <c r="EC261" s="56">
        <v>0</v>
      </c>
      <c r="ED261" s="56">
        <v>0</v>
      </c>
      <c r="EE261" s="56">
        <v>0</v>
      </c>
      <c r="EF261" s="56">
        <v>0</v>
      </c>
      <c r="EG261" s="56">
        <v>0</v>
      </c>
      <c r="EH261" s="56">
        <v>838.66</v>
      </c>
      <c r="EI261" s="56">
        <v>0</v>
      </c>
      <c r="EJ261" s="56">
        <v>0</v>
      </c>
      <c r="EK261" s="56">
        <v>0</v>
      </c>
      <c r="EL261" s="56">
        <v>0</v>
      </c>
      <c r="EM261" s="56">
        <v>0</v>
      </c>
      <c r="EN261" s="56">
        <v>0</v>
      </c>
      <c r="EO261" s="56">
        <v>0</v>
      </c>
      <c r="EP261" s="56">
        <v>0</v>
      </c>
      <c r="EQ261" s="56">
        <v>0</v>
      </c>
      <c r="ER261" s="56">
        <v>0</v>
      </c>
      <c r="ES261" s="56">
        <v>0</v>
      </c>
      <c r="ET261" s="56">
        <v>0</v>
      </c>
      <c r="EU261" s="56">
        <v>0</v>
      </c>
      <c r="EV261" s="56">
        <v>0</v>
      </c>
      <c r="EW261" s="56">
        <v>0</v>
      </c>
      <c r="EX261" s="56">
        <v>0</v>
      </c>
      <c r="EY261" s="56">
        <v>0</v>
      </c>
      <c r="EZ261" s="56">
        <v>0</v>
      </c>
      <c r="FA261" s="56">
        <v>0</v>
      </c>
      <c r="FB261" s="56">
        <v>0</v>
      </c>
      <c r="FC261" s="58">
        <v>0</v>
      </c>
      <c r="FD261" s="56">
        <v>0</v>
      </c>
      <c r="FE261" s="56">
        <v>0</v>
      </c>
      <c r="FF261" s="56">
        <v>0</v>
      </c>
      <c r="FG261" s="56">
        <v>0</v>
      </c>
      <c r="FH261" s="56">
        <v>0</v>
      </c>
      <c r="FI261" s="56">
        <v>0</v>
      </c>
      <c r="FJ261" s="56">
        <v>0</v>
      </c>
      <c r="FK261" s="56">
        <v>0</v>
      </c>
      <c r="FL261" s="56">
        <v>0</v>
      </c>
      <c r="FM261" s="56">
        <v>0</v>
      </c>
      <c r="FN261" s="56">
        <v>0</v>
      </c>
      <c r="FO261" s="56">
        <v>0</v>
      </c>
      <c r="FP261" s="56">
        <v>0</v>
      </c>
      <c r="FQ261" s="56">
        <v>0</v>
      </c>
      <c r="FR261" s="56">
        <v>0</v>
      </c>
      <c r="FS261" s="58">
        <v>0</v>
      </c>
      <c r="FT261" s="56">
        <v>0</v>
      </c>
      <c r="FU261" s="56">
        <v>0</v>
      </c>
      <c r="FV261" s="56">
        <v>0</v>
      </c>
      <c r="FW261" s="56">
        <v>0</v>
      </c>
      <c r="FX261" s="56">
        <v>0</v>
      </c>
      <c r="FY261" s="56">
        <v>0</v>
      </c>
      <c r="FZ261" s="54" t="s">
        <v>1070</v>
      </c>
      <c r="GA261" s="54" t="s">
        <v>1071</v>
      </c>
      <c r="GB261" s="54" t="s">
        <v>1072</v>
      </c>
      <c r="GC261" s="54" t="s">
        <v>1073</v>
      </c>
      <c r="GD261" s="54" t="s">
        <v>1288</v>
      </c>
      <c r="GE261" s="54" t="s">
        <v>1201</v>
      </c>
      <c r="GF261" s="54"/>
      <c r="GG261" s="55"/>
      <c r="GH261" s="54"/>
      <c r="GI261" s="54"/>
      <c r="GJ261" s="54" t="s">
        <v>1076</v>
      </c>
      <c r="GK261" s="54" t="s">
        <v>1077</v>
      </c>
      <c r="GL261" s="54"/>
      <c r="GM261" s="54"/>
      <c r="GN261" s="54" t="s">
        <v>1208</v>
      </c>
      <c r="GO261" s="54" t="s">
        <v>1209</v>
      </c>
      <c r="GP261" s="54"/>
      <c r="GQ261" s="56">
        <v>0</v>
      </c>
      <c r="GR261" s="54" t="s">
        <v>1079</v>
      </c>
      <c r="GS261" s="54"/>
    </row>
    <row r="262" spans="1:201" x14ac:dyDescent="0.25">
      <c r="A262" s="54" t="s">
        <v>1032</v>
      </c>
      <c r="B262" s="54" t="s">
        <v>1033</v>
      </c>
      <c r="C262" s="54" t="s">
        <v>1281</v>
      </c>
      <c r="D262" s="54" t="s">
        <v>1035</v>
      </c>
      <c r="E262" s="54" t="s">
        <v>1036</v>
      </c>
      <c r="F262" s="55">
        <v>46189</v>
      </c>
      <c r="G262" s="55">
        <v>46189</v>
      </c>
      <c r="H262" s="54" t="s">
        <v>1037</v>
      </c>
      <c r="I262" s="54" t="s">
        <v>1038</v>
      </c>
      <c r="J262" s="54" t="s">
        <v>1039</v>
      </c>
      <c r="K262" s="55"/>
      <c r="L262" s="54" t="s">
        <v>1040</v>
      </c>
      <c r="M262" s="54"/>
      <c r="N262" s="54" t="s">
        <v>1282</v>
      </c>
      <c r="O262" s="54" t="s">
        <v>1118</v>
      </c>
      <c r="P262" s="54" t="s">
        <v>275</v>
      </c>
      <c r="Q262" s="54" t="s">
        <v>116</v>
      </c>
      <c r="R262" s="54" t="s">
        <v>1043</v>
      </c>
      <c r="S262" s="56">
        <v>506.4</v>
      </c>
      <c r="T262" s="56">
        <v>506.4</v>
      </c>
      <c r="U262" s="56">
        <v>0</v>
      </c>
      <c r="V262" s="56">
        <v>0</v>
      </c>
      <c r="W262" s="56">
        <v>0</v>
      </c>
      <c r="X262" s="56">
        <v>0</v>
      </c>
      <c r="Y262" s="56">
        <v>0</v>
      </c>
      <c r="Z262" s="56">
        <v>120</v>
      </c>
      <c r="AA262" s="56">
        <v>120</v>
      </c>
      <c r="AB262" s="59">
        <v>0</v>
      </c>
      <c r="AC262" s="56">
        <v>0</v>
      </c>
      <c r="AD262" s="56">
        <v>0</v>
      </c>
      <c r="AE262" s="56">
        <v>0</v>
      </c>
      <c r="AF262" s="54" t="s">
        <v>1044</v>
      </c>
      <c r="AG262" s="57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 t="s">
        <v>1045</v>
      </c>
      <c r="AS262" s="54" t="s">
        <v>1046</v>
      </c>
      <c r="AT262" s="54" t="s">
        <v>1047</v>
      </c>
      <c r="AU262" s="54" t="s">
        <v>1048</v>
      </c>
      <c r="AV262" s="54"/>
      <c r="AW262" s="55">
        <v>46202</v>
      </c>
      <c r="AX262" s="55">
        <v>46189</v>
      </c>
      <c r="AY262" s="55">
        <v>46189</v>
      </c>
      <c r="AZ262" s="55">
        <v>46191</v>
      </c>
      <c r="BA262" s="55">
        <v>46202</v>
      </c>
      <c r="BB262" s="56">
        <v>0</v>
      </c>
      <c r="BC262" s="56">
        <v>0</v>
      </c>
      <c r="BD262" s="56">
        <v>0</v>
      </c>
      <c r="BE262" s="56">
        <v>0</v>
      </c>
      <c r="BF262" s="56">
        <v>0</v>
      </c>
      <c r="BG262" s="56">
        <v>0</v>
      </c>
      <c r="BH262" s="56">
        <v>0</v>
      </c>
      <c r="BI262" s="56">
        <v>0</v>
      </c>
      <c r="BJ262" s="56">
        <v>0</v>
      </c>
      <c r="BK262" s="56">
        <v>0</v>
      </c>
      <c r="BL262" s="56">
        <v>0</v>
      </c>
      <c r="BM262" s="56">
        <v>0</v>
      </c>
      <c r="BN262" s="56">
        <v>0</v>
      </c>
      <c r="BO262" s="56">
        <v>0</v>
      </c>
      <c r="BP262" s="54" t="s">
        <v>1049</v>
      </c>
      <c r="BQ262" s="54" t="s">
        <v>1050</v>
      </c>
      <c r="BR262" s="54" t="s">
        <v>1049</v>
      </c>
      <c r="BS262" s="54" t="s">
        <v>1050</v>
      </c>
      <c r="BT262" s="54" t="s">
        <v>1051</v>
      </c>
      <c r="BU262" s="54" t="s">
        <v>1043</v>
      </c>
      <c r="BV262" s="58">
        <v>120</v>
      </c>
      <c r="BW262" s="54" t="s">
        <v>1052</v>
      </c>
      <c r="BX262" s="54" t="s">
        <v>1053</v>
      </c>
      <c r="BY262" s="54" t="s">
        <v>1054</v>
      </c>
      <c r="BZ262" s="54" t="s">
        <v>1055</v>
      </c>
      <c r="CA262" s="55"/>
      <c r="CB262" s="54" t="s">
        <v>1056</v>
      </c>
      <c r="CC262" s="54" t="s">
        <v>1057</v>
      </c>
      <c r="CD262" s="54" t="s">
        <v>1200</v>
      </c>
      <c r="CE262" s="54" t="s">
        <v>1201</v>
      </c>
      <c r="CF262" s="54" t="s">
        <v>1202</v>
      </c>
      <c r="CG262" s="54" t="s">
        <v>1203</v>
      </c>
      <c r="CH262" s="54" t="s">
        <v>1204</v>
      </c>
      <c r="CI262" s="54" t="s">
        <v>1203</v>
      </c>
      <c r="CJ262" s="54" t="s">
        <v>1064</v>
      </c>
      <c r="CK262" s="54" t="s">
        <v>1065</v>
      </c>
      <c r="CL262" s="54" t="s">
        <v>1205</v>
      </c>
      <c r="CM262" s="54" t="s">
        <v>1206</v>
      </c>
      <c r="CN262" s="54" t="s">
        <v>1068</v>
      </c>
      <c r="CO262" s="54" t="s">
        <v>1069</v>
      </c>
      <c r="CP262" s="56">
        <v>0</v>
      </c>
      <c r="CQ262" s="56">
        <v>0</v>
      </c>
      <c r="CR262" s="56">
        <v>0</v>
      </c>
      <c r="CS262" s="56">
        <v>0</v>
      </c>
      <c r="CT262" s="56">
        <v>0</v>
      </c>
      <c r="CU262" s="56">
        <v>0</v>
      </c>
      <c r="CV262" s="56">
        <v>0</v>
      </c>
      <c r="CW262" s="56">
        <v>0</v>
      </c>
      <c r="CX262" s="56">
        <v>0</v>
      </c>
      <c r="CY262" s="56">
        <v>0</v>
      </c>
      <c r="CZ262" s="56">
        <v>0</v>
      </c>
      <c r="DA262" s="56">
        <v>0</v>
      </c>
      <c r="DB262" s="56">
        <v>0</v>
      </c>
      <c r="DC262" s="56">
        <v>0</v>
      </c>
      <c r="DD262" s="56">
        <v>0</v>
      </c>
      <c r="DE262" s="56">
        <v>0</v>
      </c>
      <c r="DF262" s="56">
        <v>0</v>
      </c>
      <c r="DG262" s="56">
        <v>0</v>
      </c>
      <c r="DH262" s="56">
        <v>0</v>
      </c>
      <c r="DI262" s="56">
        <v>0</v>
      </c>
      <c r="DJ262" s="56">
        <v>0</v>
      </c>
      <c r="DK262" s="56">
        <v>0</v>
      </c>
      <c r="DL262" s="56">
        <v>0</v>
      </c>
      <c r="DM262" s="56">
        <v>0</v>
      </c>
      <c r="DN262" s="56">
        <v>0</v>
      </c>
      <c r="DO262" s="56">
        <v>0</v>
      </c>
      <c r="DP262" s="56">
        <v>0</v>
      </c>
      <c r="DQ262" s="56">
        <v>0</v>
      </c>
      <c r="DR262" s="56">
        <v>0</v>
      </c>
      <c r="DS262" s="56">
        <v>0</v>
      </c>
      <c r="DT262" s="56">
        <v>0</v>
      </c>
      <c r="DU262" s="56">
        <v>0</v>
      </c>
      <c r="DV262" s="56">
        <v>0</v>
      </c>
      <c r="DW262" s="56">
        <v>0</v>
      </c>
      <c r="DX262" s="56">
        <v>0</v>
      </c>
      <c r="DY262" s="56">
        <v>0</v>
      </c>
      <c r="DZ262" s="56">
        <v>0</v>
      </c>
      <c r="EA262" s="56">
        <v>0</v>
      </c>
      <c r="EB262" s="56">
        <v>0</v>
      </c>
      <c r="EC262" s="56">
        <v>0</v>
      </c>
      <c r="ED262" s="56">
        <v>0</v>
      </c>
      <c r="EE262" s="56">
        <v>0</v>
      </c>
      <c r="EF262" s="56">
        <v>0</v>
      </c>
      <c r="EG262" s="56">
        <v>0</v>
      </c>
      <c r="EH262" s="56">
        <v>60.77</v>
      </c>
      <c r="EI262" s="56">
        <v>0</v>
      </c>
      <c r="EJ262" s="56">
        <v>0</v>
      </c>
      <c r="EK262" s="56">
        <v>0</v>
      </c>
      <c r="EL262" s="56">
        <v>0</v>
      </c>
      <c r="EM262" s="56">
        <v>0</v>
      </c>
      <c r="EN262" s="56">
        <v>0</v>
      </c>
      <c r="EO262" s="56">
        <v>0</v>
      </c>
      <c r="EP262" s="56">
        <v>0</v>
      </c>
      <c r="EQ262" s="56">
        <v>0</v>
      </c>
      <c r="ER262" s="56">
        <v>0</v>
      </c>
      <c r="ES262" s="56">
        <v>0</v>
      </c>
      <c r="ET262" s="56">
        <v>0</v>
      </c>
      <c r="EU262" s="56">
        <v>0</v>
      </c>
      <c r="EV262" s="56">
        <v>0</v>
      </c>
      <c r="EW262" s="56">
        <v>0</v>
      </c>
      <c r="EX262" s="56">
        <v>0</v>
      </c>
      <c r="EY262" s="56">
        <v>0</v>
      </c>
      <c r="EZ262" s="56">
        <v>0</v>
      </c>
      <c r="FA262" s="56">
        <v>0</v>
      </c>
      <c r="FB262" s="56">
        <v>0</v>
      </c>
      <c r="FC262" s="58">
        <v>0</v>
      </c>
      <c r="FD262" s="56">
        <v>0</v>
      </c>
      <c r="FE262" s="56">
        <v>0</v>
      </c>
      <c r="FF262" s="56">
        <v>0</v>
      </c>
      <c r="FG262" s="56">
        <v>0</v>
      </c>
      <c r="FH262" s="56">
        <v>0</v>
      </c>
      <c r="FI262" s="56">
        <v>0</v>
      </c>
      <c r="FJ262" s="56">
        <v>0</v>
      </c>
      <c r="FK262" s="56">
        <v>0</v>
      </c>
      <c r="FL262" s="56">
        <v>0</v>
      </c>
      <c r="FM262" s="56">
        <v>0</v>
      </c>
      <c r="FN262" s="56">
        <v>0</v>
      </c>
      <c r="FO262" s="56">
        <v>0</v>
      </c>
      <c r="FP262" s="56">
        <v>0</v>
      </c>
      <c r="FQ262" s="56">
        <v>0</v>
      </c>
      <c r="FR262" s="56">
        <v>0</v>
      </c>
      <c r="FS262" s="58">
        <v>0</v>
      </c>
      <c r="FT262" s="56">
        <v>0</v>
      </c>
      <c r="FU262" s="56">
        <v>0</v>
      </c>
      <c r="FV262" s="56">
        <v>0</v>
      </c>
      <c r="FW262" s="56">
        <v>0</v>
      </c>
      <c r="FX262" s="56">
        <v>0</v>
      </c>
      <c r="FY262" s="56">
        <v>0</v>
      </c>
      <c r="FZ262" s="54" t="s">
        <v>1083</v>
      </c>
      <c r="GA262" s="54" t="s">
        <v>1084</v>
      </c>
      <c r="GB262" s="54" t="s">
        <v>1072</v>
      </c>
      <c r="GC262" s="54" t="s">
        <v>1073</v>
      </c>
      <c r="GD262" s="54" t="s">
        <v>1256</v>
      </c>
      <c r="GE262" s="54" t="s">
        <v>1201</v>
      </c>
      <c r="GF262" s="54"/>
      <c r="GG262" s="55"/>
      <c r="GH262" s="54"/>
      <c r="GI262" s="54"/>
      <c r="GJ262" s="54" t="s">
        <v>1076</v>
      </c>
      <c r="GK262" s="54" t="s">
        <v>1077</v>
      </c>
      <c r="GL262" s="54"/>
      <c r="GM262" s="54"/>
      <c r="GN262" s="54" t="s">
        <v>1208</v>
      </c>
      <c r="GO262" s="54" t="s">
        <v>1209</v>
      </c>
      <c r="GP262" s="54"/>
      <c r="GQ262" s="56">
        <v>0</v>
      </c>
      <c r="GR262" s="54" t="s">
        <v>1079</v>
      </c>
      <c r="GS262" s="54"/>
    </row>
    <row r="263" spans="1:201" x14ac:dyDescent="0.25">
      <c r="A263" s="54" t="s">
        <v>1032</v>
      </c>
      <c r="B263" s="54" t="s">
        <v>1033</v>
      </c>
      <c r="C263" s="54" t="s">
        <v>1281</v>
      </c>
      <c r="D263" s="54" t="s">
        <v>1035</v>
      </c>
      <c r="E263" s="54" t="s">
        <v>1036</v>
      </c>
      <c r="F263" s="55">
        <v>46189</v>
      </c>
      <c r="G263" s="55">
        <v>46189</v>
      </c>
      <c r="H263" s="54" t="s">
        <v>1037</v>
      </c>
      <c r="I263" s="54" t="s">
        <v>1038</v>
      </c>
      <c r="J263" s="54" t="s">
        <v>1039</v>
      </c>
      <c r="K263" s="55"/>
      <c r="L263" s="54" t="s">
        <v>1040</v>
      </c>
      <c r="M263" s="54"/>
      <c r="N263" s="54" t="s">
        <v>1282</v>
      </c>
      <c r="O263" s="54" t="s">
        <v>1120</v>
      </c>
      <c r="P263" s="54" t="s">
        <v>274</v>
      </c>
      <c r="Q263" s="54" t="s">
        <v>115</v>
      </c>
      <c r="R263" s="54" t="s">
        <v>1043</v>
      </c>
      <c r="S263" s="56">
        <v>366</v>
      </c>
      <c r="T263" s="56">
        <v>366</v>
      </c>
      <c r="U263" s="56">
        <v>0</v>
      </c>
      <c r="V263" s="56">
        <v>0</v>
      </c>
      <c r="W263" s="56">
        <v>0</v>
      </c>
      <c r="X263" s="56">
        <v>0</v>
      </c>
      <c r="Y263" s="56">
        <v>0</v>
      </c>
      <c r="Z263" s="56">
        <v>120</v>
      </c>
      <c r="AA263" s="56">
        <v>120</v>
      </c>
      <c r="AB263" s="59">
        <v>0</v>
      </c>
      <c r="AC263" s="56">
        <v>0</v>
      </c>
      <c r="AD263" s="56">
        <v>0</v>
      </c>
      <c r="AE263" s="56">
        <v>0</v>
      </c>
      <c r="AF263" s="54" t="s">
        <v>1044</v>
      </c>
      <c r="AG263" s="57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 t="s">
        <v>1045</v>
      </c>
      <c r="AS263" s="54" t="s">
        <v>1046</v>
      </c>
      <c r="AT263" s="54" t="s">
        <v>1047</v>
      </c>
      <c r="AU263" s="54" t="s">
        <v>1048</v>
      </c>
      <c r="AV263" s="54"/>
      <c r="AW263" s="55">
        <v>46202</v>
      </c>
      <c r="AX263" s="55">
        <v>46189</v>
      </c>
      <c r="AY263" s="55">
        <v>46189</v>
      </c>
      <c r="AZ263" s="55">
        <v>46191</v>
      </c>
      <c r="BA263" s="55">
        <v>46202</v>
      </c>
      <c r="BB263" s="56">
        <v>0</v>
      </c>
      <c r="BC263" s="56">
        <v>0</v>
      </c>
      <c r="BD263" s="56">
        <v>0</v>
      </c>
      <c r="BE263" s="56">
        <v>0</v>
      </c>
      <c r="BF263" s="56">
        <v>0</v>
      </c>
      <c r="BG263" s="56">
        <v>0</v>
      </c>
      <c r="BH263" s="56">
        <v>0</v>
      </c>
      <c r="BI263" s="56">
        <v>0</v>
      </c>
      <c r="BJ263" s="56">
        <v>0</v>
      </c>
      <c r="BK263" s="56">
        <v>0</v>
      </c>
      <c r="BL263" s="56">
        <v>0</v>
      </c>
      <c r="BM263" s="56">
        <v>0</v>
      </c>
      <c r="BN263" s="56">
        <v>0</v>
      </c>
      <c r="BO263" s="56">
        <v>0</v>
      </c>
      <c r="BP263" s="54" t="s">
        <v>1049</v>
      </c>
      <c r="BQ263" s="54" t="s">
        <v>1050</v>
      </c>
      <c r="BR263" s="54" t="s">
        <v>1049</v>
      </c>
      <c r="BS263" s="54" t="s">
        <v>1050</v>
      </c>
      <c r="BT263" s="54" t="s">
        <v>1051</v>
      </c>
      <c r="BU263" s="54" t="s">
        <v>1043</v>
      </c>
      <c r="BV263" s="58">
        <v>120</v>
      </c>
      <c r="BW263" s="54" t="s">
        <v>1052</v>
      </c>
      <c r="BX263" s="54" t="s">
        <v>1053</v>
      </c>
      <c r="BY263" s="54" t="s">
        <v>1054</v>
      </c>
      <c r="BZ263" s="54" t="s">
        <v>1055</v>
      </c>
      <c r="CA263" s="55"/>
      <c r="CB263" s="54" t="s">
        <v>1056</v>
      </c>
      <c r="CC263" s="54" t="s">
        <v>1057</v>
      </c>
      <c r="CD263" s="54" t="s">
        <v>1200</v>
      </c>
      <c r="CE263" s="54" t="s">
        <v>1201</v>
      </c>
      <c r="CF263" s="54" t="s">
        <v>1202</v>
      </c>
      <c r="CG263" s="54" t="s">
        <v>1203</v>
      </c>
      <c r="CH263" s="54" t="s">
        <v>1204</v>
      </c>
      <c r="CI263" s="54" t="s">
        <v>1203</v>
      </c>
      <c r="CJ263" s="54" t="s">
        <v>1064</v>
      </c>
      <c r="CK263" s="54" t="s">
        <v>1065</v>
      </c>
      <c r="CL263" s="54" t="s">
        <v>1205</v>
      </c>
      <c r="CM263" s="54" t="s">
        <v>1206</v>
      </c>
      <c r="CN263" s="54" t="s">
        <v>1068</v>
      </c>
      <c r="CO263" s="54" t="s">
        <v>1069</v>
      </c>
      <c r="CP263" s="56">
        <v>0</v>
      </c>
      <c r="CQ263" s="56">
        <v>0</v>
      </c>
      <c r="CR263" s="56">
        <v>0</v>
      </c>
      <c r="CS263" s="56">
        <v>0</v>
      </c>
      <c r="CT263" s="56">
        <v>0</v>
      </c>
      <c r="CU263" s="56">
        <v>0</v>
      </c>
      <c r="CV263" s="56">
        <v>0</v>
      </c>
      <c r="CW263" s="56">
        <v>0</v>
      </c>
      <c r="CX263" s="56">
        <v>0</v>
      </c>
      <c r="CY263" s="56">
        <v>0</v>
      </c>
      <c r="CZ263" s="56">
        <v>0</v>
      </c>
      <c r="DA263" s="56">
        <v>0</v>
      </c>
      <c r="DB263" s="56">
        <v>0</v>
      </c>
      <c r="DC263" s="56">
        <v>0</v>
      </c>
      <c r="DD263" s="56">
        <v>0</v>
      </c>
      <c r="DE263" s="56">
        <v>0</v>
      </c>
      <c r="DF263" s="56">
        <v>0</v>
      </c>
      <c r="DG263" s="56">
        <v>0</v>
      </c>
      <c r="DH263" s="56">
        <v>0</v>
      </c>
      <c r="DI263" s="56">
        <v>0</v>
      </c>
      <c r="DJ263" s="56">
        <v>0</v>
      </c>
      <c r="DK263" s="56">
        <v>0</v>
      </c>
      <c r="DL263" s="56">
        <v>0</v>
      </c>
      <c r="DM263" s="56">
        <v>0</v>
      </c>
      <c r="DN263" s="56">
        <v>0</v>
      </c>
      <c r="DO263" s="56">
        <v>0</v>
      </c>
      <c r="DP263" s="56">
        <v>0</v>
      </c>
      <c r="DQ263" s="56">
        <v>0</v>
      </c>
      <c r="DR263" s="56">
        <v>0</v>
      </c>
      <c r="DS263" s="56">
        <v>0</v>
      </c>
      <c r="DT263" s="56">
        <v>0</v>
      </c>
      <c r="DU263" s="56">
        <v>0</v>
      </c>
      <c r="DV263" s="56">
        <v>0</v>
      </c>
      <c r="DW263" s="56">
        <v>0</v>
      </c>
      <c r="DX263" s="56">
        <v>0</v>
      </c>
      <c r="DY263" s="56">
        <v>0</v>
      </c>
      <c r="DZ263" s="56">
        <v>0</v>
      </c>
      <c r="EA263" s="56">
        <v>0</v>
      </c>
      <c r="EB263" s="56">
        <v>0</v>
      </c>
      <c r="EC263" s="56">
        <v>0</v>
      </c>
      <c r="ED263" s="56">
        <v>0</v>
      </c>
      <c r="EE263" s="56">
        <v>0</v>
      </c>
      <c r="EF263" s="56">
        <v>0</v>
      </c>
      <c r="EG263" s="56">
        <v>0</v>
      </c>
      <c r="EH263" s="56">
        <v>43.92</v>
      </c>
      <c r="EI263" s="56">
        <v>0</v>
      </c>
      <c r="EJ263" s="56">
        <v>0</v>
      </c>
      <c r="EK263" s="56">
        <v>0</v>
      </c>
      <c r="EL263" s="56">
        <v>0</v>
      </c>
      <c r="EM263" s="56">
        <v>0</v>
      </c>
      <c r="EN263" s="56">
        <v>0</v>
      </c>
      <c r="EO263" s="56">
        <v>0</v>
      </c>
      <c r="EP263" s="56">
        <v>0</v>
      </c>
      <c r="EQ263" s="56">
        <v>0</v>
      </c>
      <c r="ER263" s="56">
        <v>0</v>
      </c>
      <c r="ES263" s="56">
        <v>0</v>
      </c>
      <c r="ET263" s="56">
        <v>0</v>
      </c>
      <c r="EU263" s="56">
        <v>0</v>
      </c>
      <c r="EV263" s="56">
        <v>0</v>
      </c>
      <c r="EW263" s="56">
        <v>0</v>
      </c>
      <c r="EX263" s="56">
        <v>0</v>
      </c>
      <c r="EY263" s="56">
        <v>0</v>
      </c>
      <c r="EZ263" s="56">
        <v>0</v>
      </c>
      <c r="FA263" s="56">
        <v>0</v>
      </c>
      <c r="FB263" s="56">
        <v>0</v>
      </c>
      <c r="FC263" s="58">
        <v>0</v>
      </c>
      <c r="FD263" s="56">
        <v>0</v>
      </c>
      <c r="FE263" s="56">
        <v>0</v>
      </c>
      <c r="FF263" s="56">
        <v>0</v>
      </c>
      <c r="FG263" s="56">
        <v>0</v>
      </c>
      <c r="FH263" s="56">
        <v>0</v>
      </c>
      <c r="FI263" s="56">
        <v>0</v>
      </c>
      <c r="FJ263" s="56">
        <v>0</v>
      </c>
      <c r="FK263" s="56">
        <v>0</v>
      </c>
      <c r="FL263" s="56">
        <v>0</v>
      </c>
      <c r="FM263" s="56">
        <v>0</v>
      </c>
      <c r="FN263" s="56">
        <v>0</v>
      </c>
      <c r="FO263" s="56">
        <v>0</v>
      </c>
      <c r="FP263" s="56">
        <v>0</v>
      </c>
      <c r="FQ263" s="56">
        <v>0</v>
      </c>
      <c r="FR263" s="56">
        <v>0</v>
      </c>
      <c r="FS263" s="58">
        <v>0</v>
      </c>
      <c r="FT263" s="56">
        <v>0</v>
      </c>
      <c r="FU263" s="56">
        <v>0</v>
      </c>
      <c r="FV263" s="56">
        <v>0</v>
      </c>
      <c r="FW263" s="56">
        <v>0</v>
      </c>
      <c r="FX263" s="56">
        <v>0</v>
      </c>
      <c r="FY263" s="56">
        <v>0</v>
      </c>
      <c r="FZ263" s="54" t="s">
        <v>1083</v>
      </c>
      <c r="GA263" s="54" t="s">
        <v>1084</v>
      </c>
      <c r="GB263" s="54" t="s">
        <v>1072</v>
      </c>
      <c r="GC263" s="54" t="s">
        <v>1073</v>
      </c>
      <c r="GD263" s="54" t="s">
        <v>1256</v>
      </c>
      <c r="GE263" s="54" t="s">
        <v>1201</v>
      </c>
      <c r="GF263" s="54"/>
      <c r="GG263" s="55"/>
      <c r="GH263" s="54"/>
      <c r="GI263" s="54"/>
      <c r="GJ263" s="54" t="s">
        <v>1076</v>
      </c>
      <c r="GK263" s="54" t="s">
        <v>1077</v>
      </c>
      <c r="GL263" s="54"/>
      <c r="GM263" s="54"/>
      <c r="GN263" s="54" t="s">
        <v>1208</v>
      </c>
      <c r="GO263" s="54" t="s">
        <v>1209</v>
      </c>
      <c r="GP263" s="54"/>
      <c r="GQ263" s="56">
        <v>0</v>
      </c>
      <c r="GR263" s="54" t="s">
        <v>1079</v>
      </c>
      <c r="GS263" s="54"/>
    </row>
    <row r="264" spans="1:201" x14ac:dyDescent="0.25">
      <c r="A264" s="54" t="s">
        <v>1032</v>
      </c>
      <c r="B264" s="54" t="s">
        <v>1033</v>
      </c>
      <c r="C264" s="54" t="s">
        <v>1281</v>
      </c>
      <c r="D264" s="54" t="s">
        <v>1035</v>
      </c>
      <c r="E264" s="54" t="s">
        <v>1036</v>
      </c>
      <c r="F264" s="55">
        <v>46189</v>
      </c>
      <c r="G264" s="55">
        <v>46189</v>
      </c>
      <c r="H264" s="54" t="s">
        <v>1037</v>
      </c>
      <c r="I264" s="54" t="s">
        <v>1038</v>
      </c>
      <c r="J264" s="54" t="s">
        <v>1039</v>
      </c>
      <c r="K264" s="55"/>
      <c r="L264" s="54" t="s">
        <v>1040</v>
      </c>
      <c r="M264" s="54"/>
      <c r="N264" s="54" t="s">
        <v>1282</v>
      </c>
      <c r="O264" s="54" t="s">
        <v>1121</v>
      </c>
      <c r="P264" s="54" t="s">
        <v>536</v>
      </c>
      <c r="Q264" s="54" t="s">
        <v>537</v>
      </c>
      <c r="R264" s="54" t="s">
        <v>1043</v>
      </c>
      <c r="S264" s="56">
        <v>6097.68</v>
      </c>
      <c r="T264" s="56">
        <v>6097.68</v>
      </c>
      <c r="U264" s="56">
        <v>0</v>
      </c>
      <c r="V264" s="56">
        <v>0</v>
      </c>
      <c r="W264" s="56">
        <v>0</v>
      </c>
      <c r="X264" s="56">
        <v>0</v>
      </c>
      <c r="Y264" s="56">
        <v>0</v>
      </c>
      <c r="Z264" s="56">
        <v>648</v>
      </c>
      <c r="AA264" s="56">
        <v>648</v>
      </c>
      <c r="AB264" s="59">
        <v>0</v>
      </c>
      <c r="AC264" s="56">
        <v>0</v>
      </c>
      <c r="AD264" s="56">
        <v>0</v>
      </c>
      <c r="AE264" s="56">
        <v>0</v>
      </c>
      <c r="AF264" s="54" t="s">
        <v>1044</v>
      </c>
      <c r="AG264" s="57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 t="s">
        <v>1045</v>
      </c>
      <c r="AS264" s="54" t="s">
        <v>1081</v>
      </c>
      <c r="AT264" s="54" t="s">
        <v>1082</v>
      </c>
      <c r="AU264" s="54" t="s">
        <v>1048</v>
      </c>
      <c r="AV264" s="54"/>
      <c r="AW264" s="55">
        <v>46202</v>
      </c>
      <c r="AX264" s="55">
        <v>46189</v>
      </c>
      <c r="AY264" s="55">
        <v>46189</v>
      </c>
      <c r="AZ264" s="55">
        <v>46191</v>
      </c>
      <c r="BA264" s="55">
        <v>46202</v>
      </c>
      <c r="BB264" s="56">
        <v>0</v>
      </c>
      <c r="BC264" s="56">
        <v>0</v>
      </c>
      <c r="BD264" s="56">
        <v>0</v>
      </c>
      <c r="BE264" s="56">
        <v>0</v>
      </c>
      <c r="BF264" s="56">
        <v>0</v>
      </c>
      <c r="BG264" s="56">
        <v>0</v>
      </c>
      <c r="BH264" s="56">
        <v>0</v>
      </c>
      <c r="BI264" s="56">
        <v>0</v>
      </c>
      <c r="BJ264" s="56">
        <v>0</v>
      </c>
      <c r="BK264" s="56">
        <v>0</v>
      </c>
      <c r="BL264" s="56">
        <v>0</v>
      </c>
      <c r="BM264" s="56">
        <v>0</v>
      </c>
      <c r="BN264" s="56">
        <v>0</v>
      </c>
      <c r="BO264" s="56">
        <v>0</v>
      </c>
      <c r="BP264" s="54" t="s">
        <v>1049</v>
      </c>
      <c r="BQ264" s="54" t="s">
        <v>1050</v>
      </c>
      <c r="BR264" s="54" t="s">
        <v>1049</v>
      </c>
      <c r="BS264" s="54" t="s">
        <v>1050</v>
      </c>
      <c r="BT264" s="54" t="s">
        <v>1051</v>
      </c>
      <c r="BU264" s="54" t="s">
        <v>1043</v>
      </c>
      <c r="BV264" s="58">
        <v>648</v>
      </c>
      <c r="BW264" s="54" t="s">
        <v>1052</v>
      </c>
      <c r="BX264" s="54" t="s">
        <v>1053</v>
      </c>
      <c r="BY264" s="54" t="s">
        <v>1054</v>
      </c>
      <c r="BZ264" s="54" t="s">
        <v>1055</v>
      </c>
      <c r="CA264" s="55"/>
      <c r="CB264" s="54" t="s">
        <v>1056</v>
      </c>
      <c r="CC264" s="54" t="s">
        <v>1057</v>
      </c>
      <c r="CD264" s="54" t="s">
        <v>1200</v>
      </c>
      <c r="CE264" s="54" t="s">
        <v>1201</v>
      </c>
      <c r="CF264" s="54" t="s">
        <v>1202</v>
      </c>
      <c r="CG264" s="54" t="s">
        <v>1203</v>
      </c>
      <c r="CH264" s="54" t="s">
        <v>1204</v>
      </c>
      <c r="CI264" s="54" t="s">
        <v>1203</v>
      </c>
      <c r="CJ264" s="54" t="s">
        <v>1064</v>
      </c>
      <c r="CK264" s="54" t="s">
        <v>1065</v>
      </c>
      <c r="CL264" s="54" t="s">
        <v>1205</v>
      </c>
      <c r="CM264" s="54" t="s">
        <v>1206</v>
      </c>
      <c r="CN264" s="54" t="s">
        <v>1068</v>
      </c>
      <c r="CO264" s="54" t="s">
        <v>1069</v>
      </c>
      <c r="CP264" s="56">
        <v>0</v>
      </c>
      <c r="CQ264" s="56">
        <v>0</v>
      </c>
      <c r="CR264" s="56">
        <v>0</v>
      </c>
      <c r="CS264" s="56">
        <v>0</v>
      </c>
      <c r="CT264" s="56">
        <v>0</v>
      </c>
      <c r="CU264" s="56">
        <v>0</v>
      </c>
      <c r="CV264" s="56">
        <v>0</v>
      </c>
      <c r="CW264" s="56">
        <v>0</v>
      </c>
      <c r="CX264" s="56">
        <v>0</v>
      </c>
      <c r="CY264" s="56">
        <v>0</v>
      </c>
      <c r="CZ264" s="56">
        <v>0</v>
      </c>
      <c r="DA264" s="56">
        <v>0</v>
      </c>
      <c r="DB264" s="56">
        <v>0</v>
      </c>
      <c r="DC264" s="56">
        <v>0</v>
      </c>
      <c r="DD264" s="56">
        <v>0</v>
      </c>
      <c r="DE264" s="56">
        <v>0</v>
      </c>
      <c r="DF264" s="56">
        <v>0</v>
      </c>
      <c r="DG264" s="56">
        <v>0</v>
      </c>
      <c r="DH264" s="56">
        <v>0</v>
      </c>
      <c r="DI264" s="56">
        <v>0</v>
      </c>
      <c r="DJ264" s="56">
        <v>0</v>
      </c>
      <c r="DK264" s="56">
        <v>0</v>
      </c>
      <c r="DL264" s="56">
        <v>0</v>
      </c>
      <c r="DM264" s="56">
        <v>0</v>
      </c>
      <c r="DN264" s="56">
        <v>0</v>
      </c>
      <c r="DO264" s="56">
        <v>0</v>
      </c>
      <c r="DP264" s="56">
        <v>0</v>
      </c>
      <c r="DQ264" s="56">
        <v>0</v>
      </c>
      <c r="DR264" s="56">
        <v>0</v>
      </c>
      <c r="DS264" s="56">
        <v>0</v>
      </c>
      <c r="DT264" s="56">
        <v>0</v>
      </c>
      <c r="DU264" s="56">
        <v>0</v>
      </c>
      <c r="DV264" s="56">
        <v>0</v>
      </c>
      <c r="DW264" s="56">
        <v>0</v>
      </c>
      <c r="DX264" s="56">
        <v>0</v>
      </c>
      <c r="DY264" s="56">
        <v>0</v>
      </c>
      <c r="DZ264" s="56">
        <v>0</v>
      </c>
      <c r="EA264" s="56">
        <v>0</v>
      </c>
      <c r="EB264" s="56">
        <v>0</v>
      </c>
      <c r="EC264" s="56">
        <v>0</v>
      </c>
      <c r="ED264" s="56">
        <v>0</v>
      </c>
      <c r="EE264" s="56">
        <v>0</v>
      </c>
      <c r="EF264" s="56">
        <v>0</v>
      </c>
      <c r="EG264" s="56">
        <v>0</v>
      </c>
      <c r="EH264" s="56">
        <v>731.72</v>
      </c>
      <c r="EI264" s="56">
        <v>0</v>
      </c>
      <c r="EJ264" s="56">
        <v>0</v>
      </c>
      <c r="EK264" s="56">
        <v>0</v>
      </c>
      <c r="EL264" s="56">
        <v>0</v>
      </c>
      <c r="EM264" s="56">
        <v>0</v>
      </c>
      <c r="EN264" s="56">
        <v>0</v>
      </c>
      <c r="EO264" s="56">
        <v>0</v>
      </c>
      <c r="EP264" s="56">
        <v>0</v>
      </c>
      <c r="EQ264" s="56">
        <v>0</v>
      </c>
      <c r="ER264" s="56">
        <v>0</v>
      </c>
      <c r="ES264" s="56">
        <v>0</v>
      </c>
      <c r="ET264" s="56">
        <v>0</v>
      </c>
      <c r="EU264" s="56">
        <v>0</v>
      </c>
      <c r="EV264" s="56">
        <v>0</v>
      </c>
      <c r="EW264" s="56">
        <v>0</v>
      </c>
      <c r="EX264" s="56">
        <v>0</v>
      </c>
      <c r="EY264" s="56">
        <v>0</v>
      </c>
      <c r="EZ264" s="56">
        <v>0</v>
      </c>
      <c r="FA264" s="56">
        <v>0</v>
      </c>
      <c r="FB264" s="56">
        <v>0</v>
      </c>
      <c r="FC264" s="58">
        <v>0</v>
      </c>
      <c r="FD264" s="56">
        <v>0</v>
      </c>
      <c r="FE264" s="56">
        <v>0</v>
      </c>
      <c r="FF264" s="56">
        <v>0</v>
      </c>
      <c r="FG264" s="56">
        <v>0</v>
      </c>
      <c r="FH264" s="56">
        <v>0</v>
      </c>
      <c r="FI264" s="56">
        <v>0</v>
      </c>
      <c r="FJ264" s="56">
        <v>0</v>
      </c>
      <c r="FK264" s="56">
        <v>0</v>
      </c>
      <c r="FL264" s="56">
        <v>0</v>
      </c>
      <c r="FM264" s="56">
        <v>0</v>
      </c>
      <c r="FN264" s="56">
        <v>0</v>
      </c>
      <c r="FO264" s="56">
        <v>0</v>
      </c>
      <c r="FP264" s="56">
        <v>0</v>
      </c>
      <c r="FQ264" s="56">
        <v>0</v>
      </c>
      <c r="FR264" s="56">
        <v>0</v>
      </c>
      <c r="FS264" s="58">
        <v>0</v>
      </c>
      <c r="FT264" s="56">
        <v>0</v>
      </c>
      <c r="FU264" s="56">
        <v>0</v>
      </c>
      <c r="FV264" s="56">
        <v>0</v>
      </c>
      <c r="FW264" s="56">
        <v>0</v>
      </c>
      <c r="FX264" s="56">
        <v>0</v>
      </c>
      <c r="FY264" s="56">
        <v>0</v>
      </c>
      <c r="FZ264" s="54" t="s">
        <v>1083</v>
      </c>
      <c r="GA264" s="54" t="s">
        <v>1084</v>
      </c>
      <c r="GB264" s="54" t="s">
        <v>1072</v>
      </c>
      <c r="GC264" s="54" t="s">
        <v>1073</v>
      </c>
      <c r="GD264" s="54"/>
      <c r="GE264" s="54"/>
      <c r="GF264" s="54"/>
      <c r="GG264" s="55"/>
      <c r="GH264" s="54"/>
      <c r="GI264" s="54"/>
      <c r="GJ264" s="54" t="s">
        <v>1076</v>
      </c>
      <c r="GK264" s="54" t="s">
        <v>1077</v>
      </c>
      <c r="GL264" s="54"/>
      <c r="GM264" s="54"/>
      <c r="GN264" s="54" t="s">
        <v>1208</v>
      </c>
      <c r="GO264" s="54" t="s">
        <v>1209</v>
      </c>
      <c r="GP264" s="54"/>
      <c r="GQ264" s="56">
        <v>0</v>
      </c>
      <c r="GR264" s="54" t="s">
        <v>1079</v>
      </c>
      <c r="GS264" s="54"/>
    </row>
    <row r="265" spans="1:201" x14ac:dyDescent="0.25">
      <c r="A265" s="54" t="s">
        <v>1032</v>
      </c>
      <c r="B265" s="54" t="s">
        <v>1033</v>
      </c>
      <c r="C265" s="54" t="s">
        <v>1281</v>
      </c>
      <c r="D265" s="54" t="s">
        <v>1035</v>
      </c>
      <c r="E265" s="54" t="s">
        <v>1036</v>
      </c>
      <c r="F265" s="55">
        <v>46189</v>
      </c>
      <c r="G265" s="55">
        <v>46189</v>
      </c>
      <c r="H265" s="54" t="s">
        <v>1037</v>
      </c>
      <c r="I265" s="54" t="s">
        <v>1038</v>
      </c>
      <c r="J265" s="54" t="s">
        <v>1039</v>
      </c>
      <c r="K265" s="55"/>
      <c r="L265" s="54" t="s">
        <v>1040</v>
      </c>
      <c r="M265" s="54"/>
      <c r="N265" s="54" t="s">
        <v>1282</v>
      </c>
      <c r="O265" s="54" t="s">
        <v>1122</v>
      </c>
      <c r="P265" s="54" t="s">
        <v>279</v>
      </c>
      <c r="Q265" s="54" t="s">
        <v>120</v>
      </c>
      <c r="R265" s="54" t="s">
        <v>1043</v>
      </c>
      <c r="S265" s="56">
        <v>208.8</v>
      </c>
      <c r="T265" s="56">
        <v>208.8</v>
      </c>
      <c r="U265" s="56">
        <v>0</v>
      </c>
      <c r="V265" s="56">
        <v>0</v>
      </c>
      <c r="W265" s="56">
        <v>0</v>
      </c>
      <c r="X265" s="56">
        <v>0</v>
      </c>
      <c r="Y265" s="56">
        <v>0</v>
      </c>
      <c r="Z265" s="56">
        <v>120</v>
      </c>
      <c r="AA265" s="56">
        <v>120</v>
      </c>
      <c r="AB265" s="59">
        <v>0</v>
      </c>
      <c r="AC265" s="56">
        <v>0</v>
      </c>
      <c r="AD265" s="56">
        <v>0</v>
      </c>
      <c r="AE265" s="56">
        <v>0</v>
      </c>
      <c r="AF265" s="54" t="s">
        <v>1044</v>
      </c>
      <c r="AG265" s="57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 t="s">
        <v>1045</v>
      </c>
      <c r="AS265" s="54" t="s">
        <v>1046</v>
      </c>
      <c r="AT265" s="54" t="s">
        <v>1047</v>
      </c>
      <c r="AU265" s="54" t="s">
        <v>1048</v>
      </c>
      <c r="AV265" s="54"/>
      <c r="AW265" s="55">
        <v>46202</v>
      </c>
      <c r="AX265" s="55">
        <v>46189</v>
      </c>
      <c r="AY265" s="55">
        <v>46189</v>
      </c>
      <c r="AZ265" s="55">
        <v>46191</v>
      </c>
      <c r="BA265" s="55">
        <v>46202</v>
      </c>
      <c r="BB265" s="56">
        <v>0</v>
      </c>
      <c r="BC265" s="56">
        <v>0</v>
      </c>
      <c r="BD265" s="56">
        <v>0</v>
      </c>
      <c r="BE265" s="56">
        <v>0</v>
      </c>
      <c r="BF265" s="56">
        <v>0</v>
      </c>
      <c r="BG265" s="56">
        <v>0</v>
      </c>
      <c r="BH265" s="56">
        <v>0</v>
      </c>
      <c r="BI265" s="56">
        <v>0</v>
      </c>
      <c r="BJ265" s="56">
        <v>0</v>
      </c>
      <c r="BK265" s="56">
        <v>0</v>
      </c>
      <c r="BL265" s="56">
        <v>0</v>
      </c>
      <c r="BM265" s="56">
        <v>0</v>
      </c>
      <c r="BN265" s="56">
        <v>0</v>
      </c>
      <c r="BO265" s="56">
        <v>0</v>
      </c>
      <c r="BP265" s="54" t="s">
        <v>1049</v>
      </c>
      <c r="BQ265" s="54" t="s">
        <v>1050</v>
      </c>
      <c r="BR265" s="54" t="s">
        <v>1049</v>
      </c>
      <c r="BS265" s="54" t="s">
        <v>1050</v>
      </c>
      <c r="BT265" s="54" t="s">
        <v>1051</v>
      </c>
      <c r="BU265" s="54" t="s">
        <v>1043</v>
      </c>
      <c r="BV265" s="58">
        <v>120</v>
      </c>
      <c r="BW265" s="54" t="s">
        <v>1052</v>
      </c>
      <c r="BX265" s="54" t="s">
        <v>1053</v>
      </c>
      <c r="BY265" s="54" t="s">
        <v>1054</v>
      </c>
      <c r="BZ265" s="54" t="s">
        <v>1055</v>
      </c>
      <c r="CA265" s="55"/>
      <c r="CB265" s="54" t="s">
        <v>1056</v>
      </c>
      <c r="CC265" s="54" t="s">
        <v>1057</v>
      </c>
      <c r="CD265" s="54" t="s">
        <v>1200</v>
      </c>
      <c r="CE265" s="54" t="s">
        <v>1201</v>
      </c>
      <c r="CF265" s="54" t="s">
        <v>1202</v>
      </c>
      <c r="CG265" s="54" t="s">
        <v>1203</v>
      </c>
      <c r="CH265" s="54" t="s">
        <v>1204</v>
      </c>
      <c r="CI265" s="54" t="s">
        <v>1203</v>
      </c>
      <c r="CJ265" s="54" t="s">
        <v>1064</v>
      </c>
      <c r="CK265" s="54" t="s">
        <v>1065</v>
      </c>
      <c r="CL265" s="54" t="s">
        <v>1205</v>
      </c>
      <c r="CM265" s="54" t="s">
        <v>1206</v>
      </c>
      <c r="CN265" s="54" t="s">
        <v>1068</v>
      </c>
      <c r="CO265" s="54" t="s">
        <v>1069</v>
      </c>
      <c r="CP265" s="56">
        <v>0</v>
      </c>
      <c r="CQ265" s="56">
        <v>0</v>
      </c>
      <c r="CR265" s="56">
        <v>0</v>
      </c>
      <c r="CS265" s="56">
        <v>0</v>
      </c>
      <c r="CT265" s="56">
        <v>0</v>
      </c>
      <c r="CU265" s="56">
        <v>0</v>
      </c>
      <c r="CV265" s="56">
        <v>0</v>
      </c>
      <c r="CW265" s="56">
        <v>0</v>
      </c>
      <c r="CX265" s="56">
        <v>0</v>
      </c>
      <c r="CY265" s="56">
        <v>0</v>
      </c>
      <c r="CZ265" s="56">
        <v>0</v>
      </c>
      <c r="DA265" s="56">
        <v>0</v>
      </c>
      <c r="DB265" s="56">
        <v>0</v>
      </c>
      <c r="DC265" s="56">
        <v>0</v>
      </c>
      <c r="DD265" s="56">
        <v>0</v>
      </c>
      <c r="DE265" s="56">
        <v>0</v>
      </c>
      <c r="DF265" s="56">
        <v>0</v>
      </c>
      <c r="DG265" s="56">
        <v>0</v>
      </c>
      <c r="DH265" s="56">
        <v>0</v>
      </c>
      <c r="DI265" s="56">
        <v>0</v>
      </c>
      <c r="DJ265" s="56">
        <v>0</v>
      </c>
      <c r="DK265" s="56">
        <v>0</v>
      </c>
      <c r="DL265" s="56">
        <v>0</v>
      </c>
      <c r="DM265" s="56">
        <v>0</v>
      </c>
      <c r="DN265" s="56">
        <v>0</v>
      </c>
      <c r="DO265" s="56">
        <v>0</v>
      </c>
      <c r="DP265" s="56">
        <v>0</v>
      </c>
      <c r="DQ265" s="56">
        <v>0</v>
      </c>
      <c r="DR265" s="56">
        <v>0</v>
      </c>
      <c r="DS265" s="56">
        <v>0</v>
      </c>
      <c r="DT265" s="56">
        <v>0</v>
      </c>
      <c r="DU265" s="56">
        <v>0</v>
      </c>
      <c r="DV265" s="56">
        <v>0</v>
      </c>
      <c r="DW265" s="56">
        <v>0</v>
      </c>
      <c r="DX265" s="56">
        <v>0</v>
      </c>
      <c r="DY265" s="56">
        <v>0</v>
      </c>
      <c r="DZ265" s="56">
        <v>0</v>
      </c>
      <c r="EA265" s="56">
        <v>0</v>
      </c>
      <c r="EB265" s="56">
        <v>0</v>
      </c>
      <c r="EC265" s="56">
        <v>0</v>
      </c>
      <c r="ED265" s="56">
        <v>0</v>
      </c>
      <c r="EE265" s="56">
        <v>0</v>
      </c>
      <c r="EF265" s="56">
        <v>0</v>
      </c>
      <c r="EG265" s="56">
        <v>0</v>
      </c>
      <c r="EH265" s="56">
        <v>25.06</v>
      </c>
      <c r="EI265" s="56">
        <v>0</v>
      </c>
      <c r="EJ265" s="56">
        <v>0</v>
      </c>
      <c r="EK265" s="56">
        <v>0</v>
      </c>
      <c r="EL265" s="56">
        <v>0</v>
      </c>
      <c r="EM265" s="56">
        <v>0</v>
      </c>
      <c r="EN265" s="56">
        <v>0</v>
      </c>
      <c r="EO265" s="56">
        <v>0</v>
      </c>
      <c r="EP265" s="56">
        <v>0</v>
      </c>
      <c r="EQ265" s="56">
        <v>0</v>
      </c>
      <c r="ER265" s="56">
        <v>0</v>
      </c>
      <c r="ES265" s="56">
        <v>0</v>
      </c>
      <c r="ET265" s="56">
        <v>0</v>
      </c>
      <c r="EU265" s="56">
        <v>0</v>
      </c>
      <c r="EV265" s="56">
        <v>0</v>
      </c>
      <c r="EW265" s="56">
        <v>0</v>
      </c>
      <c r="EX265" s="56">
        <v>0</v>
      </c>
      <c r="EY265" s="56">
        <v>0</v>
      </c>
      <c r="EZ265" s="56">
        <v>0</v>
      </c>
      <c r="FA265" s="56">
        <v>0</v>
      </c>
      <c r="FB265" s="56">
        <v>0</v>
      </c>
      <c r="FC265" s="58">
        <v>0</v>
      </c>
      <c r="FD265" s="56">
        <v>0</v>
      </c>
      <c r="FE265" s="56">
        <v>0</v>
      </c>
      <c r="FF265" s="56">
        <v>0</v>
      </c>
      <c r="FG265" s="56">
        <v>0</v>
      </c>
      <c r="FH265" s="56">
        <v>0</v>
      </c>
      <c r="FI265" s="56">
        <v>0</v>
      </c>
      <c r="FJ265" s="56">
        <v>0</v>
      </c>
      <c r="FK265" s="56">
        <v>0</v>
      </c>
      <c r="FL265" s="56">
        <v>0</v>
      </c>
      <c r="FM265" s="56">
        <v>0</v>
      </c>
      <c r="FN265" s="56">
        <v>0</v>
      </c>
      <c r="FO265" s="56">
        <v>0</v>
      </c>
      <c r="FP265" s="56">
        <v>0</v>
      </c>
      <c r="FQ265" s="56">
        <v>0</v>
      </c>
      <c r="FR265" s="56">
        <v>0</v>
      </c>
      <c r="FS265" s="58">
        <v>0</v>
      </c>
      <c r="FT265" s="56">
        <v>0</v>
      </c>
      <c r="FU265" s="56">
        <v>0</v>
      </c>
      <c r="FV265" s="56">
        <v>0</v>
      </c>
      <c r="FW265" s="56">
        <v>0</v>
      </c>
      <c r="FX265" s="56">
        <v>0</v>
      </c>
      <c r="FY265" s="56">
        <v>0</v>
      </c>
      <c r="FZ265" s="54" t="s">
        <v>1070</v>
      </c>
      <c r="GA265" s="54" t="s">
        <v>1071</v>
      </c>
      <c r="GB265" s="54" t="s">
        <v>1072</v>
      </c>
      <c r="GC265" s="54" t="s">
        <v>1073</v>
      </c>
      <c r="GD265" s="54" t="s">
        <v>1289</v>
      </c>
      <c r="GE265" s="54" t="s">
        <v>1201</v>
      </c>
      <c r="GF265" s="54"/>
      <c r="GG265" s="55"/>
      <c r="GH265" s="54"/>
      <c r="GI265" s="54"/>
      <c r="GJ265" s="54" t="s">
        <v>1076</v>
      </c>
      <c r="GK265" s="54" t="s">
        <v>1077</v>
      </c>
      <c r="GL265" s="54"/>
      <c r="GM265" s="54"/>
      <c r="GN265" s="54" t="s">
        <v>1208</v>
      </c>
      <c r="GO265" s="54" t="s">
        <v>1209</v>
      </c>
      <c r="GP265" s="54"/>
      <c r="GQ265" s="56">
        <v>0</v>
      </c>
      <c r="GR265" s="54" t="s">
        <v>1079</v>
      </c>
      <c r="GS265" s="54"/>
    </row>
    <row r="266" spans="1:201" x14ac:dyDescent="0.25">
      <c r="A266" s="54" t="s">
        <v>1032</v>
      </c>
      <c r="B266" s="54" t="s">
        <v>1033</v>
      </c>
      <c r="C266" s="54" t="s">
        <v>1281</v>
      </c>
      <c r="D266" s="54" t="s">
        <v>1035</v>
      </c>
      <c r="E266" s="54" t="s">
        <v>1036</v>
      </c>
      <c r="F266" s="55">
        <v>46189</v>
      </c>
      <c r="G266" s="55">
        <v>46189</v>
      </c>
      <c r="H266" s="54" t="s">
        <v>1037</v>
      </c>
      <c r="I266" s="54" t="s">
        <v>1038</v>
      </c>
      <c r="J266" s="54" t="s">
        <v>1039</v>
      </c>
      <c r="K266" s="55"/>
      <c r="L266" s="54" t="s">
        <v>1040</v>
      </c>
      <c r="M266" s="54"/>
      <c r="N266" s="54" t="s">
        <v>1282</v>
      </c>
      <c r="O266" s="54" t="s">
        <v>1126</v>
      </c>
      <c r="P266" s="54" t="s">
        <v>433</v>
      </c>
      <c r="Q266" s="54" t="s">
        <v>434</v>
      </c>
      <c r="R266" s="54" t="s">
        <v>1043</v>
      </c>
      <c r="S266" s="56">
        <v>1231.8</v>
      </c>
      <c r="T266" s="56">
        <v>1231.8</v>
      </c>
      <c r="U266" s="56">
        <v>0</v>
      </c>
      <c r="V266" s="56">
        <v>0</v>
      </c>
      <c r="W266" s="56">
        <v>0</v>
      </c>
      <c r="X266" s="56">
        <v>0</v>
      </c>
      <c r="Y266" s="56">
        <v>0</v>
      </c>
      <c r="Z266" s="56">
        <v>60</v>
      </c>
      <c r="AA266" s="56">
        <v>60</v>
      </c>
      <c r="AB266" s="59">
        <v>0</v>
      </c>
      <c r="AC266" s="56">
        <v>0</v>
      </c>
      <c r="AD266" s="56">
        <v>0</v>
      </c>
      <c r="AE266" s="56">
        <v>0</v>
      </c>
      <c r="AF266" s="54" t="s">
        <v>1044</v>
      </c>
      <c r="AG266" s="57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 t="s">
        <v>1045</v>
      </c>
      <c r="AS266" s="54" t="s">
        <v>1046</v>
      </c>
      <c r="AT266" s="54" t="s">
        <v>1047</v>
      </c>
      <c r="AU266" s="54" t="s">
        <v>1048</v>
      </c>
      <c r="AV266" s="54"/>
      <c r="AW266" s="55">
        <v>46202</v>
      </c>
      <c r="AX266" s="55">
        <v>46189</v>
      </c>
      <c r="AY266" s="55">
        <v>46189</v>
      </c>
      <c r="AZ266" s="55">
        <v>46191</v>
      </c>
      <c r="BA266" s="55">
        <v>46202</v>
      </c>
      <c r="BB266" s="56">
        <v>0</v>
      </c>
      <c r="BC266" s="56">
        <v>0</v>
      </c>
      <c r="BD266" s="56">
        <v>0</v>
      </c>
      <c r="BE266" s="56">
        <v>0</v>
      </c>
      <c r="BF266" s="56">
        <v>0</v>
      </c>
      <c r="BG266" s="56">
        <v>0</v>
      </c>
      <c r="BH266" s="56">
        <v>0</v>
      </c>
      <c r="BI266" s="56">
        <v>0</v>
      </c>
      <c r="BJ266" s="56">
        <v>0</v>
      </c>
      <c r="BK266" s="56">
        <v>0</v>
      </c>
      <c r="BL266" s="56">
        <v>0</v>
      </c>
      <c r="BM266" s="56">
        <v>0</v>
      </c>
      <c r="BN266" s="56">
        <v>0</v>
      </c>
      <c r="BO266" s="56">
        <v>0</v>
      </c>
      <c r="BP266" s="54" t="s">
        <v>1049</v>
      </c>
      <c r="BQ266" s="54" t="s">
        <v>1050</v>
      </c>
      <c r="BR266" s="54" t="s">
        <v>1049</v>
      </c>
      <c r="BS266" s="54" t="s">
        <v>1050</v>
      </c>
      <c r="BT266" s="54" t="s">
        <v>1051</v>
      </c>
      <c r="BU266" s="54" t="s">
        <v>1043</v>
      </c>
      <c r="BV266" s="58">
        <v>60</v>
      </c>
      <c r="BW266" s="54" t="s">
        <v>1052</v>
      </c>
      <c r="BX266" s="54" t="s">
        <v>1053</v>
      </c>
      <c r="BY266" s="54" t="s">
        <v>1054</v>
      </c>
      <c r="BZ266" s="54" t="s">
        <v>1055</v>
      </c>
      <c r="CA266" s="55"/>
      <c r="CB266" s="54" t="s">
        <v>1056</v>
      </c>
      <c r="CC266" s="54" t="s">
        <v>1057</v>
      </c>
      <c r="CD266" s="54" t="s">
        <v>1200</v>
      </c>
      <c r="CE266" s="54" t="s">
        <v>1201</v>
      </c>
      <c r="CF266" s="54" t="s">
        <v>1202</v>
      </c>
      <c r="CG266" s="54" t="s">
        <v>1203</v>
      </c>
      <c r="CH266" s="54" t="s">
        <v>1204</v>
      </c>
      <c r="CI266" s="54" t="s">
        <v>1203</v>
      </c>
      <c r="CJ266" s="54" t="s">
        <v>1064</v>
      </c>
      <c r="CK266" s="54" t="s">
        <v>1065</v>
      </c>
      <c r="CL266" s="54" t="s">
        <v>1205</v>
      </c>
      <c r="CM266" s="54" t="s">
        <v>1206</v>
      </c>
      <c r="CN266" s="54" t="s">
        <v>1068</v>
      </c>
      <c r="CO266" s="54" t="s">
        <v>1069</v>
      </c>
      <c r="CP266" s="56">
        <v>0</v>
      </c>
      <c r="CQ266" s="56">
        <v>0</v>
      </c>
      <c r="CR266" s="56">
        <v>0</v>
      </c>
      <c r="CS266" s="56">
        <v>0</v>
      </c>
      <c r="CT266" s="56">
        <v>0</v>
      </c>
      <c r="CU266" s="56">
        <v>0</v>
      </c>
      <c r="CV266" s="56">
        <v>0</v>
      </c>
      <c r="CW266" s="56">
        <v>0</v>
      </c>
      <c r="CX266" s="56">
        <v>0</v>
      </c>
      <c r="CY266" s="56">
        <v>0</v>
      </c>
      <c r="CZ266" s="56">
        <v>0</v>
      </c>
      <c r="DA266" s="56">
        <v>0</v>
      </c>
      <c r="DB266" s="56">
        <v>0</v>
      </c>
      <c r="DC266" s="56">
        <v>0</v>
      </c>
      <c r="DD266" s="56">
        <v>0</v>
      </c>
      <c r="DE266" s="56">
        <v>0</v>
      </c>
      <c r="DF266" s="56">
        <v>0</v>
      </c>
      <c r="DG266" s="56">
        <v>0</v>
      </c>
      <c r="DH266" s="56">
        <v>0</v>
      </c>
      <c r="DI266" s="56">
        <v>0</v>
      </c>
      <c r="DJ266" s="56">
        <v>0</v>
      </c>
      <c r="DK266" s="56">
        <v>0</v>
      </c>
      <c r="DL266" s="56">
        <v>0</v>
      </c>
      <c r="DM266" s="56">
        <v>0</v>
      </c>
      <c r="DN266" s="56">
        <v>0</v>
      </c>
      <c r="DO266" s="56">
        <v>0</v>
      </c>
      <c r="DP266" s="56">
        <v>0</v>
      </c>
      <c r="DQ266" s="56">
        <v>0</v>
      </c>
      <c r="DR266" s="56">
        <v>0</v>
      </c>
      <c r="DS266" s="56">
        <v>0</v>
      </c>
      <c r="DT266" s="56">
        <v>0</v>
      </c>
      <c r="DU266" s="56">
        <v>0</v>
      </c>
      <c r="DV266" s="56">
        <v>0</v>
      </c>
      <c r="DW266" s="56">
        <v>0</v>
      </c>
      <c r="DX266" s="56">
        <v>0</v>
      </c>
      <c r="DY266" s="56">
        <v>0</v>
      </c>
      <c r="DZ266" s="56">
        <v>0</v>
      </c>
      <c r="EA266" s="56">
        <v>0</v>
      </c>
      <c r="EB266" s="56">
        <v>0</v>
      </c>
      <c r="EC266" s="56">
        <v>0</v>
      </c>
      <c r="ED266" s="56">
        <v>0</v>
      </c>
      <c r="EE266" s="56">
        <v>0</v>
      </c>
      <c r="EF266" s="56">
        <v>0</v>
      </c>
      <c r="EG266" s="56">
        <v>0</v>
      </c>
      <c r="EH266" s="56">
        <v>147.82</v>
      </c>
      <c r="EI266" s="56">
        <v>0</v>
      </c>
      <c r="EJ266" s="56">
        <v>0</v>
      </c>
      <c r="EK266" s="56">
        <v>0</v>
      </c>
      <c r="EL266" s="56">
        <v>0</v>
      </c>
      <c r="EM266" s="56">
        <v>0</v>
      </c>
      <c r="EN266" s="56">
        <v>0</v>
      </c>
      <c r="EO266" s="56">
        <v>0</v>
      </c>
      <c r="EP266" s="56">
        <v>0</v>
      </c>
      <c r="EQ266" s="56">
        <v>0</v>
      </c>
      <c r="ER266" s="56">
        <v>0</v>
      </c>
      <c r="ES266" s="56">
        <v>0</v>
      </c>
      <c r="ET266" s="56">
        <v>0</v>
      </c>
      <c r="EU266" s="56">
        <v>0</v>
      </c>
      <c r="EV266" s="56">
        <v>0</v>
      </c>
      <c r="EW266" s="56">
        <v>0</v>
      </c>
      <c r="EX266" s="56">
        <v>0</v>
      </c>
      <c r="EY266" s="56">
        <v>0</v>
      </c>
      <c r="EZ266" s="56">
        <v>0</v>
      </c>
      <c r="FA266" s="56">
        <v>0</v>
      </c>
      <c r="FB266" s="56">
        <v>0</v>
      </c>
      <c r="FC266" s="58">
        <v>0</v>
      </c>
      <c r="FD266" s="56">
        <v>0</v>
      </c>
      <c r="FE266" s="56">
        <v>0</v>
      </c>
      <c r="FF266" s="56">
        <v>0</v>
      </c>
      <c r="FG266" s="56">
        <v>0</v>
      </c>
      <c r="FH266" s="56">
        <v>0</v>
      </c>
      <c r="FI266" s="56">
        <v>0</v>
      </c>
      <c r="FJ266" s="56">
        <v>0</v>
      </c>
      <c r="FK266" s="56">
        <v>0</v>
      </c>
      <c r="FL266" s="56">
        <v>0</v>
      </c>
      <c r="FM266" s="56">
        <v>0</v>
      </c>
      <c r="FN266" s="56">
        <v>0</v>
      </c>
      <c r="FO266" s="56">
        <v>0</v>
      </c>
      <c r="FP266" s="56">
        <v>0</v>
      </c>
      <c r="FQ266" s="56">
        <v>0</v>
      </c>
      <c r="FR266" s="56">
        <v>0</v>
      </c>
      <c r="FS266" s="58">
        <v>0</v>
      </c>
      <c r="FT266" s="56">
        <v>0</v>
      </c>
      <c r="FU266" s="56">
        <v>0</v>
      </c>
      <c r="FV266" s="56">
        <v>0</v>
      </c>
      <c r="FW266" s="56">
        <v>0</v>
      </c>
      <c r="FX266" s="56">
        <v>0</v>
      </c>
      <c r="FY266" s="56">
        <v>0</v>
      </c>
      <c r="FZ266" s="54" t="s">
        <v>1083</v>
      </c>
      <c r="GA266" s="54" t="s">
        <v>1084</v>
      </c>
      <c r="GB266" s="54" t="s">
        <v>1072</v>
      </c>
      <c r="GC266" s="54" t="s">
        <v>1073</v>
      </c>
      <c r="GD266" s="54"/>
      <c r="GE266" s="54"/>
      <c r="GF266" s="54"/>
      <c r="GG266" s="55"/>
      <c r="GH266" s="54"/>
      <c r="GI266" s="54"/>
      <c r="GJ266" s="54" t="s">
        <v>1076</v>
      </c>
      <c r="GK266" s="54" t="s">
        <v>1077</v>
      </c>
      <c r="GL266" s="54"/>
      <c r="GM266" s="54"/>
      <c r="GN266" s="54" t="s">
        <v>1208</v>
      </c>
      <c r="GO266" s="54" t="s">
        <v>1209</v>
      </c>
      <c r="GP266" s="54"/>
      <c r="GQ266" s="56">
        <v>0</v>
      </c>
      <c r="GR266" s="54" t="s">
        <v>1079</v>
      </c>
      <c r="GS266" s="54"/>
    </row>
    <row r="267" spans="1:201" x14ac:dyDescent="0.25">
      <c r="A267" s="54" t="s">
        <v>1032</v>
      </c>
      <c r="B267" s="54" t="s">
        <v>1033</v>
      </c>
      <c r="C267" s="54" t="s">
        <v>1281</v>
      </c>
      <c r="D267" s="54" t="s">
        <v>1035</v>
      </c>
      <c r="E267" s="54" t="s">
        <v>1036</v>
      </c>
      <c r="F267" s="55">
        <v>46189</v>
      </c>
      <c r="G267" s="55">
        <v>46189</v>
      </c>
      <c r="H267" s="54" t="s">
        <v>1037</v>
      </c>
      <c r="I267" s="54" t="s">
        <v>1038</v>
      </c>
      <c r="J267" s="54" t="s">
        <v>1039</v>
      </c>
      <c r="K267" s="55"/>
      <c r="L267" s="54" t="s">
        <v>1040</v>
      </c>
      <c r="M267" s="54"/>
      <c r="N267" s="54" t="s">
        <v>1282</v>
      </c>
      <c r="O267" s="54" t="s">
        <v>1128</v>
      </c>
      <c r="P267" s="54" t="s">
        <v>446</v>
      </c>
      <c r="Q267" s="54" t="s">
        <v>447</v>
      </c>
      <c r="R267" s="54" t="s">
        <v>1043</v>
      </c>
      <c r="S267" s="56">
        <v>1800.6</v>
      </c>
      <c r="T267" s="56">
        <v>1800.6</v>
      </c>
      <c r="U267" s="56">
        <v>0</v>
      </c>
      <c r="V267" s="56">
        <v>0</v>
      </c>
      <c r="W267" s="56">
        <v>0</v>
      </c>
      <c r="X267" s="56">
        <v>0</v>
      </c>
      <c r="Y267" s="56">
        <v>0</v>
      </c>
      <c r="Z267" s="56">
        <v>60</v>
      </c>
      <c r="AA267" s="56">
        <v>60</v>
      </c>
      <c r="AB267" s="59">
        <v>0</v>
      </c>
      <c r="AC267" s="56">
        <v>0</v>
      </c>
      <c r="AD267" s="56">
        <v>0</v>
      </c>
      <c r="AE267" s="56">
        <v>0</v>
      </c>
      <c r="AF267" s="54" t="s">
        <v>1044</v>
      </c>
      <c r="AG267" s="57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 t="s">
        <v>1045</v>
      </c>
      <c r="AS267" s="54" t="s">
        <v>1046</v>
      </c>
      <c r="AT267" s="54" t="s">
        <v>1047</v>
      </c>
      <c r="AU267" s="54" t="s">
        <v>1048</v>
      </c>
      <c r="AV267" s="54"/>
      <c r="AW267" s="55">
        <v>46202</v>
      </c>
      <c r="AX267" s="55">
        <v>46189</v>
      </c>
      <c r="AY267" s="55">
        <v>46189</v>
      </c>
      <c r="AZ267" s="55">
        <v>46191</v>
      </c>
      <c r="BA267" s="55">
        <v>46202</v>
      </c>
      <c r="BB267" s="56">
        <v>0</v>
      </c>
      <c r="BC267" s="56">
        <v>0</v>
      </c>
      <c r="BD267" s="56">
        <v>0</v>
      </c>
      <c r="BE267" s="56">
        <v>0</v>
      </c>
      <c r="BF267" s="56">
        <v>0</v>
      </c>
      <c r="BG267" s="56">
        <v>0</v>
      </c>
      <c r="BH267" s="56">
        <v>0</v>
      </c>
      <c r="BI267" s="56">
        <v>0</v>
      </c>
      <c r="BJ267" s="56">
        <v>0</v>
      </c>
      <c r="BK267" s="56">
        <v>0</v>
      </c>
      <c r="BL267" s="56">
        <v>0</v>
      </c>
      <c r="BM267" s="56">
        <v>0</v>
      </c>
      <c r="BN267" s="56">
        <v>0</v>
      </c>
      <c r="BO267" s="56">
        <v>0</v>
      </c>
      <c r="BP267" s="54" t="s">
        <v>1049</v>
      </c>
      <c r="BQ267" s="54" t="s">
        <v>1050</v>
      </c>
      <c r="BR267" s="54" t="s">
        <v>1049</v>
      </c>
      <c r="BS267" s="54" t="s">
        <v>1050</v>
      </c>
      <c r="BT267" s="54" t="s">
        <v>1051</v>
      </c>
      <c r="BU267" s="54" t="s">
        <v>1043</v>
      </c>
      <c r="BV267" s="58">
        <v>60</v>
      </c>
      <c r="BW267" s="54" t="s">
        <v>1052</v>
      </c>
      <c r="BX267" s="54" t="s">
        <v>1053</v>
      </c>
      <c r="BY267" s="54" t="s">
        <v>1054</v>
      </c>
      <c r="BZ267" s="54" t="s">
        <v>1055</v>
      </c>
      <c r="CA267" s="55"/>
      <c r="CB267" s="54" t="s">
        <v>1056</v>
      </c>
      <c r="CC267" s="54" t="s">
        <v>1057</v>
      </c>
      <c r="CD267" s="54" t="s">
        <v>1200</v>
      </c>
      <c r="CE267" s="54" t="s">
        <v>1201</v>
      </c>
      <c r="CF267" s="54" t="s">
        <v>1202</v>
      </c>
      <c r="CG267" s="54" t="s">
        <v>1203</v>
      </c>
      <c r="CH267" s="54" t="s">
        <v>1204</v>
      </c>
      <c r="CI267" s="54" t="s">
        <v>1203</v>
      </c>
      <c r="CJ267" s="54" t="s">
        <v>1064</v>
      </c>
      <c r="CK267" s="54" t="s">
        <v>1065</v>
      </c>
      <c r="CL267" s="54" t="s">
        <v>1205</v>
      </c>
      <c r="CM267" s="54" t="s">
        <v>1206</v>
      </c>
      <c r="CN267" s="54" t="s">
        <v>1068</v>
      </c>
      <c r="CO267" s="54" t="s">
        <v>1069</v>
      </c>
      <c r="CP267" s="56">
        <v>0</v>
      </c>
      <c r="CQ267" s="56">
        <v>0</v>
      </c>
      <c r="CR267" s="56">
        <v>0</v>
      </c>
      <c r="CS267" s="56">
        <v>0</v>
      </c>
      <c r="CT267" s="56">
        <v>0</v>
      </c>
      <c r="CU267" s="56">
        <v>0</v>
      </c>
      <c r="CV267" s="56">
        <v>0</v>
      </c>
      <c r="CW267" s="56">
        <v>0</v>
      </c>
      <c r="CX267" s="56">
        <v>0</v>
      </c>
      <c r="CY267" s="56">
        <v>0</v>
      </c>
      <c r="CZ267" s="56">
        <v>0</v>
      </c>
      <c r="DA267" s="56">
        <v>0</v>
      </c>
      <c r="DB267" s="56">
        <v>0</v>
      </c>
      <c r="DC267" s="56">
        <v>0</v>
      </c>
      <c r="DD267" s="56">
        <v>0</v>
      </c>
      <c r="DE267" s="56">
        <v>0</v>
      </c>
      <c r="DF267" s="56">
        <v>0</v>
      </c>
      <c r="DG267" s="56">
        <v>0</v>
      </c>
      <c r="DH267" s="56">
        <v>0</v>
      </c>
      <c r="DI267" s="56">
        <v>0</v>
      </c>
      <c r="DJ267" s="56">
        <v>0</v>
      </c>
      <c r="DK267" s="56">
        <v>0</v>
      </c>
      <c r="DL267" s="56">
        <v>0</v>
      </c>
      <c r="DM267" s="56">
        <v>0</v>
      </c>
      <c r="DN267" s="56">
        <v>0</v>
      </c>
      <c r="DO267" s="56">
        <v>0</v>
      </c>
      <c r="DP267" s="56">
        <v>0</v>
      </c>
      <c r="DQ267" s="56">
        <v>0</v>
      </c>
      <c r="DR267" s="56">
        <v>0</v>
      </c>
      <c r="DS267" s="56">
        <v>0</v>
      </c>
      <c r="DT267" s="56">
        <v>0</v>
      </c>
      <c r="DU267" s="56">
        <v>0</v>
      </c>
      <c r="DV267" s="56">
        <v>0</v>
      </c>
      <c r="DW267" s="56">
        <v>0</v>
      </c>
      <c r="DX267" s="56">
        <v>0</v>
      </c>
      <c r="DY267" s="56">
        <v>0</v>
      </c>
      <c r="DZ267" s="56">
        <v>0</v>
      </c>
      <c r="EA267" s="56">
        <v>0</v>
      </c>
      <c r="EB267" s="56">
        <v>0</v>
      </c>
      <c r="EC267" s="56">
        <v>0</v>
      </c>
      <c r="ED267" s="56">
        <v>0</v>
      </c>
      <c r="EE267" s="56">
        <v>0</v>
      </c>
      <c r="EF267" s="56">
        <v>0</v>
      </c>
      <c r="EG267" s="56">
        <v>0</v>
      </c>
      <c r="EH267" s="56">
        <v>216.07</v>
      </c>
      <c r="EI267" s="56">
        <v>0</v>
      </c>
      <c r="EJ267" s="56">
        <v>0</v>
      </c>
      <c r="EK267" s="56">
        <v>0</v>
      </c>
      <c r="EL267" s="56">
        <v>0</v>
      </c>
      <c r="EM267" s="56">
        <v>0</v>
      </c>
      <c r="EN267" s="56">
        <v>0</v>
      </c>
      <c r="EO267" s="56">
        <v>0</v>
      </c>
      <c r="EP267" s="56">
        <v>0</v>
      </c>
      <c r="EQ267" s="56">
        <v>0</v>
      </c>
      <c r="ER267" s="56">
        <v>0</v>
      </c>
      <c r="ES267" s="56">
        <v>0</v>
      </c>
      <c r="ET267" s="56">
        <v>0</v>
      </c>
      <c r="EU267" s="56">
        <v>0</v>
      </c>
      <c r="EV267" s="56">
        <v>0</v>
      </c>
      <c r="EW267" s="56">
        <v>0</v>
      </c>
      <c r="EX267" s="56">
        <v>0</v>
      </c>
      <c r="EY267" s="56">
        <v>0</v>
      </c>
      <c r="EZ267" s="56">
        <v>0</v>
      </c>
      <c r="FA267" s="56">
        <v>0</v>
      </c>
      <c r="FB267" s="56">
        <v>0</v>
      </c>
      <c r="FC267" s="58">
        <v>0</v>
      </c>
      <c r="FD267" s="56">
        <v>0</v>
      </c>
      <c r="FE267" s="56">
        <v>0</v>
      </c>
      <c r="FF267" s="56">
        <v>0</v>
      </c>
      <c r="FG267" s="56">
        <v>0</v>
      </c>
      <c r="FH267" s="56">
        <v>0</v>
      </c>
      <c r="FI267" s="56">
        <v>0</v>
      </c>
      <c r="FJ267" s="56">
        <v>0</v>
      </c>
      <c r="FK267" s="56">
        <v>0</v>
      </c>
      <c r="FL267" s="56">
        <v>0</v>
      </c>
      <c r="FM267" s="56">
        <v>0</v>
      </c>
      <c r="FN267" s="56">
        <v>0</v>
      </c>
      <c r="FO267" s="56">
        <v>0</v>
      </c>
      <c r="FP267" s="56">
        <v>0</v>
      </c>
      <c r="FQ267" s="56">
        <v>0</v>
      </c>
      <c r="FR267" s="56">
        <v>0</v>
      </c>
      <c r="FS267" s="58">
        <v>0</v>
      </c>
      <c r="FT267" s="56">
        <v>0</v>
      </c>
      <c r="FU267" s="56">
        <v>0</v>
      </c>
      <c r="FV267" s="56">
        <v>0</v>
      </c>
      <c r="FW267" s="56">
        <v>0</v>
      </c>
      <c r="FX267" s="56">
        <v>0</v>
      </c>
      <c r="FY267" s="56">
        <v>0</v>
      </c>
      <c r="FZ267" s="54" t="s">
        <v>1083</v>
      </c>
      <c r="GA267" s="54" t="s">
        <v>1084</v>
      </c>
      <c r="GB267" s="54" t="s">
        <v>1072</v>
      </c>
      <c r="GC267" s="54" t="s">
        <v>1073</v>
      </c>
      <c r="GD267" s="54"/>
      <c r="GE267" s="54"/>
      <c r="GF267" s="54"/>
      <c r="GG267" s="55"/>
      <c r="GH267" s="54"/>
      <c r="GI267" s="54"/>
      <c r="GJ267" s="54" t="s">
        <v>1076</v>
      </c>
      <c r="GK267" s="54" t="s">
        <v>1077</v>
      </c>
      <c r="GL267" s="54"/>
      <c r="GM267" s="54"/>
      <c r="GN267" s="54" t="s">
        <v>1208</v>
      </c>
      <c r="GO267" s="54" t="s">
        <v>1209</v>
      </c>
      <c r="GP267" s="54"/>
      <c r="GQ267" s="56">
        <v>0</v>
      </c>
      <c r="GR267" s="54" t="s">
        <v>1079</v>
      </c>
      <c r="GS267" s="54"/>
    </row>
    <row r="268" spans="1:201" x14ac:dyDescent="0.25">
      <c r="A268" s="54" t="s">
        <v>1032</v>
      </c>
      <c r="B268" s="54" t="s">
        <v>1033</v>
      </c>
      <c r="C268" s="54" t="s">
        <v>1281</v>
      </c>
      <c r="D268" s="54" t="s">
        <v>1035</v>
      </c>
      <c r="E268" s="54" t="s">
        <v>1036</v>
      </c>
      <c r="F268" s="55">
        <v>46189</v>
      </c>
      <c r="G268" s="55">
        <v>46189</v>
      </c>
      <c r="H268" s="54" t="s">
        <v>1037</v>
      </c>
      <c r="I268" s="54" t="s">
        <v>1038</v>
      </c>
      <c r="J268" s="54" t="s">
        <v>1039</v>
      </c>
      <c r="K268" s="55"/>
      <c r="L268" s="54" t="s">
        <v>1040</v>
      </c>
      <c r="M268" s="54"/>
      <c r="N268" s="54" t="s">
        <v>1282</v>
      </c>
      <c r="O268" s="54" t="s">
        <v>1130</v>
      </c>
      <c r="P268" s="54" t="s">
        <v>285</v>
      </c>
      <c r="Q268" s="54" t="s">
        <v>125</v>
      </c>
      <c r="R268" s="54" t="s">
        <v>1043</v>
      </c>
      <c r="S268" s="56">
        <v>13759.8</v>
      </c>
      <c r="T268" s="56">
        <v>13759.8</v>
      </c>
      <c r="U268" s="56">
        <v>0</v>
      </c>
      <c r="V268" s="56">
        <v>0</v>
      </c>
      <c r="W268" s="56">
        <v>0</v>
      </c>
      <c r="X268" s="56">
        <v>0</v>
      </c>
      <c r="Y268" s="56">
        <v>0</v>
      </c>
      <c r="Z268" s="56">
        <v>1140</v>
      </c>
      <c r="AA268" s="56">
        <v>1140</v>
      </c>
      <c r="AB268" s="59">
        <v>0</v>
      </c>
      <c r="AC268" s="56">
        <v>0</v>
      </c>
      <c r="AD268" s="56">
        <v>0</v>
      </c>
      <c r="AE268" s="56">
        <v>0</v>
      </c>
      <c r="AF268" s="54" t="s">
        <v>1044</v>
      </c>
      <c r="AG268" s="57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 t="s">
        <v>1045</v>
      </c>
      <c r="AS268" s="54" t="s">
        <v>1081</v>
      </c>
      <c r="AT268" s="54" t="s">
        <v>1082</v>
      </c>
      <c r="AU268" s="54" t="s">
        <v>1048</v>
      </c>
      <c r="AV268" s="54"/>
      <c r="AW268" s="55">
        <v>46202</v>
      </c>
      <c r="AX268" s="55">
        <v>46189</v>
      </c>
      <c r="AY268" s="55">
        <v>46189</v>
      </c>
      <c r="AZ268" s="55"/>
      <c r="BA268" s="55">
        <v>46202</v>
      </c>
      <c r="BB268" s="56">
        <v>0</v>
      </c>
      <c r="BC268" s="56">
        <v>0</v>
      </c>
      <c r="BD268" s="56">
        <v>0</v>
      </c>
      <c r="BE268" s="56">
        <v>0</v>
      </c>
      <c r="BF268" s="56">
        <v>0</v>
      </c>
      <c r="BG268" s="56">
        <v>0</v>
      </c>
      <c r="BH268" s="56">
        <v>0</v>
      </c>
      <c r="BI268" s="56">
        <v>0</v>
      </c>
      <c r="BJ268" s="56">
        <v>0</v>
      </c>
      <c r="BK268" s="56">
        <v>0</v>
      </c>
      <c r="BL268" s="56">
        <v>0</v>
      </c>
      <c r="BM268" s="56">
        <v>0</v>
      </c>
      <c r="BN268" s="56">
        <v>0</v>
      </c>
      <c r="BO268" s="56">
        <v>0</v>
      </c>
      <c r="BP268" s="54" t="s">
        <v>1049</v>
      </c>
      <c r="BQ268" s="54" t="s">
        <v>1050</v>
      </c>
      <c r="BR268" s="54" t="s">
        <v>1049</v>
      </c>
      <c r="BS268" s="54" t="s">
        <v>1050</v>
      </c>
      <c r="BT268" s="54" t="s">
        <v>1051</v>
      </c>
      <c r="BU268" s="54" t="s">
        <v>1043</v>
      </c>
      <c r="BV268" s="58">
        <v>1140</v>
      </c>
      <c r="BW268" s="54" t="s">
        <v>1052</v>
      </c>
      <c r="BX268" s="54" t="s">
        <v>1053</v>
      </c>
      <c r="BY268" s="54" t="s">
        <v>1054</v>
      </c>
      <c r="BZ268" s="54" t="s">
        <v>1055</v>
      </c>
      <c r="CA268" s="55"/>
      <c r="CB268" s="54" t="s">
        <v>1056</v>
      </c>
      <c r="CC268" s="54" t="s">
        <v>1057</v>
      </c>
      <c r="CD268" s="54" t="s">
        <v>1200</v>
      </c>
      <c r="CE268" s="54" t="s">
        <v>1201</v>
      </c>
      <c r="CF268" s="54" t="s">
        <v>1202</v>
      </c>
      <c r="CG268" s="54" t="s">
        <v>1203</v>
      </c>
      <c r="CH268" s="54" t="s">
        <v>1204</v>
      </c>
      <c r="CI268" s="54" t="s">
        <v>1203</v>
      </c>
      <c r="CJ268" s="54" t="s">
        <v>1064</v>
      </c>
      <c r="CK268" s="54" t="s">
        <v>1065</v>
      </c>
      <c r="CL268" s="54" t="s">
        <v>1205</v>
      </c>
      <c r="CM268" s="54" t="s">
        <v>1206</v>
      </c>
      <c r="CN268" s="54" t="s">
        <v>1068</v>
      </c>
      <c r="CO268" s="54" t="s">
        <v>1069</v>
      </c>
      <c r="CP268" s="56">
        <v>0</v>
      </c>
      <c r="CQ268" s="56">
        <v>0</v>
      </c>
      <c r="CR268" s="56">
        <v>0</v>
      </c>
      <c r="CS268" s="56">
        <v>0</v>
      </c>
      <c r="CT268" s="56">
        <v>0</v>
      </c>
      <c r="CU268" s="56">
        <v>0</v>
      </c>
      <c r="CV268" s="56">
        <v>0</v>
      </c>
      <c r="CW268" s="56">
        <v>0</v>
      </c>
      <c r="CX268" s="56">
        <v>0</v>
      </c>
      <c r="CY268" s="56">
        <v>0</v>
      </c>
      <c r="CZ268" s="56">
        <v>0</v>
      </c>
      <c r="DA268" s="56">
        <v>0</v>
      </c>
      <c r="DB268" s="56">
        <v>0</v>
      </c>
      <c r="DC268" s="56">
        <v>0</v>
      </c>
      <c r="DD268" s="56">
        <v>0</v>
      </c>
      <c r="DE268" s="56">
        <v>0</v>
      </c>
      <c r="DF268" s="56">
        <v>0</v>
      </c>
      <c r="DG268" s="56">
        <v>0</v>
      </c>
      <c r="DH268" s="56">
        <v>0</v>
      </c>
      <c r="DI268" s="56">
        <v>0</v>
      </c>
      <c r="DJ268" s="56">
        <v>0</v>
      </c>
      <c r="DK268" s="56">
        <v>0</v>
      </c>
      <c r="DL268" s="56">
        <v>0</v>
      </c>
      <c r="DM268" s="56">
        <v>0</v>
      </c>
      <c r="DN268" s="56">
        <v>0</v>
      </c>
      <c r="DO268" s="56">
        <v>0</v>
      </c>
      <c r="DP268" s="56">
        <v>0</v>
      </c>
      <c r="DQ268" s="56">
        <v>0</v>
      </c>
      <c r="DR268" s="56">
        <v>0</v>
      </c>
      <c r="DS268" s="56">
        <v>0</v>
      </c>
      <c r="DT268" s="56">
        <v>0</v>
      </c>
      <c r="DU268" s="56">
        <v>0</v>
      </c>
      <c r="DV268" s="56">
        <v>0</v>
      </c>
      <c r="DW268" s="56">
        <v>0</v>
      </c>
      <c r="DX268" s="56">
        <v>0</v>
      </c>
      <c r="DY268" s="56">
        <v>0</v>
      </c>
      <c r="DZ268" s="56">
        <v>0</v>
      </c>
      <c r="EA268" s="56">
        <v>0</v>
      </c>
      <c r="EB268" s="56">
        <v>0</v>
      </c>
      <c r="EC268" s="56">
        <v>0</v>
      </c>
      <c r="ED268" s="56">
        <v>0</v>
      </c>
      <c r="EE268" s="56">
        <v>0</v>
      </c>
      <c r="EF268" s="56">
        <v>0</v>
      </c>
      <c r="EG268" s="56">
        <v>0</v>
      </c>
      <c r="EH268" s="56">
        <v>1651.18</v>
      </c>
      <c r="EI268" s="56">
        <v>0</v>
      </c>
      <c r="EJ268" s="56">
        <v>0</v>
      </c>
      <c r="EK268" s="56">
        <v>0</v>
      </c>
      <c r="EL268" s="56">
        <v>0</v>
      </c>
      <c r="EM268" s="56">
        <v>0</v>
      </c>
      <c r="EN268" s="56">
        <v>0</v>
      </c>
      <c r="EO268" s="56">
        <v>0</v>
      </c>
      <c r="EP268" s="56">
        <v>0</v>
      </c>
      <c r="EQ268" s="56">
        <v>0</v>
      </c>
      <c r="ER268" s="56">
        <v>0</v>
      </c>
      <c r="ES268" s="56">
        <v>0</v>
      </c>
      <c r="ET268" s="56">
        <v>0</v>
      </c>
      <c r="EU268" s="56">
        <v>0</v>
      </c>
      <c r="EV268" s="56">
        <v>0</v>
      </c>
      <c r="EW268" s="56">
        <v>0</v>
      </c>
      <c r="EX268" s="56">
        <v>0</v>
      </c>
      <c r="EY268" s="56">
        <v>0</v>
      </c>
      <c r="EZ268" s="56">
        <v>0</v>
      </c>
      <c r="FA268" s="56">
        <v>0</v>
      </c>
      <c r="FB268" s="56">
        <v>0</v>
      </c>
      <c r="FC268" s="58">
        <v>0</v>
      </c>
      <c r="FD268" s="56">
        <v>0</v>
      </c>
      <c r="FE268" s="56">
        <v>0</v>
      </c>
      <c r="FF268" s="56">
        <v>0</v>
      </c>
      <c r="FG268" s="56">
        <v>0</v>
      </c>
      <c r="FH268" s="56">
        <v>0</v>
      </c>
      <c r="FI268" s="56">
        <v>0</v>
      </c>
      <c r="FJ268" s="56">
        <v>0</v>
      </c>
      <c r="FK268" s="56">
        <v>0</v>
      </c>
      <c r="FL268" s="56">
        <v>0</v>
      </c>
      <c r="FM268" s="56">
        <v>0</v>
      </c>
      <c r="FN268" s="56">
        <v>0</v>
      </c>
      <c r="FO268" s="56">
        <v>0</v>
      </c>
      <c r="FP268" s="56">
        <v>0</v>
      </c>
      <c r="FQ268" s="56">
        <v>0</v>
      </c>
      <c r="FR268" s="56">
        <v>0</v>
      </c>
      <c r="FS268" s="58">
        <v>0</v>
      </c>
      <c r="FT268" s="56">
        <v>0</v>
      </c>
      <c r="FU268" s="56">
        <v>0</v>
      </c>
      <c r="FV268" s="56">
        <v>0</v>
      </c>
      <c r="FW268" s="56">
        <v>0</v>
      </c>
      <c r="FX268" s="56">
        <v>0</v>
      </c>
      <c r="FY268" s="56">
        <v>0</v>
      </c>
      <c r="FZ268" s="54" t="s">
        <v>1083</v>
      </c>
      <c r="GA268" s="54" t="s">
        <v>1084</v>
      </c>
      <c r="GB268" s="54" t="s">
        <v>1072</v>
      </c>
      <c r="GC268" s="54" t="s">
        <v>1073</v>
      </c>
      <c r="GD268" s="54" t="s">
        <v>1258</v>
      </c>
      <c r="GE268" s="54" t="s">
        <v>1201</v>
      </c>
      <c r="GF268" s="54"/>
      <c r="GG268" s="55"/>
      <c r="GH268" s="54"/>
      <c r="GI268" s="54"/>
      <c r="GJ268" s="54" t="s">
        <v>1076</v>
      </c>
      <c r="GK268" s="54" t="s">
        <v>1077</v>
      </c>
      <c r="GL268" s="54"/>
      <c r="GM268" s="54"/>
      <c r="GN268" s="54" t="s">
        <v>1208</v>
      </c>
      <c r="GO268" s="54" t="s">
        <v>1209</v>
      </c>
      <c r="GP268" s="54"/>
      <c r="GQ268" s="56">
        <v>0</v>
      </c>
      <c r="GR268" s="54" t="s">
        <v>1079</v>
      </c>
      <c r="GS268" s="54"/>
    </row>
    <row r="269" spans="1:201" x14ac:dyDescent="0.25">
      <c r="A269" s="54" t="s">
        <v>1032</v>
      </c>
      <c r="B269" s="54" t="s">
        <v>1033</v>
      </c>
      <c r="C269" s="54" t="s">
        <v>1281</v>
      </c>
      <c r="D269" s="54" t="s">
        <v>1035</v>
      </c>
      <c r="E269" s="54" t="s">
        <v>1036</v>
      </c>
      <c r="F269" s="55">
        <v>46189</v>
      </c>
      <c r="G269" s="55">
        <v>46189</v>
      </c>
      <c r="H269" s="54" t="s">
        <v>1037</v>
      </c>
      <c r="I269" s="54" t="s">
        <v>1038</v>
      </c>
      <c r="J269" s="54" t="s">
        <v>1039</v>
      </c>
      <c r="K269" s="55"/>
      <c r="L269" s="54" t="s">
        <v>1040</v>
      </c>
      <c r="M269" s="54"/>
      <c r="N269" s="54" t="s">
        <v>1282</v>
      </c>
      <c r="O269" s="54" t="s">
        <v>1131</v>
      </c>
      <c r="P269" s="54" t="s">
        <v>289</v>
      </c>
      <c r="Q269" s="54" t="s">
        <v>129</v>
      </c>
      <c r="R269" s="54" t="s">
        <v>1043</v>
      </c>
      <c r="S269" s="56">
        <v>9540</v>
      </c>
      <c r="T269" s="56">
        <v>9540</v>
      </c>
      <c r="U269" s="56">
        <v>0</v>
      </c>
      <c r="V269" s="56">
        <v>0</v>
      </c>
      <c r="W269" s="56">
        <v>0</v>
      </c>
      <c r="X269" s="56">
        <v>0</v>
      </c>
      <c r="Y269" s="56">
        <v>0</v>
      </c>
      <c r="Z269" s="56">
        <v>1200</v>
      </c>
      <c r="AA269" s="56">
        <v>1200</v>
      </c>
      <c r="AB269" s="59">
        <v>0</v>
      </c>
      <c r="AC269" s="56">
        <v>0</v>
      </c>
      <c r="AD269" s="56">
        <v>0</v>
      </c>
      <c r="AE269" s="56">
        <v>0</v>
      </c>
      <c r="AF269" s="54" t="s">
        <v>1044</v>
      </c>
      <c r="AG269" s="57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 t="s">
        <v>1045</v>
      </c>
      <c r="AS269" s="54" t="s">
        <v>1081</v>
      </c>
      <c r="AT269" s="54" t="s">
        <v>1082</v>
      </c>
      <c r="AU269" s="54" t="s">
        <v>1048</v>
      </c>
      <c r="AV269" s="54"/>
      <c r="AW269" s="55">
        <v>46202</v>
      </c>
      <c r="AX269" s="55">
        <v>46189</v>
      </c>
      <c r="AY269" s="55">
        <v>46189</v>
      </c>
      <c r="AZ269" s="55">
        <v>46191</v>
      </c>
      <c r="BA269" s="55">
        <v>46202</v>
      </c>
      <c r="BB269" s="56">
        <v>0</v>
      </c>
      <c r="BC269" s="56">
        <v>0</v>
      </c>
      <c r="BD269" s="56">
        <v>0</v>
      </c>
      <c r="BE269" s="56">
        <v>0</v>
      </c>
      <c r="BF269" s="56">
        <v>0</v>
      </c>
      <c r="BG269" s="56">
        <v>0</v>
      </c>
      <c r="BH269" s="56">
        <v>0</v>
      </c>
      <c r="BI269" s="56">
        <v>0</v>
      </c>
      <c r="BJ269" s="56">
        <v>0</v>
      </c>
      <c r="BK269" s="56">
        <v>0</v>
      </c>
      <c r="BL269" s="56">
        <v>0</v>
      </c>
      <c r="BM269" s="56">
        <v>0</v>
      </c>
      <c r="BN269" s="56">
        <v>0</v>
      </c>
      <c r="BO269" s="56">
        <v>0</v>
      </c>
      <c r="BP269" s="54" t="s">
        <v>1049</v>
      </c>
      <c r="BQ269" s="54" t="s">
        <v>1050</v>
      </c>
      <c r="BR269" s="54" t="s">
        <v>1049</v>
      </c>
      <c r="BS269" s="54" t="s">
        <v>1050</v>
      </c>
      <c r="BT269" s="54" t="s">
        <v>1051</v>
      </c>
      <c r="BU269" s="54" t="s">
        <v>1043</v>
      </c>
      <c r="BV269" s="58">
        <v>1200</v>
      </c>
      <c r="BW269" s="54" t="s">
        <v>1052</v>
      </c>
      <c r="BX269" s="54" t="s">
        <v>1053</v>
      </c>
      <c r="BY269" s="54" t="s">
        <v>1054</v>
      </c>
      <c r="BZ269" s="54" t="s">
        <v>1055</v>
      </c>
      <c r="CA269" s="55"/>
      <c r="CB269" s="54" t="s">
        <v>1056</v>
      </c>
      <c r="CC269" s="54" t="s">
        <v>1057</v>
      </c>
      <c r="CD269" s="54" t="s">
        <v>1200</v>
      </c>
      <c r="CE269" s="54" t="s">
        <v>1201</v>
      </c>
      <c r="CF269" s="54" t="s">
        <v>1202</v>
      </c>
      <c r="CG269" s="54" t="s">
        <v>1203</v>
      </c>
      <c r="CH269" s="54" t="s">
        <v>1204</v>
      </c>
      <c r="CI269" s="54" t="s">
        <v>1203</v>
      </c>
      <c r="CJ269" s="54" t="s">
        <v>1064</v>
      </c>
      <c r="CK269" s="54" t="s">
        <v>1065</v>
      </c>
      <c r="CL269" s="54" t="s">
        <v>1205</v>
      </c>
      <c r="CM269" s="54" t="s">
        <v>1206</v>
      </c>
      <c r="CN269" s="54" t="s">
        <v>1068</v>
      </c>
      <c r="CO269" s="54" t="s">
        <v>1069</v>
      </c>
      <c r="CP269" s="56">
        <v>0</v>
      </c>
      <c r="CQ269" s="56">
        <v>0</v>
      </c>
      <c r="CR269" s="56">
        <v>0</v>
      </c>
      <c r="CS269" s="56">
        <v>0</v>
      </c>
      <c r="CT269" s="56">
        <v>0</v>
      </c>
      <c r="CU269" s="56">
        <v>0</v>
      </c>
      <c r="CV269" s="56">
        <v>0</v>
      </c>
      <c r="CW269" s="56">
        <v>0</v>
      </c>
      <c r="CX269" s="56">
        <v>0</v>
      </c>
      <c r="CY269" s="56">
        <v>0</v>
      </c>
      <c r="CZ269" s="56">
        <v>0</v>
      </c>
      <c r="DA269" s="56">
        <v>0</v>
      </c>
      <c r="DB269" s="56">
        <v>0</v>
      </c>
      <c r="DC269" s="56">
        <v>0</v>
      </c>
      <c r="DD269" s="56">
        <v>0</v>
      </c>
      <c r="DE269" s="56">
        <v>0</v>
      </c>
      <c r="DF269" s="56">
        <v>0</v>
      </c>
      <c r="DG269" s="56">
        <v>0</v>
      </c>
      <c r="DH269" s="56">
        <v>0</v>
      </c>
      <c r="DI269" s="56">
        <v>0</v>
      </c>
      <c r="DJ269" s="56">
        <v>0</v>
      </c>
      <c r="DK269" s="56">
        <v>0</v>
      </c>
      <c r="DL269" s="56">
        <v>0</v>
      </c>
      <c r="DM269" s="56">
        <v>0</v>
      </c>
      <c r="DN269" s="56">
        <v>0</v>
      </c>
      <c r="DO269" s="56">
        <v>0</v>
      </c>
      <c r="DP269" s="56">
        <v>0</v>
      </c>
      <c r="DQ269" s="56">
        <v>0</v>
      </c>
      <c r="DR269" s="56">
        <v>0</v>
      </c>
      <c r="DS269" s="56">
        <v>0</v>
      </c>
      <c r="DT269" s="56">
        <v>0</v>
      </c>
      <c r="DU269" s="56">
        <v>0</v>
      </c>
      <c r="DV269" s="56">
        <v>0</v>
      </c>
      <c r="DW269" s="56">
        <v>0</v>
      </c>
      <c r="DX269" s="56">
        <v>0</v>
      </c>
      <c r="DY269" s="56">
        <v>0</v>
      </c>
      <c r="DZ269" s="56">
        <v>0</v>
      </c>
      <c r="EA269" s="56">
        <v>0</v>
      </c>
      <c r="EB269" s="56">
        <v>0</v>
      </c>
      <c r="EC269" s="56">
        <v>0</v>
      </c>
      <c r="ED269" s="56">
        <v>0</v>
      </c>
      <c r="EE269" s="56">
        <v>0</v>
      </c>
      <c r="EF269" s="56">
        <v>0</v>
      </c>
      <c r="EG269" s="56">
        <v>0</v>
      </c>
      <c r="EH269" s="56">
        <v>1144.8</v>
      </c>
      <c r="EI269" s="56">
        <v>0</v>
      </c>
      <c r="EJ269" s="56">
        <v>0</v>
      </c>
      <c r="EK269" s="56">
        <v>0</v>
      </c>
      <c r="EL269" s="56">
        <v>0</v>
      </c>
      <c r="EM269" s="56">
        <v>0</v>
      </c>
      <c r="EN269" s="56">
        <v>0</v>
      </c>
      <c r="EO269" s="56">
        <v>0</v>
      </c>
      <c r="EP269" s="56">
        <v>0</v>
      </c>
      <c r="EQ269" s="56">
        <v>0</v>
      </c>
      <c r="ER269" s="56">
        <v>0</v>
      </c>
      <c r="ES269" s="56">
        <v>0</v>
      </c>
      <c r="ET269" s="56">
        <v>0</v>
      </c>
      <c r="EU269" s="56">
        <v>0</v>
      </c>
      <c r="EV269" s="56">
        <v>0</v>
      </c>
      <c r="EW269" s="56">
        <v>0</v>
      </c>
      <c r="EX269" s="56">
        <v>0</v>
      </c>
      <c r="EY269" s="56">
        <v>0</v>
      </c>
      <c r="EZ269" s="56">
        <v>0</v>
      </c>
      <c r="FA269" s="56">
        <v>0</v>
      </c>
      <c r="FB269" s="56">
        <v>0</v>
      </c>
      <c r="FC269" s="58">
        <v>0</v>
      </c>
      <c r="FD269" s="56">
        <v>0</v>
      </c>
      <c r="FE269" s="56">
        <v>0</v>
      </c>
      <c r="FF269" s="56">
        <v>0</v>
      </c>
      <c r="FG269" s="56">
        <v>0</v>
      </c>
      <c r="FH269" s="56">
        <v>0</v>
      </c>
      <c r="FI269" s="56">
        <v>0</v>
      </c>
      <c r="FJ269" s="56">
        <v>0</v>
      </c>
      <c r="FK269" s="56">
        <v>0</v>
      </c>
      <c r="FL269" s="56">
        <v>0</v>
      </c>
      <c r="FM269" s="56">
        <v>0</v>
      </c>
      <c r="FN269" s="56">
        <v>0</v>
      </c>
      <c r="FO269" s="56">
        <v>0</v>
      </c>
      <c r="FP269" s="56">
        <v>0</v>
      </c>
      <c r="FQ269" s="56">
        <v>0</v>
      </c>
      <c r="FR269" s="56">
        <v>0</v>
      </c>
      <c r="FS269" s="58">
        <v>0</v>
      </c>
      <c r="FT269" s="56">
        <v>0</v>
      </c>
      <c r="FU269" s="56">
        <v>0</v>
      </c>
      <c r="FV269" s="56">
        <v>0</v>
      </c>
      <c r="FW269" s="56">
        <v>0</v>
      </c>
      <c r="FX269" s="56">
        <v>0</v>
      </c>
      <c r="FY269" s="56">
        <v>0</v>
      </c>
      <c r="FZ269" s="54" t="s">
        <v>1083</v>
      </c>
      <c r="GA269" s="54" t="s">
        <v>1084</v>
      </c>
      <c r="GB269" s="54" t="s">
        <v>1072</v>
      </c>
      <c r="GC269" s="54" t="s">
        <v>1073</v>
      </c>
      <c r="GD269" s="54" t="s">
        <v>1290</v>
      </c>
      <c r="GE269" s="54" t="s">
        <v>1201</v>
      </c>
      <c r="GF269" s="54"/>
      <c r="GG269" s="55"/>
      <c r="GH269" s="54"/>
      <c r="GI269" s="54"/>
      <c r="GJ269" s="54" t="s">
        <v>1076</v>
      </c>
      <c r="GK269" s="54" t="s">
        <v>1077</v>
      </c>
      <c r="GL269" s="54"/>
      <c r="GM269" s="54"/>
      <c r="GN269" s="54" t="s">
        <v>1208</v>
      </c>
      <c r="GO269" s="54" t="s">
        <v>1209</v>
      </c>
      <c r="GP269" s="54"/>
      <c r="GQ269" s="56">
        <v>0</v>
      </c>
      <c r="GR269" s="54" t="s">
        <v>1079</v>
      </c>
      <c r="GS269" s="54"/>
    </row>
    <row r="270" spans="1:201" x14ac:dyDescent="0.25">
      <c r="A270" s="54" t="s">
        <v>1032</v>
      </c>
      <c r="B270" s="54" t="s">
        <v>1033</v>
      </c>
      <c r="C270" s="54" t="s">
        <v>1281</v>
      </c>
      <c r="D270" s="54" t="s">
        <v>1035</v>
      </c>
      <c r="E270" s="54" t="s">
        <v>1036</v>
      </c>
      <c r="F270" s="55">
        <v>46189</v>
      </c>
      <c r="G270" s="55">
        <v>46189</v>
      </c>
      <c r="H270" s="54" t="s">
        <v>1037</v>
      </c>
      <c r="I270" s="54" t="s">
        <v>1038</v>
      </c>
      <c r="J270" s="54" t="s">
        <v>1039</v>
      </c>
      <c r="K270" s="55"/>
      <c r="L270" s="54" t="s">
        <v>1040</v>
      </c>
      <c r="M270" s="54"/>
      <c r="N270" s="54" t="s">
        <v>1282</v>
      </c>
      <c r="O270" s="54" t="s">
        <v>1132</v>
      </c>
      <c r="P270" s="54" t="s">
        <v>290</v>
      </c>
      <c r="Q270" s="54" t="s">
        <v>130</v>
      </c>
      <c r="R270" s="54" t="s">
        <v>1043</v>
      </c>
      <c r="S270" s="56">
        <v>1113.5999999999999</v>
      </c>
      <c r="T270" s="56">
        <v>1113.5999999999999</v>
      </c>
      <c r="U270" s="56">
        <v>0</v>
      </c>
      <c r="V270" s="56">
        <v>0</v>
      </c>
      <c r="W270" s="56">
        <v>0</v>
      </c>
      <c r="X270" s="56">
        <v>0</v>
      </c>
      <c r="Y270" s="56">
        <v>0</v>
      </c>
      <c r="Z270" s="56">
        <v>120</v>
      </c>
      <c r="AA270" s="56">
        <v>120</v>
      </c>
      <c r="AB270" s="59">
        <v>0</v>
      </c>
      <c r="AC270" s="56">
        <v>0</v>
      </c>
      <c r="AD270" s="56">
        <v>0</v>
      </c>
      <c r="AE270" s="56">
        <v>0</v>
      </c>
      <c r="AF270" s="54" t="s">
        <v>1044</v>
      </c>
      <c r="AG270" s="57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 t="s">
        <v>1045</v>
      </c>
      <c r="AS270" s="54" t="s">
        <v>1046</v>
      </c>
      <c r="AT270" s="54" t="s">
        <v>1047</v>
      </c>
      <c r="AU270" s="54" t="s">
        <v>1048</v>
      </c>
      <c r="AV270" s="54"/>
      <c r="AW270" s="55">
        <v>46202</v>
      </c>
      <c r="AX270" s="55">
        <v>46189</v>
      </c>
      <c r="AY270" s="55">
        <v>46189</v>
      </c>
      <c r="AZ270" s="55">
        <v>46191</v>
      </c>
      <c r="BA270" s="55">
        <v>46202</v>
      </c>
      <c r="BB270" s="56">
        <v>0</v>
      </c>
      <c r="BC270" s="56">
        <v>0</v>
      </c>
      <c r="BD270" s="56">
        <v>0</v>
      </c>
      <c r="BE270" s="56">
        <v>0</v>
      </c>
      <c r="BF270" s="56">
        <v>0</v>
      </c>
      <c r="BG270" s="56">
        <v>0</v>
      </c>
      <c r="BH270" s="56">
        <v>0</v>
      </c>
      <c r="BI270" s="56">
        <v>0</v>
      </c>
      <c r="BJ270" s="56">
        <v>0</v>
      </c>
      <c r="BK270" s="56">
        <v>0</v>
      </c>
      <c r="BL270" s="56">
        <v>0</v>
      </c>
      <c r="BM270" s="56">
        <v>0</v>
      </c>
      <c r="BN270" s="56">
        <v>0</v>
      </c>
      <c r="BO270" s="56">
        <v>0</v>
      </c>
      <c r="BP270" s="54" t="s">
        <v>1049</v>
      </c>
      <c r="BQ270" s="54" t="s">
        <v>1050</v>
      </c>
      <c r="BR270" s="54" t="s">
        <v>1049</v>
      </c>
      <c r="BS270" s="54" t="s">
        <v>1050</v>
      </c>
      <c r="BT270" s="54" t="s">
        <v>1051</v>
      </c>
      <c r="BU270" s="54" t="s">
        <v>1043</v>
      </c>
      <c r="BV270" s="58">
        <v>120</v>
      </c>
      <c r="BW270" s="54" t="s">
        <v>1052</v>
      </c>
      <c r="BX270" s="54" t="s">
        <v>1053</v>
      </c>
      <c r="BY270" s="54" t="s">
        <v>1054</v>
      </c>
      <c r="BZ270" s="54" t="s">
        <v>1055</v>
      </c>
      <c r="CA270" s="55"/>
      <c r="CB270" s="54" t="s">
        <v>1056</v>
      </c>
      <c r="CC270" s="54" t="s">
        <v>1057</v>
      </c>
      <c r="CD270" s="54" t="s">
        <v>1200</v>
      </c>
      <c r="CE270" s="54" t="s">
        <v>1201</v>
      </c>
      <c r="CF270" s="54" t="s">
        <v>1202</v>
      </c>
      <c r="CG270" s="54" t="s">
        <v>1203</v>
      </c>
      <c r="CH270" s="54" t="s">
        <v>1204</v>
      </c>
      <c r="CI270" s="54" t="s">
        <v>1203</v>
      </c>
      <c r="CJ270" s="54" t="s">
        <v>1064</v>
      </c>
      <c r="CK270" s="54" t="s">
        <v>1065</v>
      </c>
      <c r="CL270" s="54" t="s">
        <v>1205</v>
      </c>
      <c r="CM270" s="54" t="s">
        <v>1206</v>
      </c>
      <c r="CN270" s="54" t="s">
        <v>1068</v>
      </c>
      <c r="CO270" s="54" t="s">
        <v>1069</v>
      </c>
      <c r="CP270" s="56">
        <v>0</v>
      </c>
      <c r="CQ270" s="56">
        <v>0</v>
      </c>
      <c r="CR270" s="56">
        <v>0</v>
      </c>
      <c r="CS270" s="56">
        <v>0</v>
      </c>
      <c r="CT270" s="56">
        <v>0</v>
      </c>
      <c r="CU270" s="56">
        <v>0</v>
      </c>
      <c r="CV270" s="56">
        <v>0</v>
      </c>
      <c r="CW270" s="56">
        <v>0</v>
      </c>
      <c r="CX270" s="56">
        <v>0</v>
      </c>
      <c r="CY270" s="56">
        <v>0</v>
      </c>
      <c r="CZ270" s="56">
        <v>0</v>
      </c>
      <c r="DA270" s="56">
        <v>0</v>
      </c>
      <c r="DB270" s="56">
        <v>0</v>
      </c>
      <c r="DC270" s="56">
        <v>0</v>
      </c>
      <c r="DD270" s="56">
        <v>0</v>
      </c>
      <c r="DE270" s="56">
        <v>0</v>
      </c>
      <c r="DF270" s="56">
        <v>0</v>
      </c>
      <c r="DG270" s="56">
        <v>0</v>
      </c>
      <c r="DH270" s="56">
        <v>0</v>
      </c>
      <c r="DI270" s="56">
        <v>0</v>
      </c>
      <c r="DJ270" s="56">
        <v>0</v>
      </c>
      <c r="DK270" s="56">
        <v>0</v>
      </c>
      <c r="DL270" s="56">
        <v>0</v>
      </c>
      <c r="DM270" s="56">
        <v>0</v>
      </c>
      <c r="DN270" s="56">
        <v>0</v>
      </c>
      <c r="DO270" s="56">
        <v>0</v>
      </c>
      <c r="DP270" s="56">
        <v>0</v>
      </c>
      <c r="DQ270" s="56">
        <v>0</v>
      </c>
      <c r="DR270" s="56">
        <v>0</v>
      </c>
      <c r="DS270" s="56">
        <v>0</v>
      </c>
      <c r="DT270" s="56">
        <v>0</v>
      </c>
      <c r="DU270" s="56">
        <v>0</v>
      </c>
      <c r="DV270" s="56">
        <v>0</v>
      </c>
      <c r="DW270" s="56">
        <v>0</v>
      </c>
      <c r="DX270" s="56">
        <v>0</v>
      </c>
      <c r="DY270" s="56">
        <v>0</v>
      </c>
      <c r="DZ270" s="56">
        <v>0</v>
      </c>
      <c r="EA270" s="56">
        <v>0</v>
      </c>
      <c r="EB270" s="56">
        <v>0</v>
      </c>
      <c r="EC270" s="56">
        <v>0</v>
      </c>
      <c r="ED270" s="56">
        <v>0</v>
      </c>
      <c r="EE270" s="56">
        <v>0</v>
      </c>
      <c r="EF270" s="56">
        <v>0</v>
      </c>
      <c r="EG270" s="56">
        <v>0</v>
      </c>
      <c r="EH270" s="56">
        <v>133.63</v>
      </c>
      <c r="EI270" s="56">
        <v>0</v>
      </c>
      <c r="EJ270" s="56">
        <v>0</v>
      </c>
      <c r="EK270" s="56">
        <v>0</v>
      </c>
      <c r="EL270" s="56">
        <v>0</v>
      </c>
      <c r="EM270" s="56">
        <v>0</v>
      </c>
      <c r="EN270" s="56">
        <v>0</v>
      </c>
      <c r="EO270" s="56">
        <v>0</v>
      </c>
      <c r="EP270" s="56">
        <v>0</v>
      </c>
      <c r="EQ270" s="56">
        <v>0</v>
      </c>
      <c r="ER270" s="56">
        <v>0</v>
      </c>
      <c r="ES270" s="56">
        <v>0</v>
      </c>
      <c r="ET270" s="56">
        <v>0</v>
      </c>
      <c r="EU270" s="56">
        <v>0</v>
      </c>
      <c r="EV270" s="56">
        <v>0</v>
      </c>
      <c r="EW270" s="56">
        <v>0</v>
      </c>
      <c r="EX270" s="56">
        <v>0</v>
      </c>
      <c r="EY270" s="56">
        <v>0</v>
      </c>
      <c r="EZ270" s="56">
        <v>0</v>
      </c>
      <c r="FA270" s="56">
        <v>0</v>
      </c>
      <c r="FB270" s="56">
        <v>0</v>
      </c>
      <c r="FC270" s="58">
        <v>0</v>
      </c>
      <c r="FD270" s="56">
        <v>0</v>
      </c>
      <c r="FE270" s="56">
        <v>0</v>
      </c>
      <c r="FF270" s="56">
        <v>0</v>
      </c>
      <c r="FG270" s="56">
        <v>0</v>
      </c>
      <c r="FH270" s="56">
        <v>0</v>
      </c>
      <c r="FI270" s="56">
        <v>0</v>
      </c>
      <c r="FJ270" s="56">
        <v>0</v>
      </c>
      <c r="FK270" s="56">
        <v>0</v>
      </c>
      <c r="FL270" s="56">
        <v>0</v>
      </c>
      <c r="FM270" s="56">
        <v>0</v>
      </c>
      <c r="FN270" s="56">
        <v>0</v>
      </c>
      <c r="FO270" s="56">
        <v>0</v>
      </c>
      <c r="FP270" s="56">
        <v>0</v>
      </c>
      <c r="FQ270" s="56">
        <v>0</v>
      </c>
      <c r="FR270" s="56">
        <v>0</v>
      </c>
      <c r="FS270" s="58">
        <v>0</v>
      </c>
      <c r="FT270" s="56">
        <v>0</v>
      </c>
      <c r="FU270" s="56">
        <v>0</v>
      </c>
      <c r="FV270" s="56">
        <v>0</v>
      </c>
      <c r="FW270" s="56">
        <v>0</v>
      </c>
      <c r="FX270" s="56">
        <v>0</v>
      </c>
      <c r="FY270" s="56">
        <v>0</v>
      </c>
      <c r="FZ270" s="54" t="s">
        <v>1070</v>
      </c>
      <c r="GA270" s="54" t="s">
        <v>1071</v>
      </c>
      <c r="GB270" s="54" t="s">
        <v>1072</v>
      </c>
      <c r="GC270" s="54" t="s">
        <v>1073</v>
      </c>
      <c r="GD270" s="54" t="s">
        <v>1233</v>
      </c>
      <c r="GE270" s="54" t="s">
        <v>1201</v>
      </c>
      <c r="GF270" s="54"/>
      <c r="GG270" s="55"/>
      <c r="GH270" s="54"/>
      <c r="GI270" s="54"/>
      <c r="GJ270" s="54" t="s">
        <v>1076</v>
      </c>
      <c r="GK270" s="54" t="s">
        <v>1077</v>
      </c>
      <c r="GL270" s="54"/>
      <c r="GM270" s="54"/>
      <c r="GN270" s="54" t="s">
        <v>1208</v>
      </c>
      <c r="GO270" s="54" t="s">
        <v>1209</v>
      </c>
      <c r="GP270" s="54"/>
      <c r="GQ270" s="56">
        <v>0</v>
      </c>
      <c r="GR270" s="54" t="s">
        <v>1079</v>
      </c>
      <c r="GS270" s="54"/>
    </row>
    <row r="271" spans="1:201" x14ac:dyDescent="0.25">
      <c r="A271" s="54" t="s">
        <v>1032</v>
      </c>
      <c r="B271" s="54" t="s">
        <v>1033</v>
      </c>
      <c r="C271" s="54" t="s">
        <v>1281</v>
      </c>
      <c r="D271" s="54" t="s">
        <v>1035</v>
      </c>
      <c r="E271" s="54" t="s">
        <v>1036</v>
      </c>
      <c r="F271" s="55">
        <v>46189</v>
      </c>
      <c r="G271" s="55">
        <v>46189</v>
      </c>
      <c r="H271" s="54" t="s">
        <v>1037</v>
      </c>
      <c r="I271" s="54" t="s">
        <v>1038</v>
      </c>
      <c r="J271" s="54" t="s">
        <v>1039</v>
      </c>
      <c r="K271" s="55"/>
      <c r="L271" s="54" t="s">
        <v>1040</v>
      </c>
      <c r="M271" s="54"/>
      <c r="N271" s="54" t="s">
        <v>1282</v>
      </c>
      <c r="O271" s="54" t="s">
        <v>1133</v>
      </c>
      <c r="P271" s="54" t="s">
        <v>291</v>
      </c>
      <c r="Q271" s="54" t="s">
        <v>131</v>
      </c>
      <c r="R271" s="54" t="s">
        <v>1043</v>
      </c>
      <c r="S271" s="56">
        <v>7816.2</v>
      </c>
      <c r="T271" s="56">
        <v>7816.2</v>
      </c>
      <c r="U271" s="56">
        <v>0</v>
      </c>
      <c r="V271" s="56">
        <v>0</v>
      </c>
      <c r="W271" s="56">
        <v>0</v>
      </c>
      <c r="X271" s="56">
        <v>0</v>
      </c>
      <c r="Y271" s="56">
        <v>0</v>
      </c>
      <c r="Z271" s="56">
        <v>420</v>
      </c>
      <c r="AA271" s="56">
        <v>420</v>
      </c>
      <c r="AB271" s="59">
        <v>0</v>
      </c>
      <c r="AC271" s="56">
        <v>0</v>
      </c>
      <c r="AD271" s="56">
        <v>0</v>
      </c>
      <c r="AE271" s="56">
        <v>0</v>
      </c>
      <c r="AF271" s="54" t="s">
        <v>1044</v>
      </c>
      <c r="AG271" s="57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 t="s">
        <v>1045</v>
      </c>
      <c r="AS271" s="54" t="s">
        <v>1046</v>
      </c>
      <c r="AT271" s="54" t="s">
        <v>1047</v>
      </c>
      <c r="AU271" s="54" t="s">
        <v>1048</v>
      </c>
      <c r="AV271" s="54"/>
      <c r="AW271" s="55">
        <v>46202</v>
      </c>
      <c r="AX271" s="55">
        <v>46189</v>
      </c>
      <c r="AY271" s="55">
        <v>46189</v>
      </c>
      <c r="AZ271" s="55">
        <v>46191</v>
      </c>
      <c r="BA271" s="55">
        <v>46202</v>
      </c>
      <c r="BB271" s="56">
        <v>0</v>
      </c>
      <c r="BC271" s="56">
        <v>0</v>
      </c>
      <c r="BD271" s="56">
        <v>0</v>
      </c>
      <c r="BE271" s="56">
        <v>0</v>
      </c>
      <c r="BF271" s="56">
        <v>0</v>
      </c>
      <c r="BG271" s="56">
        <v>0</v>
      </c>
      <c r="BH271" s="56">
        <v>0</v>
      </c>
      <c r="BI271" s="56">
        <v>0</v>
      </c>
      <c r="BJ271" s="56">
        <v>0</v>
      </c>
      <c r="BK271" s="56">
        <v>0</v>
      </c>
      <c r="BL271" s="56">
        <v>0</v>
      </c>
      <c r="BM271" s="56">
        <v>0</v>
      </c>
      <c r="BN271" s="56">
        <v>0</v>
      </c>
      <c r="BO271" s="56">
        <v>0</v>
      </c>
      <c r="BP271" s="54" t="s">
        <v>1049</v>
      </c>
      <c r="BQ271" s="54" t="s">
        <v>1050</v>
      </c>
      <c r="BR271" s="54" t="s">
        <v>1049</v>
      </c>
      <c r="BS271" s="54" t="s">
        <v>1050</v>
      </c>
      <c r="BT271" s="54" t="s">
        <v>1051</v>
      </c>
      <c r="BU271" s="54" t="s">
        <v>1043</v>
      </c>
      <c r="BV271" s="58">
        <v>420</v>
      </c>
      <c r="BW271" s="54" t="s">
        <v>1052</v>
      </c>
      <c r="BX271" s="54" t="s">
        <v>1053</v>
      </c>
      <c r="BY271" s="54" t="s">
        <v>1054</v>
      </c>
      <c r="BZ271" s="54" t="s">
        <v>1055</v>
      </c>
      <c r="CA271" s="55"/>
      <c r="CB271" s="54" t="s">
        <v>1056</v>
      </c>
      <c r="CC271" s="54" t="s">
        <v>1057</v>
      </c>
      <c r="CD271" s="54" t="s">
        <v>1200</v>
      </c>
      <c r="CE271" s="54" t="s">
        <v>1201</v>
      </c>
      <c r="CF271" s="54" t="s">
        <v>1202</v>
      </c>
      <c r="CG271" s="54" t="s">
        <v>1203</v>
      </c>
      <c r="CH271" s="54" t="s">
        <v>1204</v>
      </c>
      <c r="CI271" s="54" t="s">
        <v>1203</v>
      </c>
      <c r="CJ271" s="54" t="s">
        <v>1064</v>
      </c>
      <c r="CK271" s="54" t="s">
        <v>1065</v>
      </c>
      <c r="CL271" s="54" t="s">
        <v>1205</v>
      </c>
      <c r="CM271" s="54" t="s">
        <v>1206</v>
      </c>
      <c r="CN271" s="54" t="s">
        <v>1068</v>
      </c>
      <c r="CO271" s="54" t="s">
        <v>1069</v>
      </c>
      <c r="CP271" s="56">
        <v>0</v>
      </c>
      <c r="CQ271" s="56">
        <v>0</v>
      </c>
      <c r="CR271" s="56">
        <v>0</v>
      </c>
      <c r="CS271" s="56">
        <v>0</v>
      </c>
      <c r="CT271" s="56">
        <v>0</v>
      </c>
      <c r="CU271" s="56">
        <v>0</v>
      </c>
      <c r="CV271" s="56">
        <v>0</v>
      </c>
      <c r="CW271" s="56">
        <v>0</v>
      </c>
      <c r="CX271" s="56">
        <v>0</v>
      </c>
      <c r="CY271" s="56">
        <v>0</v>
      </c>
      <c r="CZ271" s="56">
        <v>0</v>
      </c>
      <c r="DA271" s="56">
        <v>0</v>
      </c>
      <c r="DB271" s="56">
        <v>0</v>
      </c>
      <c r="DC271" s="56">
        <v>0</v>
      </c>
      <c r="DD271" s="56">
        <v>0</v>
      </c>
      <c r="DE271" s="56">
        <v>0</v>
      </c>
      <c r="DF271" s="56">
        <v>0</v>
      </c>
      <c r="DG271" s="56">
        <v>0</v>
      </c>
      <c r="DH271" s="56">
        <v>0</v>
      </c>
      <c r="DI271" s="56">
        <v>0</v>
      </c>
      <c r="DJ271" s="56">
        <v>0</v>
      </c>
      <c r="DK271" s="56">
        <v>0</v>
      </c>
      <c r="DL271" s="56">
        <v>0</v>
      </c>
      <c r="DM271" s="56">
        <v>0</v>
      </c>
      <c r="DN271" s="56">
        <v>0</v>
      </c>
      <c r="DO271" s="56">
        <v>0</v>
      </c>
      <c r="DP271" s="56">
        <v>0</v>
      </c>
      <c r="DQ271" s="56">
        <v>0</v>
      </c>
      <c r="DR271" s="56">
        <v>0</v>
      </c>
      <c r="DS271" s="56">
        <v>0</v>
      </c>
      <c r="DT271" s="56">
        <v>0</v>
      </c>
      <c r="DU271" s="56">
        <v>0</v>
      </c>
      <c r="DV271" s="56">
        <v>0</v>
      </c>
      <c r="DW271" s="56">
        <v>0</v>
      </c>
      <c r="DX271" s="56">
        <v>0</v>
      </c>
      <c r="DY271" s="56">
        <v>0</v>
      </c>
      <c r="DZ271" s="56">
        <v>0</v>
      </c>
      <c r="EA271" s="56">
        <v>0</v>
      </c>
      <c r="EB271" s="56">
        <v>0</v>
      </c>
      <c r="EC271" s="56">
        <v>0</v>
      </c>
      <c r="ED271" s="56">
        <v>0</v>
      </c>
      <c r="EE271" s="56">
        <v>0</v>
      </c>
      <c r="EF271" s="56">
        <v>0</v>
      </c>
      <c r="EG271" s="56">
        <v>0</v>
      </c>
      <c r="EH271" s="56">
        <v>937.94</v>
      </c>
      <c r="EI271" s="56">
        <v>0</v>
      </c>
      <c r="EJ271" s="56">
        <v>0</v>
      </c>
      <c r="EK271" s="56">
        <v>0</v>
      </c>
      <c r="EL271" s="56">
        <v>0</v>
      </c>
      <c r="EM271" s="56">
        <v>0</v>
      </c>
      <c r="EN271" s="56">
        <v>0</v>
      </c>
      <c r="EO271" s="56">
        <v>0</v>
      </c>
      <c r="EP271" s="56">
        <v>0</v>
      </c>
      <c r="EQ271" s="56">
        <v>0</v>
      </c>
      <c r="ER271" s="56">
        <v>0</v>
      </c>
      <c r="ES271" s="56">
        <v>0</v>
      </c>
      <c r="ET271" s="56">
        <v>0</v>
      </c>
      <c r="EU271" s="56">
        <v>0</v>
      </c>
      <c r="EV271" s="56">
        <v>0</v>
      </c>
      <c r="EW271" s="56">
        <v>0</v>
      </c>
      <c r="EX271" s="56">
        <v>0</v>
      </c>
      <c r="EY271" s="56">
        <v>0</v>
      </c>
      <c r="EZ271" s="56">
        <v>0</v>
      </c>
      <c r="FA271" s="56">
        <v>0</v>
      </c>
      <c r="FB271" s="56">
        <v>0</v>
      </c>
      <c r="FC271" s="58">
        <v>0</v>
      </c>
      <c r="FD271" s="56">
        <v>0</v>
      </c>
      <c r="FE271" s="56">
        <v>0</v>
      </c>
      <c r="FF271" s="56">
        <v>0</v>
      </c>
      <c r="FG271" s="56">
        <v>0</v>
      </c>
      <c r="FH271" s="56">
        <v>0</v>
      </c>
      <c r="FI271" s="56">
        <v>0</v>
      </c>
      <c r="FJ271" s="56">
        <v>0</v>
      </c>
      <c r="FK271" s="56">
        <v>0</v>
      </c>
      <c r="FL271" s="56">
        <v>0</v>
      </c>
      <c r="FM271" s="56">
        <v>0</v>
      </c>
      <c r="FN271" s="56">
        <v>0</v>
      </c>
      <c r="FO271" s="56">
        <v>0</v>
      </c>
      <c r="FP271" s="56">
        <v>0</v>
      </c>
      <c r="FQ271" s="56">
        <v>0</v>
      </c>
      <c r="FR271" s="56">
        <v>0</v>
      </c>
      <c r="FS271" s="58">
        <v>0</v>
      </c>
      <c r="FT271" s="56">
        <v>0</v>
      </c>
      <c r="FU271" s="56">
        <v>0</v>
      </c>
      <c r="FV271" s="56">
        <v>0</v>
      </c>
      <c r="FW271" s="56">
        <v>0</v>
      </c>
      <c r="FX271" s="56">
        <v>0</v>
      </c>
      <c r="FY271" s="56">
        <v>0</v>
      </c>
      <c r="FZ271" s="54" t="s">
        <v>1083</v>
      </c>
      <c r="GA271" s="54" t="s">
        <v>1084</v>
      </c>
      <c r="GB271" s="54" t="s">
        <v>1072</v>
      </c>
      <c r="GC271" s="54" t="s">
        <v>1073</v>
      </c>
      <c r="GD271" s="54"/>
      <c r="GE271" s="54"/>
      <c r="GF271" s="54"/>
      <c r="GG271" s="55"/>
      <c r="GH271" s="54"/>
      <c r="GI271" s="54"/>
      <c r="GJ271" s="54" t="s">
        <v>1076</v>
      </c>
      <c r="GK271" s="54" t="s">
        <v>1077</v>
      </c>
      <c r="GL271" s="54"/>
      <c r="GM271" s="54"/>
      <c r="GN271" s="54" t="s">
        <v>1208</v>
      </c>
      <c r="GO271" s="54" t="s">
        <v>1209</v>
      </c>
      <c r="GP271" s="54"/>
      <c r="GQ271" s="56">
        <v>0</v>
      </c>
      <c r="GR271" s="54" t="s">
        <v>1079</v>
      </c>
      <c r="GS271" s="54"/>
    </row>
    <row r="272" spans="1:201" x14ac:dyDescent="0.25">
      <c r="A272" s="54" t="s">
        <v>1032</v>
      </c>
      <c r="B272" s="54" t="s">
        <v>1033</v>
      </c>
      <c r="C272" s="54" t="s">
        <v>1281</v>
      </c>
      <c r="D272" s="54" t="s">
        <v>1035</v>
      </c>
      <c r="E272" s="54" t="s">
        <v>1036</v>
      </c>
      <c r="F272" s="55">
        <v>46189</v>
      </c>
      <c r="G272" s="55">
        <v>46189</v>
      </c>
      <c r="H272" s="54" t="s">
        <v>1037</v>
      </c>
      <c r="I272" s="54" t="s">
        <v>1038</v>
      </c>
      <c r="J272" s="54" t="s">
        <v>1039</v>
      </c>
      <c r="K272" s="55"/>
      <c r="L272" s="54" t="s">
        <v>1040</v>
      </c>
      <c r="M272" s="54"/>
      <c r="N272" s="54" t="s">
        <v>1282</v>
      </c>
      <c r="O272" s="54" t="s">
        <v>1134</v>
      </c>
      <c r="P272" s="54" t="s">
        <v>452</v>
      </c>
      <c r="Q272" s="54" t="s">
        <v>463</v>
      </c>
      <c r="R272" s="54" t="s">
        <v>1043</v>
      </c>
      <c r="S272" s="56">
        <v>665.28</v>
      </c>
      <c r="T272" s="56">
        <v>0</v>
      </c>
      <c r="U272" s="56">
        <v>0</v>
      </c>
      <c r="V272" s="56">
        <v>665.28</v>
      </c>
      <c r="W272" s="56">
        <v>0</v>
      </c>
      <c r="X272" s="56">
        <v>0</v>
      </c>
      <c r="Y272" s="56">
        <v>0</v>
      </c>
      <c r="Z272" s="56">
        <v>96</v>
      </c>
      <c r="AA272" s="56">
        <v>0</v>
      </c>
      <c r="AB272" s="59">
        <v>0</v>
      </c>
      <c r="AC272" s="56">
        <v>96</v>
      </c>
      <c r="AD272" s="56">
        <v>0</v>
      </c>
      <c r="AE272" s="56">
        <v>0</v>
      </c>
      <c r="AF272" s="54" t="s">
        <v>1044</v>
      </c>
      <c r="AG272" s="57"/>
      <c r="AH272" s="54" t="s">
        <v>1123</v>
      </c>
      <c r="AI272" s="54" t="s">
        <v>1124</v>
      </c>
      <c r="AJ272" s="54"/>
      <c r="AK272" s="54"/>
      <c r="AL272" s="54"/>
      <c r="AM272" s="54"/>
      <c r="AN272" s="54"/>
      <c r="AO272" s="54"/>
      <c r="AP272" s="54"/>
      <c r="AQ272" s="54"/>
      <c r="AR272" s="54" t="s">
        <v>1045</v>
      </c>
      <c r="AS272" s="54" t="s">
        <v>1046</v>
      </c>
      <c r="AT272" s="54" t="s">
        <v>1047</v>
      </c>
      <c r="AU272" s="54" t="s">
        <v>1048</v>
      </c>
      <c r="AV272" s="54"/>
      <c r="AW272" s="55">
        <v>46202</v>
      </c>
      <c r="AX272" s="55">
        <v>46189</v>
      </c>
      <c r="AY272" s="55">
        <v>46189</v>
      </c>
      <c r="AZ272" s="55"/>
      <c r="BA272" s="55">
        <v>46202</v>
      </c>
      <c r="BB272" s="56">
        <v>0</v>
      </c>
      <c r="BC272" s="56">
        <v>0</v>
      </c>
      <c r="BD272" s="56">
        <v>0</v>
      </c>
      <c r="BE272" s="56">
        <v>0</v>
      </c>
      <c r="BF272" s="56">
        <v>0</v>
      </c>
      <c r="BG272" s="56">
        <v>0</v>
      </c>
      <c r="BH272" s="56">
        <v>0</v>
      </c>
      <c r="BI272" s="56">
        <v>0</v>
      </c>
      <c r="BJ272" s="56">
        <v>0</v>
      </c>
      <c r="BK272" s="56">
        <v>0</v>
      </c>
      <c r="BL272" s="56">
        <v>0</v>
      </c>
      <c r="BM272" s="56">
        <v>0</v>
      </c>
      <c r="BN272" s="56">
        <v>0</v>
      </c>
      <c r="BO272" s="56">
        <v>0</v>
      </c>
      <c r="BP272" s="54" t="s">
        <v>1049</v>
      </c>
      <c r="BQ272" s="54" t="s">
        <v>1050</v>
      </c>
      <c r="BR272" s="54" t="s">
        <v>1049</v>
      </c>
      <c r="BS272" s="54" t="s">
        <v>1050</v>
      </c>
      <c r="BT272" s="54" t="s">
        <v>1051</v>
      </c>
      <c r="BU272" s="54" t="s">
        <v>1043</v>
      </c>
      <c r="BV272" s="58">
        <v>0</v>
      </c>
      <c r="BW272" s="54" t="s">
        <v>1052</v>
      </c>
      <c r="BX272" s="54" t="s">
        <v>1053</v>
      </c>
      <c r="BY272" s="54" t="s">
        <v>1054</v>
      </c>
      <c r="BZ272" s="54" t="s">
        <v>1055</v>
      </c>
      <c r="CA272" s="55"/>
      <c r="CB272" s="54" t="s">
        <v>1056</v>
      </c>
      <c r="CC272" s="54" t="s">
        <v>1057</v>
      </c>
      <c r="CD272" s="54" t="s">
        <v>1200</v>
      </c>
      <c r="CE272" s="54" t="s">
        <v>1201</v>
      </c>
      <c r="CF272" s="54" t="s">
        <v>1202</v>
      </c>
      <c r="CG272" s="54" t="s">
        <v>1203</v>
      </c>
      <c r="CH272" s="54" t="s">
        <v>1204</v>
      </c>
      <c r="CI272" s="54" t="s">
        <v>1203</v>
      </c>
      <c r="CJ272" s="54" t="s">
        <v>1064</v>
      </c>
      <c r="CK272" s="54" t="s">
        <v>1065</v>
      </c>
      <c r="CL272" s="54" t="s">
        <v>1205</v>
      </c>
      <c r="CM272" s="54" t="s">
        <v>1206</v>
      </c>
      <c r="CN272" s="54" t="s">
        <v>1068</v>
      </c>
      <c r="CO272" s="54" t="s">
        <v>1069</v>
      </c>
      <c r="CP272" s="56">
        <v>0</v>
      </c>
      <c r="CQ272" s="56">
        <v>0</v>
      </c>
      <c r="CR272" s="56">
        <v>0</v>
      </c>
      <c r="CS272" s="56">
        <v>0</v>
      </c>
      <c r="CT272" s="56">
        <v>0</v>
      </c>
      <c r="CU272" s="56">
        <v>0</v>
      </c>
      <c r="CV272" s="56">
        <v>0</v>
      </c>
      <c r="CW272" s="56">
        <v>0</v>
      </c>
      <c r="CX272" s="56">
        <v>0</v>
      </c>
      <c r="CY272" s="56">
        <v>0</v>
      </c>
      <c r="CZ272" s="56">
        <v>0</v>
      </c>
      <c r="DA272" s="56">
        <v>0</v>
      </c>
      <c r="DB272" s="56">
        <v>0</v>
      </c>
      <c r="DC272" s="56">
        <v>0</v>
      </c>
      <c r="DD272" s="56">
        <v>0</v>
      </c>
      <c r="DE272" s="56">
        <v>0</v>
      </c>
      <c r="DF272" s="56">
        <v>0</v>
      </c>
      <c r="DG272" s="56">
        <v>0</v>
      </c>
      <c r="DH272" s="56">
        <v>0</v>
      </c>
      <c r="DI272" s="56">
        <v>0</v>
      </c>
      <c r="DJ272" s="56">
        <v>0</v>
      </c>
      <c r="DK272" s="56">
        <v>0</v>
      </c>
      <c r="DL272" s="56">
        <v>0</v>
      </c>
      <c r="DM272" s="56">
        <v>0</v>
      </c>
      <c r="DN272" s="56">
        <v>0</v>
      </c>
      <c r="DO272" s="56">
        <v>0</v>
      </c>
      <c r="DP272" s="56">
        <v>0</v>
      </c>
      <c r="DQ272" s="56">
        <v>0</v>
      </c>
      <c r="DR272" s="56">
        <v>0</v>
      </c>
      <c r="DS272" s="56">
        <v>0</v>
      </c>
      <c r="DT272" s="56">
        <v>0</v>
      </c>
      <c r="DU272" s="56">
        <v>0</v>
      </c>
      <c r="DV272" s="56">
        <v>0</v>
      </c>
      <c r="DW272" s="56">
        <v>0</v>
      </c>
      <c r="DX272" s="56">
        <v>0</v>
      </c>
      <c r="DY272" s="56">
        <v>0</v>
      </c>
      <c r="DZ272" s="56">
        <v>0</v>
      </c>
      <c r="EA272" s="56">
        <v>0</v>
      </c>
      <c r="EB272" s="56">
        <v>0</v>
      </c>
      <c r="EC272" s="56">
        <v>0</v>
      </c>
      <c r="ED272" s="56">
        <v>0</v>
      </c>
      <c r="EE272" s="56">
        <v>0</v>
      </c>
      <c r="EF272" s="56">
        <v>0</v>
      </c>
      <c r="EG272" s="56">
        <v>0</v>
      </c>
      <c r="EH272" s="56">
        <v>79.83</v>
      </c>
      <c r="EI272" s="56">
        <v>0</v>
      </c>
      <c r="EJ272" s="56">
        <v>0</v>
      </c>
      <c r="EK272" s="56">
        <v>0</v>
      </c>
      <c r="EL272" s="56">
        <v>0</v>
      </c>
      <c r="EM272" s="56">
        <v>0</v>
      </c>
      <c r="EN272" s="56">
        <v>0</v>
      </c>
      <c r="EO272" s="56">
        <v>0</v>
      </c>
      <c r="EP272" s="56">
        <v>0</v>
      </c>
      <c r="EQ272" s="56">
        <v>0</v>
      </c>
      <c r="ER272" s="56">
        <v>0</v>
      </c>
      <c r="ES272" s="56">
        <v>0</v>
      </c>
      <c r="ET272" s="56">
        <v>0</v>
      </c>
      <c r="EU272" s="56">
        <v>0</v>
      </c>
      <c r="EV272" s="56">
        <v>0</v>
      </c>
      <c r="EW272" s="56">
        <v>0</v>
      </c>
      <c r="EX272" s="56">
        <v>0</v>
      </c>
      <c r="EY272" s="56">
        <v>0</v>
      </c>
      <c r="EZ272" s="56">
        <v>0</v>
      </c>
      <c r="FA272" s="56">
        <v>0</v>
      </c>
      <c r="FB272" s="56">
        <v>0</v>
      </c>
      <c r="FC272" s="58">
        <v>0</v>
      </c>
      <c r="FD272" s="56">
        <v>0</v>
      </c>
      <c r="FE272" s="56">
        <v>0</v>
      </c>
      <c r="FF272" s="56">
        <v>0</v>
      </c>
      <c r="FG272" s="56">
        <v>0</v>
      </c>
      <c r="FH272" s="56">
        <v>0</v>
      </c>
      <c r="FI272" s="56">
        <v>0</v>
      </c>
      <c r="FJ272" s="56">
        <v>0</v>
      </c>
      <c r="FK272" s="56">
        <v>0</v>
      </c>
      <c r="FL272" s="56">
        <v>0</v>
      </c>
      <c r="FM272" s="56">
        <v>0</v>
      </c>
      <c r="FN272" s="56">
        <v>0</v>
      </c>
      <c r="FO272" s="56">
        <v>0</v>
      </c>
      <c r="FP272" s="56">
        <v>0</v>
      </c>
      <c r="FQ272" s="56">
        <v>0</v>
      </c>
      <c r="FR272" s="56">
        <v>0</v>
      </c>
      <c r="FS272" s="58">
        <v>0</v>
      </c>
      <c r="FT272" s="56">
        <v>0</v>
      </c>
      <c r="FU272" s="56">
        <v>0</v>
      </c>
      <c r="FV272" s="56">
        <v>0</v>
      </c>
      <c r="FW272" s="56">
        <v>0</v>
      </c>
      <c r="FX272" s="56">
        <v>0</v>
      </c>
      <c r="FY272" s="56">
        <v>0</v>
      </c>
      <c r="FZ272" s="54" t="s">
        <v>1070</v>
      </c>
      <c r="GA272" s="54" t="s">
        <v>1071</v>
      </c>
      <c r="GB272" s="54" t="s">
        <v>1072</v>
      </c>
      <c r="GC272" s="54" t="s">
        <v>1073</v>
      </c>
      <c r="GD272" s="54"/>
      <c r="GE272" s="54"/>
      <c r="GF272" s="54"/>
      <c r="GG272" s="55"/>
      <c r="GH272" s="54"/>
      <c r="GI272" s="54"/>
      <c r="GJ272" s="54" t="s">
        <v>1076</v>
      </c>
      <c r="GK272" s="54" t="s">
        <v>1077</v>
      </c>
      <c r="GL272" s="54"/>
      <c r="GM272" s="54"/>
      <c r="GN272" s="54" t="s">
        <v>1208</v>
      </c>
      <c r="GO272" s="54" t="s">
        <v>1209</v>
      </c>
      <c r="GP272" s="54"/>
      <c r="GQ272" s="56">
        <v>0</v>
      </c>
      <c r="GR272" s="54" t="s">
        <v>1079</v>
      </c>
      <c r="GS272" s="54"/>
    </row>
    <row r="273" spans="1:201" x14ac:dyDescent="0.25">
      <c r="A273" s="54" t="s">
        <v>1032</v>
      </c>
      <c r="B273" s="54" t="s">
        <v>1033</v>
      </c>
      <c r="C273" s="54" t="s">
        <v>1281</v>
      </c>
      <c r="D273" s="54" t="s">
        <v>1035</v>
      </c>
      <c r="E273" s="54" t="s">
        <v>1036</v>
      </c>
      <c r="F273" s="55">
        <v>46189</v>
      </c>
      <c r="G273" s="55">
        <v>46189</v>
      </c>
      <c r="H273" s="54" t="s">
        <v>1037</v>
      </c>
      <c r="I273" s="54" t="s">
        <v>1038</v>
      </c>
      <c r="J273" s="54" t="s">
        <v>1039</v>
      </c>
      <c r="K273" s="55"/>
      <c r="L273" s="54" t="s">
        <v>1040</v>
      </c>
      <c r="M273" s="54"/>
      <c r="N273" s="54" t="s">
        <v>1282</v>
      </c>
      <c r="O273" s="54" t="s">
        <v>1135</v>
      </c>
      <c r="P273" s="54" t="s">
        <v>581</v>
      </c>
      <c r="Q273" s="54" t="s">
        <v>588</v>
      </c>
      <c r="R273" s="54" t="s">
        <v>1043</v>
      </c>
      <c r="S273" s="56">
        <v>556.79999999999995</v>
      </c>
      <c r="T273" s="56">
        <v>556.79999999999995</v>
      </c>
      <c r="U273" s="56">
        <v>0</v>
      </c>
      <c r="V273" s="56">
        <v>0</v>
      </c>
      <c r="W273" s="56">
        <v>0</v>
      </c>
      <c r="X273" s="56">
        <v>0</v>
      </c>
      <c r="Y273" s="56">
        <v>0</v>
      </c>
      <c r="Z273" s="56">
        <v>120</v>
      </c>
      <c r="AA273" s="56">
        <v>120</v>
      </c>
      <c r="AB273" s="59">
        <v>0</v>
      </c>
      <c r="AC273" s="56">
        <v>0</v>
      </c>
      <c r="AD273" s="56">
        <v>0</v>
      </c>
      <c r="AE273" s="56">
        <v>0</v>
      </c>
      <c r="AF273" s="54" t="s">
        <v>1044</v>
      </c>
      <c r="AG273" s="57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 t="s">
        <v>1045</v>
      </c>
      <c r="AS273" s="54" t="s">
        <v>1046</v>
      </c>
      <c r="AT273" s="54" t="s">
        <v>1047</v>
      </c>
      <c r="AU273" s="54" t="s">
        <v>1048</v>
      </c>
      <c r="AV273" s="54"/>
      <c r="AW273" s="55">
        <v>46202</v>
      </c>
      <c r="AX273" s="55">
        <v>46189</v>
      </c>
      <c r="AY273" s="55">
        <v>46189</v>
      </c>
      <c r="AZ273" s="55">
        <v>46191</v>
      </c>
      <c r="BA273" s="55">
        <v>46202</v>
      </c>
      <c r="BB273" s="56">
        <v>0</v>
      </c>
      <c r="BC273" s="56">
        <v>0</v>
      </c>
      <c r="BD273" s="56">
        <v>0</v>
      </c>
      <c r="BE273" s="56">
        <v>0</v>
      </c>
      <c r="BF273" s="56">
        <v>0</v>
      </c>
      <c r="BG273" s="56">
        <v>0</v>
      </c>
      <c r="BH273" s="56">
        <v>0</v>
      </c>
      <c r="BI273" s="56">
        <v>0</v>
      </c>
      <c r="BJ273" s="56">
        <v>0</v>
      </c>
      <c r="BK273" s="56">
        <v>0</v>
      </c>
      <c r="BL273" s="56">
        <v>0</v>
      </c>
      <c r="BM273" s="56">
        <v>0</v>
      </c>
      <c r="BN273" s="56">
        <v>0</v>
      </c>
      <c r="BO273" s="56">
        <v>0</v>
      </c>
      <c r="BP273" s="54" t="s">
        <v>1049</v>
      </c>
      <c r="BQ273" s="54" t="s">
        <v>1050</v>
      </c>
      <c r="BR273" s="54" t="s">
        <v>1049</v>
      </c>
      <c r="BS273" s="54" t="s">
        <v>1050</v>
      </c>
      <c r="BT273" s="54" t="s">
        <v>1051</v>
      </c>
      <c r="BU273" s="54" t="s">
        <v>1043</v>
      </c>
      <c r="BV273" s="58">
        <v>120</v>
      </c>
      <c r="BW273" s="54" t="s">
        <v>1052</v>
      </c>
      <c r="BX273" s="54" t="s">
        <v>1053</v>
      </c>
      <c r="BY273" s="54" t="s">
        <v>1054</v>
      </c>
      <c r="BZ273" s="54" t="s">
        <v>1055</v>
      </c>
      <c r="CA273" s="55"/>
      <c r="CB273" s="54" t="s">
        <v>1056</v>
      </c>
      <c r="CC273" s="54" t="s">
        <v>1057</v>
      </c>
      <c r="CD273" s="54" t="s">
        <v>1200</v>
      </c>
      <c r="CE273" s="54" t="s">
        <v>1201</v>
      </c>
      <c r="CF273" s="54" t="s">
        <v>1202</v>
      </c>
      <c r="CG273" s="54" t="s">
        <v>1203</v>
      </c>
      <c r="CH273" s="54" t="s">
        <v>1204</v>
      </c>
      <c r="CI273" s="54" t="s">
        <v>1203</v>
      </c>
      <c r="CJ273" s="54" t="s">
        <v>1064</v>
      </c>
      <c r="CK273" s="54" t="s">
        <v>1065</v>
      </c>
      <c r="CL273" s="54" t="s">
        <v>1205</v>
      </c>
      <c r="CM273" s="54" t="s">
        <v>1206</v>
      </c>
      <c r="CN273" s="54" t="s">
        <v>1068</v>
      </c>
      <c r="CO273" s="54" t="s">
        <v>1069</v>
      </c>
      <c r="CP273" s="56">
        <v>0</v>
      </c>
      <c r="CQ273" s="56">
        <v>0</v>
      </c>
      <c r="CR273" s="56">
        <v>0</v>
      </c>
      <c r="CS273" s="56">
        <v>0</v>
      </c>
      <c r="CT273" s="56">
        <v>0</v>
      </c>
      <c r="CU273" s="56">
        <v>0</v>
      </c>
      <c r="CV273" s="56">
        <v>0</v>
      </c>
      <c r="CW273" s="56">
        <v>0</v>
      </c>
      <c r="CX273" s="56">
        <v>0</v>
      </c>
      <c r="CY273" s="56">
        <v>0</v>
      </c>
      <c r="CZ273" s="56">
        <v>0</v>
      </c>
      <c r="DA273" s="56">
        <v>0</v>
      </c>
      <c r="DB273" s="56">
        <v>0</v>
      </c>
      <c r="DC273" s="56">
        <v>0</v>
      </c>
      <c r="DD273" s="56">
        <v>0</v>
      </c>
      <c r="DE273" s="56">
        <v>0</v>
      </c>
      <c r="DF273" s="56">
        <v>0</v>
      </c>
      <c r="DG273" s="56">
        <v>0</v>
      </c>
      <c r="DH273" s="56">
        <v>0</v>
      </c>
      <c r="DI273" s="56">
        <v>0</v>
      </c>
      <c r="DJ273" s="56">
        <v>0</v>
      </c>
      <c r="DK273" s="56">
        <v>0</v>
      </c>
      <c r="DL273" s="56">
        <v>0</v>
      </c>
      <c r="DM273" s="56">
        <v>0</v>
      </c>
      <c r="DN273" s="56">
        <v>0</v>
      </c>
      <c r="DO273" s="56">
        <v>0</v>
      </c>
      <c r="DP273" s="56">
        <v>0</v>
      </c>
      <c r="DQ273" s="56">
        <v>0</v>
      </c>
      <c r="DR273" s="56">
        <v>0</v>
      </c>
      <c r="DS273" s="56">
        <v>0</v>
      </c>
      <c r="DT273" s="56">
        <v>0</v>
      </c>
      <c r="DU273" s="56">
        <v>0</v>
      </c>
      <c r="DV273" s="56">
        <v>0</v>
      </c>
      <c r="DW273" s="56">
        <v>0</v>
      </c>
      <c r="DX273" s="56">
        <v>0</v>
      </c>
      <c r="DY273" s="56">
        <v>0</v>
      </c>
      <c r="DZ273" s="56">
        <v>0</v>
      </c>
      <c r="EA273" s="56">
        <v>0</v>
      </c>
      <c r="EB273" s="56">
        <v>0</v>
      </c>
      <c r="EC273" s="56">
        <v>0</v>
      </c>
      <c r="ED273" s="56">
        <v>0</v>
      </c>
      <c r="EE273" s="56">
        <v>0</v>
      </c>
      <c r="EF273" s="56">
        <v>0</v>
      </c>
      <c r="EG273" s="56">
        <v>0</v>
      </c>
      <c r="EH273" s="56">
        <v>66.819999999999993</v>
      </c>
      <c r="EI273" s="56">
        <v>0</v>
      </c>
      <c r="EJ273" s="56">
        <v>0</v>
      </c>
      <c r="EK273" s="56">
        <v>0</v>
      </c>
      <c r="EL273" s="56">
        <v>0</v>
      </c>
      <c r="EM273" s="56">
        <v>0</v>
      </c>
      <c r="EN273" s="56">
        <v>0</v>
      </c>
      <c r="EO273" s="56">
        <v>0</v>
      </c>
      <c r="EP273" s="56">
        <v>0</v>
      </c>
      <c r="EQ273" s="56">
        <v>0</v>
      </c>
      <c r="ER273" s="56">
        <v>0</v>
      </c>
      <c r="ES273" s="56">
        <v>0</v>
      </c>
      <c r="ET273" s="56">
        <v>0</v>
      </c>
      <c r="EU273" s="56">
        <v>0</v>
      </c>
      <c r="EV273" s="56">
        <v>0</v>
      </c>
      <c r="EW273" s="56">
        <v>0</v>
      </c>
      <c r="EX273" s="56">
        <v>0</v>
      </c>
      <c r="EY273" s="56">
        <v>0</v>
      </c>
      <c r="EZ273" s="56">
        <v>0</v>
      </c>
      <c r="FA273" s="56">
        <v>0</v>
      </c>
      <c r="FB273" s="56">
        <v>0</v>
      </c>
      <c r="FC273" s="58">
        <v>0</v>
      </c>
      <c r="FD273" s="56">
        <v>0</v>
      </c>
      <c r="FE273" s="56">
        <v>0</v>
      </c>
      <c r="FF273" s="56">
        <v>0</v>
      </c>
      <c r="FG273" s="56">
        <v>0</v>
      </c>
      <c r="FH273" s="56">
        <v>0</v>
      </c>
      <c r="FI273" s="56">
        <v>0</v>
      </c>
      <c r="FJ273" s="56">
        <v>0</v>
      </c>
      <c r="FK273" s="56">
        <v>0</v>
      </c>
      <c r="FL273" s="56">
        <v>0</v>
      </c>
      <c r="FM273" s="56">
        <v>0</v>
      </c>
      <c r="FN273" s="56">
        <v>0</v>
      </c>
      <c r="FO273" s="56">
        <v>0</v>
      </c>
      <c r="FP273" s="56">
        <v>0</v>
      </c>
      <c r="FQ273" s="56">
        <v>0</v>
      </c>
      <c r="FR273" s="56">
        <v>0</v>
      </c>
      <c r="FS273" s="58">
        <v>0</v>
      </c>
      <c r="FT273" s="56">
        <v>0</v>
      </c>
      <c r="FU273" s="56">
        <v>0</v>
      </c>
      <c r="FV273" s="56">
        <v>0</v>
      </c>
      <c r="FW273" s="56">
        <v>0</v>
      </c>
      <c r="FX273" s="56">
        <v>0</v>
      </c>
      <c r="FY273" s="56">
        <v>0</v>
      </c>
      <c r="FZ273" s="54" t="s">
        <v>1070</v>
      </c>
      <c r="GA273" s="54" t="s">
        <v>1071</v>
      </c>
      <c r="GB273" s="54" t="s">
        <v>1072</v>
      </c>
      <c r="GC273" s="54" t="s">
        <v>1073</v>
      </c>
      <c r="GD273" s="54"/>
      <c r="GE273" s="54"/>
      <c r="GF273" s="54"/>
      <c r="GG273" s="55"/>
      <c r="GH273" s="54"/>
      <c r="GI273" s="54"/>
      <c r="GJ273" s="54" t="s">
        <v>1076</v>
      </c>
      <c r="GK273" s="54" t="s">
        <v>1077</v>
      </c>
      <c r="GL273" s="54"/>
      <c r="GM273" s="54"/>
      <c r="GN273" s="54" t="s">
        <v>1208</v>
      </c>
      <c r="GO273" s="54" t="s">
        <v>1209</v>
      </c>
      <c r="GP273" s="54"/>
      <c r="GQ273" s="56">
        <v>0</v>
      </c>
      <c r="GR273" s="54" t="s">
        <v>1079</v>
      </c>
      <c r="GS273" s="54"/>
    </row>
    <row r="274" spans="1:201" x14ac:dyDescent="0.25">
      <c r="A274" s="54" t="s">
        <v>1032</v>
      </c>
      <c r="B274" s="54" t="s">
        <v>1033</v>
      </c>
      <c r="C274" s="54" t="s">
        <v>1281</v>
      </c>
      <c r="D274" s="54" t="s">
        <v>1035</v>
      </c>
      <c r="E274" s="54" t="s">
        <v>1036</v>
      </c>
      <c r="F274" s="55">
        <v>46189</v>
      </c>
      <c r="G274" s="55">
        <v>46189</v>
      </c>
      <c r="H274" s="54" t="s">
        <v>1037</v>
      </c>
      <c r="I274" s="54" t="s">
        <v>1038</v>
      </c>
      <c r="J274" s="54" t="s">
        <v>1039</v>
      </c>
      <c r="K274" s="55"/>
      <c r="L274" s="54" t="s">
        <v>1040</v>
      </c>
      <c r="M274" s="54"/>
      <c r="N274" s="54" t="s">
        <v>1282</v>
      </c>
      <c r="O274" s="54" t="s">
        <v>1137</v>
      </c>
      <c r="P274" s="54" t="s">
        <v>584</v>
      </c>
      <c r="Q274" s="54" t="s">
        <v>591</v>
      </c>
      <c r="R274" s="54" t="s">
        <v>1043</v>
      </c>
      <c r="S274" s="56">
        <v>1032</v>
      </c>
      <c r="T274" s="56">
        <v>1032</v>
      </c>
      <c r="U274" s="56">
        <v>0</v>
      </c>
      <c r="V274" s="56">
        <v>0</v>
      </c>
      <c r="W274" s="56">
        <v>0</v>
      </c>
      <c r="X274" s="56">
        <v>0</v>
      </c>
      <c r="Y274" s="56">
        <v>0</v>
      </c>
      <c r="Z274" s="56">
        <v>120</v>
      </c>
      <c r="AA274" s="56">
        <v>120</v>
      </c>
      <c r="AB274" s="59">
        <v>0</v>
      </c>
      <c r="AC274" s="56">
        <v>0</v>
      </c>
      <c r="AD274" s="56">
        <v>0</v>
      </c>
      <c r="AE274" s="56">
        <v>0</v>
      </c>
      <c r="AF274" s="54" t="s">
        <v>1044</v>
      </c>
      <c r="AG274" s="57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 t="s">
        <v>1045</v>
      </c>
      <c r="AS274" s="54" t="s">
        <v>1046</v>
      </c>
      <c r="AT274" s="54" t="s">
        <v>1047</v>
      </c>
      <c r="AU274" s="54" t="s">
        <v>1048</v>
      </c>
      <c r="AV274" s="54"/>
      <c r="AW274" s="55">
        <v>46202</v>
      </c>
      <c r="AX274" s="55">
        <v>46189</v>
      </c>
      <c r="AY274" s="55">
        <v>46189</v>
      </c>
      <c r="AZ274" s="55">
        <v>46191</v>
      </c>
      <c r="BA274" s="55">
        <v>46202</v>
      </c>
      <c r="BB274" s="56">
        <v>0</v>
      </c>
      <c r="BC274" s="56">
        <v>0</v>
      </c>
      <c r="BD274" s="56">
        <v>0</v>
      </c>
      <c r="BE274" s="56">
        <v>0</v>
      </c>
      <c r="BF274" s="56">
        <v>0</v>
      </c>
      <c r="BG274" s="56">
        <v>0</v>
      </c>
      <c r="BH274" s="56">
        <v>0</v>
      </c>
      <c r="BI274" s="56">
        <v>0</v>
      </c>
      <c r="BJ274" s="56">
        <v>0</v>
      </c>
      <c r="BK274" s="56">
        <v>0</v>
      </c>
      <c r="BL274" s="56">
        <v>0</v>
      </c>
      <c r="BM274" s="56">
        <v>0</v>
      </c>
      <c r="BN274" s="56">
        <v>0</v>
      </c>
      <c r="BO274" s="56">
        <v>0</v>
      </c>
      <c r="BP274" s="54" t="s">
        <v>1049</v>
      </c>
      <c r="BQ274" s="54" t="s">
        <v>1050</v>
      </c>
      <c r="BR274" s="54" t="s">
        <v>1049</v>
      </c>
      <c r="BS274" s="54" t="s">
        <v>1050</v>
      </c>
      <c r="BT274" s="54" t="s">
        <v>1051</v>
      </c>
      <c r="BU274" s="54" t="s">
        <v>1043</v>
      </c>
      <c r="BV274" s="58">
        <v>120</v>
      </c>
      <c r="BW274" s="54" t="s">
        <v>1052</v>
      </c>
      <c r="BX274" s="54" t="s">
        <v>1053</v>
      </c>
      <c r="BY274" s="54" t="s">
        <v>1054</v>
      </c>
      <c r="BZ274" s="54" t="s">
        <v>1055</v>
      </c>
      <c r="CA274" s="55"/>
      <c r="CB274" s="54" t="s">
        <v>1056</v>
      </c>
      <c r="CC274" s="54" t="s">
        <v>1057</v>
      </c>
      <c r="CD274" s="54" t="s">
        <v>1200</v>
      </c>
      <c r="CE274" s="54" t="s">
        <v>1201</v>
      </c>
      <c r="CF274" s="54" t="s">
        <v>1202</v>
      </c>
      <c r="CG274" s="54" t="s">
        <v>1203</v>
      </c>
      <c r="CH274" s="54" t="s">
        <v>1204</v>
      </c>
      <c r="CI274" s="54" t="s">
        <v>1203</v>
      </c>
      <c r="CJ274" s="54" t="s">
        <v>1064</v>
      </c>
      <c r="CK274" s="54" t="s">
        <v>1065</v>
      </c>
      <c r="CL274" s="54" t="s">
        <v>1205</v>
      </c>
      <c r="CM274" s="54" t="s">
        <v>1206</v>
      </c>
      <c r="CN274" s="54" t="s">
        <v>1068</v>
      </c>
      <c r="CO274" s="54" t="s">
        <v>1069</v>
      </c>
      <c r="CP274" s="56">
        <v>0</v>
      </c>
      <c r="CQ274" s="56">
        <v>0</v>
      </c>
      <c r="CR274" s="56">
        <v>0</v>
      </c>
      <c r="CS274" s="56">
        <v>0</v>
      </c>
      <c r="CT274" s="56">
        <v>0</v>
      </c>
      <c r="CU274" s="56">
        <v>0</v>
      </c>
      <c r="CV274" s="56">
        <v>0</v>
      </c>
      <c r="CW274" s="56">
        <v>0</v>
      </c>
      <c r="CX274" s="56">
        <v>0</v>
      </c>
      <c r="CY274" s="56">
        <v>0</v>
      </c>
      <c r="CZ274" s="56">
        <v>0</v>
      </c>
      <c r="DA274" s="56">
        <v>0</v>
      </c>
      <c r="DB274" s="56">
        <v>0</v>
      </c>
      <c r="DC274" s="56">
        <v>0</v>
      </c>
      <c r="DD274" s="56">
        <v>0</v>
      </c>
      <c r="DE274" s="56">
        <v>0</v>
      </c>
      <c r="DF274" s="56">
        <v>0</v>
      </c>
      <c r="DG274" s="56">
        <v>0</v>
      </c>
      <c r="DH274" s="56">
        <v>0</v>
      </c>
      <c r="DI274" s="56">
        <v>0</v>
      </c>
      <c r="DJ274" s="56">
        <v>0</v>
      </c>
      <c r="DK274" s="56">
        <v>0</v>
      </c>
      <c r="DL274" s="56">
        <v>0</v>
      </c>
      <c r="DM274" s="56">
        <v>0</v>
      </c>
      <c r="DN274" s="56">
        <v>0</v>
      </c>
      <c r="DO274" s="56">
        <v>0</v>
      </c>
      <c r="DP274" s="56">
        <v>0</v>
      </c>
      <c r="DQ274" s="56">
        <v>0</v>
      </c>
      <c r="DR274" s="56">
        <v>0</v>
      </c>
      <c r="DS274" s="56">
        <v>0</v>
      </c>
      <c r="DT274" s="56">
        <v>0</v>
      </c>
      <c r="DU274" s="56">
        <v>0</v>
      </c>
      <c r="DV274" s="56">
        <v>0</v>
      </c>
      <c r="DW274" s="56">
        <v>0</v>
      </c>
      <c r="DX274" s="56">
        <v>0</v>
      </c>
      <c r="DY274" s="56">
        <v>0</v>
      </c>
      <c r="DZ274" s="56">
        <v>0</v>
      </c>
      <c r="EA274" s="56">
        <v>0</v>
      </c>
      <c r="EB274" s="56">
        <v>0</v>
      </c>
      <c r="EC274" s="56">
        <v>0</v>
      </c>
      <c r="ED274" s="56">
        <v>0</v>
      </c>
      <c r="EE274" s="56">
        <v>0</v>
      </c>
      <c r="EF274" s="56">
        <v>0</v>
      </c>
      <c r="EG274" s="56">
        <v>0</v>
      </c>
      <c r="EH274" s="56">
        <v>123.84</v>
      </c>
      <c r="EI274" s="56">
        <v>0</v>
      </c>
      <c r="EJ274" s="56">
        <v>0</v>
      </c>
      <c r="EK274" s="56">
        <v>0</v>
      </c>
      <c r="EL274" s="56">
        <v>0</v>
      </c>
      <c r="EM274" s="56">
        <v>0</v>
      </c>
      <c r="EN274" s="56">
        <v>0</v>
      </c>
      <c r="EO274" s="56">
        <v>0</v>
      </c>
      <c r="EP274" s="56">
        <v>0</v>
      </c>
      <c r="EQ274" s="56">
        <v>0</v>
      </c>
      <c r="ER274" s="56">
        <v>0</v>
      </c>
      <c r="ES274" s="56">
        <v>0</v>
      </c>
      <c r="ET274" s="56">
        <v>0</v>
      </c>
      <c r="EU274" s="56">
        <v>0</v>
      </c>
      <c r="EV274" s="56">
        <v>0</v>
      </c>
      <c r="EW274" s="56">
        <v>0</v>
      </c>
      <c r="EX274" s="56">
        <v>0</v>
      </c>
      <c r="EY274" s="56">
        <v>0</v>
      </c>
      <c r="EZ274" s="56">
        <v>0</v>
      </c>
      <c r="FA274" s="56">
        <v>0</v>
      </c>
      <c r="FB274" s="56">
        <v>0</v>
      </c>
      <c r="FC274" s="58">
        <v>0</v>
      </c>
      <c r="FD274" s="56">
        <v>0</v>
      </c>
      <c r="FE274" s="56">
        <v>0</v>
      </c>
      <c r="FF274" s="56">
        <v>0</v>
      </c>
      <c r="FG274" s="56">
        <v>0</v>
      </c>
      <c r="FH274" s="56">
        <v>0</v>
      </c>
      <c r="FI274" s="56">
        <v>0</v>
      </c>
      <c r="FJ274" s="56">
        <v>0</v>
      </c>
      <c r="FK274" s="56">
        <v>0</v>
      </c>
      <c r="FL274" s="56">
        <v>0</v>
      </c>
      <c r="FM274" s="56">
        <v>0</v>
      </c>
      <c r="FN274" s="56">
        <v>0</v>
      </c>
      <c r="FO274" s="56">
        <v>0</v>
      </c>
      <c r="FP274" s="56">
        <v>0</v>
      </c>
      <c r="FQ274" s="56">
        <v>0</v>
      </c>
      <c r="FR274" s="56">
        <v>0</v>
      </c>
      <c r="FS274" s="58">
        <v>0</v>
      </c>
      <c r="FT274" s="56">
        <v>0</v>
      </c>
      <c r="FU274" s="56">
        <v>0</v>
      </c>
      <c r="FV274" s="56">
        <v>0</v>
      </c>
      <c r="FW274" s="56">
        <v>0</v>
      </c>
      <c r="FX274" s="56">
        <v>0</v>
      </c>
      <c r="FY274" s="56">
        <v>0</v>
      </c>
      <c r="FZ274" s="54" t="s">
        <v>1070</v>
      </c>
      <c r="GA274" s="54" t="s">
        <v>1071</v>
      </c>
      <c r="GB274" s="54" t="s">
        <v>1072</v>
      </c>
      <c r="GC274" s="54" t="s">
        <v>1073</v>
      </c>
      <c r="GD274" s="54"/>
      <c r="GE274" s="54"/>
      <c r="GF274" s="54"/>
      <c r="GG274" s="55"/>
      <c r="GH274" s="54"/>
      <c r="GI274" s="54"/>
      <c r="GJ274" s="54" t="s">
        <v>1076</v>
      </c>
      <c r="GK274" s="54" t="s">
        <v>1077</v>
      </c>
      <c r="GL274" s="54"/>
      <c r="GM274" s="54"/>
      <c r="GN274" s="54" t="s">
        <v>1208</v>
      </c>
      <c r="GO274" s="54" t="s">
        <v>1209</v>
      </c>
      <c r="GP274" s="54"/>
      <c r="GQ274" s="56">
        <v>0</v>
      </c>
      <c r="GR274" s="54" t="s">
        <v>1079</v>
      </c>
      <c r="GS274" s="54"/>
    </row>
    <row r="275" spans="1:201" x14ac:dyDescent="0.25">
      <c r="A275" s="54" t="s">
        <v>1032</v>
      </c>
      <c r="B275" s="54" t="s">
        <v>1033</v>
      </c>
      <c r="C275" s="54" t="s">
        <v>1281</v>
      </c>
      <c r="D275" s="54" t="s">
        <v>1035</v>
      </c>
      <c r="E275" s="54" t="s">
        <v>1036</v>
      </c>
      <c r="F275" s="55">
        <v>46189</v>
      </c>
      <c r="G275" s="55">
        <v>46189</v>
      </c>
      <c r="H275" s="54" t="s">
        <v>1037</v>
      </c>
      <c r="I275" s="54" t="s">
        <v>1038</v>
      </c>
      <c r="J275" s="54" t="s">
        <v>1039</v>
      </c>
      <c r="K275" s="55"/>
      <c r="L275" s="54" t="s">
        <v>1040</v>
      </c>
      <c r="M275" s="54"/>
      <c r="N275" s="54" t="s">
        <v>1282</v>
      </c>
      <c r="O275" s="54" t="s">
        <v>1139</v>
      </c>
      <c r="P275" s="54" t="s">
        <v>324</v>
      </c>
      <c r="Q275" s="54" t="s">
        <v>141</v>
      </c>
      <c r="R275" s="54" t="s">
        <v>1043</v>
      </c>
      <c r="S275" s="56">
        <v>1704</v>
      </c>
      <c r="T275" s="56">
        <v>1704</v>
      </c>
      <c r="U275" s="56">
        <v>0</v>
      </c>
      <c r="V275" s="56">
        <v>0</v>
      </c>
      <c r="W275" s="56">
        <v>0</v>
      </c>
      <c r="X275" s="56">
        <v>0</v>
      </c>
      <c r="Y275" s="56">
        <v>0</v>
      </c>
      <c r="Z275" s="56">
        <v>480</v>
      </c>
      <c r="AA275" s="56">
        <v>480</v>
      </c>
      <c r="AB275" s="59">
        <v>0</v>
      </c>
      <c r="AC275" s="56">
        <v>0</v>
      </c>
      <c r="AD275" s="56">
        <v>0</v>
      </c>
      <c r="AE275" s="56">
        <v>0</v>
      </c>
      <c r="AF275" s="54" t="s">
        <v>1044</v>
      </c>
      <c r="AG275" s="57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 t="s">
        <v>1045</v>
      </c>
      <c r="AS275" s="54" t="s">
        <v>1046</v>
      </c>
      <c r="AT275" s="54" t="s">
        <v>1047</v>
      </c>
      <c r="AU275" s="54" t="s">
        <v>1048</v>
      </c>
      <c r="AV275" s="54"/>
      <c r="AW275" s="55">
        <v>46202</v>
      </c>
      <c r="AX275" s="55">
        <v>46189</v>
      </c>
      <c r="AY275" s="55">
        <v>46189</v>
      </c>
      <c r="AZ275" s="55">
        <v>46191</v>
      </c>
      <c r="BA275" s="55">
        <v>46202</v>
      </c>
      <c r="BB275" s="56">
        <v>0</v>
      </c>
      <c r="BC275" s="56">
        <v>0</v>
      </c>
      <c r="BD275" s="56">
        <v>0</v>
      </c>
      <c r="BE275" s="56">
        <v>0</v>
      </c>
      <c r="BF275" s="56">
        <v>0</v>
      </c>
      <c r="BG275" s="56">
        <v>0</v>
      </c>
      <c r="BH275" s="56">
        <v>0</v>
      </c>
      <c r="BI275" s="56">
        <v>0</v>
      </c>
      <c r="BJ275" s="56">
        <v>0</v>
      </c>
      <c r="BK275" s="56">
        <v>0</v>
      </c>
      <c r="BL275" s="56">
        <v>0</v>
      </c>
      <c r="BM275" s="56">
        <v>0</v>
      </c>
      <c r="BN275" s="56">
        <v>0</v>
      </c>
      <c r="BO275" s="56">
        <v>0</v>
      </c>
      <c r="BP275" s="54" t="s">
        <v>1049</v>
      </c>
      <c r="BQ275" s="54" t="s">
        <v>1050</v>
      </c>
      <c r="BR275" s="54" t="s">
        <v>1049</v>
      </c>
      <c r="BS275" s="54" t="s">
        <v>1050</v>
      </c>
      <c r="BT275" s="54" t="s">
        <v>1051</v>
      </c>
      <c r="BU275" s="54" t="s">
        <v>1043</v>
      </c>
      <c r="BV275" s="58">
        <v>480</v>
      </c>
      <c r="BW275" s="54" t="s">
        <v>1052</v>
      </c>
      <c r="BX275" s="54" t="s">
        <v>1053</v>
      </c>
      <c r="BY275" s="54" t="s">
        <v>1054</v>
      </c>
      <c r="BZ275" s="54" t="s">
        <v>1055</v>
      </c>
      <c r="CA275" s="55"/>
      <c r="CB275" s="54" t="s">
        <v>1056</v>
      </c>
      <c r="CC275" s="54" t="s">
        <v>1057</v>
      </c>
      <c r="CD275" s="54" t="s">
        <v>1200</v>
      </c>
      <c r="CE275" s="54" t="s">
        <v>1201</v>
      </c>
      <c r="CF275" s="54" t="s">
        <v>1202</v>
      </c>
      <c r="CG275" s="54" t="s">
        <v>1203</v>
      </c>
      <c r="CH275" s="54" t="s">
        <v>1204</v>
      </c>
      <c r="CI275" s="54" t="s">
        <v>1203</v>
      </c>
      <c r="CJ275" s="54" t="s">
        <v>1064</v>
      </c>
      <c r="CK275" s="54" t="s">
        <v>1065</v>
      </c>
      <c r="CL275" s="54" t="s">
        <v>1205</v>
      </c>
      <c r="CM275" s="54" t="s">
        <v>1206</v>
      </c>
      <c r="CN275" s="54" t="s">
        <v>1068</v>
      </c>
      <c r="CO275" s="54" t="s">
        <v>1069</v>
      </c>
      <c r="CP275" s="56">
        <v>0</v>
      </c>
      <c r="CQ275" s="56">
        <v>0</v>
      </c>
      <c r="CR275" s="56">
        <v>0</v>
      </c>
      <c r="CS275" s="56">
        <v>0</v>
      </c>
      <c r="CT275" s="56">
        <v>0</v>
      </c>
      <c r="CU275" s="56">
        <v>0</v>
      </c>
      <c r="CV275" s="56">
        <v>0</v>
      </c>
      <c r="CW275" s="56">
        <v>0</v>
      </c>
      <c r="CX275" s="56">
        <v>0</v>
      </c>
      <c r="CY275" s="56">
        <v>0</v>
      </c>
      <c r="CZ275" s="56">
        <v>0</v>
      </c>
      <c r="DA275" s="56">
        <v>0</v>
      </c>
      <c r="DB275" s="56">
        <v>0</v>
      </c>
      <c r="DC275" s="56">
        <v>0</v>
      </c>
      <c r="DD275" s="56">
        <v>0</v>
      </c>
      <c r="DE275" s="56">
        <v>0</v>
      </c>
      <c r="DF275" s="56">
        <v>0</v>
      </c>
      <c r="DG275" s="56">
        <v>0</v>
      </c>
      <c r="DH275" s="56">
        <v>0</v>
      </c>
      <c r="DI275" s="56">
        <v>0</v>
      </c>
      <c r="DJ275" s="56">
        <v>0</v>
      </c>
      <c r="DK275" s="56">
        <v>0</v>
      </c>
      <c r="DL275" s="56">
        <v>0</v>
      </c>
      <c r="DM275" s="56">
        <v>0</v>
      </c>
      <c r="DN275" s="56">
        <v>0</v>
      </c>
      <c r="DO275" s="56">
        <v>0</v>
      </c>
      <c r="DP275" s="56">
        <v>0</v>
      </c>
      <c r="DQ275" s="56">
        <v>0</v>
      </c>
      <c r="DR275" s="56">
        <v>0</v>
      </c>
      <c r="DS275" s="56">
        <v>0</v>
      </c>
      <c r="DT275" s="56">
        <v>0</v>
      </c>
      <c r="DU275" s="56">
        <v>0</v>
      </c>
      <c r="DV275" s="56">
        <v>0</v>
      </c>
      <c r="DW275" s="56">
        <v>0</v>
      </c>
      <c r="DX275" s="56">
        <v>0</v>
      </c>
      <c r="DY275" s="56">
        <v>0</v>
      </c>
      <c r="DZ275" s="56">
        <v>0</v>
      </c>
      <c r="EA275" s="56">
        <v>0</v>
      </c>
      <c r="EB275" s="56">
        <v>0</v>
      </c>
      <c r="EC275" s="56">
        <v>0</v>
      </c>
      <c r="ED275" s="56">
        <v>0</v>
      </c>
      <c r="EE275" s="56">
        <v>0</v>
      </c>
      <c r="EF275" s="56">
        <v>0</v>
      </c>
      <c r="EG275" s="56">
        <v>0</v>
      </c>
      <c r="EH275" s="56">
        <v>204.48</v>
      </c>
      <c r="EI275" s="56">
        <v>0</v>
      </c>
      <c r="EJ275" s="56">
        <v>0</v>
      </c>
      <c r="EK275" s="56">
        <v>0</v>
      </c>
      <c r="EL275" s="56">
        <v>0</v>
      </c>
      <c r="EM275" s="56">
        <v>0</v>
      </c>
      <c r="EN275" s="56">
        <v>0</v>
      </c>
      <c r="EO275" s="56">
        <v>0</v>
      </c>
      <c r="EP275" s="56">
        <v>0</v>
      </c>
      <c r="EQ275" s="56">
        <v>0</v>
      </c>
      <c r="ER275" s="56">
        <v>0</v>
      </c>
      <c r="ES275" s="56">
        <v>0</v>
      </c>
      <c r="ET275" s="56">
        <v>0</v>
      </c>
      <c r="EU275" s="56">
        <v>0</v>
      </c>
      <c r="EV275" s="56">
        <v>0</v>
      </c>
      <c r="EW275" s="56">
        <v>0</v>
      </c>
      <c r="EX275" s="56">
        <v>0</v>
      </c>
      <c r="EY275" s="56">
        <v>0</v>
      </c>
      <c r="EZ275" s="56">
        <v>0</v>
      </c>
      <c r="FA275" s="56">
        <v>0</v>
      </c>
      <c r="FB275" s="56">
        <v>0</v>
      </c>
      <c r="FC275" s="58">
        <v>0</v>
      </c>
      <c r="FD275" s="56">
        <v>0</v>
      </c>
      <c r="FE275" s="56">
        <v>0</v>
      </c>
      <c r="FF275" s="56">
        <v>0</v>
      </c>
      <c r="FG275" s="56">
        <v>0</v>
      </c>
      <c r="FH275" s="56">
        <v>0</v>
      </c>
      <c r="FI275" s="56">
        <v>0</v>
      </c>
      <c r="FJ275" s="56">
        <v>0</v>
      </c>
      <c r="FK275" s="56">
        <v>0</v>
      </c>
      <c r="FL275" s="56">
        <v>0</v>
      </c>
      <c r="FM275" s="56">
        <v>0</v>
      </c>
      <c r="FN275" s="56">
        <v>0</v>
      </c>
      <c r="FO275" s="56">
        <v>0</v>
      </c>
      <c r="FP275" s="56">
        <v>0</v>
      </c>
      <c r="FQ275" s="56">
        <v>0</v>
      </c>
      <c r="FR275" s="56">
        <v>0</v>
      </c>
      <c r="FS275" s="58">
        <v>0</v>
      </c>
      <c r="FT275" s="56">
        <v>0</v>
      </c>
      <c r="FU275" s="56">
        <v>0</v>
      </c>
      <c r="FV275" s="56">
        <v>0</v>
      </c>
      <c r="FW275" s="56">
        <v>0</v>
      </c>
      <c r="FX275" s="56">
        <v>0</v>
      </c>
      <c r="FY275" s="56">
        <v>0</v>
      </c>
      <c r="FZ275" s="54" t="s">
        <v>1070</v>
      </c>
      <c r="GA275" s="54" t="s">
        <v>1071</v>
      </c>
      <c r="GB275" s="54" t="s">
        <v>1072</v>
      </c>
      <c r="GC275" s="54" t="s">
        <v>1073</v>
      </c>
      <c r="GD275" s="54" t="s">
        <v>1236</v>
      </c>
      <c r="GE275" s="54" t="s">
        <v>1201</v>
      </c>
      <c r="GF275" s="54"/>
      <c r="GG275" s="55"/>
      <c r="GH275" s="54"/>
      <c r="GI275" s="54"/>
      <c r="GJ275" s="54" t="s">
        <v>1076</v>
      </c>
      <c r="GK275" s="54" t="s">
        <v>1077</v>
      </c>
      <c r="GL275" s="54"/>
      <c r="GM275" s="54"/>
      <c r="GN275" s="54" t="s">
        <v>1208</v>
      </c>
      <c r="GO275" s="54" t="s">
        <v>1209</v>
      </c>
      <c r="GP275" s="54"/>
      <c r="GQ275" s="56">
        <v>0</v>
      </c>
      <c r="GR275" s="54" t="s">
        <v>1079</v>
      </c>
      <c r="GS275" s="54"/>
    </row>
    <row r="276" spans="1:201" x14ac:dyDescent="0.25">
      <c r="A276" s="54" t="s">
        <v>1032</v>
      </c>
      <c r="B276" s="54" t="s">
        <v>1033</v>
      </c>
      <c r="C276" s="54" t="s">
        <v>1281</v>
      </c>
      <c r="D276" s="54" t="s">
        <v>1035</v>
      </c>
      <c r="E276" s="54" t="s">
        <v>1036</v>
      </c>
      <c r="F276" s="55">
        <v>46189</v>
      </c>
      <c r="G276" s="55">
        <v>46189</v>
      </c>
      <c r="H276" s="54" t="s">
        <v>1037</v>
      </c>
      <c r="I276" s="54" t="s">
        <v>1038</v>
      </c>
      <c r="J276" s="54" t="s">
        <v>1039</v>
      </c>
      <c r="K276" s="55"/>
      <c r="L276" s="54" t="s">
        <v>1040</v>
      </c>
      <c r="M276" s="54"/>
      <c r="N276" s="54" t="s">
        <v>1282</v>
      </c>
      <c r="O276" s="54" t="s">
        <v>1141</v>
      </c>
      <c r="P276" s="54" t="s">
        <v>645</v>
      </c>
      <c r="Q276" s="54" t="s">
        <v>149</v>
      </c>
      <c r="R276" s="54" t="s">
        <v>1043</v>
      </c>
      <c r="S276" s="56">
        <v>23691.200000000001</v>
      </c>
      <c r="T276" s="56">
        <v>23691.200000000001</v>
      </c>
      <c r="U276" s="56">
        <v>0</v>
      </c>
      <c r="V276" s="56">
        <v>0</v>
      </c>
      <c r="W276" s="56">
        <v>0</v>
      </c>
      <c r="X276" s="56">
        <v>0</v>
      </c>
      <c r="Y276" s="56">
        <v>0</v>
      </c>
      <c r="Z276" s="56">
        <v>2080</v>
      </c>
      <c r="AA276" s="56">
        <v>2080</v>
      </c>
      <c r="AB276" s="59">
        <v>0</v>
      </c>
      <c r="AC276" s="56">
        <v>0</v>
      </c>
      <c r="AD276" s="56">
        <v>0</v>
      </c>
      <c r="AE276" s="56">
        <v>0</v>
      </c>
      <c r="AF276" s="54" t="s">
        <v>1044</v>
      </c>
      <c r="AG276" s="57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 t="s">
        <v>1045</v>
      </c>
      <c r="AS276" s="54" t="s">
        <v>1046</v>
      </c>
      <c r="AT276" s="54" t="s">
        <v>1047</v>
      </c>
      <c r="AU276" s="54" t="s">
        <v>1048</v>
      </c>
      <c r="AV276" s="54"/>
      <c r="AW276" s="55">
        <v>46202</v>
      </c>
      <c r="AX276" s="55">
        <v>46189</v>
      </c>
      <c r="AY276" s="55">
        <v>46189</v>
      </c>
      <c r="AZ276" s="55"/>
      <c r="BA276" s="55">
        <v>46202</v>
      </c>
      <c r="BB276" s="56">
        <v>0</v>
      </c>
      <c r="BC276" s="56">
        <v>0</v>
      </c>
      <c r="BD276" s="56">
        <v>0</v>
      </c>
      <c r="BE276" s="56">
        <v>0</v>
      </c>
      <c r="BF276" s="56">
        <v>0</v>
      </c>
      <c r="BG276" s="56">
        <v>0</v>
      </c>
      <c r="BH276" s="56">
        <v>0</v>
      </c>
      <c r="BI276" s="56">
        <v>0</v>
      </c>
      <c r="BJ276" s="56">
        <v>0</v>
      </c>
      <c r="BK276" s="56">
        <v>0</v>
      </c>
      <c r="BL276" s="56">
        <v>0</v>
      </c>
      <c r="BM276" s="56">
        <v>0</v>
      </c>
      <c r="BN276" s="56">
        <v>0</v>
      </c>
      <c r="BO276" s="56">
        <v>0</v>
      </c>
      <c r="BP276" s="54" t="s">
        <v>1049</v>
      </c>
      <c r="BQ276" s="54" t="s">
        <v>1050</v>
      </c>
      <c r="BR276" s="54" t="s">
        <v>1049</v>
      </c>
      <c r="BS276" s="54" t="s">
        <v>1050</v>
      </c>
      <c r="BT276" s="54" t="s">
        <v>1051</v>
      </c>
      <c r="BU276" s="54" t="s">
        <v>1043</v>
      </c>
      <c r="BV276" s="58">
        <v>2080</v>
      </c>
      <c r="BW276" s="54" t="s">
        <v>1052</v>
      </c>
      <c r="BX276" s="54" t="s">
        <v>1053</v>
      </c>
      <c r="BY276" s="54" t="s">
        <v>1054</v>
      </c>
      <c r="BZ276" s="54" t="s">
        <v>1055</v>
      </c>
      <c r="CA276" s="55"/>
      <c r="CB276" s="54" t="s">
        <v>1056</v>
      </c>
      <c r="CC276" s="54" t="s">
        <v>1057</v>
      </c>
      <c r="CD276" s="54" t="s">
        <v>1200</v>
      </c>
      <c r="CE276" s="54" t="s">
        <v>1201</v>
      </c>
      <c r="CF276" s="54" t="s">
        <v>1202</v>
      </c>
      <c r="CG276" s="54" t="s">
        <v>1203</v>
      </c>
      <c r="CH276" s="54" t="s">
        <v>1204</v>
      </c>
      <c r="CI276" s="54" t="s">
        <v>1203</v>
      </c>
      <c r="CJ276" s="54" t="s">
        <v>1064</v>
      </c>
      <c r="CK276" s="54" t="s">
        <v>1065</v>
      </c>
      <c r="CL276" s="54" t="s">
        <v>1205</v>
      </c>
      <c r="CM276" s="54" t="s">
        <v>1206</v>
      </c>
      <c r="CN276" s="54" t="s">
        <v>1068</v>
      </c>
      <c r="CO276" s="54" t="s">
        <v>1069</v>
      </c>
      <c r="CP276" s="56">
        <v>0</v>
      </c>
      <c r="CQ276" s="56">
        <v>0</v>
      </c>
      <c r="CR276" s="56">
        <v>0</v>
      </c>
      <c r="CS276" s="56">
        <v>0</v>
      </c>
      <c r="CT276" s="56">
        <v>0</v>
      </c>
      <c r="CU276" s="56">
        <v>0</v>
      </c>
      <c r="CV276" s="56">
        <v>0</v>
      </c>
      <c r="CW276" s="56">
        <v>0</v>
      </c>
      <c r="CX276" s="56">
        <v>0</v>
      </c>
      <c r="CY276" s="56">
        <v>0</v>
      </c>
      <c r="CZ276" s="56">
        <v>0</v>
      </c>
      <c r="DA276" s="56">
        <v>0</v>
      </c>
      <c r="DB276" s="56">
        <v>0</v>
      </c>
      <c r="DC276" s="56">
        <v>0</v>
      </c>
      <c r="DD276" s="56">
        <v>0</v>
      </c>
      <c r="DE276" s="56">
        <v>0</v>
      </c>
      <c r="DF276" s="56">
        <v>0</v>
      </c>
      <c r="DG276" s="56">
        <v>0</v>
      </c>
      <c r="DH276" s="56">
        <v>0</v>
      </c>
      <c r="DI276" s="56">
        <v>0</v>
      </c>
      <c r="DJ276" s="56">
        <v>0</v>
      </c>
      <c r="DK276" s="56">
        <v>0</v>
      </c>
      <c r="DL276" s="56">
        <v>0</v>
      </c>
      <c r="DM276" s="56">
        <v>0</v>
      </c>
      <c r="DN276" s="56">
        <v>0</v>
      </c>
      <c r="DO276" s="56">
        <v>0</v>
      </c>
      <c r="DP276" s="56">
        <v>0</v>
      </c>
      <c r="DQ276" s="56">
        <v>0</v>
      </c>
      <c r="DR276" s="56">
        <v>0</v>
      </c>
      <c r="DS276" s="56">
        <v>0</v>
      </c>
      <c r="DT276" s="56">
        <v>0</v>
      </c>
      <c r="DU276" s="56">
        <v>0</v>
      </c>
      <c r="DV276" s="56">
        <v>0</v>
      </c>
      <c r="DW276" s="56">
        <v>0</v>
      </c>
      <c r="DX276" s="56">
        <v>0</v>
      </c>
      <c r="DY276" s="56">
        <v>0</v>
      </c>
      <c r="DZ276" s="56">
        <v>0</v>
      </c>
      <c r="EA276" s="56">
        <v>0</v>
      </c>
      <c r="EB276" s="56">
        <v>0</v>
      </c>
      <c r="EC276" s="56">
        <v>0</v>
      </c>
      <c r="ED276" s="56">
        <v>0</v>
      </c>
      <c r="EE276" s="56">
        <v>0</v>
      </c>
      <c r="EF276" s="56">
        <v>0</v>
      </c>
      <c r="EG276" s="56">
        <v>0</v>
      </c>
      <c r="EH276" s="56">
        <v>947.65</v>
      </c>
      <c r="EI276" s="56">
        <v>0</v>
      </c>
      <c r="EJ276" s="56">
        <v>0</v>
      </c>
      <c r="EK276" s="56">
        <v>0</v>
      </c>
      <c r="EL276" s="56">
        <v>0</v>
      </c>
      <c r="EM276" s="56">
        <v>0</v>
      </c>
      <c r="EN276" s="56">
        <v>0</v>
      </c>
      <c r="EO276" s="56">
        <v>0</v>
      </c>
      <c r="EP276" s="56">
        <v>0</v>
      </c>
      <c r="EQ276" s="56">
        <v>0</v>
      </c>
      <c r="ER276" s="56">
        <v>0</v>
      </c>
      <c r="ES276" s="56">
        <v>0</v>
      </c>
      <c r="ET276" s="56">
        <v>0</v>
      </c>
      <c r="EU276" s="56">
        <v>0</v>
      </c>
      <c r="EV276" s="56">
        <v>0</v>
      </c>
      <c r="EW276" s="56">
        <v>0</v>
      </c>
      <c r="EX276" s="56">
        <v>0</v>
      </c>
      <c r="EY276" s="56">
        <v>0</v>
      </c>
      <c r="EZ276" s="56">
        <v>0</v>
      </c>
      <c r="FA276" s="56">
        <v>0</v>
      </c>
      <c r="FB276" s="56">
        <v>0</v>
      </c>
      <c r="FC276" s="58">
        <v>0</v>
      </c>
      <c r="FD276" s="56">
        <v>0</v>
      </c>
      <c r="FE276" s="56">
        <v>0</v>
      </c>
      <c r="FF276" s="56">
        <v>0</v>
      </c>
      <c r="FG276" s="56">
        <v>0</v>
      </c>
      <c r="FH276" s="56">
        <v>0</v>
      </c>
      <c r="FI276" s="56">
        <v>0</v>
      </c>
      <c r="FJ276" s="56">
        <v>0</v>
      </c>
      <c r="FK276" s="56">
        <v>0</v>
      </c>
      <c r="FL276" s="56">
        <v>0</v>
      </c>
      <c r="FM276" s="56">
        <v>0</v>
      </c>
      <c r="FN276" s="56">
        <v>0</v>
      </c>
      <c r="FO276" s="56">
        <v>0</v>
      </c>
      <c r="FP276" s="56">
        <v>0</v>
      </c>
      <c r="FQ276" s="56">
        <v>0</v>
      </c>
      <c r="FR276" s="56">
        <v>0</v>
      </c>
      <c r="FS276" s="58">
        <v>0</v>
      </c>
      <c r="FT276" s="56">
        <v>0</v>
      </c>
      <c r="FU276" s="56">
        <v>0</v>
      </c>
      <c r="FV276" s="56">
        <v>0</v>
      </c>
      <c r="FW276" s="56">
        <v>0</v>
      </c>
      <c r="FX276" s="56">
        <v>0</v>
      </c>
      <c r="FY276" s="56">
        <v>0</v>
      </c>
      <c r="FZ276" s="54" t="s">
        <v>1070</v>
      </c>
      <c r="GA276" s="54" t="s">
        <v>1071</v>
      </c>
      <c r="GB276" s="54" t="s">
        <v>1072</v>
      </c>
      <c r="GC276" s="54" t="s">
        <v>1073</v>
      </c>
      <c r="GD276" s="54"/>
      <c r="GE276" s="54"/>
      <c r="GF276" s="54"/>
      <c r="GG276" s="55"/>
      <c r="GH276" s="54"/>
      <c r="GI276" s="54"/>
      <c r="GJ276" s="54" t="s">
        <v>1076</v>
      </c>
      <c r="GK276" s="54" t="s">
        <v>1077</v>
      </c>
      <c r="GL276" s="54"/>
      <c r="GM276" s="54"/>
      <c r="GN276" s="54" t="s">
        <v>1208</v>
      </c>
      <c r="GO276" s="54" t="s">
        <v>1209</v>
      </c>
      <c r="GP276" s="54"/>
      <c r="GQ276" s="56">
        <v>0</v>
      </c>
      <c r="GR276" s="54" t="s">
        <v>1079</v>
      </c>
      <c r="GS276" s="54"/>
    </row>
    <row r="277" spans="1:201" x14ac:dyDescent="0.25">
      <c r="A277" s="54" t="s">
        <v>1032</v>
      </c>
      <c r="B277" s="54" t="s">
        <v>1033</v>
      </c>
      <c r="C277" s="54" t="s">
        <v>1281</v>
      </c>
      <c r="D277" s="54" t="s">
        <v>1035</v>
      </c>
      <c r="E277" s="54" t="s">
        <v>1036</v>
      </c>
      <c r="F277" s="55">
        <v>46189</v>
      </c>
      <c r="G277" s="55">
        <v>46189</v>
      </c>
      <c r="H277" s="54" t="s">
        <v>1037</v>
      </c>
      <c r="I277" s="54" t="s">
        <v>1038</v>
      </c>
      <c r="J277" s="54" t="s">
        <v>1039</v>
      </c>
      <c r="K277" s="55"/>
      <c r="L277" s="54" t="s">
        <v>1040</v>
      </c>
      <c r="M277" s="54"/>
      <c r="N277" s="54" t="s">
        <v>1282</v>
      </c>
      <c r="O277" s="54" t="s">
        <v>1142</v>
      </c>
      <c r="P277" s="54" t="s">
        <v>644</v>
      </c>
      <c r="Q277" s="54" t="s">
        <v>150</v>
      </c>
      <c r="R277" s="54" t="s">
        <v>1043</v>
      </c>
      <c r="S277" s="56">
        <v>20976</v>
      </c>
      <c r="T277" s="56">
        <v>20976</v>
      </c>
      <c r="U277" s="56">
        <v>0</v>
      </c>
      <c r="V277" s="56">
        <v>0</v>
      </c>
      <c r="W277" s="56">
        <v>0</v>
      </c>
      <c r="X277" s="56">
        <v>0</v>
      </c>
      <c r="Y277" s="56">
        <v>0</v>
      </c>
      <c r="Z277" s="56">
        <v>1200</v>
      </c>
      <c r="AA277" s="56">
        <v>1200</v>
      </c>
      <c r="AB277" s="59">
        <v>0</v>
      </c>
      <c r="AC277" s="56">
        <v>0</v>
      </c>
      <c r="AD277" s="56">
        <v>0</v>
      </c>
      <c r="AE277" s="56">
        <v>0</v>
      </c>
      <c r="AF277" s="54" t="s">
        <v>1044</v>
      </c>
      <c r="AG277" s="57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 t="s">
        <v>1045</v>
      </c>
      <c r="AS277" s="54" t="s">
        <v>1046</v>
      </c>
      <c r="AT277" s="54" t="s">
        <v>1047</v>
      </c>
      <c r="AU277" s="54" t="s">
        <v>1048</v>
      </c>
      <c r="AV277" s="54"/>
      <c r="AW277" s="55">
        <v>46202</v>
      </c>
      <c r="AX277" s="55">
        <v>46189</v>
      </c>
      <c r="AY277" s="55">
        <v>46189</v>
      </c>
      <c r="AZ277" s="55">
        <v>46191</v>
      </c>
      <c r="BA277" s="55">
        <v>46202</v>
      </c>
      <c r="BB277" s="56">
        <v>0</v>
      </c>
      <c r="BC277" s="56">
        <v>0</v>
      </c>
      <c r="BD277" s="56">
        <v>0</v>
      </c>
      <c r="BE277" s="56">
        <v>0</v>
      </c>
      <c r="BF277" s="56">
        <v>0</v>
      </c>
      <c r="BG277" s="56">
        <v>0</v>
      </c>
      <c r="BH277" s="56">
        <v>0</v>
      </c>
      <c r="BI277" s="56">
        <v>0</v>
      </c>
      <c r="BJ277" s="56">
        <v>0</v>
      </c>
      <c r="BK277" s="56">
        <v>0</v>
      </c>
      <c r="BL277" s="56">
        <v>0</v>
      </c>
      <c r="BM277" s="56">
        <v>0</v>
      </c>
      <c r="BN277" s="56">
        <v>0</v>
      </c>
      <c r="BO277" s="56">
        <v>0</v>
      </c>
      <c r="BP277" s="54" t="s">
        <v>1049</v>
      </c>
      <c r="BQ277" s="54" t="s">
        <v>1050</v>
      </c>
      <c r="BR277" s="54" t="s">
        <v>1049</v>
      </c>
      <c r="BS277" s="54" t="s">
        <v>1050</v>
      </c>
      <c r="BT277" s="54" t="s">
        <v>1051</v>
      </c>
      <c r="BU277" s="54" t="s">
        <v>1043</v>
      </c>
      <c r="BV277" s="58">
        <v>1200</v>
      </c>
      <c r="BW277" s="54" t="s">
        <v>1052</v>
      </c>
      <c r="BX277" s="54" t="s">
        <v>1053</v>
      </c>
      <c r="BY277" s="54" t="s">
        <v>1054</v>
      </c>
      <c r="BZ277" s="54" t="s">
        <v>1055</v>
      </c>
      <c r="CA277" s="55"/>
      <c r="CB277" s="54" t="s">
        <v>1056</v>
      </c>
      <c r="CC277" s="54" t="s">
        <v>1057</v>
      </c>
      <c r="CD277" s="54" t="s">
        <v>1200</v>
      </c>
      <c r="CE277" s="54" t="s">
        <v>1201</v>
      </c>
      <c r="CF277" s="54" t="s">
        <v>1202</v>
      </c>
      <c r="CG277" s="54" t="s">
        <v>1203</v>
      </c>
      <c r="CH277" s="54" t="s">
        <v>1204</v>
      </c>
      <c r="CI277" s="54" t="s">
        <v>1203</v>
      </c>
      <c r="CJ277" s="54" t="s">
        <v>1064</v>
      </c>
      <c r="CK277" s="54" t="s">
        <v>1065</v>
      </c>
      <c r="CL277" s="54" t="s">
        <v>1205</v>
      </c>
      <c r="CM277" s="54" t="s">
        <v>1206</v>
      </c>
      <c r="CN277" s="54" t="s">
        <v>1068</v>
      </c>
      <c r="CO277" s="54" t="s">
        <v>1069</v>
      </c>
      <c r="CP277" s="56">
        <v>0</v>
      </c>
      <c r="CQ277" s="56">
        <v>0</v>
      </c>
      <c r="CR277" s="56">
        <v>0</v>
      </c>
      <c r="CS277" s="56">
        <v>0</v>
      </c>
      <c r="CT277" s="56">
        <v>0</v>
      </c>
      <c r="CU277" s="56">
        <v>0</v>
      </c>
      <c r="CV277" s="56">
        <v>0</v>
      </c>
      <c r="CW277" s="56">
        <v>0</v>
      </c>
      <c r="CX277" s="56">
        <v>0</v>
      </c>
      <c r="CY277" s="56">
        <v>0</v>
      </c>
      <c r="CZ277" s="56">
        <v>0</v>
      </c>
      <c r="DA277" s="56">
        <v>0</v>
      </c>
      <c r="DB277" s="56">
        <v>0</v>
      </c>
      <c r="DC277" s="56">
        <v>0</v>
      </c>
      <c r="DD277" s="56">
        <v>0</v>
      </c>
      <c r="DE277" s="56">
        <v>0</v>
      </c>
      <c r="DF277" s="56">
        <v>0</v>
      </c>
      <c r="DG277" s="56">
        <v>0</v>
      </c>
      <c r="DH277" s="56">
        <v>0</v>
      </c>
      <c r="DI277" s="56">
        <v>0</v>
      </c>
      <c r="DJ277" s="56">
        <v>0</v>
      </c>
      <c r="DK277" s="56">
        <v>0</v>
      </c>
      <c r="DL277" s="56">
        <v>0</v>
      </c>
      <c r="DM277" s="56">
        <v>0</v>
      </c>
      <c r="DN277" s="56">
        <v>0</v>
      </c>
      <c r="DO277" s="56">
        <v>0</v>
      </c>
      <c r="DP277" s="56">
        <v>0</v>
      </c>
      <c r="DQ277" s="56">
        <v>0</v>
      </c>
      <c r="DR277" s="56">
        <v>0</v>
      </c>
      <c r="DS277" s="56">
        <v>0</v>
      </c>
      <c r="DT277" s="56">
        <v>0</v>
      </c>
      <c r="DU277" s="56">
        <v>0</v>
      </c>
      <c r="DV277" s="56">
        <v>0</v>
      </c>
      <c r="DW277" s="56">
        <v>0</v>
      </c>
      <c r="DX277" s="56">
        <v>0</v>
      </c>
      <c r="DY277" s="56">
        <v>0</v>
      </c>
      <c r="DZ277" s="56">
        <v>0</v>
      </c>
      <c r="EA277" s="56">
        <v>0</v>
      </c>
      <c r="EB277" s="56">
        <v>0</v>
      </c>
      <c r="EC277" s="56">
        <v>0</v>
      </c>
      <c r="ED277" s="56">
        <v>0</v>
      </c>
      <c r="EE277" s="56">
        <v>0</v>
      </c>
      <c r="EF277" s="56">
        <v>0</v>
      </c>
      <c r="EG277" s="56">
        <v>0</v>
      </c>
      <c r="EH277" s="56">
        <v>839.04</v>
      </c>
      <c r="EI277" s="56">
        <v>0</v>
      </c>
      <c r="EJ277" s="56">
        <v>0</v>
      </c>
      <c r="EK277" s="56">
        <v>0</v>
      </c>
      <c r="EL277" s="56">
        <v>0</v>
      </c>
      <c r="EM277" s="56">
        <v>0</v>
      </c>
      <c r="EN277" s="56">
        <v>0</v>
      </c>
      <c r="EO277" s="56">
        <v>0</v>
      </c>
      <c r="EP277" s="56">
        <v>0</v>
      </c>
      <c r="EQ277" s="56">
        <v>0</v>
      </c>
      <c r="ER277" s="56">
        <v>0</v>
      </c>
      <c r="ES277" s="56">
        <v>0</v>
      </c>
      <c r="ET277" s="56">
        <v>0</v>
      </c>
      <c r="EU277" s="56">
        <v>0</v>
      </c>
      <c r="EV277" s="56">
        <v>0</v>
      </c>
      <c r="EW277" s="56">
        <v>0</v>
      </c>
      <c r="EX277" s="56">
        <v>0</v>
      </c>
      <c r="EY277" s="56">
        <v>0</v>
      </c>
      <c r="EZ277" s="56">
        <v>0</v>
      </c>
      <c r="FA277" s="56">
        <v>0</v>
      </c>
      <c r="FB277" s="56">
        <v>0</v>
      </c>
      <c r="FC277" s="58">
        <v>0</v>
      </c>
      <c r="FD277" s="56">
        <v>0</v>
      </c>
      <c r="FE277" s="56">
        <v>0</v>
      </c>
      <c r="FF277" s="56">
        <v>0</v>
      </c>
      <c r="FG277" s="56">
        <v>0</v>
      </c>
      <c r="FH277" s="56">
        <v>0</v>
      </c>
      <c r="FI277" s="56">
        <v>0</v>
      </c>
      <c r="FJ277" s="56">
        <v>0</v>
      </c>
      <c r="FK277" s="56">
        <v>0</v>
      </c>
      <c r="FL277" s="56">
        <v>0</v>
      </c>
      <c r="FM277" s="56">
        <v>0</v>
      </c>
      <c r="FN277" s="56">
        <v>0</v>
      </c>
      <c r="FO277" s="56">
        <v>0</v>
      </c>
      <c r="FP277" s="56">
        <v>0</v>
      </c>
      <c r="FQ277" s="56">
        <v>0</v>
      </c>
      <c r="FR277" s="56">
        <v>0</v>
      </c>
      <c r="FS277" s="58">
        <v>0</v>
      </c>
      <c r="FT277" s="56">
        <v>0</v>
      </c>
      <c r="FU277" s="56">
        <v>0</v>
      </c>
      <c r="FV277" s="56">
        <v>0</v>
      </c>
      <c r="FW277" s="56">
        <v>0</v>
      </c>
      <c r="FX277" s="56">
        <v>0</v>
      </c>
      <c r="FY277" s="56">
        <v>0</v>
      </c>
      <c r="FZ277" s="54" t="s">
        <v>1070</v>
      </c>
      <c r="GA277" s="54" t="s">
        <v>1071</v>
      </c>
      <c r="GB277" s="54" t="s">
        <v>1072</v>
      </c>
      <c r="GC277" s="54" t="s">
        <v>1073</v>
      </c>
      <c r="GD277" s="54"/>
      <c r="GE277" s="54"/>
      <c r="GF277" s="54"/>
      <c r="GG277" s="55"/>
      <c r="GH277" s="54"/>
      <c r="GI277" s="54"/>
      <c r="GJ277" s="54" t="s">
        <v>1076</v>
      </c>
      <c r="GK277" s="54" t="s">
        <v>1077</v>
      </c>
      <c r="GL277" s="54"/>
      <c r="GM277" s="54"/>
      <c r="GN277" s="54" t="s">
        <v>1208</v>
      </c>
      <c r="GO277" s="54" t="s">
        <v>1209</v>
      </c>
      <c r="GP277" s="54"/>
      <c r="GQ277" s="56">
        <v>0</v>
      </c>
      <c r="GR277" s="54" t="s">
        <v>1079</v>
      </c>
      <c r="GS277" s="54"/>
    </row>
    <row r="278" spans="1:201" x14ac:dyDescent="0.25">
      <c r="A278" s="54" t="s">
        <v>1032</v>
      </c>
      <c r="B278" s="54" t="s">
        <v>1033</v>
      </c>
      <c r="C278" s="54" t="s">
        <v>1281</v>
      </c>
      <c r="D278" s="54" t="s">
        <v>1035</v>
      </c>
      <c r="E278" s="54" t="s">
        <v>1036</v>
      </c>
      <c r="F278" s="55">
        <v>46189</v>
      </c>
      <c r="G278" s="55">
        <v>46189</v>
      </c>
      <c r="H278" s="54" t="s">
        <v>1037</v>
      </c>
      <c r="I278" s="54" t="s">
        <v>1038</v>
      </c>
      <c r="J278" s="54" t="s">
        <v>1039</v>
      </c>
      <c r="K278" s="55"/>
      <c r="L278" s="54" t="s">
        <v>1040</v>
      </c>
      <c r="M278" s="54"/>
      <c r="N278" s="54" t="s">
        <v>1282</v>
      </c>
      <c r="O278" s="54" t="s">
        <v>1144</v>
      </c>
      <c r="P278" s="54" t="s">
        <v>301</v>
      </c>
      <c r="Q278" s="54" t="s">
        <v>151</v>
      </c>
      <c r="R278" s="54" t="s">
        <v>1043</v>
      </c>
      <c r="S278" s="56">
        <v>1533</v>
      </c>
      <c r="T278" s="56">
        <v>1533</v>
      </c>
      <c r="U278" s="56">
        <v>0</v>
      </c>
      <c r="V278" s="56">
        <v>0</v>
      </c>
      <c r="W278" s="56">
        <v>0</v>
      </c>
      <c r="X278" s="56">
        <v>0</v>
      </c>
      <c r="Y278" s="56">
        <v>0</v>
      </c>
      <c r="Z278" s="56">
        <v>300</v>
      </c>
      <c r="AA278" s="56">
        <v>300</v>
      </c>
      <c r="AB278" s="59">
        <v>0</v>
      </c>
      <c r="AC278" s="56">
        <v>0</v>
      </c>
      <c r="AD278" s="56">
        <v>0</v>
      </c>
      <c r="AE278" s="56">
        <v>0</v>
      </c>
      <c r="AF278" s="54" t="s">
        <v>1044</v>
      </c>
      <c r="AG278" s="57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 t="s">
        <v>1045</v>
      </c>
      <c r="AS278" s="54" t="s">
        <v>1081</v>
      </c>
      <c r="AT278" s="54" t="s">
        <v>1082</v>
      </c>
      <c r="AU278" s="54" t="s">
        <v>1048</v>
      </c>
      <c r="AV278" s="54"/>
      <c r="AW278" s="55">
        <v>46202</v>
      </c>
      <c r="AX278" s="55">
        <v>46189</v>
      </c>
      <c r="AY278" s="55">
        <v>46189</v>
      </c>
      <c r="AZ278" s="55">
        <v>46191</v>
      </c>
      <c r="BA278" s="55">
        <v>46202</v>
      </c>
      <c r="BB278" s="56">
        <v>0</v>
      </c>
      <c r="BC278" s="56">
        <v>0</v>
      </c>
      <c r="BD278" s="56">
        <v>0</v>
      </c>
      <c r="BE278" s="56">
        <v>0</v>
      </c>
      <c r="BF278" s="56">
        <v>0</v>
      </c>
      <c r="BG278" s="56">
        <v>0</v>
      </c>
      <c r="BH278" s="56">
        <v>0</v>
      </c>
      <c r="BI278" s="56">
        <v>0</v>
      </c>
      <c r="BJ278" s="56">
        <v>0</v>
      </c>
      <c r="BK278" s="56">
        <v>0</v>
      </c>
      <c r="BL278" s="56">
        <v>0</v>
      </c>
      <c r="BM278" s="56">
        <v>0</v>
      </c>
      <c r="BN278" s="56">
        <v>0</v>
      </c>
      <c r="BO278" s="56">
        <v>0</v>
      </c>
      <c r="BP278" s="54" t="s">
        <v>1049</v>
      </c>
      <c r="BQ278" s="54" t="s">
        <v>1050</v>
      </c>
      <c r="BR278" s="54" t="s">
        <v>1049</v>
      </c>
      <c r="BS278" s="54" t="s">
        <v>1050</v>
      </c>
      <c r="BT278" s="54" t="s">
        <v>1051</v>
      </c>
      <c r="BU278" s="54" t="s">
        <v>1043</v>
      </c>
      <c r="BV278" s="58">
        <v>300</v>
      </c>
      <c r="BW278" s="54" t="s">
        <v>1052</v>
      </c>
      <c r="BX278" s="54" t="s">
        <v>1053</v>
      </c>
      <c r="BY278" s="54" t="s">
        <v>1054</v>
      </c>
      <c r="BZ278" s="54" t="s">
        <v>1055</v>
      </c>
      <c r="CA278" s="55"/>
      <c r="CB278" s="54" t="s">
        <v>1056</v>
      </c>
      <c r="CC278" s="54" t="s">
        <v>1057</v>
      </c>
      <c r="CD278" s="54" t="s">
        <v>1200</v>
      </c>
      <c r="CE278" s="54" t="s">
        <v>1201</v>
      </c>
      <c r="CF278" s="54" t="s">
        <v>1202</v>
      </c>
      <c r="CG278" s="54" t="s">
        <v>1203</v>
      </c>
      <c r="CH278" s="54" t="s">
        <v>1204</v>
      </c>
      <c r="CI278" s="54" t="s">
        <v>1203</v>
      </c>
      <c r="CJ278" s="54" t="s">
        <v>1064</v>
      </c>
      <c r="CK278" s="54" t="s">
        <v>1065</v>
      </c>
      <c r="CL278" s="54" t="s">
        <v>1205</v>
      </c>
      <c r="CM278" s="54" t="s">
        <v>1206</v>
      </c>
      <c r="CN278" s="54" t="s">
        <v>1068</v>
      </c>
      <c r="CO278" s="54" t="s">
        <v>1069</v>
      </c>
      <c r="CP278" s="56">
        <v>0</v>
      </c>
      <c r="CQ278" s="56">
        <v>0</v>
      </c>
      <c r="CR278" s="56">
        <v>0</v>
      </c>
      <c r="CS278" s="56">
        <v>0</v>
      </c>
      <c r="CT278" s="56">
        <v>0</v>
      </c>
      <c r="CU278" s="56">
        <v>0</v>
      </c>
      <c r="CV278" s="56">
        <v>0</v>
      </c>
      <c r="CW278" s="56">
        <v>0</v>
      </c>
      <c r="CX278" s="56">
        <v>0</v>
      </c>
      <c r="CY278" s="56">
        <v>0</v>
      </c>
      <c r="CZ278" s="56">
        <v>0</v>
      </c>
      <c r="DA278" s="56">
        <v>0</v>
      </c>
      <c r="DB278" s="56">
        <v>0</v>
      </c>
      <c r="DC278" s="56">
        <v>0</v>
      </c>
      <c r="DD278" s="56">
        <v>0</v>
      </c>
      <c r="DE278" s="56">
        <v>0</v>
      </c>
      <c r="DF278" s="56">
        <v>0</v>
      </c>
      <c r="DG278" s="56">
        <v>0</v>
      </c>
      <c r="DH278" s="56">
        <v>0</v>
      </c>
      <c r="DI278" s="56">
        <v>0</v>
      </c>
      <c r="DJ278" s="56">
        <v>0</v>
      </c>
      <c r="DK278" s="56">
        <v>0</v>
      </c>
      <c r="DL278" s="56">
        <v>0</v>
      </c>
      <c r="DM278" s="56">
        <v>0</v>
      </c>
      <c r="DN278" s="56">
        <v>0</v>
      </c>
      <c r="DO278" s="56">
        <v>0</v>
      </c>
      <c r="DP278" s="56">
        <v>0</v>
      </c>
      <c r="DQ278" s="56">
        <v>0</v>
      </c>
      <c r="DR278" s="56">
        <v>0</v>
      </c>
      <c r="DS278" s="56">
        <v>0</v>
      </c>
      <c r="DT278" s="56">
        <v>0</v>
      </c>
      <c r="DU278" s="56">
        <v>0</v>
      </c>
      <c r="DV278" s="56">
        <v>0</v>
      </c>
      <c r="DW278" s="56">
        <v>0</v>
      </c>
      <c r="DX278" s="56">
        <v>0</v>
      </c>
      <c r="DY278" s="56">
        <v>0</v>
      </c>
      <c r="DZ278" s="56">
        <v>0</v>
      </c>
      <c r="EA278" s="56">
        <v>0</v>
      </c>
      <c r="EB278" s="56">
        <v>0</v>
      </c>
      <c r="EC278" s="56">
        <v>0</v>
      </c>
      <c r="ED278" s="56">
        <v>0</v>
      </c>
      <c r="EE278" s="56">
        <v>0</v>
      </c>
      <c r="EF278" s="56">
        <v>0</v>
      </c>
      <c r="EG278" s="56">
        <v>0</v>
      </c>
      <c r="EH278" s="56">
        <v>183.96</v>
      </c>
      <c r="EI278" s="56">
        <v>0</v>
      </c>
      <c r="EJ278" s="56">
        <v>0</v>
      </c>
      <c r="EK278" s="56">
        <v>0</v>
      </c>
      <c r="EL278" s="56">
        <v>0</v>
      </c>
      <c r="EM278" s="56">
        <v>0</v>
      </c>
      <c r="EN278" s="56">
        <v>0</v>
      </c>
      <c r="EO278" s="56">
        <v>0</v>
      </c>
      <c r="EP278" s="56">
        <v>0</v>
      </c>
      <c r="EQ278" s="56">
        <v>0</v>
      </c>
      <c r="ER278" s="56">
        <v>0</v>
      </c>
      <c r="ES278" s="56">
        <v>0</v>
      </c>
      <c r="ET278" s="56">
        <v>0</v>
      </c>
      <c r="EU278" s="56">
        <v>0</v>
      </c>
      <c r="EV278" s="56">
        <v>0</v>
      </c>
      <c r="EW278" s="56">
        <v>0</v>
      </c>
      <c r="EX278" s="56">
        <v>0</v>
      </c>
      <c r="EY278" s="56">
        <v>0</v>
      </c>
      <c r="EZ278" s="56">
        <v>0</v>
      </c>
      <c r="FA278" s="56">
        <v>0</v>
      </c>
      <c r="FB278" s="56">
        <v>0</v>
      </c>
      <c r="FC278" s="58">
        <v>0</v>
      </c>
      <c r="FD278" s="56">
        <v>0</v>
      </c>
      <c r="FE278" s="56">
        <v>0</v>
      </c>
      <c r="FF278" s="56">
        <v>0</v>
      </c>
      <c r="FG278" s="56">
        <v>0</v>
      </c>
      <c r="FH278" s="56">
        <v>0</v>
      </c>
      <c r="FI278" s="56">
        <v>0</v>
      </c>
      <c r="FJ278" s="56">
        <v>0</v>
      </c>
      <c r="FK278" s="56">
        <v>0</v>
      </c>
      <c r="FL278" s="56">
        <v>0</v>
      </c>
      <c r="FM278" s="56">
        <v>0</v>
      </c>
      <c r="FN278" s="56">
        <v>0</v>
      </c>
      <c r="FO278" s="56">
        <v>0</v>
      </c>
      <c r="FP278" s="56">
        <v>0</v>
      </c>
      <c r="FQ278" s="56">
        <v>0</v>
      </c>
      <c r="FR278" s="56">
        <v>0</v>
      </c>
      <c r="FS278" s="58">
        <v>0</v>
      </c>
      <c r="FT278" s="56">
        <v>0</v>
      </c>
      <c r="FU278" s="56">
        <v>0</v>
      </c>
      <c r="FV278" s="56">
        <v>0</v>
      </c>
      <c r="FW278" s="56">
        <v>0</v>
      </c>
      <c r="FX278" s="56">
        <v>0</v>
      </c>
      <c r="FY278" s="56">
        <v>0</v>
      </c>
      <c r="FZ278" s="54" t="s">
        <v>1083</v>
      </c>
      <c r="GA278" s="54" t="s">
        <v>1084</v>
      </c>
      <c r="GB278" s="54" t="s">
        <v>1072</v>
      </c>
      <c r="GC278" s="54" t="s">
        <v>1073</v>
      </c>
      <c r="GD278" s="54" t="s">
        <v>1291</v>
      </c>
      <c r="GE278" s="54" t="s">
        <v>1201</v>
      </c>
      <c r="GF278" s="54"/>
      <c r="GG278" s="55"/>
      <c r="GH278" s="54"/>
      <c r="GI278" s="54"/>
      <c r="GJ278" s="54" t="s">
        <v>1076</v>
      </c>
      <c r="GK278" s="54" t="s">
        <v>1077</v>
      </c>
      <c r="GL278" s="54"/>
      <c r="GM278" s="54"/>
      <c r="GN278" s="54" t="s">
        <v>1208</v>
      </c>
      <c r="GO278" s="54" t="s">
        <v>1209</v>
      </c>
      <c r="GP278" s="54"/>
      <c r="GQ278" s="56">
        <v>0</v>
      </c>
      <c r="GR278" s="54" t="s">
        <v>1079</v>
      </c>
      <c r="GS278" s="54"/>
    </row>
    <row r="279" spans="1:201" x14ac:dyDescent="0.25">
      <c r="A279" s="54" t="s">
        <v>1032</v>
      </c>
      <c r="B279" s="54" t="s">
        <v>1033</v>
      </c>
      <c r="C279" s="54" t="s">
        <v>1281</v>
      </c>
      <c r="D279" s="54" t="s">
        <v>1035</v>
      </c>
      <c r="E279" s="54" t="s">
        <v>1036</v>
      </c>
      <c r="F279" s="55">
        <v>46189</v>
      </c>
      <c r="G279" s="55">
        <v>46189</v>
      </c>
      <c r="H279" s="54" t="s">
        <v>1037</v>
      </c>
      <c r="I279" s="54" t="s">
        <v>1038</v>
      </c>
      <c r="J279" s="54" t="s">
        <v>1039</v>
      </c>
      <c r="K279" s="55"/>
      <c r="L279" s="54" t="s">
        <v>1040</v>
      </c>
      <c r="M279" s="54"/>
      <c r="N279" s="54" t="s">
        <v>1282</v>
      </c>
      <c r="O279" s="54" t="s">
        <v>1146</v>
      </c>
      <c r="P279" s="54" t="s">
        <v>327</v>
      </c>
      <c r="Q279" s="54" t="s">
        <v>389</v>
      </c>
      <c r="R279" s="54" t="s">
        <v>1043</v>
      </c>
      <c r="S279" s="56">
        <v>1711.5</v>
      </c>
      <c r="T279" s="56">
        <v>1711.5</v>
      </c>
      <c r="U279" s="56">
        <v>0</v>
      </c>
      <c r="V279" s="56">
        <v>0</v>
      </c>
      <c r="W279" s="56">
        <v>0</v>
      </c>
      <c r="X279" s="56">
        <v>0</v>
      </c>
      <c r="Y279" s="56">
        <v>0</v>
      </c>
      <c r="Z279" s="56">
        <v>150</v>
      </c>
      <c r="AA279" s="56">
        <v>150</v>
      </c>
      <c r="AB279" s="59">
        <v>0</v>
      </c>
      <c r="AC279" s="56">
        <v>0</v>
      </c>
      <c r="AD279" s="56">
        <v>0</v>
      </c>
      <c r="AE279" s="56">
        <v>0</v>
      </c>
      <c r="AF279" s="54" t="s">
        <v>1044</v>
      </c>
      <c r="AG279" s="57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 t="s">
        <v>1045</v>
      </c>
      <c r="AS279" s="54" t="s">
        <v>1046</v>
      </c>
      <c r="AT279" s="54" t="s">
        <v>1047</v>
      </c>
      <c r="AU279" s="54" t="s">
        <v>1048</v>
      </c>
      <c r="AV279" s="54"/>
      <c r="AW279" s="55">
        <v>46202</v>
      </c>
      <c r="AX279" s="55">
        <v>46189</v>
      </c>
      <c r="AY279" s="55">
        <v>46189</v>
      </c>
      <c r="AZ279" s="55">
        <v>46191</v>
      </c>
      <c r="BA279" s="55">
        <v>46202</v>
      </c>
      <c r="BB279" s="56">
        <v>0</v>
      </c>
      <c r="BC279" s="56">
        <v>0</v>
      </c>
      <c r="BD279" s="56">
        <v>0</v>
      </c>
      <c r="BE279" s="56">
        <v>0</v>
      </c>
      <c r="BF279" s="56">
        <v>0</v>
      </c>
      <c r="BG279" s="56">
        <v>0</v>
      </c>
      <c r="BH279" s="56">
        <v>0</v>
      </c>
      <c r="BI279" s="56">
        <v>0</v>
      </c>
      <c r="BJ279" s="56">
        <v>0</v>
      </c>
      <c r="BK279" s="56">
        <v>0</v>
      </c>
      <c r="BL279" s="56">
        <v>0</v>
      </c>
      <c r="BM279" s="56">
        <v>0</v>
      </c>
      <c r="BN279" s="56">
        <v>0</v>
      </c>
      <c r="BO279" s="56">
        <v>0</v>
      </c>
      <c r="BP279" s="54" t="s">
        <v>1049</v>
      </c>
      <c r="BQ279" s="54" t="s">
        <v>1050</v>
      </c>
      <c r="BR279" s="54" t="s">
        <v>1049</v>
      </c>
      <c r="BS279" s="54" t="s">
        <v>1050</v>
      </c>
      <c r="BT279" s="54" t="s">
        <v>1051</v>
      </c>
      <c r="BU279" s="54" t="s">
        <v>1043</v>
      </c>
      <c r="BV279" s="58">
        <v>150</v>
      </c>
      <c r="BW279" s="54" t="s">
        <v>1052</v>
      </c>
      <c r="BX279" s="54" t="s">
        <v>1053</v>
      </c>
      <c r="BY279" s="54" t="s">
        <v>1054</v>
      </c>
      <c r="BZ279" s="54" t="s">
        <v>1055</v>
      </c>
      <c r="CA279" s="55"/>
      <c r="CB279" s="54" t="s">
        <v>1056</v>
      </c>
      <c r="CC279" s="54" t="s">
        <v>1057</v>
      </c>
      <c r="CD279" s="54" t="s">
        <v>1200</v>
      </c>
      <c r="CE279" s="54" t="s">
        <v>1201</v>
      </c>
      <c r="CF279" s="54" t="s">
        <v>1202</v>
      </c>
      <c r="CG279" s="54" t="s">
        <v>1203</v>
      </c>
      <c r="CH279" s="54" t="s">
        <v>1204</v>
      </c>
      <c r="CI279" s="54" t="s">
        <v>1203</v>
      </c>
      <c r="CJ279" s="54" t="s">
        <v>1064</v>
      </c>
      <c r="CK279" s="54" t="s">
        <v>1065</v>
      </c>
      <c r="CL279" s="54" t="s">
        <v>1205</v>
      </c>
      <c r="CM279" s="54" t="s">
        <v>1206</v>
      </c>
      <c r="CN279" s="54" t="s">
        <v>1068</v>
      </c>
      <c r="CO279" s="54" t="s">
        <v>1069</v>
      </c>
      <c r="CP279" s="56">
        <v>0</v>
      </c>
      <c r="CQ279" s="56">
        <v>0</v>
      </c>
      <c r="CR279" s="56">
        <v>0</v>
      </c>
      <c r="CS279" s="56">
        <v>0</v>
      </c>
      <c r="CT279" s="56">
        <v>0</v>
      </c>
      <c r="CU279" s="56">
        <v>0</v>
      </c>
      <c r="CV279" s="56">
        <v>0</v>
      </c>
      <c r="CW279" s="56">
        <v>0</v>
      </c>
      <c r="CX279" s="56">
        <v>0</v>
      </c>
      <c r="CY279" s="56">
        <v>0</v>
      </c>
      <c r="CZ279" s="56">
        <v>0</v>
      </c>
      <c r="DA279" s="56">
        <v>0</v>
      </c>
      <c r="DB279" s="56">
        <v>0</v>
      </c>
      <c r="DC279" s="56">
        <v>0</v>
      </c>
      <c r="DD279" s="56">
        <v>0</v>
      </c>
      <c r="DE279" s="56">
        <v>0</v>
      </c>
      <c r="DF279" s="56">
        <v>0</v>
      </c>
      <c r="DG279" s="56">
        <v>0</v>
      </c>
      <c r="DH279" s="56">
        <v>0</v>
      </c>
      <c r="DI279" s="56">
        <v>0</v>
      </c>
      <c r="DJ279" s="56">
        <v>0</v>
      </c>
      <c r="DK279" s="56">
        <v>0</v>
      </c>
      <c r="DL279" s="56">
        <v>0</v>
      </c>
      <c r="DM279" s="56">
        <v>0</v>
      </c>
      <c r="DN279" s="56">
        <v>0</v>
      </c>
      <c r="DO279" s="56">
        <v>0</v>
      </c>
      <c r="DP279" s="56">
        <v>0</v>
      </c>
      <c r="DQ279" s="56">
        <v>0</v>
      </c>
      <c r="DR279" s="56">
        <v>0</v>
      </c>
      <c r="DS279" s="56">
        <v>0</v>
      </c>
      <c r="DT279" s="56">
        <v>0</v>
      </c>
      <c r="DU279" s="56">
        <v>0</v>
      </c>
      <c r="DV279" s="56">
        <v>0</v>
      </c>
      <c r="DW279" s="56">
        <v>0</v>
      </c>
      <c r="DX279" s="56">
        <v>0</v>
      </c>
      <c r="DY279" s="56">
        <v>0</v>
      </c>
      <c r="DZ279" s="56">
        <v>0</v>
      </c>
      <c r="EA279" s="56">
        <v>0</v>
      </c>
      <c r="EB279" s="56">
        <v>0</v>
      </c>
      <c r="EC279" s="56">
        <v>0</v>
      </c>
      <c r="ED279" s="56">
        <v>0</v>
      </c>
      <c r="EE279" s="56">
        <v>0</v>
      </c>
      <c r="EF279" s="56">
        <v>0</v>
      </c>
      <c r="EG279" s="56">
        <v>0</v>
      </c>
      <c r="EH279" s="56">
        <v>205.38</v>
      </c>
      <c r="EI279" s="56">
        <v>0</v>
      </c>
      <c r="EJ279" s="56">
        <v>0</v>
      </c>
      <c r="EK279" s="56">
        <v>0</v>
      </c>
      <c r="EL279" s="56">
        <v>0</v>
      </c>
      <c r="EM279" s="56">
        <v>0</v>
      </c>
      <c r="EN279" s="56">
        <v>0</v>
      </c>
      <c r="EO279" s="56">
        <v>0</v>
      </c>
      <c r="EP279" s="56">
        <v>0</v>
      </c>
      <c r="EQ279" s="56">
        <v>0</v>
      </c>
      <c r="ER279" s="56">
        <v>0</v>
      </c>
      <c r="ES279" s="56">
        <v>0</v>
      </c>
      <c r="ET279" s="56">
        <v>0</v>
      </c>
      <c r="EU279" s="56">
        <v>0</v>
      </c>
      <c r="EV279" s="56">
        <v>0</v>
      </c>
      <c r="EW279" s="56">
        <v>0</v>
      </c>
      <c r="EX279" s="56">
        <v>0</v>
      </c>
      <c r="EY279" s="56">
        <v>0</v>
      </c>
      <c r="EZ279" s="56">
        <v>0</v>
      </c>
      <c r="FA279" s="56">
        <v>0</v>
      </c>
      <c r="FB279" s="56">
        <v>0</v>
      </c>
      <c r="FC279" s="58">
        <v>0</v>
      </c>
      <c r="FD279" s="56">
        <v>0</v>
      </c>
      <c r="FE279" s="56">
        <v>0</v>
      </c>
      <c r="FF279" s="56">
        <v>0</v>
      </c>
      <c r="FG279" s="56">
        <v>0</v>
      </c>
      <c r="FH279" s="56">
        <v>0</v>
      </c>
      <c r="FI279" s="56">
        <v>0</v>
      </c>
      <c r="FJ279" s="56">
        <v>0</v>
      </c>
      <c r="FK279" s="56">
        <v>0</v>
      </c>
      <c r="FL279" s="56">
        <v>0</v>
      </c>
      <c r="FM279" s="56">
        <v>0</v>
      </c>
      <c r="FN279" s="56">
        <v>0</v>
      </c>
      <c r="FO279" s="56">
        <v>0</v>
      </c>
      <c r="FP279" s="56">
        <v>0</v>
      </c>
      <c r="FQ279" s="56">
        <v>0</v>
      </c>
      <c r="FR279" s="56">
        <v>0</v>
      </c>
      <c r="FS279" s="58">
        <v>0</v>
      </c>
      <c r="FT279" s="56">
        <v>0</v>
      </c>
      <c r="FU279" s="56">
        <v>0</v>
      </c>
      <c r="FV279" s="56">
        <v>0</v>
      </c>
      <c r="FW279" s="56">
        <v>0</v>
      </c>
      <c r="FX279" s="56">
        <v>0</v>
      </c>
      <c r="FY279" s="56">
        <v>0</v>
      </c>
      <c r="FZ279" s="54" t="s">
        <v>1070</v>
      </c>
      <c r="GA279" s="54" t="s">
        <v>1071</v>
      </c>
      <c r="GB279" s="54" t="s">
        <v>1072</v>
      </c>
      <c r="GC279" s="54" t="s">
        <v>1073</v>
      </c>
      <c r="GD279" s="54" t="s">
        <v>1292</v>
      </c>
      <c r="GE279" s="54" t="s">
        <v>1201</v>
      </c>
      <c r="GF279" s="54"/>
      <c r="GG279" s="55"/>
      <c r="GH279" s="54"/>
      <c r="GI279" s="54"/>
      <c r="GJ279" s="54" t="s">
        <v>1076</v>
      </c>
      <c r="GK279" s="54" t="s">
        <v>1077</v>
      </c>
      <c r="GL279" s="54"/>
      <c r="GM279" s="54"/>
      <c r="GN279" s="54" t="s">
        <v>1208</v>
      </c>
      <c r="GO279" s="54" t="s">
        <v>1209</v>
      </c>
      <c r="GP279" s="54"/>
      <c r="GQ279" s="56">
        <v>0</v>
      </c>
      <c r="GR279" s="54" t="s">
        <v>1079</v>
      </c>
      <c r="GS279" s="54"/>
    </row>
    <row r="280" spans="1:201" x14ac:dyDescent="0.25">
      <c r="A280" s="54" t="s">
        <v>1032</v>
      </c>
      <c r="B280" s="54" t="s">
        <v>1033</v>
      </c>
      <c r="C280" s="54" t="s">
        <v>1281</v>
      </c>
      <c r="D280" s="54" t="s">
        <v>1035</v>
      </c>
      <c r="E280" s="54" t="s">
        <v>1036</v>
      </c>
      <c r="F280" s="55">
        <v>46189</v>
      </c>
      <c r="G280" s="55">
        <v>46189</v>
      </c>
      <c r="H280" s="54" t="s">
        <v>1037</v>
      </c>
      <c r="I280" s="54" t="s">
        <v>1038</v>
      </c>
      <c r="J280" s="54" t="s">
        <v>1039</v>
      </c>
      <c r="K280" s="55"/>
      <c r="L280" s="54" t="s">
        <v>1040</v>
      </c>
      <c r="M280" s="54"/>
      <c r="N280" s="54" t="s">
        <v>1282</v>
      </c>
      <c r="O280" s="54" t="s">
        <v>1148</v>
      </c>
      <c r="P280" s="54" t="s">
        <v>717</v>
      </c>
      <c r="Q280" s="54" t="s">
        <v>723</v>
      </c>
      <c r="R280" s="54" t="s">
        <v>1043</v>
      </c>
      <c r="S280" s="56">
        <v>3124.08</v>
      </c>
      <c r="T280" s="56">
        <v>3124.08</v>
      </c>
      <c r="U280" s="56">
        <v>0</v>
      </c>
      <c r="V280" s="56">
        <v>0</v>
      </c>
      <c r="W280" s="56">
        <v>0</v>
      </c>
      <c r="X280" s="56">
        <v>0</v>
      </c>
      <c r="Y280" s="56">
        <v>0</v>
      </c>
      <c r="Z280" s="56">
        <v>72</v>
      </c>
      <c r="AA280" s="56">
        <v>72</v>
      </c>
      <c r="AB280" s="59">
        <v>0</v>
      </c>
      <c r="AC280" s="56">
        <v>0</v>
      </c>
      <c r="AD280" s="56">
        <v>0</v>
      </c>
      <c r="AE280" s="56">
        <v>0</v>
      </c>
      <c r="AF280" s="54" t="s">
        <v>1044</v>
      </c>
      <c r="AG280" s="57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 t="s">
        <v>1045</v>
      </c>
      <c r="AS280" s="54" t="s">
        <v>1046</v>
      </c>
      <c r="AT280" s="54" t="s">
        <v>1047</v>
      </c>
      <c r="AU280" s="54" t="s">
        <v>1048</v>
      </c>
      <c r="AV280" s="54"/>
      <c r="AW280" s="55">
        <v>46202</v>
      </c>
      <c r="AX280" s="55">
        <v>46189</v>
      </c>
      <c r="AY280" s="55">
        <v>46189</v>
      </c>
      <c r="AZ280" s="55">
        <v>46191</v>
      </c>
      <c r="BA280" s="55">
        <v>46202</v>
      </c>
      <c r="BB280" s="56">
        <v>0</v>
      </c>
      <c r="BC280" s="56">
        <v>0</v>
      </c>
      <c r="BD280" s="56">
        <v>0</v>
      </c>
      <c r="BE280" s="56">
        <v>0</v>
      </c>
      <c r="BF280" s="56">
        <v>0</v>
      </c>
      <c r="BG280" s="56">
        <v>0</v>
      </c>
      <c r="BH280" s="56">
        <v>0</v>
      </c>
      <c r="BI280" s="56">
        <v>0</v>
      </c>
      <c r="BJ280" s="56">
        <v>0</v>
      </c>
      <c r="BK280" s="56">
        <v>0</v>
      </c>
      <c r="BL280" s="56">
        <v>0</v>
      </c>
      <c r="BM280" s="56">
        <v>0</v>
      </c>
      <c r="BN280" s="56">
        <v>0</v>
      </c>
      <c r="BO280" s="56">
        <v>0</v>
      </c>
      <c r="BP280" s="54" t="s">
        <v>1049</v>
      </c>
      <c r="BQ280" s="54" t="s">
        <v>1050</v>
      </c>
      <c r="BR280" s="54" t="s">
        <v>1049</v>
      </c>
      <c r="BS280" s="54" t="s">
        <v>1050</v>
      </c>
      <c r="BT280" s="54" t="s">
        <v>1051</v>
      </c>
      <c r="BU280" s="54" t="s">
        <v>1043</v>
      </c>
      <c r="BV280" s="58">
        <v>72</v>
      </c>
      <c r="BW280" s="54" t="s">
        <v>1052</v>
      </c>
      <c r="BX280" s="54" t="s">
        <v>1053</v>
      </c>
      <c r="BY280" s="54" t="s">
        <v>1054</v>
      </c>
      <c r="BZ280" s="54" t="s">
        <v>1055</v>
      </c>
      <c r="CA280" s="55"/>
      <c r="CB280" s="54" t="s">
        <v>1056</v>
      </c>
      <c r="CC280" s="54" t="s">
        <v>1057</v>
      </c>
      <c r="CD280" s="54" t="s">
        <v>1200</v>
      </c>
      <c r="CE280" s="54" t="s">
        <v>1201</v>
      </c>
      <c r="CF280" s="54" t="s">
        <v>1202</v>
      </c>
      <c r="CG280" s="54" t="s">
        <v>1203</v>
      </c>
      <c r="CH280" s="54" t="s">
        <v>1204</v>
      </c>
      <c r="CI280" s="54" t="s">
        <v>1203</v>
      </c>
      <c r="CJ280" s="54" t="s">
        <v>1064</v>
      </c>
      <c r="CK280" s="54" t="s">
        <v>1065</v>
      </c>
      <c r="CL280" s="54" t="s">
        <v>1205</v>
      </c>
      <c r="CM280" s="54" t="s">
        <v>1206</v>
      </c>
      <c r="CN280" s="54" t="s">
        <v>1068</v>
      </c>
      <c r="CO280" s="54" t="s">
        <v>1069</v>
      </c>
      <c r="CP280" s="56">
        <v>0</v>
      </c>
      <c r="CQ280" s="56">
        <v>0</v>
      </c>
      <c r="CR280" s="56">
        <v>0</v>
      </c>
      <c r="CS280" s="56">
        <v>0</v>
      </c>
      <c r="CT280" s="56">
        <v>0</v>
      </c>
      <c r="CU280" s="56">
        <v>0</v>
      </c>
      <c r="CV280" s="56">
        <v>0</v>
      </c>
      <c r="CW280" s="56">
        <v>0</v>
      </c>
      <c r="CX280" s="56">
        <v>0</v>
      </c>
      <c r="CY280" s="56">
        <v>0</v>
      </c>
      <c r="CZ280" s="56">
        <v>0</v>
      </c>
      <c r="DA280" s="56">
        <v>0</v>
      </c>
      <c r="DB280" s="56">
        <v>0</v>
      </c>
      <c r="DC280" s="56">
        <v>0</v>
      </c>
      <c r="DD280" s="56">
        <v>0</v>
      </c>
      <c r="DE280" s="56">
        <v>0</v>
      </c>
      <c r="DF280" s="56">
        <v>0</v>
      </c>
      <c r="DG280" s="56">
        <v>0</v>
      </c>
      <c r="DH280" s="56">
        <v>0</v>
      </c>
      <c r="DI280" s="56">
        <v>0</v>
      </c>
      <c r="DJ280" s="56">
        <v>0</v>
      </c>
      <c r="DK280" s="56">
        <v>0</v>
      </c>
      <c r="DL280" s="56">
        <v>0</v>
      </c>
      <c r="DM280" s="56">
        <v>0</v>
      </c>
      <c r="DN280" s="56">
        <v>0</v>
      </c>
      <c r="DO280" s="56">
        <v>0</v>
      </c>
      <c r="DP280" s="56">
        <v>0</v>
      </c>
      <c r="DQ280" s="56">
        <v>0</v>
      </c>
      <c r="DR280" s="56">
        <v>0</v>
      </c>
      <c r="DS280" s="56">
        <v>0</v>
      </c>
      <c r="DT280" s="56">
        <v>0</v>
      </c>
      <c r="DU280" s="56">
        <v>0</v>
      </c>
      <c r="DV280" s="56">
        <v>0</v>
      </c>
      <c r="DW280" s="56">
        <v>0</v>
      </c>
      <c r="DX280" s="56">
        <v>0</v>
      </c>
      <c r="DY280" s="56">
        <v>0</v>
      </c>
      <c r="DZ280" s="56">
        <v>0</v>
      </c>
      <c r="EA280" s="56">
        <v>0</v>
      </c>
      <c r="EB280" s="56">
        <v>0</v>
      </c>
      <c r="EC280" s="56">
        <v>0</v>
      </c>
      <c r="ED280" s="56">
        <v>0</v>
      </c>
      <c r="EE280" s="56">
        <v>0</v>
      </c>
      <c r="EF280" s="56">
        <v>0</v>
      </c>
      <c r="EG280" s="56">
        <v>0</v>
      </c>
      <c r="EH280" s="56">
        <v>124.96</v>
      </c>
      <c r="EI280" s="56">
        <v>0</v>
      </c>
      <c r="EJ280" s="56">
        <v>0</v>
      </c>
      <c r="EK280" s="56">
        <v>0</v>
      </c>
      <c r="EL280" s="56">
        <v>0</v>
      </c>
      <c r="EM280" s="56">
        <v>0</v>
      </c>
      <c r="EN280" s="56">
        <v>0</v>
      </c>
      <c r="EO280" s="56">
        <v>0</v>
      </c>
      <c r="EP280" s="56">
        <v>0</v>
      </c>
      <c r="EQ280" s="56">
        <v>0</v>
      </c>
      <c r="ER280" s="56">
        <v>0</v>
      </c>
      <c r="ES280" s="56">
        <v>0</v>
      </c>
      <c r="ET280" s="56">
        <v>0</v>
      </c>
      <c r="EU280" s="56">
        <v>0</v>
      </c>
      <c r="EV280" s="56">
        <v>0</v>
      </c>
      <c r="EW280" s="56">
        <v>0</v>
      </c>
      <c r="EX280" s="56">
        <v>0</v>
      </c>
      <c r="EY280" s="56">
        <v>0</v>
      </c>
      <c r="EZ280" s="56">
        <v>0</v>
      </c>
      <c r="FA280" s="56">
        <v>0</v>
      </c>
      <c r="FB280" s="56">
        <v>0</v>
      </c>
      <c r="FC280" s="58">
        <v>0</v>
      </c>
      <c r="FD280" s="56">
        <v>0</v>
      </c>
      <c r="FE280" s="56">
        <v>0</v>
      </c>
      <c r="FF280" s="56">
        <v>0</v>
      </c>
      <c r="FG280" s="56">
        <v>0</v>
      </c>
      <c r="FH280" s="56">
        <v>0</v>
      </c>
      <c r="FI280" s="56">
        <v>0</v>
      </c>
      <c r="FJ280" s="56">
        <v>0</v>
      </c>
      <c r="FK280" s="56">
        <v>0</v>
      </c>
      <c r="FL280" s="56">
        <v>0</v>
      </c>
      <c r="FM280" s="56">
        <v>0</v>
      </c>
      <c r="FN280" s="56">
        <v>0</v>
      </c>
      <c r="FO280" s="56">
        <v>0</v>
      </c>
      <c r="FP280" s="56">
        <v>0</v>
      </c>
      <c r="FQ280" s="56">
        <v>0</v>
      </c>
      <c r="FR280" s="56">
        <v>0</v>
      </c>
      <c r="FS280" s="58">
        <v>0</v>
      </c>
      <c r="FT280" s="56">
        <v>0</v>
      </c>
      <c r="FU280" s="56">
        <v>0</v>
      </c>
      <c r="FV280" s="56">
        <v>0</v>
      </c>
      <c r="FW280" s="56">
        <v>0</v>
      </c>
      <c r="FX280" s="56">
        <v>0</v>
      </c>
      <c r="FY280" s="56">
        <v>0</v>
      </c>
      <c r="FZ280" s="54" t="s">
        <v>1070</v>
      </c>
      <c r="GA280" s="54" t="s">
        <v>1071</v>
      </c>
      <c r="GB280" s="54" t="s">
        <v>1072</v>
      </c>
      <c r="GC280" s="54" t="s">
        <v>1073</v>
      </c>
      <c r="GD280" s="54"/>
      <c r="GE280" s="54"/>
      <c r="GF280" s="54"/>
      <c r="GG280" s="55"/>
      <c r="GH280" s="54"/>
      <c r="GI280" s="54"/>
      <c r="GJ280" s="54" t="s">
        <v>1076</v>
      </c>
      <c r="GK280" s="54" t="s">
        <v>1077</v>
      </c>
      <c r="GL280" s="54"/>
      <c r="GM280" s="54"/>
      <c r="GN280" s="54" t="s">
        <v>1208</v>
      </c>
      <c r="GO280" s="54" t="s">
        <v>1209</v>
      </c>
      <c r="GP280" s="54"/>
      <c r="GQ280" s="56">
        <v>0</v>
      </c>
      <c r="GR280" s="54" t="s">
        <v>1079</v>
      </c>
      <c r="GS280" s="54"/>
    </row>
    <row r="281" spans="1:201" x14ac:dyDescent="0.25">
      <c r="A281" s="54" t="s">
        <v>1032</v>
      </c>
      <c r="B281" s="54" t="s">
        <v>1033</v>
      </c>
      <c r="C281" s="54" t="s">
        <v>1281</v>
      </c>
      <c r="D281" s="54" t="s">
        <v>1035</v>
      </c>
      <c r="E281" s="54" t="s">
        <v>1036</v>
      </c>
      <c r="F281" s="55">
        <v>46189</v>
      </c>
      <c r="G281" s="55">
        <v>46189</v>
      </c>
      <c r="H281" s="54" t="s">
        <v>1037</v>
      </c>
      <c r="I281" s="54" t="s">
        <v>1038</v>
      </c>
      <c r="J281" s="54" t="s">
        <v>1039</v>
      </c>
      <c r="K281" s="55"/>
      <c r="L281" s="54" t="s">
        <v>1040</v>
      </c>
      <c r="M281" s="54"/>
      <c r="N281" s="54" t="s">
        <v>1282</v>
      </c>
      <c r="O281" s="54" t="s">
        <v>1149</v>
      </c>
      <c r="P281" s="54" t="s">
        <v>328</v>
      </c>
      <c r="Q281" s="54" t="s">
        <v>158</v>
      </c>
      <c r="R281" s="54" t="s">
        <v>1043</v>
      </c>
      <c r="S281" s="56">
        <v>627.6</v>
      </c>
      <c r="T281" s="56">
        <v>627.6</v>
      </c>
      <c r="U281" s="56">
        <v>0</v>
      </c>
      <c r="V281" s="56">
        <v>0</v>
      </c>
      <c r="W281" s="56">
        <v>0</v>
      </c>
      <c r="X281" s="56">
        <v>0</v>
      </c>
      <c r="Y281" s="56">
        <v>0</v>
      </c>
      <c r="Z281" s="56">
        <v>60</v>
      </c>
      <c r="AA281" s="56">
        <v>60</v>
      </c>
      <c r="AB281" s="59">
        <v>0</v>
      </c>
      <c r="AC281" s="56">
        <v>0</v>
      </c>
      <c r="AD281" s="56">
        <v>0</v>
      </c>
      <c r="AE281" s="56">
        <v>0</v>
      </c>
      <c r="AF281" s="54" t="s">
        <v>1044</v>
      </c>
      <c r="AG281" s="57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 t="s">
        <v>1045</v>
      </c>
      <c r="AS281" s="54" t="s">
        <v>1046</v>
      </c>
      <c r="AT281" s="54" t="s">
        <v>1047</v>
      </c>
      <c r="AU281" s="54" t="s">
        <v>1048</v>
      </c>
      <c r="AV281" s="54"/>
      <c r="AW281" s="55">
        <v>46202</v>
      </c>
      <c r="AX281" s="55">
        <v>46189</v>
      </c>
      <c r="AY281" s="55">
        <v>46189</v>
      </c>
      <c r="AZ281" s="55">
        <v>46191</v>
      </c>
      <c r="BA281" s="55">
        <v>46202</v>
      </c>
      <c r="BB281" s="56">
        <v>0</v>
      </c>
      <c r="BC281" s="56">
        <v>0</v>
      </c>
      <c r="BD281" s="56">
        <v>0</v>
      </c>
      <c r="BE281" s="56">
        <v>0</v>
      </c>
      <c r="BF281" s="56">
        <v>0</v>
      </c>
      <c r="BG281" s="56">
        <v>0</v>
      </c>
      <c r="BH281" s="56">
        <v>0</v>
      </c>
      <c r="BI281" s="56">
        <v>0</v>
      </c>
      <c r="BJ281" s="56">
        <v>0</v>
      </c>
      <c r="BK281" s="56">
        <v>0</v>
      </c>
      <c r="BL281" s="56">
        <v>0</v>
      </c>
      <c r="BM281" s="56">
        <v>0</v>
      </c>
      <c r="BN281" s="56">
        <v>0</v>
      </c>
      <c r="BO281" s="56">
        <v>0</v>
      </c>
      <c r="BP281" s="54" t="s">
        <v>1049</v>
      </c>
      <c r="BQ281" s="54" t="s">
        <v>1050</v>
      </c>
      <c r="BR281" s="54" t="s">
        <v>1049</v>
      </c>
      <c r="BS281" s="54" t="s">
        <v>1050</v>
      </c>
      <c r="BT281" s="54" t="s">
        <v>1051</v>
      </c>
      <c r="BU281" s="54" t="s">
        <v>1043</v>
      </c>
      <c r="BV281" s="58">
        <v>60</v>
      </c>
      <c r="BW281" s="54" t="s">
        <v>1052</v>
      </c>
      <c r="BX281" s="54" t="s">
        <v>1053</v>
      </c>
      <c r="BY281" s="54" t="s">
        <v>1054</v>
      </c>
      <c r="BZ281" s="54" t="s">
        <v>1055</v>
      </c>
      <c r="CA281" s="55"/>
      <c r="CB281" s="54" t="s">
        <v>1056</v>
      </c>
      <c r="CC281" s="54" t="s">
        <v>1057</v>
      </c>
      <c r="CD281" s="54" t="s">
        <v>1200</v>
      </c>
      <c r="CE281" s="54" t="s">
        <v>1201</v>
      </c>
      <c r="CF281" s="54" t="s">
        <v>1202</v>
      </c>
      <c r="CG281" s="54" t="s">
        <v>1203</v>
      </c>
      <c r="CH281" s="54" t="s">
        <v>1204</v>
      </c>
      <c r="CI281" s="54" t="s">
        <v>1203</v>
      </c>
      <c r="CJ281" s="54" t="s">
        <v>1064</v>
      </c>
      <c r="CK281" s="54" t="s">
        <v>1065</v>
      </c>
      <c r="CL281" s="54" t="s">
        <v>1205</v>
      </c>
      <c r="CM281" s="54" t="s">
        <v>1206</v>
      </c>
      <c r="CN281" s="54" t="s">
        <v>1068</v>
      </c>
      <c r="CO281" s="54" t="s">
        <v>1069</v>
      </c>
      <c r="CP281" s="56">
        <v>0</v>
      </c>
      <c r="CQ281" s="56">
        <v>0</v>
      </c>
      <c r="CR281" s="56">
        <v>0</v>
      </c>
      <c r="CS281" s="56">
        <v>0</v>
      </c>
      <c r="CT281" s="56">
        <v>0</v>
      </c>
      <c r="CU281" s="56">
        <v>0</v>
      </c>
      <c r="CV281" s="56">
        <v>0</v>
      </c>
      <c r="CW281" s="56">
        <v>0</v>
      </c>
      <c r="CX281" s="56">
        <v>0</v>
      </c>
      <c r="CY281" s="56">
        <v>0</v>
      </c>
      <c r="CZ281" s="56">
        <v>0</v>
      </c>
      <c r="DA281" s="56">
        <v>0</v>
      </c>
      <c r="DB281" s="56">
        <v>0</v>
      </c>
      <c r="DC281" s="56">
        <v>0</v>
      </c>
      <c r="DD281" s="56">
        <v>0</v>
      </c>
      <c r="DE281" s="56">
        <v>0</v>
      </c>
      <c r="DF281" s="56">
        <v>0</v>
      </c>
      <c r="DG281" s="56">
        <v>0</v>
      </c>
      <c r="DH281" s="56">
        <v>0</v>
      </c>
      <c r="DI281" s="56">
        <v>0</v>
      </c>
      <c r="DJ281" s="56">
        <v>0</v>
      </c>
      <c r="DK281" s="56">
        <v>0</v>
      </c>
      <c r="DL281" s="56">
        <v>0</v>
      </c>
      <c r="DM281" s="56">
        <v>0</v>
      </c>
      <c r="DN281" s="56">
        <v>0</v>
      </c>
      <c r="DO281" s="56">
        <v>0</v>
      </c>
      <c r="DP281" s="56">
        <v>0</v>
      </c>
      <c r="DQ281" s="56">
        <v>0</v>
      </c>
      <c r="DR281" s="56">
        <v>0</v>
      </c>
      <c r="DS281" s="56">
        <v>0</v>
      </c>
      <c r="DT281" s="56">
        <v>0</v>
      </c>
      <c r="DU281" s="56">
        <v>0</v>
      </c>
      <c r="DV281" s="56">
        <v>0</v>
      </c>
      <c r="DW281" s="56">
        <v>0</v>
      </c>
      <c r="DX281" s="56">
        <v>0</v>
      </c>
      <c r="DY281" s="56">
        <v>0</v>
      </c>
      <c r="DZ281" s="56">
        <v>0</v>
      </c>
      <c r="EA281" s="56">
        <v>0</v>
      </c>
      <c r="EB281" s="56">
        <v>0</v>
      </c>
      <c r="EC281" s="56">
        <v>0</v>
      </c>
      <c r="ED281" s="56">
        <v>0</v>
      </c>
      <c r="EE281" s="56">
        <v>0</v>
      </c>
      <c r="EF281" s="56">
        <v>0</v>
      </c>
      <c r="EG281" s="56">
        <v>0</v>
      </c>
      <c r="EH281" s="56">
        <v>75.31</v>
      </c>
      <c r="EI281" s="56">
        <v>0</v>
      </c>
      <c r="EJ281" s="56">
        <v>0</v>
      </c>
      <c r="EK281" s="56">
        <v>0</v>
      </c>
      <c r="EL281" s="56">
        <v>0</v>
      </c>
      <c r="EM281" s="56">
        <v>0</v>
      </c>
      <c r="EN281" s="56">
        <v>0</v>
      </c>
      <c r="EO281" s="56">
        <v>0</v>
      </c>
      <c r="EP281" s="56">
        <v>0</v>
      </c>
      <c r="EQ281" s="56">
        <v>0</v>
      </c>
      <c r="ER281" s="56">
        <v>0</v>
      </c>
      <c r="ES281" s="56">
        <v>0</v>
      </c>
      <c r="ET281" s="56">
        <v>0</v>
      </c>
      <c r="EU281" s="56">
        <v>0</v>
      </c>
      <c r="EV281" s="56">
        <v>0</v>
      </c>
      <c r="EW281" s="56">
        <v>0</v>
      </c>
      <c r="EX281" s="56">
        <v>0</v>
      </c>
      <c r="EY281" s="56">
        <v>0</v>
      </c>
      <c r="EZ281" s="56">
        <v>0</v>
      </c>
      <c r="FA281" s="56">
        <v>0</v>
      </c>
      <c r="FB281" s="56">
        <v>0</v>
      </c>
      <c r="FC281" s="58">
        <v>0</v>
      </c>
      <c r="FD281" s="56">
        <v>0</v>
      </c>
      <c r="FE281" s="56">
        <v>0</v>
      </c>
      <c r="FF281" s="56">
        <v>0</v>
      </c>
      <c r="FG281" s="56">
        <v>0</v>
      </c>
      <c r="FH281" s="56">
        <v>0</v>
      </c>
      <c r="FI281" s="56">
        <v>0</v>
      </c>
      <c r="FJ281" s="56">
        <v>0</v>
      </c>
      <c r="FK281" s="56">
        <v>0</v>
      </c>
      <c r="FL281" s="56">
        <v>0</v>
      </c>
      <c r="FM281" s="56">
        <v>0</v>
      </c>
      <c r="FN281" s="56">
        <v>0</v>
      </c>
      <c r="FO281" s="56">
        <v>0</v>
      </c>
      <c r="FP281" s="56">
        <v>0</v>
      </c>
      <c r="FQ281" s="56">
        <v>0</v>
      </c>
      <c r="FR281" s="56">
        <v>0</v>
      </c>
      <c r="FS281" s="58">
        <v>0</v>
      </c>
      <c r="FT281" s="56">
        <v>0</v>
      </c>
      <c r="FU281" s="56">
        <v>0</v>
      </c>
      <c r="FV281" s="56">
        <v>0</v>
      </c>
      <c r="FW281" s="56">
        <v>0</v>
      </c>
      <c r="FX281" s="56">
        <v>0</v>
      </c>
      <c r="FY281" s="56">
        <v>0</v>
      </c>
      <c r="FZ281" s="54" t="s">
        <v>1083</v>
      </c>
      <c r="GA281" s="54" t="s">
        <v>1084</v>
      </c>
      <c r="GB281" s="54" t="s">
        <v>1072</v>
      </c>
      <c r="GC281" s="54" t="s">
        <v>1073</v>
      </c>
      <c r="GD281" s="54" t="s">
        <v>1265</v>
      </c>
      <c r="GE281" s="54" t="s">
        <v>1201</v>
      </c>
      <c r="GF281" s="54"/>
      <c r="GG281" s="55"/>
      <c r="GH281" s="54"/>
      <c r="GI281" s="54"/>
      <c r="GJ281" s="54" t="s">
        <v>1076</v>
      </c>
      <c r="GK281" s="54" t="s">
        <v>1077</v>
      </c>
      <c r="GL281" s="54"/>
      <c r="GM281" s="54"/>
      <c r="GN281" s="54" t="s">
        <v>1208</v>
      </c>
      <c r="GO281" s="54" t="s">
        <v>1209</v>
      </c>
      <c r="GP281" s="54"/>
      <c r="GQ281" s="56">
        <v>0</v>
      </c>
      <c r="GR281" s="54" t="s">
        <v>1079</v>
      </c>
      <c r="GS281" s="54"/>
    </row>
    <row r="282" spans="1:201" x14ac:dyDescent="0.25">
      <c r="A282" s="54" t="s">
        <v>1032</v>
      </c>
      <c r="B282" s="54" t="s">
        <v>1033</v>
      </c>
      <c r="C282" s="54" t="s">
        <v>1281</v>
      </c>
      <c r="D282" s="54" t="s">
        <v>1035</v>
      </c>
      <c r="E282" s="54" t="s">
        <v>1036</v>
      </c>
      <c r="F282" s="55">
        <v>46189</v>
      </c>
      <c r="G282" s="55">
        <v>46189</v>
      </c>
      <c r="H282" s="54" t="s">
        <v>1037</v>
      </c>
      <c r="I282" s="54" t="s">
        <v>1038</v>
      </c>
      <c r="J282" s="54" t="s">
        <v>1039</v>
      </c>
      <c r="K282" s="55"/>
      <c r="L282" s="54" t="s">
        <v>1040</v>
      </c>
      <c r="M282" s="54"/>
      <c r="N282" s="54" t="s">
        <v>1282</v>
      </c>
      <c r="O282" s="54" t="s">
        <v>1151</v>
      </c>
      <c r="P282" s="54" t="s">
        <v>329</v>
      </c>
      <c r="Q282" s="54" t="s">
        <v>330</v>
      </c>
      <c r="R282" s="54" t="s">
        <v>1043</v>
      </c>
      <c r="S282" s="56">
        <v>1397.5</v>
      </c>
      <c r="T282" s="56">
        <v>1397.5</v>
      </c>
      <c r="U282" s="56">
        <v>0</v>
      </c>
      <c r="V282" s="56">
        <v>0</v>
      </c>
      <c r="W282" s="56">
        <v>0</v>
      </c>
      <c r="X282" s="56">
        <v>0</v>
      </c>
      <c r="Y282" s="56">
        <v>0</v>
      </c>
      <c r="Z282" s="56">
        <v>250</v>
      </c>
      <c r="AA282" s="56">
        <v>250</v>
      </c>
      <c r="AB282" s="59">
        <v>0</v>
      </c>
      <c r="AC282" s="56">
        <v>0</v>
      </c>
      <c r="AD282" s="56">
        <v>0</v>
      </c>
      <c r="AE282" s="56">
        <v>0</v>
      </c>
      <c r="AF282" s="54" t="s">
        <v>1044</v>
      </c>
      <c r="AG282" s="57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 t="s">
        <v>1045</v>
      </c>
      <c r="AS282" s="54" t="s">
        <v>1046</v>
      </c>
      <c r="AT282" s="54" t="s">
        <v>1047</v>
      </c>
      <c r="AU282" s="54" t="s">
        <v>1048</v>
      </c>
      <c r="AV282" s="54"/>
      <c r="AW282" s="55">
        <v>46202</v>
      </c>
      <c r="AX282" s="55">
        <v>46189</v>
      </c>
      <c r="AY282" s="55">
        <v>46189</v>
      </c>
      <c r="AZ282" s="55">
        <v>46191</v>
      </c>
      <c r="BA282" s="55">
        <v>46202</v>
      </c>
      <c r="BB282" s="56">
        <v>0</v>
      </c>
      <c r="BC282" s="56">
        <v>0</v>
      </c>
      <c r="BD282" s="56">
        <v>0</v>
      </c>
      <c r="BE282" s="56">
        <v>0</v>
      </c>
      <c r="BF282" s="56">
        <v>0</v>
      </c>
      <c r="BG282" s="56">
        <v>0</v>
      </c>
      <c r="BH282" s="56">
        <v>0</v>
      </c>
      <c r="BI282" s="56">
        <v>0</v>
      </c>
      <c r="BJ282" s="56">
        <v>0</v>
      </c>
      <c r="BK282" s="56">
        <v>0</v>
      </c>
      <c r="BL282" s="56">
        <v>0</v>
      </c>
      <c r="BM282" s="56">
        <v>0</v>
      </c>
      <c r="BN282" s="56">
        <v>0</v>
      </c>
      <c r="BO282" s="56">
        <v>0</v>
      </c>
      <c r="BP282" s="54" t="s">
        <v>1049</v>
      </c>
      <c r="BQ282" s="54" t="s">
        <v>1050</v>
      </c>
      <c r="BR282" s="54" t="s">
        <v>1049</v>
      </c>
      <c r="BS282" s="54" t="s">
        <v>1050</v>
      </c>
      <c r="BT282" s="54" t="s">
        <v>1051</v>
      </c>
      <c r="BU282" s="54" t="s">
        <v>1043</v>
      </c>
      <c r="BV282" s="58">
        <v>250</v>
      </c>
      <c r="BW282" s="54" t="s">
        <v>1052</v>
      </c>
      <c r="BX282" s="54" t="s">
        <v>1053</v>
      </c>
      <c r="BY282" s="54" t="s">
        <v>1054</v>
      </c>
      <c r="BZ282" s="54" t="s">
        <v>1055</v>
      </c>
      <c r="CA282" s="55"/>
      <c r="CB282" s="54" t="s">
        <v>1056</v>
      </c>
      <c r="CC282" s="54" t="s">
        <v>1057</v>
      </c>
      <c r="CD282" s="54" t="s">
        <v>1200</v>
      </c>
      <c r="CE282" s="54" t="s">
        <v>1201</v>
      </c>
      <c r="CF282" s="54" t="s">
        <v>1202</v>
      </c>
      <c r="CG282" s="54" t="s">
        <v>1203</v>
      </c>
      <c r="CH282" s="54" t="s">
        <v>1204</v>
      </c>
      <c r="CI282" s="54" t="s">
        <v>1203</v>
      </c>
      <c r="CJ282" s="54" t="s">
        <v>1064</v>
      </c>
      <c r="CK282" s="54" t="s">
        <v>1065</v>
      </c>
      <c r="CL282" s="54" t="s">
        <v>1205</v>
      </c>
      <c r="CM282" s="54" t="s">
        <v>1206</v>
      </c>
      <c r="CN282" s="54" t="s">
        <v>1068</v>
      </c>
      <c r="CO282" s="54" t="s">
        <v>1069</v>
      </c>
      <c r="CP282" s="56">
        <v>0</v>
      </c>
      <c r="CQ282" s="56">
        <v>0</v>
      </c>
      <c r="CR282" s="56">
        <v>0</v>
      </c>
      <c r="CS282" s="56">
        <v>0</v>
      </c>
      <c r="CT282" s="56">
        <v>0</v>
      </c>
      <c r="CU282" s="56">
        <v>0</v>
      </c>
      <c r="CV282" s="56">
        <v>0</v>
      </c>
      <c r="CW282" s="56">
        <v>0</v>
      </c>
      <c r="CX282" s="56">
        <v>0</v>
      </c>
      <c r="CY282" s="56">
        <v>0</v>
      </c>
      <c r="CZ282" s="56">
        <v>0</v>
      </c>
      <c r="DA282" s="56">
        <v>0</v>
      </c>
      <c r="DB282" s="56">
        <v>0</v>
      </c>
      <c r="DC282" s="56">
        <v>0</v>
      </c>
      <c r="DD282" s="56">
        <v>0</v>
      </c>
      <c r="DE282" s="56">
        <v>0</v>
      </c>
      <c r="DF282" s="56">
        <v>0</v>
      </c>
      <c r="DG282" s="56">
        <v>0</v>
      </c>
      <c r="DH282" s="56">
        <v>0</v>
      </c>
      <c r="DI282" s="56">
        <v>0</v>
      </c>
      <c r="DJ282" s="56">
        <v>0</v>
      </c>
      <c r="DK282" s="56">
        <v>0</v>
      </c>
      <c r="DL282" s="56">
        <v>0</v>
      </c>
      <c r="DM282" s="56">
        <v>0</v>
      </c>
      <c r="DN282" s="56">
        <v>0</v>
      </c>
      <c r="DO282" s="56">
        <v>0</v>
      </c>
      <c r="DP282" s="56">
        <v>0</v>
      </c>
      <c r="DQ282" s="56">
        <v>0</v>
      </c>
      <c r="DR282" s="56">
        <v>0</v>
      </c>
      <c r="DS282" s="56">
        <v>0</v>
      </c>
      <c r="DT282" s="56">
        <v>0</v>
      </c>
      <c r="DU282" s="56">
        <v>0</v>
      </c>
      <c r="DV282" s="56">
        <v>0</v>
      </c>
      <c r="DW282" s="56">
        <v>0</v>
      </c>
      <c r="DX282" s="56">
        <v>0</v>
      </c>
      <c r="DY282" s="56">
        <v>0</v>
      </c>
      <c r="DZ282" s="56">
        <v>0</v>
      </c>
      <c r="EA282" s="56">
        <v>0</v>
      </c>
      <c r="EB282" s="56">
        <v>0</v>
      </c>
      <c r="EC282" s="56">
        <v>0</v>
      </c>
      <c r="ED282" s="56">
        <v>0</v>
      </c>
      <c r="EE282" s="56">
        <v>0</v>
      </c>
      <c r="EF282" s="56">
        <v>0</v>
      </c>
      <c r="EG282" s="56">
        <v>0</v>
      </c>
      <c r="EH282" s="56">
        <v>167.7</v>
      </c>
      <c r="EI282" s="56">
        <v>0</v>
      </c>
      <c r="EJ282" s="56">
        <v>0</v>
      </c>
      <c r="EK282" s="56">
        <v>0</v>
      </c>
      <c r="EL282" s="56">
        <v>0</v>
      </c>
      <c r="EM282" s="56">
        <v>0</v>
      </c>
      <c r="EN282" s="56">
        <v>0</v>
      </c>
      <c r="EO282" s="56">
        <v>0</v>
      </c>
      <c r="EP282" s="56">
        <v>0</v>
      </c>
      <c r="EQ282" s="56">
        <v>0</v>
      </c>
      <c r="ER282" s="56">
        <v>0</v>
      </c>
      <c r="ES282" s="56">
        <v>0</v>
      </c>
      <c r="ET282" s="56">
        <v>0</v>
      </c>
      <c r="EU282" s="56">
        <v>0</v>
      </c>
      <c r="EV282" s="56">
        <v>0</v>
      </c>
      <c r="EW282" s="56">
        <v>0</v>
      </c>
      <c r="EX282" s="56">
        <v>0</v>
      </c>
      <c r="EY282" s="56">
        <v>0</v>
      </c>
      <c r="EZ282" s="56">
        <v>0</v>
      </c>
      <c r="FA282" s="56">
        <v>0</v>
      </c>
      <c r="FB282" s="56">
        <v>0</v>
      </c>
      <c r="FC282" s="58">
        <v>0</v>
      </c>
      <c r="FD282" s="56">
        <v>0</v>
      </c>
      <c r="FE282" s="56">
        <v>0</v>
      </c>
      <c r="FF282" s="56">
        <v>0</v>
      </c>
      <c r="FG282" s="56">
        <v>0</v>
      </c>
      <c r="FH282" s="56">
        <v>0</v>
      </c>
      <c r="FI282" s="56">
        <v>0</v>
      </c>
      <c r="FJ282" s="56">
        <v>0</v>
      </c>
      <c r="FK282" s="56">
        <v>0</v>
      </c>
      <c r="FL282" s="56">
        <v>0</v>
      </c>
      <c r="FM282" s="56">
        <v>0</v>
      </c>
      <c r="FN282" s="56">
        <v>0</v>
      </c>
      <c r="FO282" s="56">
        <v>0</v>
      </c>
      <c r="FP282" s="56">
        <v>0</v>
      </c>
      <c r="FQ282" s="56">
        <v>0</v>
      </c>
      <c r="FR282" s="56">
        <v>0</v>
      </c>
      <c r="FS282" s="58">
        <v>0</v>
      </c>
      <c r="FT282" s="56">
        <v>0</v>
      </c>
      <c r="FU282" s="56">
        <v>0</v>
      </c>
      <c r="FV282" s="56">
        <v>0</v>
      </c>
      <c r="FW282" s="56">
        <v>0</v>
      </c>
      <c r="FX282" s="56">
        <v>0</v>
      </c>
      <c r="FY282" s="56">
        <v>0</v>
      </c>
      <c r="FZ282" s="54" t="s">
        <v>1070</v>
      </c>
      <c r="GA282" s="54" t="s">
        <v>1071</v>
      </c>
      <c r="GB282" s="54" t="s">
        <v>1072</v>
      </c>
      <c r="GC282" s="54" t="s">
        <v>1073</v>
      </c>
      <c r="GD282" s="54" t="s">
        <v>1266</v>
      </c>
      <c r="GE282" s="54" t="s">
        <v>1201</v>
      </c>
      <c r="GF282" s="54"/>
      <c r="GG282" s="55"/>
      <c r="GH282" s="54"/>
      <c r="GI282" s="54"/>
      <c r="GJ282" s="54" t="s">
        <v>1076</v>
      </c>
      <c r="GK282" s="54" t="s">
        <v>1077</v>
      </c>
      <c r="GL282" s="54"/>
      <c r="GM282" s="54"/>
      <c r="GN282" s="54" t="s">
        <v>1208</v>
      </c>
      <c r="GO282" s="54" t="s">
        <v>1209</v>
      </c>
      <c r="GP282" s="54"/>
      <c r="GQ282" s="56">
        <v>0</v>
      </c>
      <c r="GR282" s="54" t="s">
        <v>1079</v>
      </c>
      <c r="GS282" s="54"/>
    </row>
    <row r="283" spans="1:201" x14ac:dyDescent="0.25">
      <c r="A283" s="54" t="s">
        <v>1032</v>
      </c>
      <c r="B283" s="54" t="s">
        <v>1033</v>
      </c>
      <c r="C283" s="54" t="s">
        <v>1293</v>
      </c>
      <c r="D283" s="54" t="s">
        <v>1035</v>
      </c>
      <c r="E283" s="54" t="s">
        <v>1036</v>
      </c>
      <c r="F283" s="55">
        <v>46191</v>
      </c>
      <c r="G283" s="55">
        <v>46191</v>
      </c>
      <c r="H283" s="54" t="s">
        <v>1037</v>
      </c>
      <c r="I283" s="54" t="s">
        <v>1038</v>
      </c>
      <c r="J283" s="54" t="s">
        <v>1039</v>
      </c>
      <c r="K283" s="55"/>
      <c r="L283" s="54" t="s">
        <v>1040</v>
      </c>
      <c r="M283" s="54"/>
      <c r="N283" s="54" t="s">
        <v>1294</v>
      </c>
      <c r="O283" s="54" t="s">
        <v>1042</v>
      </c>
      <c r="P283" s="54" t="s">
        <v>828</v>
      </c>
      <c r="Q283" s="54" t="s">
        <v>831</v>
      </c>
      <c r="R283" s="54" t="s">
        <v>1043</v>
      </c>
      <c r="S283" s="56">
        <v>1488.96</v>
      </c>
      <c r="T283" s="56">
        <v>0</v>
      </c>
      <c r="U283" s="56">
        <v>1488.96</v>
      </c>
      <c r="V283" s="56">
        <v>0</v>
      </c>
      <c r="W283" s="56">
        <v>0</v>
      </c>
      <c r="X283" s="56">
        <v>0</v>
      </c>
      <c r="Y283" s="56">
        <v>0</v>
      </c>
      <c r="Z283" s="56">
        <v>144</v>
      </c>
      <c r="AA283" s="56">
        <v>0</v>
      </c>
      <c r="AB283" s="59">
        <v>144</v>
      </c>
      <c r="AC283" s="56">
        <v>0</v>
      </c>
      <c r="AD283" s="56">
        <v>0</v>
      </c>
      <c r="AE283" s="56">
        <v>0</v>
      </c>
      <c r="AF283" s="54" t="s">
        <v>1044</v>
      </c>
      <c r="AG283" s="57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 t="s">
        <v>461</v>
      </c>
      <c r="AR283" s="54" t="s">
        <v>1045</v>
      </c>
      <c r="AS283" s="54" t="s">
        <v>1046</v>
      </c>
      <c r="AT283" s="54" t="s">
        <v>1047</v>
      </c>
      <c r="AU283" s="54" t="s">
        <v>1048</v>
      </c>
      <c r="AV283" s="54"/>
      <c r="AW283" s="55">
        <v>46204</v>
      </c>
      <c r="AX283" s="55">
        <v>46191</v>
      </c>
      <c r="AY283" s="55">
        <v>46191</v>
      </c>
      <c r="AZ283" s="55"/>
      <c r="BA283" s="55">
        <v>46204</v>
      </c>
      <c r="BB283" s="56">
        <v>0</v>
      </c>
      <c r="BC283" s="56">
        <v>0</v>
      </c>
      <c r="BD283" s="56">
        <v>0</v>
      </c>
      <c r="BE283" s="56">
        <v>0</v>
      </c>
      <c r="BF283" s="56">
        <v>0</v>
      </c>
      <c r="BG283" s="56">
        <v>0</v>
      </c>
      <c r="BH283" s="56">
        <v>0</v>
      </c>
      <c r="BI283" s="56">
        <v>0</v>
      </c>
      <c r="BJ283" s="56">
        <v>0</v>
      </c>
      <c r="BK283" s="56">
        <v>0</v>
      </c>
      <c r="BL283" s="56">
        <v>0</v>
      </c>
      <c r="BM283" s="56">
        <v>0</v>
      </c>
      <c r="BN283" s="56">
        <v>0</v>
      </c>
      <c r="BO283" s="56">
        <v>0</v>
      </c>
      <c r="BP283" s="54" t="s">
        <v>1049</v>
      </c>
      <c r="BQ283" s="54" t="s">
        <v>1050</v>
      </c>
      <c r="BR283" s="54" t="s">
        <v>1049</v>
      </c>
      <c r="BS283" s="54" t="s">
        <v>1050</v>
      </c>
      <c r="BT283" s="54" t="s">
        <v>1051</v>
      </c>
      <c r="BU283" s="54" t="s">
        <v>1043</v>
      </c>
      <c r="BV283" s="58">
        <v>0</v>
      </c>
      <c r="BW283" s="54" t="s">
        <v>1052</v>
      </c>
      <c r="BX283" s="54" t="s">
        <v>1053</v>
      </c>
      <c r="BY283" s="54" t="s">
        <v>1054</v>
      </c>
      <c r="BZ283" s="54" t="s">
        <v>1055</v>
      </c>
      <c r="CA283" s="55"/>
      <c r="CB283" s="54" t="s">
        <v>1056</v>
      </c>
      <c r="CC283" s="54" t="s">
        <v>1057</v>
      </c>
      <c r="CD283" s="54" t="s">
        <v>1200</v>
      </c>
      <c r="CE283" s="54" t="s">
        <v>1201</v>
      </c>
      <c r="CF283" s="54" t="s">
        <v>1202</v>
      </c>
      <c r="CG283" s="54" t="s">
        <v>1203</v>
      </c>
      <c r="CH283" s="54" t="s">
        <v>1204</v>
      </c>
      <c r="CI283" s="54" t="s">
        <v>1203</v>
      </c>
      <c r="CJ283" s="54" t="s">
        <v>1064</v>
      </c>
      <c r="CK283" s="54" t="s">
        <v>1065</v>
      </c>
      <c r="CL283" s="54" t="s">
        <v>1205</v>
      </c>
      <c r="CM283" s="54" t="s">
        <v>1206</v>
      </c>
      <c r="CN283" s="54" t="s">
        <v>1068</v>
      </c>
      <c r="CO283" s="54" t="s">
        <v>1069</v>
      </c>
      <c r="CP283" s="56">
        <v>0</v>
      </c>
      <c r="CQ283" s="56">
        <v>0</v>
      </c>
      <c r="CR283" s="56">
        <v>0</v>
      </c>
      <c r="CS283" s="56">
        <v>0</v>
      </c>
      <c r="CT283" s="56">
        <v>0</v>
      </c>
      <c r="CU283" s="56">
        <v>0</v>
      </c>
      <c r="CV283" s="56">
        <v>0</v>
      </c>
      <c r="CW283" s="56">
        <v>0</v>
      </c>
      <c r="CX283" s="56">
        <v>0</v>
      </c>
      <c r="CY283" s="56">
        <v>0</v>
      </c>
      <c r="CZ283" s="56">
        <v>0</v>
      </c>
      <c r="DA283" s="56">
        <v>0</v>
      </c>
      <c r="DB283" s="56">
        <v>0</v>
      </c>
      <c r="DC283" s="56">
        <v>0</v>
      </c>
      <c r="DD283" s="56">
        <v>0</v>
      </c>
      <c r="DE283" s="56">
        <v>0</v>
      </c>
      <c r="DF283" s="56">
        <v>0</v>
      </c>
      <c r="DG283" s="56">
        <v>0</v>
      </c>
      <c r="DH283" s="56">
        <v>0</v>
      </c>
      <c r="DI283" s="56">
        <v>0</v>
      </c>
      <c r="DJ283" s="56">
        <v>0</v>
      </c>
      <c r="DK283" s="56">
        <v>0</v>
      </c>
      <c r="DL283" s="56">
        <v>0</v>
      </c>
      <c r="DM283" s="56">
        <v>0</v>
      </c>
      <c r="DN283" s="56">
        <v>0</v>
      </c>
      <c r="DO283" s="56">
        <v>0</v>
      </c>
      <c r="DP283" s="56">
        <v>0</v>
      </c>
      <c r="DQ283" s="56">
        <v>0</v>
      </c>
      <c r="DR283" s="56">
        <v>0</v>
      </c>
      <c r="DS283" s="56">
        <v>0</v>
      </c>
      <c r="DT283" s="56">
        <v>0</v>
      </c>
      <c r="DU283" s="56">
        <v>0</v>
      </c>
      <c r="DV283" s="56">
        <v>0</v>
      </c>
      <c r="DW283" s="56">
        <v>0</v>
      </c>
      <c r="DX283" s="56">
        <v>0</v>
      </c>
      <c r="DY283" s="56">
        <v>0</v>
      </c>
      <c r="DZ283" s="56">
        <v>0</v>
      </c>
      <c r="EA283" s="56">
        <v>0</v>
      </c>
      <c r="EB283" s="56">
        <v>0</v>
      </c>
      <c r="EC283" s="56">
        <v>178.68</v>
      </c>
      <c r="ED283" s="56">
        <v>0</v>
      </c>
      <c r="EE283" s="56">
        <v>0</v>
      </c>
      <c r="EF283" s="56">
        <v>0</v>
      </c>
      <c r="EG283" s="56">
        <v>0</v>
      </c>
      <c r="EH283" s="56">
        <v>178.68</v>
      </c>
      <c r="EI283" s="56">
        <v>0</v>
      </c>
      <c r="EJ283" s="56">
        <v>0</v>
      </c>
      <c r="EK283" s="56">
        <v>0</v>
      </c>
      <c r="EL283" s="56">
        <v>0</v>
      </c>
      <c r="EM283" s="56">
        <v>0</v>
      </c>
      <c r="EN283" s="56">
        <v>0</v>
      </c>
      <c r="EO283" s="56">
        <v>0</v>
      </c>
      <c r="EP283" s="56">
        <v>1488.96</v>
      </c>
      <c r="EQ283" s="56">
        <v>0</v>
      </c>
      <c r="ER283" s="56">
        <v>0</v>
      </c>
      <c r="ES283" s="56">
        <v>144</v>
      </c>
      <c r="ET283" s="56">
        <v>0</v>
      </c>
      <c r="EU283" s="56">
        <v>0</v>
      </c>
      <c r="EV283" s="56">
        <v>0</v>
      </c>
      <c r="EW283" s="56">
        <v>0</v>
      </c>
      <c r="EX283" s="56">
        <v>0</v>
      </c>
      <c r="EY283" s="56">
        <v>0</v>
      </c>
      <c r="EZ283" s="56">
        <v>0</v>
      </c>
      <c r="FA283" s="56">
        <v>0</v>
      </c>
      <c r="FB283" s="56">
        <v>0</v>
      </c>
      <c r="FC283" s="58">
        <v>0</v>
      </c>
      <c r="FD283" s="56">
        <v>0</v>
      </c>
      <c r="FE283" s="56">
        <v>0</v>
      </c>
      <c r="FF283" s="56">
        <v>0</v>
      </c>
      <c r="FG283" s="56">
        <v>0</v>
      </c>
      <c r="FH283" s="56">
        <v>0</v>
      </c>
      <c r="FI283" s="56">
        <v>0</v>
      </c>
      <c r="FJ283" s="56">
        <v>0</v>
      </c>
      <c r="FK283" s="56">
        <v>0</v>
      </c>
      <c r="FL283" s="56">
        <v>0</v>
      </c>
      <c r="FM283" s="56">
        <v>0</v>
      </c>
      <c r="FN283" s="56">
        <v>0</v>
      </c>
      <c r="FO283" s="56">
        <v>0</v>
      </c>
      <c r="FP283" s="56">
        <v>0</v>
      </c>
      <c r="FQ283" s="56">
        <v>0</v>
      </c>
      <c r="FR283" s="56">
        <v>0</v>
      </c>
      <c r="FS283" s="58">
        <v>0</v>
      </c>
      <c r="FT283" s="56">
        <v>0</v>
      </c>
      <c r="FU283" s="56">
        <v>0</v>
      </c>
      <c r="FV283" s="56">
        <v>0</v>
      </c>
      <c r="FW283" s="56">
        <v>0</v>
      </c>
      <c r="FX283" s="56">
        <v>0</v>
      </c>
      <c r="FY283" s="56">
        <v>0</v>
      </c>
      <c r="FZ283" s="54" t="s">
        <v>1083</v>
      </c>
      <c r="GA283" s="54" t="s">
        <v>1084</v>
      </c>
      <c r="GB283" s="54" t="s">
        <v>1072</v>
      </c>
      <c r="GC283" s="54" t="s">
        <v>1073</v>
      </c>
      <c r="GD283" s="54"/>
      <c r="GE283" s="54"/>
      <c r="GF283" s="54" t="s">
        <v>1295</v>
      </c>
      <c r="GG283" s="55">
        <v>46205</v>
      </c>
      <c r="GH283" s="54"/>
      <c r="GI283" s="54"/>
      <c r="GJ283" s="54"/>
      <c r="GK283" s="54" t="s">
        <v>1077</v>
      </c>
      <c r="GL283" s="54"/>
      <c r="GM283" s="54"/>
      <c r="GN283" s="54" t="s">
        <v>1208</v>
      </c>
      <c r="GO283" s="54" t="s">
        <v>1209</v>
      </c>
      <c r="GP283" s="54"/>
      <c r="GQ283" s="56">
        <v>0</v>
      </c>
      <c r="GR283" s="54" t="s">
        <v>1079</v>
      </c>
      <c r="GS283" s="54" t="s">
        <v>1101</v>
      </c>
    </row>
    <row r="284" spans="1:201" x14ac:dyDescent="0.25">
      <c r="A284" s="54" t="s">
        <v>1032</v>
      </c>
      <c r="B284" s="54" t="s">
        <v>1033</v>
      </c>
      <c r="C284" s="54" t="s">
        <v>1296</v>
      </c>
      <c r="D284" s="54" t="s">
        <v>1035</v>
      </c>
      <c r="E284" s="54" t="s">
        <v>1036</v>
      </c>
      <c r="F284" s="55">
        <v>46195</v>
      </c>
      <c r="G284" s="55">
        <v>46195</v>
      </c>
      <c r="H284" s="54" t="s">
        <v>1037</v>
      </c>
      <c r="I284" s="54" t="s">
        <v>1038</v>
      </c>
      <c r="J284" s="54" t="s">
        <v>1039</v>
      </c>
      <c r="K284" s="55"/>
      <c r="L284" s="54" t="s">
        <v>1040</v>
      </c>
      <c r="M284" s="54"/>
      <c r="N284" s="54" t="s">
        <v>1297</v>
      </c>
      <c r="O284" s="54" t="s">
        <v>1042</v>
      </c>
      <c r="P284" s="54" t="s">
        <v>802</v>
      </c>
      <c r="Q284" s="54" t="s">
        <v>804</v>
      </c>
      <c r="R284" s="54" t="s">
        <v>1043</v>
      </c>
      <c r="S284" s="56">
        <v>3091.92</v>
      </c>
      <c r="T284" s="56">
        <v>3091.92</v>
      </c>
      <c r="U284" s="56">
        <v>0</v>
      </c>
      <c r="V284" s="56">
        <v>0</v>
      </c>
      <c r="W284" s="56">
        <v>0</v>
      </c>
      <c r="X284" s="56">
        <v>0</v>
      </c>
      <c r="Y284" s="56">
        <v>0</v>
      </c>
      <c r="Z284" s="56">
        <v>312</v>
      </c>
      <c r="AA284" s="56">
        <v>312</v>
      </c>
      <c r="AB284" s="59">
        <v>0</v>
      </c>
      <c r="AC284" s="56">
        <v>0</v>
      </c>
      <c r="AD284" s="56">
        <v>0</v>
      </c>
      <c r="AE284" s="56">
        <v>0</v>
      </c>
      <c r="AF284" s="54" t="s">
        <v>1044</v>
      </c>
      <c r="AG284" s="57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 t="s">
        <v>461</v>
      </c>
      <c r="AR284" s="54" t="s">
        <v>1045</v>
      </c>
      <c r="AS284" s="54" t="s">
        <v>1103</v>
      </c>
      <c r="AT284" s="54" t="s">
        <v>1104</v>
      </c>
      <c r="AU284" s="54" t="s">
        <v>1048</v>
      </c>
      <c r="AV284" s="54"/>
      <c r="AW284" s="55">
        <v>46206</v>
      </c>
      <c r="AX284" s="55">
        <v>46195</v>
      </c>
      <c r="AY284" s="55">
        <v>46195</v>
      </c>
      <c r="AZ284" s="55">
        <v>46197</v>
      </c>
      <c r="BA284" s="55">
        <v>46206</v>
      </c>
      <c r="BB284" s="56">
        <v>0</v>
      </c>
      <c r="BC284" s="56">
        <v>0</v>
      </c>
      <c r="BD284" s="56">
        <v>0</v>
      </c>
      <c r="BE284" s="56">
        <v>0</v>
      </c>
      <c r="BF284" s="56">
        <v>0</v>
      </c>
      <c r="BG284" s="56">
        <v>0</v>
      </c>
      <c r="BH284" s="56">
        <v>0</v>
      </c>
      <c r="BI284" s="56">
        <v>0</v>
      </c>
      <c r="BJ284" s="56">
        <v>0</v>
      </c>
      <c r="BK284" s="56">
        <v>0</v>
      </c>
      <c r="BL284" s="56">
        <v>0</v>
      </c>
      <c r="BM284" s="56">
        <v>0</v>
      </c>
      <c r="BN284" s="56">
        <v>0</v>
      </c>
      <c r="BO284" s="56">
        <v>0</v>
      </c>
      <c r="BP284" s="54" t="s">
        <v>1049</v>
      </c>
      <c r="BQ284" s="54" t="s">
        <v>1050</v>
      </c>
      <c r="BR284" s="54" t="s">
        <v>1049</v>
      </c>
      <c r="BS284" s="54" t="s">
        <v>1050</v>
      </c>
      <c r="BT284" s="54" t="s">
        <v>1051</v>
      </c>
      <c r="BU284" s="54" t="s">
        <v>1043</v>
      </c>
      <c r="BV284" s="58">
        <v>312</v>
      </c>
      <c r="BW284" s="54" t="s">
        <v>1052</v>
      </c>
      <c r="BX284" s="54" t="s">
        <v>1053</v>
      </c>
      <c r="BY284" s="54" t="s">
        <v>1054</v>
      </c>
      <c r="BZ284" s="54" t="s">
        <v>1055</v>
      </c>
      <c r="CA284" s="55"/>
      <c r="CB284" s="54" t="s">
        <v>1056</v>
      </c>
      <c r="CC284" s="54" t="s">
        <v>1057</v>
      </c>
      <c r="CD284" s="54" t="s">
        <v>1200</v>
      </c>
      <c r="CE284" s="54" t="s">
        <v>1201</v>
      </c>
      <c r="CF284" s="54" t="s">
        <v>1202</v>
      </c>
      <c r="CG284" s="54" t="s">
        <v>1203</v>
      </c>
      <c r="CH284" s="54" t="s">
        <v>1204</v>
      </c>
      <c r="CI284" s="54" t="s">
        <v>1203</v>
      </c>
      <c r="CJ284" s="54" t="s">
        <v>1064</v>
      </c>
      <c r="CK284" s="54" t="s">
        <v>1065</v>
      </c>
      <c r="CL284" s="54" t="s">
        <v>1205</v>
      </c>
      <c r="CM284" s="54" t="s">
        <v>1206</v>
      </c>
      <c r="CN284" s="54" t="s">
        <v>1068</v>
      </c>
      <c r="CO284" s="54" t="s">
        <v>1069</v>
      </c>
      <c r="CP284" s="56">
        <v>0</v>
      </c>
      <c r="CQ284" s="56">
        <v>0</v>
      </c>
      <c r="CR284" s="56">
        <v>0</v>
      </c>
      <c r="CS284" s="56">
        <v>0</v>
      </c>
      <c r="CT284" s="56">
        <v>0</v>
      </c>
      <c r="CU284" s="56">
        <v>0</v>
      </c>
      <c r="CV284" s="56">
        <v>0</v>
      </c>
      <c r="CW284" s="56">
        <v>0</v>
      </c>
      <c r="CX284" s="56">
        <v>0</v>
      </c>
      <c r="CY284" s="56">
        <v>0</v>
      </c>
      <c r="CZ284" s="56">
        <v>0</v>
      </c>
      <c r="DA284" s="56">
        <v>0</v>
      </c>
      <c r="DB284" s="56">
        <v>0</v>
      </c>
      <c r="DC284" s="56">
        <v>0</v>
      </c>
      <c r="DD284" s="56">
        <v>0</v>
      </c>
      <c r="DE284" s="56">
        <v>0</v>
      </c>
      <c r="DF284" s="56">
        <v>0</v>
      </c>
      <c r="DG284" s="56">
        <v>0</v>
      </c>
      <c r="DH284" s="56">
        <v>0</v>
      </c>
      <c r="DI284" s="56">
        <v>0</v>
      </c>
      <c r="DJ284" s="56">
        <v>0</v>
      </c>
      <c r="DK284" s="56">
        <v>0</v>
      </c>
      <c r="DL284" s="56">
        <v>0</v>
      </c>
      <c r="DM284" s="56">
        <v>0</v>
      </c>
      <c r="DN284" s="56">
        <v>0</v>
      </c>
      <c r="DO284" s="56">
        <v>0</v>
      </c>
      <c r="DP284" s="56">
        <v>0</v>
      </c>
      <c r="DQ284" s="56">
        <v>0</v>
      </c>
      <c r="DR284" s="56">
        <v>0</v>
      </c>
      <c r="DS284" s="56">
        <v>0</v>
      </c>
      <c r="DT284" s="56">
        <v>0</v>
      </c>
      <c r="DU284" s="56">
        <v>0</v>
      </c>
      <c r="DV284" s="56">
        <v>0</v>
      </c>
      <c r="DW284" s="56">
        <v>0</v>
      </c>
      <c r="DX284" s="56">
        <v>0</v>
      </c>
      <c r="DY284" s="56">
        <v>0</v>
      </c>
      <c r="DZ284" s="56">
        <v>0</v>
      </c>
      <c r="EA284" s="56">
        <v>0</v>
      </c>
      <c r="EB284" s="56">
        <v>0</v>
      </c>
      <c r="EC284" s="56">
        <v>0</v>
      </c>
      <c r="ED284" s="56">
        <v>0</v>
      </c>
      <c r="EE284" s="56">
        <v>0</v>
      </c>
      <c r="EF284" s="56">
        <v>234.99</v>
      </c>
      <c r="EG284" s="56">
        <v>51.02</v>
      </c>
      <c r="EH284" s="56">
        <v>371.03</v>
      </c>
      <c r="EI284" s="56">
        <v>0</v>
      </c>
      <c r="EJ284" s="56">
        <v>0</v>
      </c>
      <c r="EK284" s="56">
        <v>0</v>
      </c>
      <c r="EL284" s="56">
        <v>0</v>
      </c>
      <c r="EM284" s="56">
        <v>0</v>
      </c>
      <c r="EN284" s="56">
        <v>0</v>
      </c>
      <c r="EO284" s="56">
        <v>0</v>
      </c>
      <c r="EP284" s="56">
        <v>0</v>
      </c>
      <c r="EQ284" s="56">
        <v>0</v>
      </c>
      <c r="ER284" s="56">
        <v>0</v>
      </c>
      <c r="ES284" s="56">
        <v>0</v>
      </c>
      <c r="ET284" s="56">
        <v>0</v>
      </c>
      <c r="EU284" s="56">
        <v>0</v>
      </c>
      <c r="EV284" s="56">
        <v>0</v>
      </c>
      <c r="EW284" s="56">
        <v>0</v>
      </c>
      <c r="EX284" s="56">
        <v>0</v>
      </c>
      <c r="EY284" s="56">
        <v>0</v>
      </c>
      <c r="EZ284" s="56">
        <v>0</v>
      </c>
      <c r="FA284" s="56">
        <v>0</v>
      </c>
      <c r="FB284" s="56">
        <v>0</v>
      </c>
      <c r="FC284" s="58">
        <v>0</v>
      </c>
      <c r="FD284" s="56">
        <v>0</v>
      </c>
      <c r="FE284" s="56">
        <v>0</v>
      </c>
      <c r="FF284" s="56">
        <v>0</v>
      </c>
      <c r="FG284" s="56">
        <v>0</v>
      </c>
      <c r="FH284" s="56">
        <v>0</v>
      </c>
      <c r="FI284" s="56">
        <v>0</v>
      </c>
      <c r="FJ284" s="56">
        <v>0</v>
      </c>
      <c r="FK284" s="56">
        <v>0</v>
      </c>
      <c r="FL284" s="56">
        <v>0</v>
      </c>
      <c r="FM284" s="56">
        <v>0</v>
      </c>
      <c r="FN284" s="56">
        <v>0</v>
      </c>
      <c r="FO284" s="56">
        <v>0</v>
      </c>
      <c r="FP284" s="56">
        <v>0</v>
      </c>
      <c r="FQ284" s="56">
        <v>0</v>
      </c>
      <c r="FR284" s="56">
        <v>0</v>
      </c>
      <c r="FS284" s="58">
        <v>0</v>
      </c>
      <c r="FT284" s="56">
        <v>0</v>
      </c>
      <c r="FU284" s="56">
        <v>0</v>
      </c>
      <c r="FV284" s="56">
        <v>0</v>
      </c>
      <c r="FW284" s="56">
        <v>0</v>
      </c>
      <c r="FX284" s="56">
        <v>0</v>
      </c>
      <c r="FY284" s="56">
        <v>0</v>
      </c>
      <c r="FZ284" s="54" t="s">
        <v>1105</v>
      </c>
      <c r="GA284" s="54" t="s">
        <v>1106</v>
      </c>
      <c r="GB284" s="54" t="s">
        <v>1072</v>
      </c>
      <c r="GC284" s="54" t="s">
        <v>1073</v>
      </c>
      <c r="GD284" s="54"/>
      <c r="GE284" s="54"/>
      <c r="GF284" s="54"/>
      <c r="GG284" s="55"/>
      <c r="GH284" s="54"/>
      <c r="GI284" s="54"/>
      <c r="GJ284" s="54"/>
      <c r="GK284" s="54" t="s">
        <v>1077</v>
      </c>
      <c r="GL284" s="54"/>
      <c r="GM284" s="54"/>
      <c r="GN284" s="54" t="s">
        <v>1208</v>
      </c>
      <c r="GO284" s="54" t="s">
        <v>1209</v>
      </c>
      <c r="GP284" s="54"/>
      <c r="GQ284" s="56">
        <v>0</v>
      </c>
      <c r="GR284" s="54" t="s">
        <v>1079</v>
      </c>
      <c r="GS284" s="54"/>
    </row>
    <row r="285" spans="1:201" x14ac:dyDescent="0.25">
      <c r="A285" s="54" t="s">
        <v>1032</v>
      </c>
      <c r="B285" s="54" t="s">
        <v>1033</v>
      </c>
      <c r="C285" s="54" t="s">
        <v>1298</v>
      </c>
      <c r="D285" s="54" t="s">
        <v>1035</v>
      </c>
      <c r="E285" s="54" t="s">
        <v>1036</v>
      </c>
      <c r="F285" s="55">
        <v>46195</v>
      </c>
      <c r="G285" s="55">
        <v>46195</v>
      </c>
      <c r="H285" s="54" t="s">
        <v>1037</v>
      </c>
      <c r="I285" s="54" t="s">
        <v>1038</v>
      </c>
      <c r="J285" s="54" t="s">
        <v>1039</v>
      </c>
      <c r="K285" s="55"/>
      <c r="L285" s="54" t="s">
        <v>1040</v>
      </c>
      <c r="M285" s="54"/>
      <c r="N285" s="54" t="s">
        <v>1299</v>
      </c>
      <c r="O285" s="54" t="s">
        <v>1042</v>
      </c>
      <c r="P285" s="54" t="s">
        <v>617</v>
      </c>
      <c r="Q285" s="54" t="s">
        <v>618</v>
      </c>
      <c r="R285" s="54" t="s">
        <v>1043</v>
      </c>
      <c r="S285" s="56">
        <v>1834.8</v>
      </c>
      <c r="T285" s="56">
        <v>1834.8</v>
      </c>
      <c r="U285" s="56">
        <v>0</v>
      </c>
      <c r="V285" s="56">
        <v>0</v>
      </c>
      <c r="W285" s="56">
        <v>0</v>
      </c>
      <c r="X285" s="56">
        <v>0</v>
      </c>
      <c r="Y285" s="56">
        <v>0</v>
      </c>
      <c r="Z285" s="56">
        <v>60</v>
      </c>
      <c r="AA285" s="56">
        <v>60</v>
      </c>
      <c r="AB285" s="59">
        <v>0</v>
      </c>
      <c r="AC285" s="56">
        <v>0</v>
      </c>
      <c r="AD285" s="56">
        <v>0</v>
      </c>
      <c r="AE285" s="56">
        <v>0</v>
      </c>
      <c r="AF285" s="54" t="s">
        <v>1044</v>
      </c>
      <c r="AG285" s="57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 t="s">
        <v>461</v>
      </c>
      <c r="AR285" s="54" t="s">
        <v>1045</v>
      </c>
      <c r="AS285" s="54" t="s">
        <v>1046</v>
      </c>
      <c r="AT285" s="54" t="s">
        <v>1047</v>
      </c>
      <c r="AU285" s="54" t="s">
        <v>1048</v>
      </c>
      <c r="AV285" s="54"/>
      <c r="AW285" s="55">
        <v>46206</v>
      </c>
      <c r="AX285" s="55">
        <v>46195</v>
      </c>
      <c r="AY285" s="55">
        <v>46195</v>
      </c>
      <c r="AZ285" s="55"/>
      <c r="BA285" s="55">
        <v>46206</v>
      </c>
      <c r="BB285" s="56">
        <v>0</v>
      </c>
      <c r="BC285" s="56">
        <v>0</v>
      </c>
      <c r="BD285" s="56">
        <v>0</v>
      </c>
      <c r="BE285" s="56">
        <v>0</v>
      </c>
      <c r="BF285" s="56">
        <v>0</v>
      </c>
      <c r="BG285" s="56">
        <v>0</v>
      </c>
      <c r="BH285" s="56">
        <v>0</v>
      </c>
      <c r="BI285" s="56">
        <v>0</v>
      </c>
      <c r="BJ285" s="56">
        <v>0</v>
      </c>
      <c r="BK285" s="56">
        <v>0</v>
      </c>
      <c r="BL285" s="56">
        <v>0</v>
      </c>
      <c r="BM285" s="56">
        <v>0</v>
      </c>
      <c r="BN285" s="56">
        <v>0</v>
      </c>
      <c r="BO285" s="56">
        <v>0</v>
      </c>
      <c r="BP285" s="54" t="s">
        <v>1049</v>
      </c>
      <c r="BQ285" s="54" t="s">
        <v>1050</v>
      </c>
      <c r="BR285" s="54" t="s">
        <v>1049</v>
      </c>
      <c r="BS285" s="54" t="s">
        <v>1050</v>
      </c>
      <c r="BT285" s="54" t="s">
        <v>1051</v>
      </c>
      <c r="BU285" s="54" t="s">
        <v>1043</v>
      </c>
      <c r="BV285" s="58">
        <v>60</v>
      </c>
      <c r="BW285" s="54" t="s">
        <v>1052</v>
      </c>
      <c r="BX285" s="54" t="s">
        <v>1053</v>
      </c>
      <c r="BY285" s="54" t="s">
        <v>1054</v>
      </c>
      <c r="BZ285" s="54" t="s">
        <v>1055</v>
      </c>
      <c r="CA285" s="55"/>
      <c r="CB285" s="54" t="s">
        <v>1056</v>
      </c>
      <c r="CC285" s="54" t="s">
        <v>1057</v>
      </c>
      <c r="CD285" s="54" t="s">
        <v>1200</v>
      </c>
      <c r="CE285" s="54" t="s">
        <v>1201</v>
      </c>
      <c r="CF285" s="54" t="s">
        <v>1202</v>
      </c>
      <c r="CG285" s="54" t="s">
        <v>1203</v>
      </c>
      <c r="CH285" s="54" t="s">
        <v>1204</v>
      </c>
      <c r="CI285" s="54" t="s">
        <v>1203</v>
      </c>
      <c r="CJ285" s="54" t="s">
        <v>1064</v>
      </c>
      <c r="CK285" s="54" t="s">
        <v>1065</v>
      </c>
      <c r="CL285" s="54" t="s">
        <v>1205</v>
      </c>
      <c r="CM285" s="54" t="s">
        <v>1206</v>
      </c>
      <c r="CN285" s="54" t="s">
        <v>1068</v>
      </c>
      <c r="CO285" s="54" t="s">
        <v>1069</v>
      </c>
      <c r="CP285" s="56">
        <v>0</v>
      </c>
      <c r="CQ285" s="56">
        <v>0</v>
      </c>
      <c r="CR285" s="56">
        <v>0</v>
      </c>
      <c r="CS285" s="56">
        <v>0</v>
      </c>
      <c r="CT285" s="56">
        <v>0</v>
      </c>
      <c r="CU285" s="56">
        <v>0</v>
      </c>
      <c r="CV285" s="56">
        <v>0</v>
      </c>
      <c r="CW285" s="56">
        <v>0</v>
      </c>
      <c r="CX285" s="56">
        <v>0</v>
      </c>
      <c r="CY285" s="56">
        <v>0</v>
      </c>
      <c r="CZ285" s="56">
        <v>0</v>
      </c>
      <c r="DA285" s="56">
        <v>0</v>
      </c>
      <c r="DB285" s="56">
        <v>0</v>
      </c>
      <c r="DC285" s="56">
        <v>0</v>
      </c>
      <c r="DD285" s="56">
        <v>0</v>
      </c>
      <c r="DE285" s="56">
        <v>0</v>
      </c>
      <c r="DF285" s="56">
        <v>0</v>
      </c>
      <c r="DG285" s="56">
        <v>0</v>
      </c>
      <c r="DH285" s="56">
        <v>0</v>
      </c>
      <c r="DI285" s="56">
        <v>0</v>
      </c>
      <c r="DJ285" s="56">
        <v>0</v>
      </c>
      <c r="DK285" s="56">
        <v>0</v>
      </c>
      <c r="DL285" s="56">
        <v>0</v>
      </c>
      <c r="DM285" s="56">
        <v>0</v>
      </c>
      <c r="DN285" s="56">
        <v>0</v>
      </c>
      <c r="DO285" s="56">
        <v>0</v>
      </c>
      <c r="DP285" s="56">
        <v>0</v>
      </c>
      <c r="DQ285" s="56">
        <v>0</v>
      </c>
      <c r="DR285" s="56">
        <v>0</v>
      </c>
      <c r="DS285" s="56">
        <v>0</v>
      </c>
      <c r="DT285" s="56">
        <v>0</v>
      </c>
      <c r="DU285" s="56">
        <v>0</v>
      </c>
      <c r="DV285" s="56">
        <v>0</v>
      </c>
      <c r="DW285" s="56">
        <v>0</v>
      </c>
      <c r="DX285" s="56">
        <v>0</v>
      </c>
      <c r="DY285" s="56">
        <v>0</v>
      </c>
      <c r="DZ285" s="56">
        <v>0</v>
      </c>
      <c r="EA285" s="56">
        <v>0</v>
      </c>
      <c r="EB285" s="56">
        <v>0</v>
      </c>
      <c r="EC285" s="56">
        <v>0</v>
      </c>
      <c r="ED285" s="56">
        <v>0</v>
      </c>
      <c r="EE285" s="56">
        <v>0</v>
      </c>
      <c r="EF285" s="56">
        <v>0</v>
      </c>
      <c r="EG285" s="56">
        <v>0</v>
      </c>
      <c r="EH285" s="56">
        <v>73.39</v>
      </c>
      <c r="EI285" s="56">
        <v>0</v>
      </c>
      <c r="EJ285" s="56">
        <v>0</v>
      </c>
      <c r="EK285" s="56">
        <v>0</v>
      </c>
      <c r="EL285" s="56">
        <v>0</v>
      </c>
      <c r="EM285" s="56">
        <v>0</v>
      </c>
      <c r="EN285" s="56">
        <v>0</v>
      </c>
      <c r="EO285" s="56">
        <v>0</v>
      </c>
      <c r="EP285" s="56">
        <v>0</v>
      </c>
      <c r="EQ285" s="56">
        <v>0</v>
      </c>
      <c r="ER285" s="56">
        <v>0</v>
      </c>
      <c r="ES285" s="56">
        <v>0</v>
      </c>
      <c r="ET285" s="56">
        <v>0</v>
      </c>
      <c r="EU285" s="56">
        <v>0</v>
      </c>
      <c r="EV285" s="56">
        <v>0</v>
      </c>
      <c r="EW285" s="56">
        <v>0</v>
      </c>
      <c r="EX285" s="56">
        <v>0</v>
      </c>
      <c r="EY285" s="56">
        <v>0</v>
      </c>
      <c r="EZ285" s="56">
        <v>0</v>
      </c>
      <c r="FA285" s="56">
        <v>0</v>
      </c>
      <c r="FB285" s="56">
        <v>0</v>
      </c>
      <c r="FC285" s="58">
        <v>0</v>
      </c>
      <c r="FD285" s="56">
        <v>0</v>
      </c>
      <c r="FE285" s="56">
        <v>0</v>
      </c>
      <c r="FF285" s="56">
        <v>0</v>
      </c>
      <c r="FG285" s="56">
        <v>0</v>
      </c>
      <c r="FH285" s="56">
        <v>0</v>
      </c>
      <c r="FI285" s="56">
        <v>0</v>
      </c>
      <c r="FJ285" s="56">
        <v>0</v>
      </c>
      <c r="FK285" s="56">
        <v>0</v>
      </c>
      <c r="FL285" s="56">
        <v>0</v>
      </c>
      <c r="FM285" s="56">
        <v>0</v>
      </c>
      <c r="FN285" s="56">
        <v>0</v>
      </c>
      <c r="FO285" s="56">
        <v>0</v>
      </c>
      <c r="FP285" s="56">
        <v>0</v>
      </c>
      <c r="FQ285" s="56">
        <v>0</v>
      </c>
      <c r="FR285" s="56">
        <v>0</v>
      </c>
      <c r="FS285" s="58">
        <v>0</v>
      </c>
      <c r="FT285" s="56">
        <v>0</v>
      </c>
      <c r="FU285" s="56">
        <v>0</v>
      </c>
      <c r="FV285" s="56">
        <v>0</v>
      </c>
      <c r="FW285" s="56">
        <v>0</v>
      </c>
      <c r="FX285" s="56">
        <v>0</v>
      </c>
      <c r="FY285" s="56">
        <v>0</v>
      </c>
      <c r="FZ285" s="54" t="s">
        <v>1070</v>
      </c>
      <c r="GA285" s="54" t="s">
        <v>1071</v>
      </c>
      <c r="GB285" s="54" t="s">
        <v>1072</v>
      </c>
      <c r="GC285" s="54" t="s">
        <v>1073</v>
      </c>
      <c r="GD285" s="54" t="s">
        <v>1300</v>
      </c>
      <c r="GE285" s="54" t="s">
        <v>1201</v>
      </c>
      <c r="GF285" s="54"/>
      <c r="GG285" s="55"/>
      <c r="GH285" s="54"/>
      <c r="GI285" s="54"/>
      <c r="GJ285" s="54"/>
      <c r="GK285" s="54" t="s">
        <v>1077</v>
      </c>
      <c r="GL285" s="54"/>
      <c r="GM285" s="54"/>
      <c r="GN285" s="54" t="s">
        <v>1208</v>
      </c>
      <c r="GO285" s="54" t="s">
        <v>1209</v>
      </c>
      <c r="GP285" s="54"/>
      <c r="GQ285" s="56">
        <v>0</v>
      </c>
      <c r="GR285" s="54" t="s">
        <v>1079</v>
      </c>
      <c r="GS285" s="54"/>
    </row>
    <row r="286" spans="1:201" x14ac:dyDescent="0.25">
      <c r="A286" s="54" t="s">
        <v>1032</v>
      </c>
      <c r="B286" s="54" t="s">
        <v>1033</v>
      </c>
      <c r="C286" s="54" t="s">
        <v>1301</v>
      </c>
      <c r="D286" s="54" t="s">
        <v>1035</v>
      </c>
      <c r="E286" s="54" t="s">
        <v>1036</v>
      </c>
      <c r="F286" s="55">
        <v>46195</v>
      </c>
      <c r="G286" s="55">
        <v>46195</v>
      </c>
      <c r="H286" s="54" t="s">
        <v>1037</v>
      </c>
      <c r="I286" s="54" t="s">
        <v>1038</v>
      </c>
      <c r="J286" s="54" t="s">
        <v>1039</v>
      </c>
      <c r="K286" s="55"/>
      <c r="L286" s="54" t="s">
        <v>1040</v>
      </c>
      <c r="M286" s="54"/>
      <c r="N286" s="54" t="s">
        <v>1302</v>
      </c>
      <c r="O286" s="54" t="s">
        <v>1042</v>
      </c>
      <c r="P286" s="54" t="s">
        <v>802</v>
      </c>
      <c r="Q286" s="54" t="s">
        <v>804</v>
      </c>
      <c r="R286" s="54" t="s">
        <v>1043</v>
      </c>
      <c r="S286" s="56">
        <v>3091.92</v>
      </c>
      <c r="T286" s="56">
        <v>3091.92</v>
      </c>
      <c r="U286" s="56">
        <v>0</v>
      </c>
      <c r="V286" s="56">
        <v>0</v>
      </c>
      <c r="W286" s="56">
        <v>0</v>
      </c>
      <c r="X286" s="56">
        <v>0</v>
      </c>
      <c r="Y286" s="56">
        <v>0</v>
      </c>
      <c r="Z286" s="56">
        <v>312</v>
      </c>
      <c r="AA286" s="56">
        <v>312</v>
      </c>
      <c r="AB286" s="59">
        <v>0</v>
      </c>
      <c r="AC286" s="56">
        <v>0</v>
      </c>
      <c r="AD286" s="56">
        <v>0</v>
      </c>
      <c r="AE286" s="56">
        <v>0</v>
      </c>
      <c r="AF286" s="54" t="s">
        <v>1199</v>
      </c>
      <c r="AG286" s="57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 t="s">
        <v>461</v>
      </c>
      <c r="AR286" s="54" t="s">
        <v>1045</v>
      </c>
      <c r="AS286" s="54" t="s">
        <v>1103</v>
      </c>
      <c r="AT286" s="54" t="s">
        <v>1104</v>
      </c>
      <c r="AU286" s="54" t="s">
        <v>1048</v>
      </c>
      <c r="AV286" s="54"/>
      <c r="AW286" s="55">
        <v>46206</v>
      </c>
      <c r="AX286" s="55">
        <v>46195</v>
      </c>
      <c r="AY286" s="55">
        <v>46195</v>
      </c>
      <c r="AZ286" s="55">
        <v>46197</v>
      </c>
      <c r="BA286" s="55">
        <v>46206</v>
      </c>
      <c r="BB286" s="56">
        <v>0</v>
      </c>
      <c r="BC286" s="56">
        <v>0</v>
      </c>
      <c r="BD286" s="56">
        <v>0</v>
      </c>
      <c r="BE286" s="56">
        <v>0</v>
      </c>
      <c r="BF286" s="56">
        <v>0</v>
      </c>
      <c r="BG286" s="56">
        <v>0</v>
      </c>
      <c r="BH286" s="56">
        <v>0</v>
      </c>
      <c r="BI286" s="56">
        <v>0</v>
      </c>
      <c r="BJ286" s="56">
        <v>0</v>
      </c>
      <c r="BK286" s="56">
        <v>0</v>
      </c>
      <c r="BL286" s="56">
        <v>0</v>
      </c>
      <c r="BM286" s="56">
        <v>0</v>
      </c>
      <c r="BN286" s="56">
        <v>0</v>
      </c>
      <c r="BO286" s="56">
        <v>0</v>
      </c>
      <c r="BP286" s="54" t="s">
        <v>1049</v>
      </c>
      <c r="BQ286" s="54" t="s">
        <v>1050</v>
      </c>
      <c r="BR286" s="54" t="s">
        <v>1049</v>
      </c>
      <c r="BS286" s="54" t="s">
        <v>1050</v>
      </c>
      <c r="BT286" s="54" t="s">
        <v>1051</v>
      </c>
      <c r="BU286" s="54" t="s">
        <v>1043</v>
      </c>
      <c r="BV286" s="58">
        <v>312</v>
      </c>
      <c r="BW286" s="54" t="s">
        <v>1052</v>
      </c>
      <c r="BX286" s="54" t="s">
        <v>1053</v>
      </c>
      <c r="BY286" s="54" t="s">
        <v>1054</v>
      </c>
      <c r="BZ286" s="54" t="s">
        <v>1055</v>
      </c>
      <c r="CA286" s="55"/>
      <c r="CB286" s="54" t="s">
        <v>1056</v>
      </c>
      <c r="CC286" s="54" t="s">
        <v>1057</v>
      </c>
      <c r="CD286" s="54" t="s">
        <v>1200</v>
      </c>
      <c r="CE286" s="54" t="s">
        <v>1201</v>
      </c>
      <c r="CF286" s="54" t="s">
        <v>1202</v>
      </c>
      <c r="CG286" s="54" t="s">
        <v>1203</v>
      </c>
      <c r="CH286" s="54" t="s">
        <v>1204</v>
      </c>
      <c r="CI286" s="54" t="s">
        <v>1203</v>
      </c>
      <c r="CJ286" s="54" t="s">
        <v>1064</v>
      </c>
      <c r="CK286" s="54" t="s">
        <v>1065</v>
      </c>
      <c r="CL286" s="54" t="s">
        <v>1205</v>
      </c>
      <c r="CM286" s="54" t="s">
        <v>1206</v>
      </c>
      <c r="CN286" s="54" t="s">
        <v>1068</v>
      </c>
      <c r="CO286" s="54" t="s">
        <v>1069</v>
      </c>
      <c r="CP286" s="56">
        <v>0</v>
      </c>
      <c r="CQ286" s="56">
        <v>0</v>
      </c>
      <c r="CR286" s="56">
        <v>0</v>
      </c>
      <c r="CS286" s="56">
        <v>0</v>
      </c>
      <c r="CT286" s="56">
        <v>0</v>
      </c>
      <c r="CU286" s="56">
        <v>0</v>
      </c>
      <c r="CV286" s="56">
        <v>0</v>
      </c>
      <c r="CW286" s="56">
        <v>0</v>
      </c>
      <c r="CX286" s="56">
        <v>0</v>
      </c>
      <c r="CY286" s="56">
        <v>0</v>
      </c>
      <c r="CZ286" s="56">
        <v>0</v>
      </c>
      <c r="DA286" s="56">
        <v>0</v>
      </c>
      <c r="DB286" s="56">
        <v>0</v>
      </c>
      <c r="DC286" s="56">
        <v>0</v>
      </c>
      <c r="DD286" s="56">
        <v>0</v>
      </c>
      <c r="DE286" s="56">
        <v>0</v>
      </c>
      <c r="DF286" s="56">
        <v>0</v>
      </c>
      <c r="DG286" s="56">
        <v>0</v>
      </c>
      <c r="DH286" s="56">
        <v>0</v>
      </c>
      <c r="DI286" s="56">
        <v>0</v>
      </c>
      <c r="DJ286" s="56">
        <v>0</v>
      </c>
      <c r="DK286" s="56">
        <v>0</v>
      </c>
      <c r="DL286" s="56">
        <v>0</v>
      </c>
      <c r="DM286" s="56">
        <v>0</v>
      </c>
      <c r="DN286" s="56">
        <v>0</v>
      </c>
      <c r="DO286" s="56">
        <v>0</v>
      </c>
      <c r="DP286" s="56">
        <v>0</v>
      </c>
      <c r="DQ286" s="56">
        <v>0</v>
      </c>
      <c r="DR286" s="56">
        <v>0</v>
      </c>
      <c r="DS286" s="56">
        <v>0</v>
      </c>
      <c r="DT286" s="56">
        <v>0</v>
      </c>
      <c r="DU286" s="56">
        <v>0</v>
      </c>
      <c r="DV286" s="56">
        <v>0</v>
      </c>
      <c r="DW286" s="56">
        <v>0</v>
      </c>
      <c r="DX286" s="56">
        <v>0</v>
      </c>
      <c r="DY286" s="56">
        <v>0</v>
      </c>
      <c r="DZ286" s="56">
        <v>0</v>
      </c>
      <c r="EA286" s="56">
        <v>0</v>
      </c>
      <c r="EB286" s="56">
        <v>0</v>
      </c>
      <c r="EC286" s="56">
        <v>0</v>
      </c>
      <c r="ED286" s="56">
        <v>0</v>
      </c>
      <c r="EE286" s="56">
        <v>0</v>
      </c>
      <c r="EF286" s="56">
        <v>234.99</v>
      </c>
      <c r="EG286" s="56">
        <v>51.02</v>
      </c>
      <c r="EH286" s="56">
        <v>371.03</v>
      </c>
      <c r="EI286" s="56">
        <v>0</v>
      </c>
      <c r="EJ286" s="56">
        <v>0</v>
      </c>
      <c r="EK286" s="56">
        <v>0</v>
      </c>
      <c r="EL286" s="56">
        <v>0</v>
      </c>
      <c r="EM286" s="56">
        <v>0</v>
      </c>
      <c r="EN286" s="56">
        <v>0</v>
      </c>
      <c r="EO286" s="56">
        <v>0</v>
      </c>
      <c r="EP286" s="56">
        <v>0</v>
      </c>
      <c r="EQ286" s="56">
        <v>0</v>
      </c>
      <c r="ER286" s="56">
        <v>0</v>
      </c>
      <c r="ES286" s="56">
        <v>0</v>
      </c>
      <c r="ET286" s="56">
        <v>0</v>
      </c>
      <c r="EU286" s="56">
        <v>0</v>
      </c>
      <c r="EV286" s="56">
        <v>0</v>
      </c>
      <c r="EW286" s="56">
        <v>0</v>
      </c>
      <c r="EX286" s="56">
        <v>0</v>
      </c>
      <c r="EY286" s="56">
        <v>0</v>
      </c>
      <c r="EZ286" s="56">
        <v>0</v>
      </c>
      <c r="FA286" s="56">
        <v>0</v>
      </c>
      <c r="FB286" s="56">
        <v>0</v>
      </c>
      <c r="FC286" s="58">
        <v>0</v>
      </c>
      <c r="FD286" s="56">
        <v>0</v>
      </c>
      <c r="FE286" s="56">
        <v>0</v>
      </c>
      <c r="FF286" s="56">
        <v>0</v>
      </c>
      <c r="FG286" s="56">
        <v>0</v>
      </c>
      <c r="FH286" s="56">
        <v>0</v>
      </c>
      <c r="FI286" s="56">
        <v>0</v>
      </c>
      <c r="FJ286" s="56">
        <v>0</v>
      </c>
      <c r="FK286" s="56">
        <v>0</v>
      </c>
      <c r="FL286" s="56">
        <v>0</v>
      </c>
      <c r="FM286" s="56">
        <v>0</v>
      </c>
      <c r="FN286" s="56">
        <v>0</v>
      </c>
      <c r="FO286" s="56">
        <v>0</v>
      </c>
      <c r="FP286" s="56">
        <v>0</v>
      </c>
      <c r="FQ286" s="56">
        <v>0</v>
      </c>
      <c r="FR286" s="56">
        <v>0</v>
      </c>
      <c r="FS286" s="58">
        <v>0</v>
      </c>
      <c r="FT286" s="56">
        <v>0</v>
      </c>
      <c r="FU286" s="56">
        <v>0</v>
      </c>
      <c r="FV286" s="56">
        <v>0</v>
      </c>
      <c r="FW286" s="56">
        <v>0</v>
      </c>
      <c r="FX286" s="56">
        <v>0</v>
      </c>
      <c r="FY286" s="56">
        <v>0</v>
      </c>
      <c r="FZ286" s="54" t="s">
        <v>1105</v>
      </c>
      <c r="GA286" s="54" t="s">
        <v>1106</v>
      </c>
      <c r="GB286" s="54" t="s">
        <v>1072</v>
      </c>
      <c r="GC286" s="54" t="s">
        <v>1073</v>
      </c>
      <c r="GD286" s="54"/>
      <c r="GE286" s="54"/>
      <c r="GF286" s="54"/>
      <c r="GG286" s="55"/>
      <c r="GH286" s="54"/>
      <c r="GI286" s="54"/>
      <c r="GJ286" s="54"/>
      <c r="GK286" s="54" t="s">
        <v>1077</v>
      </c>
      <c r="GL286" s="54"/>
      <c r="GM286" s="54"/>
      <c r="GN286" s="54" t="s">
        <v>1208</v>
      </c>
      <c r="GO286" s="54" t="s">
        <v>1209</v>
      </c>
      <c r="GP286" s="54"/>
      <c r="GQ286" s="56">
        <v>0</v>
      </c>
      <c r="GR286" s="54" t="s">
        <v>1210</v>
      </c>
      <c r="GS286" s="54"/>
    </row>
    <row r="287" spans="1:201" x14ac:dyDescent="0.25">
      <c r="A287" s="54" t="s">
        <v>1032</v>
      </c>
      <c r="B287" s="54" t="s">
        <v>1033</v>
      </c>
      <c r="C287" s="54" t="s">
        <v>1303</v>
      </c>
      <c r="D287" s="54" t="s">
        <v>1035</v>
      </c>
      <c r="E287" s="54" t="s">
        <v>1036</v>
      </c>
      <c r="F287" s="55">
        <v>46197</v>
      </c>
      <c r="G287" s="55">
        <v>46197</v>
      </c>
      <c r="H287" s="54" t="s">
        <v>1037</v>
      </c>
      <c r="I287" s="54" t="s">
        <v>1038</v>
      </c>
      <c r="J287" s="54" t="s">
        <v>1039</v>
      </c>
      <c r="K287" s="55"/>
      <c r="L287" s="54" t="s">
        <v>1040</v>
      </c>
      <c r="M287" s="54"/>
      <c r="N287" s="54" t="s">
        <v>1304</v>
      </c>
      <c r="O287" s="54" t="s">
        <v>1042</v>
      </c>
      <c r="P287" s="54" t="s">
        <v>773</v>
      </c>
      <c r="Q287" s="54" t="s">
        <v>780</v>
      </c>
      <c r="R287" s="54" t="s">
        <v>1043</v>
      </c>
      <c r="S287" s="56">
        <v>14436</v>
      </c>
      <c r="T287" s="56">
        <v>0</v>
      </c>
      <c r="U287" s="56">
        <v>14436</v>
      </c>
      <c r="V287" s="56">
        <v>0</v>
      </c>
      <c r="W287" s="56">
        <v>0</v>
      </c>
      <c r="X287" s="56">
        <v>0</v>
      </c>
      <c r="Y287" s="56">
        <v>0</v>
      </c>
      <c r="Z287" s="56">
        <v>1200</v>
      </c>
      <c r="AA287" s="56">
        <v>0</v>
      </c>
      <c r="AB287" s="59">
        <v>1200</v>
      </c>
      <c r="AC287" s="56">
        <v>0</v>
      </c>
      <c r="AD287" s="56">
        <v>0</v>
      </c>
      <c r="AE287" s="56">
        <v>0</v>
      </c>
      <c r="AF287" s="54" t="s">
        <v>1044</v>
      </c>
      <c r="AG287" s="57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 t="s">
        <v>1045</v>
      </c>
      <c r="AS287" s="54" t="s">
        <v>1081</v>
      </c>
      <c r="AT287" s="54" t="s">
        <v>1082</v>
      </c>
      <c r="AU287" s="54" t="s">
        <v>1048</v>
      </c>
      <c r="AV287" s="54"/>
      <c r="AW287" s="55">
        <v>46210</v>
      </c>
      <c r="AX287" s="55">
        <v>46197</v>
      </c>
      <c r="AY287" s="55">
        <v>46197</v>
      </c>
      <c r="AZ287" s="55"/>
      <c r="BA287" s="55">
        <v>46210</v>
      </c>
      <c r="BB287" s="56">
        <v>0</v>
      </c>
      <c r="BC287" s="56">
        <v>0</v>
      </c>
      <c r="BD287" s="56">
        <v>0</v>
      </c>
      <c r="BE287" s="56">
        <v>0</v>
      </c>
      <c r="BF287" s="56">
        <v>0</v>
      </c>
      <c r="BG287" s="56">
        <v>0</v>
      </c>
      <c r="BH287" s="56">
        <v>0</v>
      </c>
      <c r="BI287" s="56">
        <v>0</v>
      </c>
      <c r="BJ287" s="56">
        <v>0</v>
      </c>
      <c r="BK287" s="56">
        <v>0</v>
      </c>
      <c r="BL287" s="56">
        <v>0</v>
      </c>
      <c r="BM287" s="56">
        <v>0</v>
      </c>
      <c r="BN287" s="56">
        <v>0</v>
      </c>
      <c r="BO287" s="56">
        <v>0</v>
      </c>
      <c r="BP287" s="54" t="s">
        <v>1049</v>
      </c>
      <c r="BQ287" s="54" t="s">
        <v>1050</v>
      </c>
      <c r="BR287" s="54" t="s">
        <v>1049</v>
      </c>
      <c r="BS287" s="54" t="s">
        <v>1050</v>
      </c>
      <c r="BT287" s="54" t="s">
        <v>1051</v>
      </c>
      <c r="BU287" s="54" t="s">
        <v>1043</v>
      </c>
      <c r="BV287" s="58">
        <v>0</v>
      </c>
      <c r="BW287" s="54" t="s">
        <v>1052</v>
      </c>
      <c r="BX287" s="54" t="s">
        <v>1053</v>
      </c>
      <c r="BY287" s="54" t="s">
        <v>1054</v>
      </c>
      <c r="BZ287" s="54" t="s">
        <v>1055</v>
      </c>
      <c r="CA287" s="55"/>
      <c r="CB287" s="54" t="s">
        <v>1056</v>
      </c>
      <c r="CC287" s="54" t="s">
        <v>1057</v>
      </c>
      <c r="CD287" s="54" t="s">
        <v>1058</v>
      </c>
      <c r="CE287" s="54" t="s">
        <v>1059</v>
      </c>
      <c r="CF287" s="54" t="s">
        <v>1060</v>
      </c>
      <c r="CG287" s="54" t="s">
        <v>1061</v>
      </c>
      <c r="CH287" s="54" t="s">
        <v>1062</v>
      </c>
      <c r="CI287" s="54" t="s">
        <v>1063</v>
      </c>
      <c r="CJ287" s="54" t="s">
        <v>1064</v>
      </c>
      <c r="CK287" s="54" t="s">
        <v>1065</v>
      </c>
      <c r="CL287" s="54" t="s">
        <v>1066</v>
      </c>
      <c r="CM287" s="54" t="s">
        <v>1067</v>
      </c>
      <c r="CN287" s="54" t="s">
        <v>1068</v>
      </c>
      <c r="CO287" s="54" t="s">
        <v>1069</v>
      </c>
      <c r="CP287" s="56">
        <v>0</v>
      </c>
      <c r="CQ287" s="56">
        <v>0</v>
      </c>
      <c r="CR287" s="56">
        <v>0</v>
      </c>
      <c r="CS287" s="56">
        <v>0</v>
      </c>
      <c r="CT287" s="56">
        <v>0</v>
      </c>
      <c r="CU287" s="56">
        <v>0</v>
      </c>
      <c r="CV287" s="56">
        <v>0</v>
      </c>
      <c r="CW287" s="56">
        <v>0</v>
      </c>
      <c r="CX287" s="56">
        <v>0</v>
      </c>
      <c r="CY287" s="56">
        <v>0</v>
      </c>
      <c r="CZ287" s="56">
        <v>0</v>
      </c>
      <c r="DA287" s="56">
        <v>0</v>
      </c>
      <c r="DB287" s="56">
        <v>0</v>
      </c>
      <c r="DC287" s="56">
        <v>0</v>
      </c>
      <c r="DD287" s="56">
        <v>0</v>
      </c>
      <c r="DE287" s="56">
        <v>0</v>
      </c>
      <c r="DF287" s="56">
        <v>0</v>
      </c>
      <c r="DG287" s="56">
        <v>0</v>
      </c>
      <c r="DH287" s="56">
        <v>0</v>
      </c>
      <c r="DI287" s="56">
        <v>0</v>
      </c>
      <c r="DJ287" s="56">
        <v>0</v>
      </c>
      <c r="DK287" s="56">
        <v>0</v>
      </c>
      <c r="DL287" s="56">
        <v>0</v>
      </c>
      <c r="DM287" s="56">
        <v>0</v>
      </c>
      <c r="DN287" s="56">
        <v>0</v>
      </c>
      <c r="DO287" s="56">
        <v>0</v>
      </c>
      <c r="DP287" s="56">
        <v>0</v>
      </c>
      <c r="DQ287" s="56">
        <v>0</v>
      </c>
      <c r="DR287" s="56">
        <v>0</v>
      </c>
      <c r="DS287" s="56">
        <v>0</v>
      </c>
      <c r="DT287" s="56">
        <v>0</v>
      </c>
      <c r="DU287" s="56">
        <v>0</v>
      </c>
      <c r="DV287" s="56">
        <v>0</v>
      </c>
      <c r="DW287" s="56">
        <v>0</v>
      </c>
      <c r="DX287" s="56">
        <v>0</v>
      </c>
      <c r="DY287" s="56">
        <v>0</v>
      </c>
      <c r="DZ287" s="56">
        <v>0</v>
      </c>
      <c r="EA287" s="56">
        <v>0</v>
      </c>
      <c r="EB287" s="56">
        <v>0</v>
      </c>
      <c r="EC287" s="56">
        <v>1732.32</v>
      </c>
      <c r="ED287" s="56">
        <v>0</v>
      </c>
      <c r="EE287" s="56">
        <v>0</v>
      </c>
      <c r="EF287" s="56">
        <v>0</v>
      </c>
      <c r="EG287" s="56">
        <v>0</v>
      </c>
      <c r="EH287" s="56">
        <v>1732.32</v>
      </c>
      <c r="EI287" s="56">
        <v>0</v>
      </c>
      <c r="EJ287" s="56">
        <v>0</v>
      </c>
      <c r="EK287" s="56">
        <v>0</v>
      </c>
      <c r="EL287" s="56">
        <v>0</v>
      </c>
      <c r="EM287" s="56">
        <v>0</v>
      </c>
      <c r="EN287" s="56">
        <v>0</v>
      </c>
      <c r="EO287" s="56">
        <v>0</v>
      </c>
      <c r="EP287" s="56">
        <v>14436</v>
      </c>
      <c r="EQ287" s="56">
        <v>0</v>
      </c>
      <c r="ER287" s="56">
        <v>0</v>
      </c>
      <c r="ES287" s="56">
        <v>1200</v>
      </c>
      <c r="ET287" s="56">
        <v>0</v>
      </c>
      <c r="EU287" s="56">
        <v>0</v>
      </c>
      <c r="EV287" s="56">
        <v>0</v>
      </c>
      <c r="EW287" s="56">
        <v>0</v>
      </c>
      <c r="EX287" s="56">
        <v>0</v>
      </c>
      <c r="EY287" s="56">
        <v>0</v>
      </c>
      <c r="EZ287" s="56">
        <v>0</v>
      </c>
      <c r="FA287" s="56">
        <v>0</v>
      </c>
      <c r="FB287" s="56">
        <v>0</v>
      </c>
      <c r="FC287" s="58">
        <v>0</v>
      </c>
      <c r="FD287" s="56">
        <v>0</v>
      </c>
      <c r="FE287" s="56">
        <v>0</v>
      </c>
      <c r="FF287" s="56">
        <v>0</v>
      </c>
      <c r="FG287" s="56">
        <v>0</v>
      </c>
      <c r="FH287" s="56">
        <v>0</v>
      </c>
      <c r="FI287" s="56">
        <v>0</v>
      </c>
      <c r="FJ287" s="56">
        <v>0</v>
      </c>
      <c r="FK287" s="56">
        <v>0</v>
      </c>
      <c r="FL287" s="56">
        <v>0</v>
      </c>
      <c r="FM287" s="56">
        <v>0</v>
      </c>
      <c r="FN287" s="56">
        <v>0</v>
      </c>
      <c r="FO287" s="56">
        <v>0</v>
      </c>
      <c r="FP287" s="56">
        <v>0</v>
      </c>
      <c r="FQ287" s="56">
        <v>0</v>
      </c>
      <c r="FR287" s="56">
        <v>0</v>
      </c>
      <c r="FS287" s="58">
        <v>0</v>
      </c>
      <c r="FT287" s="56">
        <v>0</v>
      </c>
      <c r="FU287" s="56">
        <v>0</v>
      </c>
      <c r="FV287" s="56">
        <v>0</v>
      </c>
      <c r="FW287" s="56">
        <v>0</v>
      </c>
      <c r="FX287" s="56">
        <v>0</v>
      </c>
      <c r="FY287" s="56">
        <v>0</v>
      </c>
      <c r="FZ287" s="54" t="s">
        <v>1083</v>
      </c>
      <c r="GA287" s="54" t="s">
        <v>1084</v>
      </c>
      <c r="GB287" s="54" t="s">
        <v>1072</v>
      </c>
      <c r="GC287" s="54" t="s">
        <v>1073</v>
      </c>
      <c r="GD287" s="54"/>
      <c r="GE287" s="54"/>
      <c r="GF287" s="54" t="s">
        <v>1272</v>
      </c>
      <c r="GG287" s="55">
        <v>46205</v>
      </c>
      <c r="GH287" s="54"/>
      <c r="GI287" s="54"/>
      <c r="GJ287" s="54" t="s">
        <v>1076</v>
      </c>
      <c r="GK287" s="54" t="s">
        <v>1077</v>
      </c>
      <c r="GL287" s="54"/>
      <c r="GM287" s="54"/>
      <c r="GN287" s="54" t="s">
        <v>1078</v>
      </c>
      <c r="GO287" s="54" t="s">
        <v>1059</v>
      </c>
      <c r="GP287" s="54"/>
      <c r="GQ287" s="56">
        <v>0</v>
      </c>
      <c r="GR287" s="54" t="s">
        <v>1079</v>
      </c>
      <c r="GS287" s="54" t="s">
        <v>1101</v>
      </c>
    </row>
    <row r="288" spans="1:201" x14ac:dyDescent="0.25">
      <c r="A288" s="54" t="s">
        <v>1032</v>
      </c>
      <c r="B288" s="54" t="s">
        <v>1033</v>
      </c>
      <c r="C288" s="54" t="s">
        <v>1303</v>
      </c>
      <c r="D288" s="54" t="s">
        <v>1035</v>
      </c>
      <c r="E288" s="54" t="s">
        <v>1036</v>
      </c>
      <c r="F288" s="55">
        <v>46197</v>
      </c>
      <c r="G288" s="55">
        <v>46197</v>
      </c>
      <c r="H288" s="54" t="s">
        <v>1037</v>
      </c>
      <c r="I288" s="54" t="s">
        <v>1038</v>
      </c>
      <c r="J288" s="54" t="s">
        <v>1039</v>
      </c>
      <c r="K288" s="55"/>
      <c r="L288" s="54" t="s">
        <v>1040</v>
      </c>
      <c r="M288" s="54"/>
      <c r="N288" s="54" t="s">
        <v>1304</v>
      </c>
      <c r="O288" s="54" t="s">
        <v>1080</v>
      </c>
      <c r="P288" s="54" t="s">
        <v>821</v>
      </c>
      <c r="Q288" s="54" t="s">
        <v>824</v>
      </c>
      <c r="R288" s="54" t="s">
        <v>1043</v>
      </c>
      <c r="S288" s="56">
        <v>1740.48</v>
      </c>
      <c r="T288" s="56">
        <v>1740.48</v>
      </c>
      <c r="U288" s="56">
        <v>0</v>
      </c>
      <c r="V288" s="56">
        <v>0</v>
      </c>
      <c r="W288" s="56">
        <v>0</v>
      </c>
      <c r="X288" s="56">
        <v>0</v>
      </c>
      <c r="Y288" s="56">
        <v>0</v>
      </c>
      <c r="Z288" s="56">
        <v>336</v>
      </c>
      <c r="AA288" s="56">
        <v>336</v>
      </c>
      <c r="AB288" s="59">
        <v>0</v>
      </c>
      <c r="AC288" s="56">
        <v>0</v>
      </c>
      <c r="AD288" s="56">
        <v>0</v>
      </c>
      <c r="AE288" s="56">
        <v>0</v>
      </c>
      <c r="AF288" s="54" t="s">
        <v>1044</v>
      </c>
      <c r="AG288" s="57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 t="s">
        <v>1045</v>
      </c>
      <c r="AS288" s="54" t="s">
        <v>1081</v>
      </c>
      <c r="AT288" s="54" t="s">
        <v>1082</v>
      </c>
      <c r="AU288" s="54" t="s">
        <v>1048</v>
      </c>
      <c r="AV288" s="54"/>
      <c r="AW288" s="55">
        <v>46210</v>
      </c>
      <c r="AX288" s="55">
        <v>46197</v>
      </c>
      <c r="AY288" s="55">
        <v>46197</v>
      </c>
      <c r="AZ288" s="55"/>
      <c r="BA288" s="55">
        <v>46210</v>
      </c>
      <c r="BB288" s="56">
        <v>0</v>
      </c>
      <c r="BC288" s="56">
        <v>0</v>
      </c>
      <c r="BD288" s="56">
        <v>0</v>
      </c>
      <c r="BE288" s="56">
        <v>0</v>
      </c>
      <c r="BF288" s="56">
        <v>0</v>
      </c>
      <c r="BG288" s="56">
        <v>0</v>
      </c>
      <c r="BH288" s="56">
        <v>0</v>
      </c>
      <c r="BI288" s="56">
        <v>0</v>
      </c>
      <c r="BJ288" s="56">
        <v>0</v>
      </c>
      <c r="BK288" s="56">
        <v>0</v>
      </c>
      <c r="BL288" s="56">
        <v>0</v>
      </c>
      <c r="BM288" s="56">
        <v>0</v>
      </c>
      <c r="BN288" s="56">
        <v>0</v>
      </c>
      <c r="BO288" s="56">
        <v>0</v>
      </c>
      <c r="BP288" s="54" t="s">
        <v>1049</v>
      </c>
      <c r="BQ288" s="54" t="s">
        <v>1050</v>
      </c>
      <c r="BR288" s="54" t="s">
        <v>1049</v>
      </c>
      <c r="BS288" s="54" t="s">
        <v>1050</v>
      </c>
      <c r="BT288" s="54" t="s">
        <v>1051</v>
      </c>
      <c r="BU288" s="54" t="s">
        <v>1043</v>
      </c>
      <c r="BV288" s="58">
        <v>336</v>
      </c>
      <c r="BW288" s="54" t="s">
        <v>1052</v>
      </c>
      <c r="BX288" s="54" t="s">
        <v>1053</v>
      </c>
      <c r="BY288" s="54" t="s">
        <v>1054</v>
      </c>
      <c r="BZ288" s="54" t="s">
        <v>1055</v>
      </c>
      <c r="CA288" s="55"/>
      <c r="CB288" s="54" t="s">
        <v>1056</v>
      </c>
      <c r="CC288" s="54" t="s">
        <v>1057</v>
      </c>
      <c r="CD288" s="54" t="s">
        <v>1058</v>
      </c>
      <c r="CE288" s="54" t="s">
        <v>1059</v>
      </c>
      <c r="CF288" s="54" t="s">
        <v>1060</v>
      </c>
      <c r="CG288" s="54" t="s">
        <v>1061</v>
      </c>
      <c r="CH288" s="54" t="s">
        <v>1062</v>
      </c>
      <c r="CI288" s="54" t="s">
        <v>1063</v>
      </c>
      <c r="CJ288" s="54" t="s">
        <v>1064</v>
      </c>
      <c r="CK288" s="54" t="s">
        <v>1065</v>
      </c>
      <c r="CL288" s="54" t="s">
        <v>1066</v>
      </c>
      <c r="CM288" s="54" t="s">
        <v>1067</v>
      </c>
      <c r="CN288" s="54" t="s">
        <v>1068</v>
      </c>
      <c r="CO288" s="54" t="s">
        <v>1069</v>
      </c>
      <c r="CP288" s="56">
        <v>0</v>
      </c>
      <c r="CQ288" s="56">
        <v>0</v>
      </c>
      <c r="CR288" s="56">
        <v>0</v>
      </c>
      <c r="CS288" s="56">
        <v>0</v>
      </c>
      <c r="CT288" s="56">
        <v>0</v>
      </c>
      <c r="CU288" s="56">
        <v>0</v>
      </c>
      <c r="CV288" s="56">
        <v>0</v>
      </c>
      <c r="CW288" s="56">
        <v>0</v>
      </c>
      <c r="CX288" s="56">
        <v>0</v>
      </c>
      <c r="CY288" s="56">
        <v>0</v>
      </c>
      <c r="CZ288" s="56">
        <v>0</v>
      </c>
      <c r="DA288" s="56">
        <v>0</v>
      </c>
      <c r="DB288" s="56">
        <v>0</v>
      </c>
      <c r="DC288" s="56">
        <v>0</v>
      </c>
      <c r="DD288" s="56">
        <v>0</v>
      </c>
      <c r="DE288" s="56">
        <v>0</v>
      </c>
      <c r="DF288" s="56">
        <v>0</v>
      </c>
      <c r="DG288" s="56">
        <v>0</v>
      </c>
      <c r="DH288" s="56">
        <v>0</v>
      </c>
      <c r="DI288" s="56">
        <v>0</v>
      </c>
      <c r="DJ288" s="56">
        <v>0</v>
      </c>
      <c r="DK288" s="56">
        <v>0</v>
      </c>
      <c r="DL288" s="56">
        <v>0</v>
      </c>
      <c r="DM288" s="56">
        <v>0</v>
      </c>
      <c r="DN288" s="56">
        <v>0</v>
      </c>
      <c r="DO288" s="56">
        <v>0</v>
      </c>
      <c r="DP288" s="56">
        <v>0</v>
      </c>
      <c r="DQ288" s="56">
        <v>0</v>
      </c>
      <c r="DR288" s="56">
        <v>0</v>
      </c>
      <c r="DS288" s="56">
        <v>0</v>
      </c>
      <c r="DT288" s="56">
        <v>0</v>
      </c>
      <c r="DU288" s="56">
        <v>0</v>
      </c>
      <c r="DV288" s="56">
        <v>0</v>
      </c>
      <c r="DW288" s="56">
        <v>0</v>
      </c>
      <c r="DX288" s="56">
        <v>0</v>
      </c>
      <c r="DY288" s="56">
        <v>0</v>
      </c>
      <c r="DZ288" s="56">
        <v>0</v>
      </c>
      <c r="EA288" s="56">
        <v>0</v>
      </c>
      <c r="EB288" s="56">
        <v>0</v>
      </c>
      <c r="EC288" s="56">
        <v>0</v>
      </c>
      <c r="ED288" s="56">
        <v>0</v>
      </c>
      <c r="EE288" s="56">
        <v>0</v>
      </c>
      <c r="EF288" s="56">
        <v>0</v>
      </c>
      <c r="EG288" s="56">
        <v>0</v>
      </c>
      <c r="EH288" s="56">
        <v>208.86</v>
      </c>
      <c r="EI288" s="56">
        <v>0</v>
      </c>
      <c r="EJ288" s="56">
        <v>0</v>
      </c>
      <c r="EK288" s="56">
        <v>0</v>
      </c>
      <c r="EL288" s="56">
        <v>0</v>
      </c>
      <c r="EM288" s="56">
        <v>0</v>
      </c>
      <c r="EN288" s="56">
        <v>0</v>
      </c>
      <c r="EO288" s="56">
        <v>0</v>
      </c>
      <c r="EP288" s="56">
        <v>0</v>
      </c>
      <c r="EQ288" s="56">
        <v>0</v>
      </c>
      <c r="ER288" s="56">
        <v>0</v>
      </c>
      <c r="ES288" s="56">
        <v>0</v>
      </c>
      <c r="ET288" s="56">
        <v>0</v>
      </c>
      <c r="EU288" s="56">
        <v>0</v>
      </c>
      <c r="EV288" s="56">
        <v>0</v>
      </c>
      <c r="EW288" s="56">
        <v>0</v>
      </c>
      <c r="EX288" s="56">
        <v>0</v>
      </c>
      <c r="EY288" s="56">
        <v>0</v>
      </c>
      <c r="EZ288" s="56">
        <v>0</v>
      </c>
      <c r="FA288" s="56">
        <v>0</v>
      </c>
      <c r="FB288" s="56">
        <v>0</v>
      </c>
      <c r="FC288" s="58">
        <v>0</v>
      </c>
      <c r="FD288" s="56">
        <v>0</v>
      </c>
      <c r="FE288" s="56">
        <v>0</v>
      </c>
      <c r="FF288" s="56">
        <v>0</v>
      </c>
      <c r="FG288" s="56">
        <v>0</v>
      </c>
      <c r="FH288" s="56">
        <v>0</v>
      </c>
      <c r="FI288" s="56">
        <v>0</v>
      </c>
      <c r="FJ288" s="56">
        <v>0</v>
      </c>
      <c r="FK288" s="56">
        <v>0</v>
      </c>
      <c r="FL288" s="56">
        <v>0</v>
      </c>
      <c r="FM288" s="56">
        <v>0</v>
      </c>
      <c r="FN288" s="56">
        <v>0</v>
      </c>
      <c r="FO288" s="56">
        <v>0</v>
      </c>
      <c r="FP288" s="56">
        <v>0</v>
      </c>
      <c r="FQ288" s="56">
        <v>0</v>
      </c>
      <c r="FR288" s="56">
        <v>0</v>
      </c>
      <c r="FS288" s="58">
        <v>0</v>
      </c>
      <c r="FT288" s="56">
        <v>0</v>
      </c>
      <c r="FU288" s="56">
        <v>0</v>
      </c>
      <c r="FV288" s="56">
        <v>0</v>
      </c>
      <c r="FW288" s="56">
        <v>0</v>
      </c>
      <c r="FX288" s="56">
        <v>0</v>
      </c>
      <c r="FY288" s="56">
        <v>0</v>
      </c>
      <c r="FZ288" s="54" t="s">
        <v>1083</v>
      </c>
      <c r="GA288" s="54" t="s">
        <v>1084</v>
      </c>
      <c r="GB288" s="54" t="s">
        <v>1072</v>
      </c>
      <c r="GC288" s="54" t="s">
        <v>1073</v>
      </c>
      <c r="GD288" s="54"/>
      <c r="GE288" s="54"/>
      <c r="GF288" s="54"/>
      <c r="GG288" s="55"/>
      <c r="GH288" s="54"/>
      <c r="GI288" s="54"/>
      <c r="GJ288" s="54" t="s">
        <v>1076</v>
      </c>
      <c r="GK288" s="54" t="s">
        <v>1077</v>
      </c>
      <c r="GL288" s="54"/>
      <c r="GM288" s="54"/>
      <c r="GN288" s="54" t="s">
        <v>1078</v>
      </c>
      <c r="GO288" s="54" t="s">
        <v>1059</v>
      </c>
      <c r="GP288" s="54"/>
      <c r="GQ288" s="56">
        <v>0</v>
      </c>
      <c r="GR288" s="54" t="s">
        <v>1079</v>
      </c>
      <c r="GS288" s="54"/>
    </row>
    <row r="289" spans="1:201" x14ac:dyDescent="0.25">
      <c r="A289" s="54" t="s">
        <v>1032</v>
      </c>
      <c r="B289" s="54" t="s">
        <v>1033</v>
      </c>
      <c r="C289" s="54" t="s">
        <v>1303</v>
      </c>
      <c r="D289" s="54" t="s">
        <v>1035</v>
      </c>
      <c r="E289" s="54" t="s">
        <v>1036</v>
      </c>
      <c r="F289" s="55">
        <v>46197</v>
      </c>
      <c r="G289" s="55">
        <v>46197</v>
      </c>
      <c r="H289" s="54" t="s">
        <v>1037</v>
      </c>
      <c r="I289" s="54" t="s">
        <v>1038</v>
      </c>
      <c r="J289" s="54" t="s">
        <v>1039</v>
      </c>
      <c r="K289" s="55"/>
      <c r="L289" s="54" t="s">
        <v>1040</v>
      </c>
      <c r="M289" s="54"/>
      <c r="N289" s="54" t="s">
        <v>1304</v>
      </c>
      <c r="O289" s="54" t="s">
        <v>1086</v>
      </c>
      <c r="P289" s="54" t="s">
        <v>822</v>
      </c>
      <c r="Q289" s="54" t="s">
        <v>825</v>
      </c>
      <c r="R289" s="54" t="s">
        <v>1043</v>
      </c>
      <c r="S289" s="56">
        <v>906</v>
      </c>
      <c r="T289" s="56">
        <v>906</v>
      </c>
      <c r="U289" s="56">
        <v>0</v>
      </c>
      <c r="V289" s="56">
        <v>0</v>
      </c>
      <c r="W289" s="56">
        <v>0</v>
      </c>
      <c r="X289" s="56">
        <v>0</v>
      </c>
      <c r="Y289" s="56">
        <v>0</v>
      </c>
      <c r="Z289" s="56">
        <v>120</v>
      </c>
      <c r="AA289" s="56">
        <v>120</v>
      </c>
      <c r="AB289" s="59">
        <v>0</v>
      </c>
      <c r="AC289" s="56">
        <v>0</v>
      </c>
      <c r="AD289" s="56">
        <v>0</v>
      </c>
      <c r="AE289" s="56">
        <v>0</v>
      </c>
      <c r="AF289" s="54" t="s">
        <v>1044</v>
      </c>
      <c r="AG289" s="57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 t="s">
        <v>1045</v>
      </c>
      <c r="AS289" s="54" t="s">
        <v>1081</v>
      </c>
      <c r="AT289" s="54" t="s">
        <v>1082</v>
      </c>
      <c r="AU289" s="54" t="s">
        <v>1048</v>
      </c>
      <c r="AV289" s="54"/>
      <c r="AW289" s="55">
        <v>46210</v>
      </c>
      <c r="AX289" s="55">
        <v>46197</v>
      </c>
      <c r="AY289" s="55">
        <v>46197</v>
      </c>
      <c r="AZ289" s="55"/>
      <c r="BA289" s="55">
        <v>46210</v>
      </c>
      <c r="BB289" s="56">
        <v>0</v>
      </c>
      <c r="BC289" s="56">
        <v>0</v>
      </c>
      <c r="BD289" s="56">
        <v>0</v>
      </c>
      <c r="BE289" s="56">
        <v>0</v>
      </c>
      <c r="BF289" s="56">
        <v>0</v>
      </c>
      <c r="BG289" s="56">
        <v>0</v>
      </c>
      <c r="BH289" s="56">
        <v>0</v>
      </c>
      <c r="BI289" s="56">
        <v>0</v>
      </c>
      <c r="BJ289" s="56">
        <v>0</v>
      </c>
      <c r="BK289" s="56">
        <v>0</v>
      </c>
      <c r="BL289" s="56">
        <v>0</v>
      </c>
      <c r="BM289" s="56">
        <v>0</v>
      </c>
      <c r="BN289" s="56">
        <v>0</v>
      </c>
      <c r="BO289" s="56">
        <v>0</v>
      </c>
      <c r="BP289" s="54" t="s">
        <v>1049</v>
      </c>
      <c r="BQ289" s="54" t="s">
        <v>1050</v>
      </c>
      <c r="BR289" s="54" t="s">
        <v>1049</v>
      </c>
      <c r="BS289" s="54" t="s">
        <v>1050</v>
      </c>
      <c r="BT289" s="54" t="s">
        <v>1051</v>
      </c>
      <c r="BU289" s="54" t="s">
        <v>1043</v>
      </c>
      <c r="BV289" s="58">
        <v>120</v>
      </c>
      <c r="BW289" s="54" t="s">
        <v>1052</v>
      </c>
      <c r="BX289" s="54" t="s">
        <v>1053</v>
      </c>
      <c r="BY289" s="54" t="s">
        <v>1054</v>
      </c>
      <c r="BZ289" s="54" t="s">
        <v>1055</v>
      </c>
      <c r="CA289" s="55"/>
      <c r="CB289" s="54" t="s">
        <v>1056</v>
      </c>
      <c r="CC289" s="54" t="s">
        <v>1057</v>
      </c>
      <c r="CD289" s="54" t="s">
        <v>1058</v>
      </c>
      <c r="CE289" s="54" t="s">
        <v>1059</v>
      </c>
      <c r="CF289" s="54" t="s">
        <v>1060</v>
      </c>
      <c r="CG289" s="54" t="s">
        <v>1061</v>
      </c>
      <c r="CH289" s="54" t="s">
        <v>1062</v>
      </c>
      <c r="CI289" s="54" t="s">
        <v>1063</v>
      </c>
      <c r="CJ289" s="54" t="s">
        <v>1064</v>
      </c>
      <c r="CK289" s="54" t="s">
        <v>1065</v>
      </c>
      <c r="CL289" s="54" t="s">
        <v>1066</v>
      </c>
      <c r="CM289" s="54" t="s">
        <v>1067</v>
      </c>
      <c r="CN289" s="54" t="s">
        <v>1068</v>
      </c>
      <c r="CO289" s="54" t="s">
        <v>1069</v>
      </c>
      <c r="CP289" s="56">
        <v>0</v>
      </c>
      <c r="CQ289" s="56">
        <v>0</v>
      </c>
      <c r="CR289" s="56">
        <v>0</v>
      </c>
      <c r="CS289" s="56">
        <v>0</v>
      </c>
      <c r="CT289" s="56">
        <v>0</v>
      </c>
      <c r="CU289" s="56">
        <v>0</v>
      </c>
      <c r="CV289" s="56">
        <v>0</v>
      </c>
      <c r="CW289" s="56">
        <v>0</v>
      </c>
      <c r="CX289" s="56">
        <v>0</v>
      </c>
      <c r="CY289" s="56">
        <v>0</v>
      </c>
      <c r="CZ289" s="56">
        <v>0</v>
      </c>
      <c r="DA289" s="56">
        <v>0</v>
      </c>
      <c r="DB289" s="56">
        <v>0</v>
      </c>
      <c r="DC289" s="56">
        <v>0</v>
      </c>
      <c r="DD289" s="56">
        <v>0</v>
      </c>
      <c r="DE289" s="56">
        <v>0</v>
      </c>
      <c r="DF289" s="56">
        <v>0</v>
      </c>
      <c r="DG289" s="56">
        <v>0</v>
      </c>
      <c r="DH289" s="56">
        <v>0</v>
      </c>
      <c r="DI289" s="56">
        <v>0</v>
      </c>
      <c r="DJ289" s="56">
        <v>0</v>
      </c>
      <c r="DK289" s="56">
        <v>0</v>
      </c>
      <c r="DL289" s="56">
        <v>0</v>
      </c>
      <c r="DM289" s="56">
        <v>0</v>
      </c>
      <c r="DN289" s="56">
        <v>0</v>
      </c>
      <c r="DO289" s="56">
        <v>0</v>
      </c>
      <c r="DP289" s="56">
        <v>0</v>
      </c>
      <c r="DQ289" s="56">
        <v>0</v>
      </c>
      <c r="DR289" s="56">
        <v>0</v>
      </c>
      <c r="DS289" s="56">
        <v>0</v>
      </c>
      <c r="DT289" s="56">
        <v>0</v>
      </c>
      <c r="DU289" s="56">
        <v>0</v>
      </c>
      <c r="DV289" s="56">
        <v>0</v>
      </c>
      <c r="DW289" s="56">
        <v>0</v>
      </c>
      <c r="DX289" s="56">
        <v>0</v>
      </c>
      <c r="DY289" s="56">
        <v>0</v>
      </c>
      <c r="DZ289" s="56">
        <v>0</v>
      </c>
      <c r="EA289" s="56">
        <v>0</v>
      </c>
      <c r="EB289" s="56">
        <v>0</v>
      </c>
      <c r="EC289" s="56">
        <v>0</v>
      </c>
      <c r="ED289" s="56">
        <v>0</v>
      </c>
      <c r="EE289" s="56">
        <v>0</v>
      </c>
      <c r="EF289" s="56">
        <v>0</v>
      </c>
      <c r="EG289" s="56">
        <v>0</v>
      </c>
      <c r="EH289" s="56">
        <v>108.72</v>
      </c>
      <c r="EI289" s="56">
        <v>0</v>
      </c>
      <c r="EJ289" s="56">
        <v>0</v>
      </c>
      <c r="EK289" s="56">
        <v>0</v>
      </c>
      <c r="EL289" s="56">
        <v>0</v>
      </c>
      <c r="EM289" s="56">
        <v>0</v>
      </c>
      <c r="EN289" s="56">
        <v>0</v>
      </c>
      <c r="EO289" s="56">
        <v>0</v>
      </c>
      <c r="EP289" s="56">
        <v>0</v>
      </c>
      <c r="EQ289" s="56">
        <v>0</v>
      </c>
      <c r="ER289" s="56">
        <v>0</v>
      </c>
      <c r="ES289" s="56">
        <v>0</v>
      </c>
      <c r="ET289" s="56">
        <v>0</v>
      </c>
      <c r="EU289" s="56">
        <v>0</v>
      </c>
      <c r="EV289" s="56">
        <v>0</v>
      </c>
      <c r="EW289" s="56">
        <v>0</v>
      </c>
      <c r="EX289" s="56">
        <v>0</v>
      </c>
      <c r="EY289" s="56">
        <v>0</v>
      </c>
      <c r="EZ289" s="56">
        <v>0</v>
      </c>
      <c r="FA289" s="56">
        <v>0</v>
      </c>
      <c r="FB289" s="56">
        <v>0</v>
      </c>
      <c r="FC289" s="58">
        <v>0</v>
      </c>
      <c r="FD289" s="56">
        <v>0</v>
      </c>
      <c r="FE289" s="56">
        <v>0</v>
      </c>
      <c r="FF289" s="56">
        <v>0</v>
      </c>
      <c r="FG289" s="56">
        <v>0</v>
      </c>
      <c r="FH289" s="56">
        <v>0</v>
      </c>
      <c r="FI289" s="56">
        <v>0</v>
      </c>
      <c r="FJ289" s="56">
        <v>0</v>
      </c>
      <c r="FK289" s="56">
        <v>0</v>
      </c>
      <c r="FL289" s="56">
        <v>0</v>
      </c>
      <c r="FM289" s="56">
        <v>0</v>
      </c>
      <c r="FN289" s="56">
        <v>0</v>
      </c>
      <c r="FO289" s="56">
        <v>0</v>
      </c>
      <c r="FP289" s="56">
        <v>0</v>
      </c>
      <c r="FQ289" s="56">
        <v>0</v>
      </c>
      <c r="FR289" s="56">
        <v>0</v>
      </c>
      <c r="FS289" s="58">
        <v>0</v>
      </c>
      <c r="FT289" s="56">
        <v>0</v>
      </c>
      <c r="FU289" s="56">
        <v>0</v>
      </c>
      <c r="FV289" s="56">
        <v>0</v>
      </c>
      <c r="FW289" s="56">
        <v>0</v>
      </c>
      <c r="FX289" s="56">
        <v>0</v>
      </c>
      <c r="FY289" s="56">
        <v>0</v>
      </c>
      <c r="FZ289" s="54" t="s">
        <v>1083</v>
      </c>
      <c r="GA289" s="54" t="s">
        <v>1084</v>
      </c>
      <c r="GB289" s="54" t="s">
        <v>1072</v>
      </c>
      <c r="GC289" s="54" t="s">
        <v>1073</v>
      </c>
      <c r="GD289" s="54"/>
      <c r="GE289" s="54"/>
      <c r="GF289" s="54"/>
      <c r="GG289" s="55"/>
      <c r="GH289" s="54"/>
      <c r="GI289" s="54"/>
      <c r="GJ289" s="54" t="s">
        <v>1076</v>
      </c>
      <c r="GK289" s="54" t="s">
        <v>1077</v>
      </c>
      <c r="GL289" s="54"/>
      <c r="GM289" s="54"/>
      <c r="GN289" s="54" t="s">
        <v>1078</v>
      </c>
      <c r="GO289" s="54" t="s">
        <v>1059</v>
      </c>
      <c r="GP289" s="54"/>
      <c r="GQ289" s="56">
        <v>0</v>
      </c>
      <c r="GR289" s="54" t="s">
        <v>1079</v>
      </c>
      <c r="GS289" s="54"/>
    </row>
    <row r="290" spans="1:201" x14ac:dyDescent="0.25">
      <c r="A290" s="54" t="s">
        <v>1032</v>
      </c>
      <c r="B290" s="54" t="s">
        <v>1033</v>
      </c>
      <c r="C290" s="54" t="s">
        <v>1303</v>
      </c>
      <c r="D290" s="54" t="s">
        <v>1035</v>
      </c>
      <c r="E290" s="54" t="s">
        <v>1036</v>
      </c>
      <c r="F290" s="55">
        <v>46197</v>
      </c>
      <c r="G290" s="55">
        <v>46197</v>
      </c>
      <c r="H290" s="54" t="s">
        <v>1037</v>
      </c>
      <c r="I290" s="54" t="s">
        <v>1038</v>
      </c>
      <c r="J290" s="54" t="s">
        <v>1039</v>
      </c>
      <c r="K290" s="55"/>
      <c r="L290" s="54" t="s">
        <v>1040</v>
      </c>
      <c r="M290" s="54"/>
      <c r="N290" s="54" t="s">
        <v>1304</v>
      </c>
      <c r="O290" s="54" t="s">
        <v>1088</v>
      </c>
      <c r="P290" s="54" t="s">
        <v>684</v>
      </c>
      <c r="Q290" s="54" t="s">
        <v>393</v>
      </c>
      <c r="R290" s="54" t="s">
        <v>1043</v>
      </c>
      <c r="S290" s="56">
        <v>16740</v>
      </c>
      <c r="T290" s="56">
        <v>16740</v>
      </c>
      <c r="U290" s="56">
        <v>0</v>
      </c>
      <c r="V290" s="56">
        <v>0</v>
      </c>
      <c r="W290" s="56">
        <v>0</v>
      </c>
      <c r="X290" s="56">
        <v>0</v>
      </c>
      <c r="Y290" s="56">
        <v>0</v>
      </c>
      <c r="Z290" s="56">
        <v>3000</v>
      </c>
      <c r="AA290" s="56">
        <v>3000</v>
      </c>
      <c r="AB290" s="59">
        <v>0</v>
      </c>
      <c r="AC290" s="56">
        <v>0</v>
      </c>
      <c r="AD290" s="56">
        <v>0</v>
      </c>
      <c r="AE290" s="56">
        <v>0</v>
      </c>
      <c r="AF290" s="54" t="s">
        <v>1044</v>
      </c>
      <c r="AG290" s="57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 t="s">
        <v>1045</v>
      </c>
      <c r="AS290" s="54" t="s">
        <v>1081</v>
      </c>
      <c r="AT290" s="54" t="s">
        <v>1082</v>
      </c>
      <c r="AU290" s="54" t="s">
        <v>1048</v>
      </c>
      <c r="AV290" s="54"/>
      <c r="AW290" s="55">
        <v>46210</v>
      </c>
      <c r="AX290" s="55">
        <v>46197</v>
      </c>
      <c r="AY290" s="55">
        <v>46197</v>
      </c>
      <c r="AZ290" s="55"/>
      <c r="BA290" s="55">
        <v>46210</v>
      </c>
      <c r="BB290" s="56">
        <v>0</v>
      </c>
      <c r="BC290" s="56">
        <v>0</v>
      </c>
      <c r="BD290" s="56">
        <v>0</v>
      </c>
      <c r="BE290" s="56">
        <v>0</v>
      </c>
      <c r="BF290" s="56">
        <v>0</v>
      </c>
      <c r="BG290" s="56">
        <v>0</v>
      </c>
      <c r="BH290" s="56">
        <v>0</v>
      </c>
      <c r="BI290" s="56">
        <v>0</v>
      </c>
      <c r="BJ290" s="56">
        <v>0</v>
      </c>
      <c r="BK290" s="56">
        <v>0</v>
      </c>
      <c r="BL290" s="56">
        <v>0</v>
      </c>
      <c r="BM290" s="56">
        <v>0</v>
      </c>
      <c r="BN290" s="56">
        <v>0</v>
      </c>
      <c r="BO290" s="56">
        <v>0</v>
      </c>
      <c r="BP290" s="54" t="s">
        <v>1049</v>
      </c>
      <c r="BQ290" s="54" t="s">
        <v>1050</v>
      </c>
      <c r="BR290" s="54" t="s">
        <v>1049</v>
      </c>
      <c r="BS290" s="54" t="s">
        <v>1050</v>
      </c>
      <c r="BT290" s="54" t="s">
        <v>1051</v>
      </c>
      <c r="BU290" s="54" t="s">
        <v>1043</v>
      </c>
      <c r="BV290" s="58">
        <v>3000</v>
      </c>
      <c r="BW290" s="54" t="s">
        <v>1052</v>
      </c>
      <c r="BX290" s="54" t="s">
        <v>1053</v>
      </c>
      <c r="BY290" s="54" t="s">
        <v>1054</v>
      </c>
      <c r="BZ290" s="54" t="s">
        <v>1055</v>
      </c>
      <c r="CA290" s="55"/>
      <c r="CB290" s="54" t="s">
        <v>1056</v>
      </c>
      <c r="CC290" s="54" t="s">
        <v>1057</v>
      </c>
      <c r="CD290" s="54" t="s">
        <v>1058</v>
      </c>
      <c r="CE290" s="54" t="s">
        <v>1059</v>
      </c>
      <c r="CF290" s="54" t="s">
        <v>1060</v>
      </c>
      <c r="CG290" s="54" t="s">
        <v>1061</v>
      </c>
      <c r="CH290" s="54" t="s">
        <v>1062</v>
      </c>
      <c r="CI290" s="54" t="s">
        <v>1063</v>
      </c>
      <c r="CJ290" s="54" t="s">
        <v>1064</v>
      </c>
      <c r="CK290" s="54" t="s">
        <v>1065</v>
      </c>
      <c r="CL290" s="54" t="s">
        <v>1066</v>
      </c>
      <c r="CM290" s="54" t="s">
        <v>1067</v>
      </c>
      <c r="CN290" s="54" t="s">
        <v>1068</v>
      </c>
      <c r="CO290" s="54" t="s">
        <v>1069</v>
      </c>
      <c r="CP290" s="56">
        <v>0</v>
      </c>
      <c r="CQ290" s="56">
        <v>0</v>
      </c>
      <c r="CR290" s="56">
        <v>0</v>
      </c>
      <c r="CS290" s="56">
        <v>0</v>
      </c>
      <c r="CT290" s="56">
        <v>0</v>
      </c>
      <c r="CU290" s="56">
        <v>0</v>
      </c>
      <c r="CV290" s="56">
        <v>0</v>
      </c>
      <c r="CW290" s="56">
        <v>0</v>
      </c>
      <c r="CX290" s="56">
        <v>0</v>
      </c>
      <c r="CY290" s="56">
        <v>0</v>
      </c>
      <c r="CZ290" s="56">
        <v>0</v>
      </c>
      <c r="DA290" s="56">
        <v>0</v>
      </c>
      <c r="DB290" s="56">
        <v>0</v>
      </c>
      <c r="DC290" s="56">
        <v>0</v>
      </c>
      <c r="DD290" s="56">
        <v>0</v>
      </c>
      <c r="DE290" s="56">
        <v>0</v>
      </c>
      <c r="DF290" s="56">
        <v>0</v>
      </c>
      <c r="DG290" s="56">
        <v>0</v>
      </c>
      <c r="DH290" s="56">
        <v>0</v>
      </c>
      <c r="DI290" s="56">
        <v>0</v>
      </c>
      <c r="DJ290" s="56">
        <v>0</v>
      </c>
      <c r="DK290" s="56">
        <v>0</v>
      </c>
      <c r="DL290" s="56">
        <v>0</v>
      </c>
      <c r="DM290" s="56">
        <v>0</v>
      </c>
      <c r="DN290" s="56">
        <v>0</v>
      </c>
      <c r="DO290" s="56">
        <v>0</v>
      </c>
      <c r="DP290" s="56">
        <v>0</v>
      </c>
      <c r="DQ290" s="56">
        <v>0</v>
      </c>
      <c r="DR290" s="56">
        <v>0</v>
      </c>
      <c r="DS290" s="56">
        <v>0</v>
      </c>
      <c r="DT290" s="56">
        <v>0</v>
      </c>
      <c r="DU290" s="56">
        <v>0</v>
      </c>
      <c r="DV290" s="56">
        <v>0</v>
      </c>
      <c r="DW290" s="56">
        <v>0</v>
      </c>
      <c r="DX290" s="56">
        <v>0</v>
      </c>
      <c r="DY290" s="56">
        <v>0</v>
      </c>
      <c r="DZ290" s="56">
        <v>0</v>
      </c>
      <c r="EA290" s="56">
        <v>0</v>
      </c>
      <c r="EB290" s="56">
        <v>0</v>
      </c>
      <c r="EC290" s="56">
        <v>0</v>
      </c>
      <c r="ED290" s="56">
        <v>0</v>
      </c>
      <c r="EE290" s="56">
        <v>0</v>
      </c>
      <c r="EF290" s="56">
        <v>0</v>
      </c>
      <c r="EG290" s="56">
        <v>0</v>
      </c>
      <c r="EH290" s="56">
        <v>2008.8</v>
      </c>
      <c r="EI290" s="56">
        <v>0</v>
      </c>
      <c r="EJ290" s="56">
        <v>0</v>
      </c>
      <c r="EK290" s="56">
        <v>0</v>
      </c>
      <c r="EL290" s="56">
        <v>0</v>
      </c>
      <c r="EM290" s="56">
        <v>0</v>
      </c>
      <c r="EN290" s="56">
        <v>0</v>
      </c>
      <c r="EO290" s="56">
        <v>0</v>
      </c>
      <c r="EP290" s="56">
        <v>0</v>
      </c>
      <c r="EQ290" s="56">
        <v>0</v>
      </c>
      <c r="ER290" s="56">
        <v>0</v>
      </c>
      <c r="ES290" s="56">
        <v>0</v>
      </c>
      <c r="ET290" s="56">
        <v>0</v>
      </c>
      <c r="EU290" s="56">
        <v>0</v>
      </c>
      <c r="EV290" s="56">
        <v>0</v>
      </c>
      <c r="EW290" s="56">
        <v>0</v>
      </c>
      <c r="EX290" s="56">
        <v>0</v>
      </c>
      <c r="EY290" s="56">
        <v>0</v>
      </c>
      <c r="EZ290" s="56">
        <v>0</v>
      </c>
      <c r="FA290" s="56">
        <v>0</v>
      </c>
      <c r="FB290" s="56">
        <v>0</v>
      </c>
      <c r="FC290" s="58">
        <v>0</v>
      </c>
      <c r="FD290" s="56">
        <v>0</v>
      </c>
      <c r="FE290" s="56">
        <v>0</v>
      </c>
      <c r="FF290" s="56">
        <v>0</v>
      </c>
      <c r="FG290" s="56">
        <v>0</v>
      </c>
      <c r="FH290" s="56">
        <v>0</v>
      </c>
      <c r="FI290" s="56">
        <v>0</v>
      </c>
      <c r="FJ290" s="56">
        <v>0</v>
      </c>
      <c r="FK290" s="56">
        <v>0</v>
      </c>
      <c r="FL290" s="56">
        <v>0</v>
      </c>
      <c r="FM290" s="56">
        <v>0</v>
      </c>
      <c r="FN290" s="56">
        <v>0</v>
      </c>
      <c r="FO290" s="56">
        <v>0</v>
      </c>
      <c r="FP290" s="56">
        <v>0</v>
      </c>
      <c r="FQ290" s="56">
        <v>0</v>
      </c>
      <c r="FR290" s="56">
        <v>0</v>
      </c>
      <c r="FS290" s="58">
        <v>0</v>
      </c>
      <c r="FT290" s="56">
        <v>0</v>
      </c>
      <c r="FU290" s="56">
        <v>0</v>
      </c>
      <c r="FV290" s="56">
        <v>0</v>
      </c>
      <c r="FW290" s="56">
        <v>0</v>
      </c>
      <c r="FX290" s="56">
        <v>0</v>
      </c>
      <c r="FY290" s="56">
        <v>0</v>
      </c>
      <c r="FZ290" s="54" t="s">
        <v>1083</v>
      </c>
      <c r="GA290" s="54" t="s">
        <v>1084</v>
      </c>
      <c r="GB290" s="54" t="s">
        <v>1072</v>
      </c>
      <c r="GC290" s="54" t="s">
        <v>1073</v>
      </c>
      <c r="GD290" s="54"/>
      <c r="GE290" s="54"/>
      <c r="GF290" s="54"/>
      <c r="GG290" s="55"/>
      <c r="GH290" s="54"/>
      <c r="GI290" s="54"/>
      <c r="GJ290" s="54" t="s">
        <v>1076</v>
      </c>
      <c r="GK290" s="54" t="s">
        <v>1077</v>
      </c>
      <c r="GL290" s="54"/>
      <c r="GM290" s="54"/>
      <c r="GN290" s="54" t="s">
        <v>1078</v>
      </c>
      <c r="GO290" s="54" t="s">
        <v>1059</v>
      </c>
      <c r="GP290" s="54"/>
      <c r="GQ290" s="56">
        <v>0</v>
      </c>
      <c r="GR290" s="54" t="s">
        <v>1079</v>
      </c>
      <c r="GS290" s="54"/>
    </row>
    <row r="291" spans="1:201" x14ac:dyDescent="0.25">
      <c r="A291" s="54" t="s">
        <v>1032</v>
      </c>
      <c r="B291" s="54" t="s">
        <v>1033</v>
      </c>
      <c r="C291" s="54" t="s">
        <v>1303</v>
      </c>
      <c r="D291" s="54" t="s">
        <v>1035</v>
      </c>
      <c r="E291" s="54" t="s">
        <v>1036</v>
      </c>
      <c r="F291" s="55">
        <v>46197</v>
      </c>
      <c r="G291" s="55">
        <v>46197</v>
      </c>
      <c r="H291" s="54" t="s">
        <v>1037</v>
      </c>
      <c r="I291" s="54" t="s">
        <v>1038</v>
      </c>
      <c r="J291" s="54" t="s">
        <v>1039</v>
      </c>
      <c r="K291" s="55"/>
      <c r="L291" s="54" t="s">
        <v>1040</v>
      </c>
      <c r="M291" s="54"/>
      <c r="N291" s="54" t="s">
        <v>1304</v>
      </c>
      <c r="O291" s="54" t="s">
        <v>1089</v>
      </c>
      <c r="P291" s="54" t="s">
        <v>204</v>
      </c>
      <c r="Q291" s="54" t="s">
        <v>38</v>
      </c>
      <c r="R291" s="54" t="s">
        <v>1043</v>
      </c>
      <c r="S291" s="56">
        <v>11328</v>
      </c>
      <c r="T291" s="56">
        <v>11328</v>
      </c>
      <c r="U291" s="56">
        <v>0</v>
      </c>
      <c r="V291" s="56">
        <v>0</v>
      </c>
      <c r="W291" s="56">
        <v>0</v>
      </c>
      <c r="X291" s="56">
        <v>0</v>
      </c>
      <c r="Y291" s="56">
        <v>0</v>
      </c>
      <c r="Z291" s="56">
        <v>1200</v>
      </c>
      <c r="AA291" s="56">
        <v>1200</v>
      </c>
      <c r="AB291" s="59">
        <v>0</v>
      </c>
      <c r="AC291" s="56">
        <v>0</v>
      </c>
      <c r="AD291" s="56">
        <v>0</v>
      </c>
      <c r="AE291" s="56">
        <v>0</v>
      </c>
      <c r="AF291" s="54" t="s">
        <v>1044</v>
      </c>
      <c r="AG291" s="57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 t="s">
        <v>1045</v>
      </c>
      <c r="AS291" s="54" t="s">
        <v>1081</v>
      </c>
      <c r="AT291" s="54" t="s">
        <v>1082</v>
      </c>
      <c r="AU291" s="54" t="s">
        <v>1048</v>
      </c>
      <c r="AV291" s="54"/>
      <c r="AW291" s="55">
        <v>46210</v>
      </c>
      <c r="AX291" s="55">
        <v>46197</v>
      </c>
      <c r="AY291" s="55">
        <v>46197</v>
      </c>
      <c r="AZ291" s="55"/>
      <c r="BA291" s="55">
        <v>46210</v>
      </c>
      <c r="BB291" s="56">
        <v>0</v>
      </c>
      <c r="BC291" s="56">
        <v>0</v>
      </c>
      <c r="BD291" s="56">
        <v>0</v>
      </c>
      <c r="BE291" s="56">
        <v>0</v>
      </c>
      <c r="BF291" s="56">
        <v>0</v>
      </c>
      <c r="BG291" s="56">
        <v>0</v>
      </c>
      <c r="BH291" s="56">
        <v>0</v>
      </c>
      <c r="BI291" s="56">
        <v>0</v>
      </c>
      <c r="BJ291" s="56">
        <v>0</v>
      </c>
      <c r="BK291" s="56">
        <v>0</v>
      </c>
      <c r="BL291" s="56">
        <v>0</v>
      </c>
      <c r="BM291" s="56">
        <v>0</v>
      </c>
      <c r="BN291" s="56">
        <v>0</v>
      </c>
      <c r="BO291" s="56">
        <v>0</v>
      </c>
      <c r="BP291" s="54" t="s">
        <v>1049</v>
      </c>
      <c r="BQ291" s="54" t="s">
        <v>1050</v>
      </c>
      <c r="BR291" s="54" t="s">
        <v>1049</v>
      </c>
      <c r="BS291" s="54" t="s">
        <v>1050</v>
      </c>
      <c r="BT291" s="54" t="s">
        <v>1051</v>
      </c>
      <c r="BU291" s="54" t="s">
        <v>1043</v>
      </c>
      <c r="BV291" s="58">
        <v>1200</v>
      </c>
      <c r="BW291" s="54" t="s">
        <v>1052</v>
      </c>
      <c r="BX291" s="54" t="s">
        <v>1053</v>
      </c>
      <c r="BY291" s="54" t="s">
        <v>1054</v>
      </c>
      <c r="BZ291" s="54" t="s">
        <v>1055</v>
      </c>
      <c r="CA291" s="55"/>
      <c r="CB291" s="54" t="s">
        <v>1056</v>
      </c>
      <c r="CC291" s="54" t="s">
        <v>1057</v>
      </c>
      <c r="CD291" s="54" t="s">
        <v>1058</v>
      </c>
      <c r="CE291" s="54" t="s">
        <v>1059</v>
      </c>
      <c r="CF291" s="54" t="s">
        <v>1060</v>
      </c>
      <c r="CG291" s="54" t="s">
        <v>1061</v>
      </c>
      <c r="CH291" s="54" t="s">
        <v>1062</v>
      </c>
      <c r="CI291" s="54" t="s">
        <v>1063</v>
      </c>
      <c r="CJ291" s="54" t="s">
        <v>1064</v>
      </c>
      <c r="CK291" s="54" t="s">
        <v>1065</v>
      </c>
      <c r="CL291" s="54" t="s">
        <v>1066</v>
      </c>
      <c r="CM291" s="54" t="s">
        <v>1067</v>
      </c>
      <c r="CN291" s="54" t="s">
        <v>1068</v>
      </c>
      <c r="CO291" s="54" t="s">
        <v>1069</v>
      </c>
      <c r="CP291" s="56">
        <v>0</v>
      </c>
      <c r="CQ291" s="56">
        <v>0</v>
      </c>
      <c r="CR291" s="56">
        <v>0</v>
      </c>
      <c r="CS291" s="56">
        <v>0</v>
      </c>
      <c r="CT291" s="56">
        <v>0</v>
      </c>
      <c r="CU291" s="56">
        <v>0</v>
      </c>
      <c r="CV291" s="56">
        <v>0</v>
      </c>
      <c r="CW291" s="56">
        <v>0</v>
      </c>
      <c r="CX291" s="56">
        <v>0</v>
      </c>
      <c r="CY291" s="56">
        <v>0</v>
      </c>
      <c r="CZ291" s="56">
        <v>0</v>
      </c>
      <c r="DA291" s="56">
        <v>0</v>
      </c>
      <c r="DB291" s="56">
        <v>0</v>
      </c>
      <c r="DC291" s="56">
        <v>0</v>
      </c>
      <c r="DD291" s="56">
        <v>0</v>
      </c>
      <c r="DE291" s="56">
        <v>0</v>
      </c>
      <c r="DF291" s="56">
        <v>0</v>
      </c>
      <c r="DG291" s="56">
        <v>0</v>
      </c>
      <c r="DH291" s="56">
        <v>0</v>
      </c>
      <c r="DI291" s="56">
        <v>0</v>
      </c>
      <c r="DJ291" s="56">
        <v>0</v>
      </c>
      <c r="DK291" s="56">
        <v>0</v>
      </c>
      <c r="DL291" s="56">
        <v>0</v>
      </c>
      <c r="DM291" s="56">
        <v>0</v>
      </c>
      <c r="DN291" s="56">
        <v>0</v>
      </c>
      <c r="DO291" s="56">
        <v>0</v>
      </c>
      <c r="DP291" s="56">
        <v>0</v>
      </c>
      <c r="DQ291" s="56">
        <v>0</v>
      </c>
      <c r="DR291" s="56">
        <v>0</v>
      </c>
      <c r="DS291" s="56">
        <v>0</v>
      </c>
      <c r="DT291" s="56">
        <v>0</v>
      </c>
      <c r="DU291" s="56">
        <v>0</v>
      </c>
      <c r="DV291" s="56">
        <v>0</v>
      </c>
      <c r="DW291" s="56">
        <v>0</v>
      </c>
      <c r="DX291" s="56">
        <v>0</v>
      </c>
      <c r="DY291" s="56">
        <v>0</v>
      </c>
      <c r="DZ291" s="56">
        <v>0</v>
      </c>
      <c r="EA291" s="56">
        <v>0</v>
      </c>
      <c r="EB291" s="56">
        <v>0</v>
      </c>
      <c r="EC291" s="56">
        <v>0</v>
      </c>
      <c r="ED291" s="56">
        <v>0</v>
      </c>
      <c r="EE291" s="56">
        <v>0</v>
      </c>
      <c r="EF291" s="56">
        <v>0</v>
      </c>
      <c r="EG291" s="56">
        <v>0</v>
      </c>
      <c r="EH291" s="56">
        <v>1359.36</v>
      </c>
      <c r="EI291" s="56">
        <v>0</v>
      </c>
      <c r="EJ291" s="56">
        <v>0</v>
      </c>
      <c r="EK291" s="56">
        <v>0</v>
      </c>
      <c r="EL291" s="56">
        <v>0</v>
      </c>
      <c r="EM291" s="56">
        <v>0</v>
      </c>
      <c r="EN291" s="56">
        <v>0</v>
      </c>
      <c r="EO291" s="56">
        <v>0</v>
      </c>
      <c r="EP291" s="56">
        <v>0</v>
      </c>
      <c r="EQ291" s="56">
        <v>0</v>
      </c>
      <c r="ER291" s="56">
        <v>0</v>
      </c>
      <c r="ES291" s="56">
        <v>0</v>
      </c>
      <c r="ET291" s="56">
        <v>0</v>
      </c>
      <c r="EU291" s="56">
        <v>0</v>
      </c>
      <c r="EV291" s="56">
        <v>0</v>
      </c>
      <c r="EW291" s="56">
        <v>0</v>
      </c>
      <c r="EX291" s="56">
        <v>0</v>
      </c>
      <c r="EY291" s="56">
        <v>0</v>
      </c>
      <c r="EZ291" s="56">
        <v>0</v>
      </c>
      <c r="FA291" s="56">
        <v>0</v>
      </c>
      <c r="FB291" s="56">
        <v>0</v>
      </c>
      <c r="FC291" s="58">
        <v>0</v>
      </c>
      <c r="FD291" s="56">
        <v>0</v>
      </c>
      <c r="FE291" s="56">
        <v>0</v>
      </c>
      <c r="FF291" s="56">
        <v>0</v>
      </c>
      <c r="FG291" s="56">
        <v>0</v>
      </c>
      <c r="FH291" s="56">
        <v>0</v>
      </c>
      <c r="FI291" s="56">
        <v>0</v>
      </c>
      <c r="FJ291" s="56">
        <v>0</v>
      </c>
      <c r="FK291" s="56">
        <v>0</v>
      </c>
      <c r="FL291" s="56">
        <v>0</v>
      </c>
      <c r="FM291" s="56">
        <v>0</v>
      </c>
      <c r="FN291" s="56">
        <v>0</v>
      </c>
      <c r="FO291" s="56">
        <v>0</v>
      </c>
      <c r="FP291" s="56">
        <v>0</v>
      </c>
      <c r="FQ291" s="56">
        <v>0</v>
      </c>
      <c r="FR291" s="56">
        <v>0</v>
      </c>
      <c r="FS291" s="58">
        <v>0</v>
      </c>
      <c r="FT291" s="56">
        <v>0</v>
      </c>
      <c r="FU291" s="56">
        <v>0</v>
      </c>
      <c r="FV291" s="56">
        <v>0</v>
      </c>
      <c r="FW291" s="56">
        <v>0</v>
      </c>
      <c r="FX291" s="56">
        <v>0</v>
      </c>
      <c r="FY291" s="56">
        <v>0</v>
      </c>
      <c r="FZ291" s="54" t="s">
        <v>1083</v>
      </c>
      <c r="GA291" s="54" t="s">
        <v>1084</v>
      </c>
      <c r="GB291" s="54" t="s">
        <v>1072</v>
      </c>
      <c r="GC291" s="54" t="s">
        <v>1073</v>
      </c>
      <c r="GD291" s="54" t="s">
        <v>1160</v>
      </c>
      <c r="GE291" s="54" t="s">
        <v>1075</v>
      </c>
      <c r="GF291" s="54"/>
      <c r="GG291" s="55"/>
      <c r="GH291" s="54"/>
      <c r="GI291" s="54"/>
      <c r="GJ291" s="54" t="s">
        <v>1076</v>
      </c>
      <c r="GK291" s="54" t="s">
        <v>1077</v>
      </c>
      <c r="GL291" s="54"/>
      <c r="GM291" s="54"/>
      <c r="GN291" s="54" t="s">
        <v>1078</v>
      </c>
      <c r="GO291" s="54" t="s">
        <v>1059</v>
      </c>
      <c r="GP291" s="54"/>
      <c r="GQ291" s="56">
        <v>0</v>
      </c>
      <c r="GR291" s="54" t="s">
        <v>1079</v>
      </c>
      <c r="GS291" s="54"/>
    </row>
    <row r="292" spans="1:201" x14ac:dyDescent="0.25">
      <c r="A292" s="54" t="s">
        <v>1032</v>
      </c>
      <c r="B292" s="54" t="s">
        <v>1033</v>
      </c>
      <c r="C292" s="54" t="s">
        <v>1303</v>
      </c>
      <c r="D292" s="54" t="s">
        <v>1035</v>
      </c>
      <c r="E292" s="54" t="s">
        <v>1036</v>
      </c>
      <c r="F292" s="55">
        <v>46197</v>
      </c>
      <c r="G292" s="55">
        <v>46197</v>
      </c>
      <c r="H292" s="54" t="s">
        <v>1037</v>
      </c>
      <c r="I292" s="54" t="s">
        <v>1038</v>
      </c>
      <c r="J292" s="54" t="s">
        <v>1039</v>
      </c>
      <c r="K292" s="55"/>
      <c r="L292" s="54" t="s">
        <v>1040</v>
      </c>
      <c r="M292" s="54"/>
      <c r="N292" s="54" t="s">
        <v>1304</v>
      </c>
      <c r="O292" s="54" t="s">
        <v>1090</v>
      </c>
      <c r="P292" s="54" t="s">
        <v>738</v>
      </c>
      <c r="Q292" s="54" t="s">
        <v>749</v>
      </c>
      <c r="R292" s="54" t="s">
        <v>1043</v>
      </c>
      <c r="S292" s="56">
        <v>1275.5999999999999</v>
      </c>
      <c r="T292" s="56">
        <v>1275.5999999999999</v>
      </c>
      <c r="U292" s="56">
        <v>0</v>
      </c>
      <c r="V292" s="56">
        <v>0</v>
      </c>
      <c r="W292" s="56">
        <v>0</v>
      </c>
      <c r="X292" s="56">
        <v>0</v>
      </c>
      <c r="Y292" s="56">
        <v>0</v>
      </c>
      <c r="Z292" s="56">
        <v>120</v>
      </c>
      <c r="AA292" s="56">
        <v>120</v>
      </c>
      <c r="AB292" s="59">
        <v>0</v>
      </c>
      <c r="AC292" s="56">
        <v>0</v>
      </c>
      <c r="AD292" s="56">
        <v>0</v>
      </c>
      <c r="AE292" s="56">
        <v>0</v>
      </c>
      <c r="AF292" s="54" t="s">
        <v>1044</v>
      </c>
      <c r="AG292" s="57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 t="s">
        <v>1045</v>
      </c>
      <c r="AS292" s="54" t="s">
        <v>1103</v>
      </c>
      <c r="AT292" s="54" t="s">
        <v>1104</v>
      </c>
      <c r="AU292" s="54" t="s">
        <v>1048</v>
      </c>
      <c r="AV292" s="54"/>
      <c r="AW292" s="55">
        <v>46210</v>
      </c>
      <c r="AX292" s="55">
        <v>46197</v>
      </c>
      <c r="AY292" s="55">
        <v>46197</v>
      </c>
      <c r="AZ292" s="55"/>
      <c r="BA292" s="55">
        <v>46210</v>
      </c>
      <c r="BB292" s="56">
        <v>0</v>
      </c>
      <c r="BC292" s="56">
        <v>0</v>
      </c>
      <c r="BD292" s="56">
        <v>0</v>
      </c>
      <c r="BE292" s="56">
        <v>0</v>
      </c>
      <c r="BF292" s="56">
        <v>0</v>
      </c>
      <c r="BG292" s="56">
        <v>0</v>
      </c>
      <c r="BH292" s="56">
        <v>0</v>
      </c>
      <c r="BI292" s="56">
        <v>0</v>
      </c>
      <c r="BJ292" s="56">
        <v>0</v>
      </c>
      <c r="BK292" s="56">
        <v>0</v>
      </c>
      <c r="BL292" s="56">
        <v>0</v>
      </c>
      <c r="BM292" s="56">
        <v>0</v>
      </c>
      <c r="BN292" s="56">
        <v>0</v>
      </c>
      <c r="BO292" s="56">
        <v>0</v>
      </c>
      <c r="BP292" s="54" t="s">
        <v>1049</v>
      </c>
      <c r="BQ292" s="54" t="s">
        <v>1050</v>
      </c>
      <c r="BR292" s="54" t="s">
        <v>1049</v>
      </c>
      <c r="BS292" s="54" t="s">
        <v>1050</v>
      </c>
      <c r="BT292" s="54" t="s">
        <v>1051</v>
      </c>
      <c r="BU292" s="54" t="s">
        <v>1043</v>
      </c>
      <c r="BV292" s="58">
        <v>120</v>
      </c>
      <c r="BW292" s="54" t="s">
        <v>1052</v>
      </c>
      <c r="BX292" s="54" t="s">
        <v>1053</v>
      </c>
      <c r="BY292" s="54" t="s">
        <v>1054</v>
      </c>
      <c r="BZ292" s="54" t="s">
        <v>1055</v>
      </c>
      <c r="CA292" s="55"/>
      <c r="CB292" s="54" t="s">
        <v>1056</v>
      </c>
      <c r="CC292" s="54" t="s">
        <v>1057</v>
      </c>
      <c r="CD292" s="54" t="s">
        <v>1058</v>
      </c>
      <c r="CE292" s="54" t="s">
        <v>1059</v>
      </c>
      <c r="CF292" s="54" t="s">
        <v>1060</v>
      </c>
      <c r="CG292" s="54" t="s">
        <v>1061</v>
      </c>
      <c r="CH292" s="54" t="s">
        <v>1062</v>
      </c>
      <c r="CI292" s="54" t="s">
        <v>1063</v>
      </c>
      <c r="CJ292" s="54" t="s">
        <v>1064</v>
      </c>
      <c r="CK292" s="54" t="s">
        <v>1065</v>
      </c>
      <c r="CL292" s="54" t="s">
        <v>1066</v>
      </c>
      <c r="CM292" s="54" t="s">
        <v>1067</v>
      </c>
      <c r="CN292" s="54" t="s">
        <v>1068</v>
      </c>
      <c r="CO292" s="54" t="s">
        <v>1069</v>
      </c>
      <c r="CP292" s="56">
        <v>0</v>
      </c>
      <c r="CQ292" s="56">
        <v>0</v>
      </c>
      <c r="CR292" s="56">
        <v>0</v>
      </c>
      <c r="CS292" s="56">
        <v>0</v>
      </c>
      <c r="CT292" s="56">
        <v>0</v>
      </c>
      <c r="CU292" s="56">
        <v>0</v>
      </c>
      <c r="CV292" s="56">
        <v>0</v>
      </c>
      <c r="CW292" s="56">
        <v>0</v>
      </c>
      <c r="CX292" s="56">
        <v>0</v>
      </c>
      <c r="CY292" s="56">
        <v>0</v>
      </c>
      <c r="CZ292" s="56">
        <v>0</v>
      </c>
      <c r="DA292" s="56">
        <v>0</v>
      </c>
      <c r="DB292" s="56">
        <v>0</v>
      </c>
      <c r="DC292" s="56">
        <v>0</v>
      </c>
      <c r="DD292" s="56">
        <v>0</v>
      </c>
      <c r="DE292" s="56">
        <v>0</v>
      </c>
      <c r="DF292" s="56">
        <v>0</v>
      </c>
      <c r="DG292" s="56">
        <v>0</v>
      </c>
      <c r="DH292" s="56">
        <v>0</v>
      </c>
      <c r="DI292" s="56">
        <v>0</v>
      </c>
      <c r="DJ292" s="56">
        <v>0</v>
      </c>
      <c r="DK292" s="56">
        <v>0</v>
      </c>
      <c r="DL292" s="56">
        <v>0</v>
      </c>
      <c r="DM292" s="56">
        <v>0</v>
      </c>
      <c r="DN292" s="56">
        <v>0</v>
      </c>
      <c r="DO292" s="56">
        <v>0</v>
      </c>
      <c r="DP292" s="56">
        <v>0</v>
      </c>
      <c r="DQ292" s="56">
        <v>0</v>
      </c>
      <c r="DR292" s="56">
        <v>0</v>
      </c>
      <c r="DS292" s="56">
        <v>0</v>
      </c>
      <c r="DT292" s="56">
        <v>0</v>
      </c>
      <c r="DU292" s="56">
        <v>0</v>
      </c>
      <c r="DV292" s="56">
        <v>0</v>
      </c>
      <c r="DW292" s="56">
        <v>0</v>
      </c>
      <c r="DX292" s="56">
        <v>0</v>
      </c>
      <c r="DY292" s="56">
        <v>0</v>
      </c>
      <c r="DZ292" s="56">
        <v>0</v>
      </c>
      <c r="EA292" s="56">
        <v>0</v>
      </c>
      <c r="EB292" s="56">
        <v>0</v>
      </c>
      <c r="EC292" s="56">
        <v>0</v>
      </c>
      <c r="ED292" s="56">
        <v>0</v>
      </c>
      <c r="EE292" s="56">
        <v>0</v>
      </c>
      <c r="EF292" s="56">
        <v>96.95</v>
      </c>
      <c r="EG292" s="56">
        <v>21.05</v>
      </c>
      <c r="EH292" s="56">
        <v>153.07</v>
      </c>
      <c r="EI292" s="56">
        <v>0</v>
      </c>
      <c r="EJ292" s="56">
        <v>0</v>
      </c>
      <c r="EK292" s="56">
        <v>0</v>
      </c>
      <c r="EL292" s="56">
        <v>0</v>
      </c>
      <c r="EM292" s="56">
        <v>0</v>
      </c>
      <c r="EN292" s="56">
        <v>0</v>
      </c>
      <c r="EO292" s="56">
        <v>0</v>
      </c>
      <c r="EP292" s="56">
        <v>0</v>
      </c>
      <c r="EQ292" s="56">
        <v>0</v>
      </c>
      <c r="ER292" s="56">
        <v>0</v>
      </c>
      <c r="ES292" s="56">
        <v>0</v>
      </c>
      <c r="ET292" s="56">
        <v>0</v>
      </c>
      <c r="EU292" s="56">
        <v>0</v>
      </c>
      <c r="EV292" s="56">
        <v>0</v>
      </c>
      <c r="EW292" s="56">
        <v>0</v>
      </c>
      <c r="EX292" s="56">
        <v>0</v>
      </c>
      <c r="EY292" s="56">
        <v>0</v>
      </c>
      <c r="EZ292" s="56">
        <v>0</v>
      </c>
      <c r="FA292" s="56">
        <v>0</v>
      </c>
      <c r="FB292" s="56">
        <v>0</v>
      </c>
      <c r="FC292" s="58">
        <v>0</v>
      </c>
      <c r="FD292" s="56">
        <v>0</v>
      </c>
      <c r="FE292" s="56">
        <v>0</v>
      </c>
      <c r="FF292" s="56">
        <v>0</v>
      </c>
      <c r="FG292" s="56">
        <v>0</v>
      </c>
      <c r="FH292" s="56">
        <v>0</v>
      </c>
      <c r="FI292" s="56">
        <v>0</v>
      </c>
      <c r="FJ292" s="56">
        <v>0</v>
      </c>
      <c r="FK292" s="56">
        <v>0</v>
      </c>
      <c r="FL292" s="56">
        <v>0</v>
      </c>
      <c r="FM292" s="56">
        <v>0</v>
      </c>
      <c r="FN292" s="56">
        <v>0</v>
      </c>
      <c r="FO292" s="56">
        <v>0</v>
      </c>
      <c r="FP292" s="56">
        <v>0</v>
      </c>
      <c r="FQ292" s="56">
        <v>0</v>
      </c>
      <c r="FR292" s="56">
        <v>0</v>
      </c>
      <c r="FS292" s="58">
        <v>0</v>
      </c>
      <c r="FT292" s="56">
        <v>0</v>
      </c>
      <c r="FU292" s="56">
        <v>0</v>
      </c>
      <c r="FV292" s="56">
        <v>0</v>
      </c>
      <c r="FW292" s="56">
        <v>0</v>
      </c>
      <c r="FX292" s="56">
        <v>0</v>
      </c>
      <c r="FY292" s="56">
        <v>0</v>
      </c>
      <c r="FZ292" s="54" t="s">
        <v>1105</v>
      </c>
      <c r="GA292" s="54" t="s">
        <v>1106</v>
      </c>
      <c r="GB292" s="54" t="s">
        <v>1072</v>
      </c>
      <c r="GC292" s="54" t="s">
        <v>1073</v>
      </c>
      <c r="GD292" s="54"/>
      <c r="GE292" s="54"/>
      <c r="GF292" s="54"/>
      <c r="GG292" s="55"/>
      <c r="GH292" s="54"/>
      <c r="GI292" s="54"/>
      <c r="GJ292" s="54" t="s">
        <v>1076</v>
      </c>
      <c r="GK292" s="54" t="s">
        <v>1077</v>
      </c>
      <c r="GL292" s="54"/>
      <c r="GM292" s="54"/>
      <c r="GN292" s="54" t="s">
        <v>1078</v>
      </c>
      <c r="GO292" s="54" t="s">
        <v>1059</v>
      </c>
      <c r="GP292" s="54"/>
      <c r="GQ292" s="56">
        <v>0</v>
      </c>
      <c r="GR292" s="54" t="s">
        <v>1079</v>
      </c>
      <c r="GS292" s="54"/>
    </row>
    <row r="293" spans="1:201" x14ac:dyDescent="0.25">
      <c r="A293" s="54" t="s">
        <v>1032</v>
      </c>
      <c r="B293" s="54" t="s">
        <v>1033</v>
      </c>
      <c r="C293" s="54" t="s">
        <v>1303</v>
      </c>
      <c r="D293" s="54" t="s">
        <v>1035</v>
      </c>
      <c r="E293" s="54" t="s">
        <v>1036</v>
      </c>
      <c r="F293" s="55">
        <v>46197</v>
      </c>
      <c r="G293" s="55">
        <v>46197</v>
      </c>
      <c r="H293" s="54" t="s">
        <v>1037</v>
      </c>
      <c r="I293" s="54" t="s">
        <v>1038</v>
      </c>
      <c r="J293" s="54" t="s">
        <v>1039</v>
      </c>
      <c r="K293" s="55"/>
      <c r="L293" s="54" t="s">
        <v>1040</v>
      </c>
      <c r="M293" s="54"/>
      <c r="N293" s="54" t="s">
        <v>1304</v>
      </c>
      <c r="O293" s="54" t="s">
        <v>1081</v>
      </c>
      <c r="P293" s="54" t="s">
        <v>737</v>
      </c>
      <c r="Q293" s="54" t="s">
        <v>748</v>
      </c>
      <c r="R293" s="54" t="s">
        <v>1043</v>
      </c>
      <c r="S293" s="56">
        <v>743</v>
      </c>
      <c r="T293" s="56">
        <v>743</v>
      </c>
      <c r="U293" s="56">
        <v>0</v>
      </c>
      <c r="V293" s="56">
        <v>0</v>
      </c>
      <c r="W293" s="56">
        <v>0</v>
      </c>
      <c r="X293" s="56">
        <v>0</v>
      </c>
      <c r="Y293" s="56">
        <v>0</v>
      </c>
      <c r="Z293" s="56">
        <v>100</v>
      </c>
      <c r="AA293" s="56">
        <v>100</v>
      </c>
      <c r="AB293" s="59">
        <v>0</v>
      </c>
      <c r="AC293" s="56">
        <v>0</v>
      </c>
      <c r="AD293" s="56">
        <v>0</v>
      </c>
      <c r="AE293" s="56">
        <v>0</v>
      </c>
      <c r="AF293" s="54" t="s">
        <v>1044</v>
      </c>
      <c r="AG293" s="57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 t="s">
        <v>1045</v>
      </c>
      <c r="AS293" s="54" t="s">
        <v>1046</v>
      </c>
      <c r="AT293" s="54" t="s">
        <v>1047</v>
      </c>
      <c r="AU293" s="54" t="s">
        <v>1048</v>
      </c>
      <c r="AV293" s="54"/>
      <c r="AW293" s="55">
        <v>46210</v>
      </c>
      <c r="AX293" s="55">
        <v>46197</v>
      </c>
      <c r="AY293" s="55">
        <v>46197</v>
      </c>
      <c r="AZ293" s="55"/>
      <c r="BA293" s="55">
        <v>46210</v>
      </c>
      <c r="BB293" s="56">
        <v>0</v>
      </c>
      <c r="BC293" s="56">
        <v>0</v>
      </c>
      <c r="BD293" s="56">
        <v>0</v>
      </c>
      <c r="BE293" s="56">
        <v>0</v>
      </c>
      <c r="BF293" s="56">
        <v>0</v>
      </c>
      <c r="BG293" s="56">
        <v>0</v>
      </c>
      <c r="BH293" s="56">
        <v>0</v>
      </c>
      <c r="BI293" s="56">
        <v>0</v>
      </c>
      <c r="BJ293" s="56">
        <v>0</v>
      </c>
      <c r="BK293" s="56">
        <v>0</v>
      </c>
      <c r="BL293" s="56">
        <v>0</v>
      </c>
      <c r="BM293" s="56">
        <v>0</v>
      </c>
      <c r="BN293" s="56">
        <v>0</v>
      </c>
      <c r="BO293" s="56">
        <v>0</v>
      </c>
      <c r="BP293" s="54" t="s">
        <v>1049</v>
      </c>
      <c r="BQ293" s="54" t="s">
        <v>1050</v>
      </c>
      <c r="BR293" s="54" t="s">
        <v>1049</v>
      </c>
      <c r="BS293" s="54" t="s">
        <v>1050</v>
      </c>
      <c r="BT293" s="54" t="s">
        <v>1051</v>
      </c>
      <c r="BU293" s="54" t="s">
        <v>1043</v>
      </c>
      <c r="BV293" s="58">
        <v>100</v>
      </c>
      <c r="BW293" s="54" t="s">
        <v>1052</v>
      </c>
      <c r="BX293" s="54" t="s">
        <v>1053</v>
      </c>
      <c r="BY293" s="54" t="s">
        <v>1054</v>
      </c>
      <c r="BZ293" s="54" t="s">
        <v>1055</v>
      </c>
      <c r="CA293" s="55"/>
      <c r="CB293" s="54" t="s">
        <v>1056</v>
      </c>
      <c r="CC293" s="54" t="s">
        <v>1057</v>
      </c>
      <c r="CD293" s="54" t="s">
        <v>1058</v>
      </c>
      <c r="CE293" s="54" t="s">
        <v>1059</v>
      </c>
      <c r="CF293" s="54" t="s">
        <v>1060</v>
      </c>
      <c r="CG293" s="54" t="s">
        <v>1061</v>
      </c>
      <c r="CH293" s="54" t="s">
        <v>1062</v>
      </c>
      <c r="CI293" s="54" t="s">
        <v>1063</v>
      </c>
      <c r="CJ293" s="54" t="s">
        <v>1064</v>
      </c>
      <c r="CK293" s="54" t="s">
        <v>1065</v>
      </c>
      <c r="CL293" s="54" t="s">
        <v>1066</v>
      </c>
      <c r="CM293" s="54" t="s">
        <v>1067</v>
      </c>
      <c r="CN293" s="54" t="s">
        <v>1068</v>
      </c>
      <c r="CO293" s="54" t="s">
        <v>1069</v>
      </c>
      <c r="CP293" s="56">
        <v>0</v>
      </c>
      <c r="CQ293" s="56">
        <v>0</v>
      </c>
      <c r="CR293" s="56">
        <v>0</v>
      </c>
      <c r="CS293" s="56">
        <v>0</v>
      </c>
      <c r="CT293" s="56">
        <v>0</v>
      </c>
      <c r="CU293" s="56">
        <v>0</v>
      </c>
      <c r="CV293" s="56">
        <v>0</v>
      </c>
      <c r="CW293" s="56">
        <v>0</v>
      </c>
      <c r="CX293" s="56">
        <v>0</v>
      </c>
      <c r="CY293" s="56">
        <v>0</v>
      </c>
      <c r="CZ293" s="56">
        <v>0</v>
      </c>
      <c r="DA293" s="56">
        <v>0</v>
      </c>
      <c r="DB293" s="56">
        <v>0</v>
      </c>
      <c r="DC293" s="56">
        <v>0</v>
      </c>
      <c r="DD293" s="56">
        <v>0</v>
      </c>
      <c r="DE293" s="56">
        <v>0</v>
      </c>
      <c r="DF293" s="56">
        <v>0</v>
      </c>
      <c r="DG293" s="56">
        <v>0</v>
      </c>
      <c r="DH293" s="56">
        <v>0</v>
      </c>
      <c r="DI293" s="56">
        <v>0</v>
      </c>
      <c r="DJ293" s="56">
        <v>0</v>
      </c>
      <c r="DK293" s="56">
        <v>0</v>
      </c>
      <c r="DL293" s="56">
        <v>0</v>
      </c>
      <c r="DM293" s="56">
        <v>0</v>
      </c>
      <c r="DN293" s="56">
        <v>0</v>
      </c>
      <c r="DO293" s="56">
        <v>0</v>
      </c>
      <c r="DP293" s="56">
        <v>0</v>
      </c>
      <c r="DQ293" s="56">
        <v>0</v>
      </c>
      <c r="DR293" s="56">
        <v>0</v>
      </c>
      <c r="DS293" s="56">
        <v>0</v>
      </c>
      <c r="DT293" s="56">
        <v>0</v>
      </c>
      <c r="DU293" s="56">
        <v>0</v>
      </c>
      <c r="DV293" s="56">
        <v>0</v>
      </c>
      <c r="DW293" s="56">
        <v>0</v>
      </c>
      <c r="DX293" s="56">
        <v>0</v>
      </c>
      <c r="DY293" s="56">
        <v>0</v>
      </c>
      <c r="DZ293" s="56">
        <v>0</v>
      </c>
      <c r="EA293" s="56">
        <v>0</v>
      </c>
      <c r="EB293" s="56">
        <v>0</v>
      </c>
      <c r="EC293" s="56">
        <v>0</v>
      </c>
      <c r="ED293" s="56">
        <v>0</v>
      </c>
      <c r="EE293" s="56">
        <v>0</v>
      </c>
      <c r="EF293" s="56">
        <v>0</v>
      </c>
      <c r="EG293" s="56">
        <v>0</v>
      </c>
      <c r="EH293" s="56">
        <v>89.16</v>
      </c>
      <c r="EI293" s="56">
        <v>0</v>
      </c>
      <c r="EJ293" s="56">
        <v>0</v>
      </c>
      <c r="EK293" s="56">
        <v>0</v>
      </c>
      <c r="EL293" s="56">
        <v>0</v>
      </c>
      <c r="EM293" s="56">
        <v>0</v>
      </c>
      <c r="EN293" s="56">
        <v>0</v>
      </c>
      <c r="EO293" s="56">
        <v>0</v>
      </c>
      <c r="EP293" s="56">
        <v>0</v>
      </c>
      <c r="EQ293" s="56">
        <v>0</v>
      </c>
      <c r="ER293" s="56">
        <v>0</v>
      </c>
      <c r="ES293" s="56">
        <v>0</v>
      </c>
      <c r="ET293" s="56">
        <v>0</v>
      </c>
      <c r="EU293" s="56">
        <v>0</v>
      </c>
      <c r="EV293" s="56">
        <v>0</v>
      </c>
      <c r="EW293" s="56">
        <v>0</v>
      </c>
      <c r="EX293" s="56">
        <v>0</v>
      </c>
      <c r="EY293" s="56">
        <v>0</v>
      </c>
      <c r="EZ293" s="56">
        <v>0</v>
      </c>
      <c r="FA293" s="56">
        <v>0</v>
      </c>
      <c r="FB293" s="56">
        <v>0</v>
      </c>
      <c r="FC293" s="58">
        <v>0</v>
      </c>
      <c r="FD293" s="56">
        <v>0</v>
      </c>
      <c r="FE293" s="56">
        <v>0</v>
      </c>
      <c r="FF293" s="56">
        <v>0</v>
      </c>
      <c r="FG293" s="56">
        <v>0</v>
      </c>
      <c r="FH293" s="56">
        <v>0</v>
      </c>
      <c r="FI293" s="56">
        <v>0</v>
      </c>
      <c r="FJ293" s="56">
        <v>0</v>
      </c>
      <c r="FK293" s="56">
        <v>0</v>
      </c>
      <c r="FL293" s="56">
        <v>0</v>
      </c>
      <c r="FM293" s="56">
        <v>0</v>
      </c>
      <c r="FN293" s="56">
        <v>0</v>
      </c>
      <c r="FO293" s="56">
        <v>0</v>
      </c>
      <c r="FP293" s="56">
        <v>0</v>
      </c>
      <c r="FQ293" s="56">
        <v>0</v>
      </c>
      <c r="FR293" s="56">
        <v>0</v>
      </c>
      <c r="FS293" s="58">
        <v>0</v>
      </c>
      <c r="FT293" s="56">
        <v>0</v>
      </c>
      <c r="FU293" s="56">
        <v>0</v>
      </c>
      <c r="FV293" s="56">
        <v>0</v>
      </c>
      <c r="FW293" s="56">
        <v>0</v>
      </c>
      <c r="FX293" s="56">
        <v>0</v>
      </c>
      <c r="FY293" s="56">
        <v>0</v>
      </c>
      <c r="FZ293" s="54" t="s">
        <v>1070</v>
      </c>
      <c r="GA293" s="54" t="s">
        <v>1071</v>
      </c>
      <c r="GB293" s="54" t="s">
        <v>1072</v>
      </c>
      <c r="GC293" s="54" t="s">
        <v>1073</v>
      </c>
      <c r="GD293" s="54"/>
      <c r="GE293" s="54"/>
      <c r="GF293" s="54"/>
      <c r="GG293" s="55"/>
      <c r="GH293" s="54"/>
      <c r="GI293" s="54"/>
      <c r="GJ293" s="54" t="s">
        <v>1076</v>
      </c>
      <c r="GK293" s="54" t="s">
        <v>1077</v>
      </c>
      <c r="GL293" s="54"/>
      <c r="GM293" s="54"/>
      <c r="GN293" s="54" t="s">
        <v>1078</v>
      </c>
      <c r="GO293" s="54" t="s">
        <v>1059</v>
      </c>
      <c r="GP293" s="54"/>
      <c r="GQ293" s="56">
        <v>0</v>
      </c>
      <c r="GR293" s="54" t="s">
        <v>1079</v>
      </c>
      <c r="GS293" s="54"/>
    </row>
    <row r="294" spans="1:201" x14ac:dyDescent="0.25">
      <c r="A294" s="54" t="s">
        <v>1032</v>
      </c>
      <c r="B294" s="54" t="s">
        <v>1033</v>
      </c>
      <c r="C294" s="54" t="s">
        <v>1305</v>
      </c>
      <c r="D294" s="54" t="s">
        <v>1035</v>
      </c>
      <c r="E294" s="54" t="s">
        <v>1036</v>
      </c>
      <c r="F294" s="55">
        <v>46197</v>
      </c>
      <c r="G294" s="55">
        <v>46197</v>
      </c>
      <c r="H294" s="54" t="s">
        <v>1037</v>
      </c>
      <c r="I294" s="54" t="s">
        <v>1038</v>
      </c>
      <c r="J294" s="54" t="s">
        <v>1039</v>
      </c>
      <c r="K294" s="55"/>
      <c r="L294" s="54" t="s">
        <v>1040</v>
      </c>
      <c r="M294" s="54"/>
      <c r="N294" s="54" t="s">
        <v>1306</v>
      </c>
      <c r="O294" s="54" t="s">
        <v>1042</v>
      </c>
      <c r="P294" s="54" t="s">
        <v>229</v>
      </c>
      <c r="Q294" s="54" t="s">
        <v>64</v>
      </c>
      <c r="R294" s="54" t="s">
        <v>1043</v>
      </c>
      <c r="S294" s="56">
        <v>1706.4</v>
      </c>
      <c r="T294" s="56">
        <v>0</v>
      </c>
      <c r="U294" s="56">
        <v>1706.4</v>
      </c>
      <c r="V294" s="56">
        <v>0</v>
      </c>
      <c r="W294" s="56">
        <v>0</v>
      </c>
      <c r="X294" s="56">
        <v>0</v>
      </c>
      <c r="Y294" s="56">
        <v>0</v>
      </c>
      <c r="Z294" s="56">
        <v>240</v>
      </c>
      <c r="AA294" s="56">
        <v>0</v>
      </c>
      <c r="AB294" s="59">
        <v>240</v>
      </c>
      <c r="AC294" s="56">
        <v>0</v>
      </c>
      <c r="AD294" s="56">
        <v>0</v>
      </c>
      <c r="AE294" s="56">
        <v>0</v>
      </c>
      <c r="AF294" s="54" t="s">
        <v>1044</v>
      </c>
      <c r="AG294" s="57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 t="s">
        <v>1045</v>
      </c>
      <c r="AS294" s="54" t="s">
        <v>1046</v>
      </c>
      <c r="AT294" s="54" t="s">
        <v>1047</v>
      </c>
      <c r="AU294" s="54" t="s">
        <v>1048</v>
      </c>
      <c r="AV294" s="54"/>
      <c r="AW294" s="55">
        <v>46210</v>
      </c>
      <c r="AX294" s="55">
        <v>46197</v>
      </c>
      <c r="AY294" s="55">
        <v>46197</v>
      </c>
      <c r="AZ294" s="55"/>
      <c r="BA294" s="55">
        <v>46210</v>
      </c>
      <c r="BB294" s="56">
        <v>0</v>
      </c>
      <c r="BC294" s="56">
        <v>0</v>
      </c>
      <c r="BD294" s="56">
        <v>0</v>
      </c>
      <c r="BE294" s="56">
        <v>0</v>
      </c>
      <c r="BF294" s="56">
        <v>0</v>
      </c>
      <c r="BG294" s="56">
        <v>0</v>
      </c>
      <c r="BH294" s="56">
        <v>0</v>
      </c>
      <c r="BI294" s="56">
        <v>0</v>
      </c>
      <c r="BJ294" s="56">
        <v>0</v>
      </c>
      <c r="BK294" s="56">
        <v>0</v>
      </c>
      <c r="BL294" s="56">
        <v>0</v>
      </c>
      <c r="BM294" s="56">
        <v>0</v>
      </c>
      <c r="BN294" s="56">
        <v>0</v>
      </c>
      <c r="BO294" s="56">
        <v>0</v>
      </c>
      <c r="BP294" s="54" t="s">
        <v>1049</v>
      </c>
      <c r="BQ294" s="54" t="s">
        <v>1050</v>
      </c>
      <c r="BR294" s="54" t="s">
        <v>1049</v>
      </c>
      <c r="BS294" s="54" t="s">
        <v>1050</v>
      </c>
      <c r="BT294" s="54" t="s">
        <v>1051</v>
      </c>
      <c r="BU294" s="54" t="s">
        <v>1043</v>
      </c>
      <c r="BV294" s="58">
        <v>0</v>
      </c>
      <c r="BW294" s="54" t="s">
        <v>1052</v>
      </c>
      <c r="BX294" s="54" t="s">
        <v>1053</v>
      </c>
      <c r="BY294" s="54" t="s">
        <v>1054</v>
      </c>
      <c r="BZ294" s="54" t="s">
        <v>1055</v>
      </c>
      <c r="CA294" s="55"/>
      <c r="CB294" s="54" t="s">
        <v>1056</v>
      </c>
      <c r="CC294" s="54" t="s">
        <v>1057</v>
      </c>
      <c r="CD294" s="54" t="s">
        <v>1200</v>
      </c>
      <c r="CE294" s="54" t="s">
        <v>1201</v>
      </c>
      <c r="CF294" s="54" t="s">
        <v>1202</v>
      </c>
      <c r="CG294" s="54" t="s">
        <v>1203</v>
      </c>
      <c r="CH294" s="54" t="s">
        <v>1204</v>
      </c>
      <c r="CI294" s="54" t="s">
        <v>1203</v>
      </c>
      <c r="CJ294" s="54" t="s">
        <v>1064</v>
      </c>
      <c r="CK294" s="54" t="s">
        <v>1065</v>
      </c>
      <c r="CL294" s="54" t="s">
        <v>1205</v>
      </c>
      <c r="CM294" s="54" t="s">
        <v>1206</v>
      </c>
      <c r="CN294" s="54" t="s">
        <v>1068</v>
      </c>
      <c r="CO294" s="54" t="s">
        <v>1069</v>
      </c>
      <c r="CP294" s="56">
        <v>0</v>
      </c>
      <c r="CQ294" s="56">
        <v>0</v>
      </c>
      <c r="CR294" s="56">
        <v>0</v>
      </c>
      <c r="CS294" s="56">
        <v>0</v>
      </c>
      <c r="CT294" s="56">
        <v>0</v>
      </c>
      <c r="CU294" s="56">
        <v>0</v>
      </c>
      <c r="CV294" s="56">
        <v>0</v>
      </c>
      <c r="CW294" s="56">
        <v>0</v>
      </c>
      <c r="CX294" s="56">
        <v>0</v>
      </c>
      <c r="CY294" s="56">
        <v>0</v>
      </c>
      <c r="CZ294" s="56">
        <v>0</v>
      </c>
      <c r="DA294" s="56">
        <v>0</v>
      </c>
      <c r="DB294" s="56">
        <v>0</v>
      </c>
      <c r="DC294" s="56">
        <v>0</v>
      </c>
      <c r="DD294" s="56">
        <v>0</v>
      </c>
      <c r="DE294" s="56">
        <v>0</v>
      </c>
      <c r="DF294" s="56">
        <v>0</v>
      </c>
      <c r="DG294" s="56">
        <v>0</v>
      </c>
      <c r="DH294" s="56">
        <v>0</v>
      </c>
      <c r="DI294" s="56">
        <v>0</v>
      </c>
      <c r="DJ294" s="56">
        <v>0</v>
      </c>
      <c r="DK294" s="56">
        <v>0</v>
      </c>
      <c r="DL294" s="56">
        <v>0</v>
      </c>
      <c r="DM294" s="56">
        <v>0</v>
      </c>
      <c r="DN294" s="56">
        <v>0</v>
      </c>
      <c r="DO294" s="56">
        <v>0</v>
      </c>
      <c r="DP294" s="56">
        <v>0</v>
      </c>
      <c r="DQ294" s="56">
        <v>0</v>
      </c>
      <c r="DR294" s="56">
        <v>0</v>
      </c>
      <c r="DS294" s="56">
        <v>0</v>
      </c>
      <c r="DT294" s="56">
        <v>0</v>
      </c>
      <c r="DU294" s="56">
        <v>0</v>
      </c>
      <c r="DV294" s="56">
        <v>0</v>
      </c>
      <c r="DW294" s="56">
        <v>0</v>
      </c>
      <c r="DX294" s="56">
        <v>0</v>
      </c>
      <c r="DY294" s="56">
        <v>0</v>
      </c>
      <c r="DZ294" s="56">
        <v>0</v>
      </c>
      <c r="EA294" s="56">
        <v>0</v>
      </c>
      <c r="EB294" s="56">
        <v>0</v>
      </c>
      <c r="EC294" s="56">
        <v>204.77</v>
      </c>
      <c r="ED294" s="56">
        <v>0</v>
      </c>
      <c r="EE294" s="56">
        <v>0</v>
      </c>
      <c r="EF294" s="56">
        <v>0</v>
      </c>
      <c r="EG294" s="56">
        <v>0</v>
      </c>
      <c r="EH294" s="56">
        <v>204.77</v>
      </c>
      <c r="EI294" s="56">
        <v>0</v>
      </c>
      <c r="EJ294" s="56">
        <v>0</v>
      </c>
      <c r="EK294" s="56">
        <v>0</v>
      </c>
      <c r="EL294" s="56">
        <v>0</v>
      </c>
      <c r="EM294" s="56">
        <v>0</v>
      </c>
      <c r="EN294" s="56">
        <v>0</v>
      </c>
      <c r="EO294" s="56">
        <v>0</v>
      </c>
      <c r="EP294" s="56">
        <v>1706.4</v>
      </c>
      <c r="EQ294" s="56">
        <v>0</v>
      </c>
      <c r="ER294" s="56">
        <v>0</v>
      </c>
      <c r="ES294" s="56">
        <v>240</v>
      </c>
      <c r="ET294" s="56">
        <v>0</v>
      </c>
      <c r="EU294" s="56">
        <v>0</v>
      </c>
      <c r="EV294" s="56">
        <v>0</v>
      </c>
      <c r="EW294" s="56">
        <v>0</v>
      </c>
      <c r="EX294" s="56">
        <v>0</v>
      </c>
      <c r="EY294" s="56">
        <v>0</v>
      </c>
      <c r="EZ294" s="56">
        <v>0</v>
      </c>
      <c r="FA294" s="56">
        <v>0</v>
      </c>
      <c r="FB294" s="56">
        <v>0</v>
      </c>
      <c r="FC294" s="58">
        <v>0</v>
      </c>
      <c r="FD294" s="56">
        <v>0</v>
      </c>
      <c r="FE294" s="56">
        <v>0</v>
      </c>
      <c r="FF294" s="56">
        <v>0</v>
      </c>
      <c r="FG294" s="56">
        <v>0</v>
      </c>
      <c r="FH294" s="56">
        <v>0</v>
      </c>
      <c r="FI294" s="56">
        <v>0</v>
      </c>
      <c r="FJ294" s="56">
        <v>0</v>
      </c>
      <c r="FK294" s="56">
        <v>0</v>
      </c>
      <c r="FL294" s="56">
        <v>0</v>
      </c>
      <c r="FM294" s="56">
        <v>0</v>
      </c>
      <c r="FN294" s="56">
        <v>0</v>
      </c>
      <c r="FO294" s="56">
        <v>0</v>
      </c>
      <c r="FP294" s="56">
        <v>0</v>
      </c>
      <c r="FQ294" s="56">
        <v>0</v>
      </c>
      <c r="FR294" s="56">
        <v>0</v>
      </c>
      <c r="FS294" s="58">
        <v>0</v>
      </c>
      <c r="FT294" s="56">
        <v>0</v>
      </c>
      <c r="FU294" s="56">
        <v>0</v>
      </c>
      <c r="FV294" s="56">
        <v>0</v>
      </c>
      <c r="FW294" s="56">
        <v>0</v>
      </c>
      <c r="FX294" s="56">
        <v>0</v>
      </c>
      <c r="FY294" s="56">
        <v>0</v>
      </c>
      <c r="FZ294" s="54" t="s">
        <v>1070</v>
      </c>
      <c r="GA294" s="54" t="s">
        <v>1071</v>
      </c>
      <c r="GB294" s="54" t="s">
        <v>1072</v>
      </c>
      <c r="GC294" s="54" t="s">
        <v>1073</v>
      </c>
      <c r="GD294" s="54" t="s">
        <v>1207</v>
      </c>
      <c r="GE294" s="54" t="s">
        <v>1201</v>
      </c>
      <c r="GF294" s="54" t="s">
        <v>1307</v>
      </c>
      <c r="GG294" s="55">
        <v>46205</v>
      </c>
      <c r="GH294" s="54"/>
      <c r="GI294" s="54"/>
      <c r="GJ294" s="54" t="s">
        <v>1076</v>
      </c>
      <c r="GK294" s="54" t="s">
        <v>1077</v>
      </c>
      <c r="GL294" s="54"/>
      <c r="GM294" s="54"/>
      <c r="GN294" s="54" t="s">
        <v>1208</v>
      </c>
      <c r="GO294" s="54" t="s">
        <v>1209</v>
      </c>
      <c r="GP294" s="54"/>
      <c r="GQ294" s="56">
        <v>0</v>
      </c>
      <c r="GR294" s="54" t="s">
        <v>1079</v>
      </c>
      <c r="GS294" s="54" t="s">
        <v>1101</v>
      </c>
    </row>
    <row r="295" spans="1:201" x14ac:dyDescent="0.25">
      <c r="A295" s="54" t="s">
        <v>1032</v>
      </c>
      <c r="B295" s="54" t="s">
        <v>1033</v>
      </c>
      <c r="C295" s="54" t="s">
        <v>1305</v>
      </c>
      <c r="D295" s="54" t="s">
        <v>1035</v>
      </c>
      <c r="E295" s="54" t="s">
        <v>1036</v>
      </c>
      <c r="F295" s="55">
        <v>46197</v>
      </c>
      <c r="G295" s="55">
        <v>46197</v>
      </c>
      <c r="H295" s="54" t="s">
        <v>1037</v>
      </c>
      <c r="I295" s="54" t="s">
        <v>1038</v>
      </c>
      <c r="J295" s="54" t="s">
        <v>1039</v>
      </c>
      <c r="K295" s="55"/>
      <c r="L295" s="54" t="s">
        <v>1040</v>
      </c>
      <c r="M295" s="54"/>
      <c r="N295" s="54" t="s">
        <v>1306</v>
      </c>
      <c r="O295" s="54" t="s">
        <v>1080</v>
      </c>
      <c r="P295" s="54" t="s">
        <v>228</v>
      </c>
      <c r="Q295" s="54" t="s">
        <v>63</v>
      </c>
      <c r="R295" s="54" t="s">
        <v>1043</v>
      </c>
      <c r="S295" s="56">
        <v>4809</v>
      </c>
      <c r="T295" s="56">
        <v>4809</v>
      </c>
      <c r="U295" s="56">
        <v>0</v>
      </c>
      <c r="V295" s="56">
        <v>0</v>
      </c>
      <c r="W295" s="56">
        <v>0</v>
      </c>
      <c r="X295" s="56">
        <v>0</v>
      </c>
      <c r="Y295" s="56">
        <v>0</v>
      </c>
      <c r="Z295" s="56">
        <v>420</v>
      </c>
      <c r="AA295" s="56">
        <v>420</v>
      </c>
      <c r="AB295" s="59">
        <v>0</v>
      </c>
      <c r="AC295" s="56">
        <v>0</v>
      </c>
      <c r="AD295" s="56">
        <v>0</v>
      </c>
      <c r="AE295" s="56">
        <v>0</v>
      </c>
      <c r="AF295" s="54" t="s">
        <v>1044</v>
      </c>
      <c r="AG295" s="57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 t="s">
        <v>1045</v>
      </c>
      <c r="AS295" s="54" t="s">
        <v>1046</v>
      </c>
      <c r="AT295" s="54" t="s">
        <v>1047</v>
      </c>
      <c r="AU295" s="54" t="s">
        <v>1048</v>
      </c>
      <c r="AV295" s="54"/>
      <c r="AW295" s="55">
        <v>46210</v>
      </c>
      <c r="AX295" s="55">
        <v>46197</v>
      </c>
      <c r="AY295" s="55">
        <v>46197</v>
      </c>
      <c r="AZ295" s="55"/>
      <c r="BA295" s="55">
        <v>46210</v>
      </c>
      <c r="BB295" s="56">
        <v>0</v>
      </c>
      <c r="BC295" s="56">
        <v>0</v>
      </c>
      <c r="BD295" s="56">
        <v>0</v>
      </c>
      <c r="BE295" s="56">
        <v>0</v>
      </c>
      <c r="BF295" s="56">
        <v>0</v>
      </c>
      <c r="BG295" s="56">
        <v>0</v>
      </c>
      <c r="BH295" s="56">
        <v>0</v>
      </c>
      <c r="BI295" s="56">
        <v>0</v>
      </c>
      <c r="BJ295" s="56">
        <v>0</v>
      </c>
      <c r="BK295" s="56">
        <v>0</v>
      </c>
      <c r="BL295" s="56">
        <v>0</v>
      </c>
      <c r="BM295" s="56">
        <v>0</v>
      </c>
      <c r="BN295" s="56">
        <v>0</v>
      </c>
      <c r="BO295" s="56">
        <v>0</v>
      </c>
      <c r="BP295" s="54" t="s">
        <v>1049</v>
      </c>
      <c r="BQ295" s="54" t="s">
        <v>1050</v>
      </c>
      <c r="BR295" s="54" t="s">
        <v>1049</v>
      </c>
      <c r="BS295" s="54" t="s">
        <v>1050</v>
      </c>
      <c r="BT295" s="54" t="s">
        <v>1051</v>
      </c>
      <c r="BU295" s="54" t="s">
        <v>1043</v>
      </c>
      <c r="BV295" s="58">
        <v>420</v>
      </c>
      <c r="BW295" s="54" t="s">
        <v>1052</v>
      </c>
      <c r="BX295" s="54" t="s">
        <v>1053</v>
      </c>
      <c r="BY295" s="54" t="s">
        <v>1054</v>
      </c>
      <c r="BZ295" s="54" t="s">
        <v>1055</v>
      </c>
      <c r="CA295" s="55"/>
      <c r="CB295" s="54" t="s">
        <v>1056</v>
      </c>
      <c r="CC295" s="54" t="s">
        <v>1057</v>
      </c>
      <c r="CD295" s="54" t="s">
        <v>1200</v>
      </c>
      <c r="CE295" s="54" t="s">
        <v>1201</v>
      </c>
      <c r="CF295" s="54" t="s">
        <v>1202</v>
      </c>
      <c r="CG295" s="54" t="s">
        <v>1203</v>
      </c>
      <c r="CH295" s="54" t="s">
        <v>1204</v>
      </c>
      <c r="CI295" s="54" t="s">
        <v>1203</v>
      </c>
      <c r="CJ295" s="54" t="s">
        <v>1064</v>
      </c>
      <c r="CK295" s="54" t="s">
        <v>1065</v>
      </c>
      <c r="CL295" s="54" t="s">
        <v>1205</v>
      </c>
      <c r="CM295" s="54" t="s">
        <v>1206</v>
      </c>
      <c r="CN295" s="54" t="s">
        <v>1068</v>
      </c>
      <c r="CO295" s="54" t="s">
        <v>1069</v>
      </c>
      <c r="CP295" s="56">
        <v>0</v>
      </c>
      <c r="CQ295" s="56">
        <v>0</v>
      </c>
      <c r="CR295" s="56">
        <v>0</v>
      </c>
      <c r="CS295" s="56">
        <v>0</v>
      </c>
      <c r="CT295" s="56">
        <v>0</v>
      </c>
      <c r="CU295" s="56">
        <v>0</v>
      </c>
      <c r="CV295" s="56">
        <v>0</v>
      </c>
      <c r="CW295" s="56">
        <v>0</v>
      </c>
      <c r="CX295" s="56">
        <v>0</v>
      </c>
      <c r="CY295" s="56">
        <v>0</v>
      </c>
      <c r="CZ295" s="56">
        <v>0</v>
      </c>
      <c r="DA295" s="56">
        <v>0</v>
      </c>
      <c r="DB295" s="56">
        <v>0</v>
      </c>
      <c r="DC295" s="56">
        <v>0</v>
      </c>
      <c r="DD295" s="56">
        <v>0</v>
      </c>
      <c r="DE295" s="56">
        <v>0</v>
      </c>
      <c r="DF295" s="56">
        <v>0</v>
      </c>
      <c r="DG295" s="56">
        <v>0</v>
      </c>
      <c r="DH295" s="56">
        <v>0</v>
      </c>
      <c r="DI295" s="56">
        <v>0</v>
      </c>
      <c r="DJ295" s="56">
        <v>0</v>
      </c>
      <c r="DK295" s="56">
        <v>0</v>
      </c>
      <c r="DL295" s="56">
        <v>0</v>
      </c>
      <c r="DM295" s="56">
        <v>0</v>
      </c>
      <c r="DN295" s="56">
        <v>0</v>
      </c>
      <c r="DO295" s="56">
        <v>0</v>
      </c>
      <c r="DP295" s="56">
        <v>0</v>
      </c>
      <c r="DQ295" s="56">
        <v>0</v>
      </c>
      <c r="DR295" s="56">
        <v>0</v>
      </c>
      <c r="DS295" s="56">
        <v>0</v>
      </c>
      <c r="DT295" s="56">
        <v>0</v>
      </c>
      <c r="DU295" s="56">
        <v>0</v>
      </c>
      <c r="DV295" s="56">
        <v>0</v>
      </c>
      <c r="DW295" s="56">
        <v>0</v>
      </c>
      <c r="DX295" s="56">
        <v>0</v>
      </c>
      <c r="DY295" s="56">
        <v>0</v>
      </c>
      <c r="DZ295" s="56">
        <v>0</v>
      </c>
      <c r="EA295" s="56">
        <v>0</v>
      </c>
      <c r="EB295" s="56">
        <v>0</v>
      </c>
      <c r="EC295" s="56">
        <v>0</v>
      </c>
      <c r="ED295" s="56">
        <v>0</v>
      </c>
      <c r="EE295" s="56">
        <v>0</v>
      </c>
      <c r="EF295" s="56">
        <v>0</v>
      </c>
      <c r="EG295" s="56">
        <v>0</v>
      </c>
      <c r="EH295" s="56">
        <v>577.08000000000004</v>
      </c>
      <c r="EI295" s="56">
        <v>0</v>
      </c>
      <c r="EJ295" s="56">
        <v>0</v>
      </c>
      <c r="EK295" s="56">
        <v>0</v>
      </c>
      <c r="EL295" s="56">
        <v>0</v>
      </c>
      <c r="EM295" s="56">
        <v>0</v>
      </c>
      <c r="EN295" s="56">
        <v>0</v>
      </c>
      <c r="EO295" s="56">
        <v>0</v>
      </c>
      <c r="EP295" s="56">
        <v>0</v>
      </c>
      <c r="EQ295" s="56">
        <v>0</v>
      </c>
      <c r="ER295" s="56">
        <v>0</v>
      </c>
      <c r="ES295" s="56">
        <v>0</v>
      </c>
      <c r="ET295" s="56">
        <v>0</v>
      </c>
      <c r="EU295" s="56">
        <v>0</v>
      </c>
      <c r="EV295" s="56">
        <v>0</v>
      </c>
      <c r="EW295" s="56">
        <v>0</v>
      </c>
      <c r="EX295" s="56">
        <v>0</v>
      </c>
      <c r="EY295" s="56">
        <v>0</v>
      </c>
      <c r="EZ295" s="56">
        <v>0</v>
      </c>
      <c r="FA295" s="56">
        <v>0</v>
      </c>
      <c r="FB295" s="56">
        <v>0</v>
      </c>
      <c r="FC295" s="58">
        <v>0</v>
      </c>
      <c r="FD295" s="56">
        <v>0</v>
      </c>
      <c r="FE295" s="56">
        <v>0</v>
      </c>
      <c r="FF295" s="56">
        <v>0</v>
      </c>
      <c r="FG295" s="56">
        <v>0</v>
      </c>
      <c r="FH295" s="56">
        <v>0</v>
      </c>
      <c r="FI295" s="56">
        <v>0</v>
      </c>
      <c r="FJ295" s="56">
        <v>0</v>
      </c>
      <c r="FK295" s="56">
        <v>0</v>
      </c>
      <c r="FL295" s="56">
        <v>0</v>
      </c>
      <c r="FM295" s="56">
        <v>0</v>
      </c>
      <c r="FN295" s="56">
        <v>0</v>
      </c>
      <c r="FO295" s="56">
        <v>0</v>
      </c>
      <c r="FP295" s="56">
        <v>0</v>
      </c>
      <c r="FQ295" s="56">
        <v>0</v>
      </c>
      <c r="FR295" s="56">
        <v>0</v>
      </c>
      <c r="FS295" s="58">
        <v>0</v>
      </c>
      <c r="FT295" s="56">
        <v>0</v>
      </c>
      <c r="FU295" s="56">
        <v>0</v>
      </c>
      <c r="FV295" s="56">
        <v>0</v>
      </c>
      <c r="FW295" s="56">
        <v>0</v>
      </c>
      <c r="FX295" s="56">
        <v>0</v>
      </c>
      <c r="FY295" s="56">
        <v>0</v>
      </c>
      <c r="FZ295" s="54" t="s">
        <v>1070</v>
      </c>
      <c r="GA295" s="54" t="s">
        <v>1071</v>
      </c>
      <c r="GB295" s="54" t="s">
        <v>1072</v>
      </c>
      <c r="GC295" s="54" t="s">
        <v>1073</v>
      </c>
      <c r="GD295" s="54" t="s">
        <v>1207</v>
      </c>
      <c r="GE295" s="54" t="s">
        <v>1201</v>
      </c>
      <c r="GF295" s="54"/>
      <c r="GG295" s="55"/>
      <c r="GH295" s="54"/>
      <c r="GI295" s="54"/>
      <c r="GJ295" s="54" t="s">
        <v>1076</v>
      </c>
      <c r="GK295" s="54" t="s">
        <v>1077</v>
      </c>
      <c r="GL295" s="54"/>
      <c r="GM295" s="54"/>
      <c r="GN295" s="54" t="s">
        <v>1208</v>
      </c>
      <c r="GO295" s="54" t="s">
        <v>1209</v>
      </c>
      <c r="GP295" s="54"/>
      <c r="GQ295" s="56">
        <v>0</v>
      </c>
      <c r="GR295" s="54" t="s">
        <v>1079</v>
      </c>
      <c r="GS295" s="54"/>
    </row>
    <row r="296" spans="1:201" x14ac:dyDescent="0.25">
      <c r="A296" s="54" t="s">
        <v>1032</v>
      </c>
      <c r="B296" s="54" t="s">
        <v>1033</v>
      </c>
      <c r="C296" s="54" t="s">
        <v>1305</v>
      </c>
      <c r="D296" s="54" t="s">
        <v>1035</v>
      </c>
      <c r="E296" s="54" t="s">
        <v>1036</v>
      </c>
      <c r="F296" s="55">
        <v>46197</v>
      </c>
      <c r="G296" s="55">
        <v>46197</v>
      </c>
      <c r="H296" s="54" t="s">
        <v>1037</v>
      </c>
      <c r="I296" s="54" t="s">
        <v>1038</v>
      </c>
      <c r="J296" s="54" t="s">
        <v>1039</v>
      </c>
      <c r="K296" s="55"/>
      <c r="L296" s="54" t="s">
        <v>1040</v>
      </c>
      <c r="M296" s="54"/>
      <c r="N296" s="54" t="s">
        <v>1306</v>
      </c>
      <c r="O296" s="54" t="s">
        <v>1086</v>
      </c>
      <c r="P296" s="54" t="s">
        <v>345</v>
      </c>
      <c r="Q296" s="54" t="s">
        <v>74</v>
      </c>
      <c r="R296" s="54" t="s">
        <v>1043</v>
      </c>
      <c r="S296" s="56">
        <v>2334</v>
      </c>
      <c r="T296" s="56">
        <v>0</v>
      </c>
      <c r="U296" s="56">
        <v>0</v>
      </c>
      <c r="V296" s="56">
        <v>2334</v>
      </c>
      <c r="W296" s="56">
        <v>0</v>
      </c>
      <c r="X296" s="56">
        <v>0</v>
      </c>
      <c r="Y296" s="56">
        <v>0</v>
      </c>
      <c r="Z296" s="56">
        <v>600</v>
      </c>
      <c r="AA296" s="56">
        <v>0</v>
      </c>
      <c r="AB296" s="59">
        <v>0</v>
      </c>
      <c r="AC296" s="56">
        <v>600</v>
      </c>
      <c r="AD296" s="56">
        <v>0</v>
      </c>
      <c r="AE296" s="56">
        <v>0</v>
      </c>
      <c r="AF296" s="54" t="s">
        <v>1044</v>
      </c>
      <c r="AG296" s="57"/>
      <c r="AH296" s="54" t="s">
        <v>1252</v>
      </c>
      <c r="AI296" s="54" t="s">
        <v>1253</v>
      </c>
      <c r="AJ296" s="54"/>
      <c r="AK296" s="54"/>
      <c r="AL296" s="54"/>
      <c r="AM296" s="54"/>
      <c r="AN296" s="54"/>
      <c r="AO296" s="54"/>
      <c r="AP296" s="54"/>
      <c r="AQ296" s="54"/>
      <c r="AR296" s="54" t="s">
        <v>1045</v>
      </c>
      <c r="AS296" s="54" t="s">
        <v>1046</v>
      </c>
      <c r="AT296" s="54" t="s">
        <v>1047</v>
      </c>
      <c r="AU296" s="54" t="s">
        <v>1048</v>
      </c>
      <c r="AV296" s="54"/>
      <c r="AW296" s="55">
        <v>46210</v>
      </c>
      <c r="AX296" s="55">
        <v>46197</v>
      </c>
      <c r="AY296" s="55">
        <v>46197</v>
      </c>
      <c r="AZ296" s="55"/>
      <c r="BA296" s="55">
        <v>46210</v>
      </c>
      <c r="BB296" s="56">
        <v>0</v>
      </c>
      <c r="BC296" s="56">
        <v>0</v>
      </c>
      <c r="BD296" s="56">
        <v>0</v>
      </c>
      <c r="BE296" s="56">
        <v>0</v>
      </c>
      <c r="BF296" s="56">
        <v>0</v>
      </c>
      <c r="BG296" s="56">
        <v>0</v>
      </c>
      <c r="BH296" s="56">
        <v>0</v>
      </c>
      <c r="BI296" s="56">
        <v>0</v>
      </c>
      <c r="BJ296" s="56">
        <v>0</v>
      </c>
      <c r="BK296" s="56">
        <v>0</v>
      </c>
      <c r="BL296" s="56">
        <v>0</v>
      </c>
      <c r="BM296" s="56">
        <v>0</v>
      </c>
      <c r="BN296" s="56">
        <v>0</v>
      </c>
      <c r="BO296" s="56">
        <v>0</v>
      </c>
      <c r="BP296" s="54" t="s">
        <v>1049</v>
      </c>
      <c r="BQ296" s="54" t="s">
        <v>1050</v>
      </c>
      <c r="BR296" s="54" t="s">
        <v>1049</v>
      </c>
      <c r="BS296" s="54" t="s">
        <v>1050</v>
      </c>
      <c r="BT296" s="54" t="s">
        <v>1051</v>
      </c>
      <c r="BU296" s="54" t="s">
        <v>1043</v>
      </c>
      <c r="BV296" s="58">
        <v>0</v>
      </c>
      <c r="BW296" s="54" t="s">
        <v>1052</v>
      </c>
      <c r="BX296" s="54" t="s">
        <v>1053</v>
      </c>
      <c r="BY296" s="54" t="s">
        <v>1054</v>
      </c>
      <c r="BZ296" s="54" t="s">
        <v>1055</v>
      </c>
      <c r="CA296" s="55"/>
      <c r="CB296" s="54" t="s">
        <v>1056</v>
      </c>
      <c r="CC296" s="54" t="s">
        <v>1057</v>
      </c>
      <c r="CD296" s="54" t="s">
        <v>1200</v>
      </c>
      <c r="CE296" s="54" t="s">
        <v>1201</v>
      </c>
      <c r="CF296" s="54" t="s">
        <v>1202</v>
      </c>
      <c r="CG296" s="54" t="s">
        <v>1203</v>
      </c>
      <c r="CH296" s="54" t="s">
        <v>1204</v>
      </c>
      <c r="CI296" s="54" t="s">
        <v>1203</v>
      </c>
      <c r="CJ296" s="54" t="s">
        <v>1064</v>
      </c>
      <c r="CK296" s="54" t="s">
        <v>1065</v>
      </c>
      <c r="CL296" s="54" t="s">
        <v>1205</v>
      </c>
      <c r="CM296" s="54" t="s">
        <v>1206</v>
      </c>
      <c r="CN296" s="54" t="s">
        <v>1068</v>
      </c>
      <c r="CO296" s="54" t="s">
        <v>1069</v>
      </c>
      <c r="CP296" s="56">
        <v>0</v>
      </c>
      <c r="CQ296" s="56">
        <v>0</v>
      </c>
      <c r="CR296" s="56">
        <v>0</v>
      </c>
      <c r="CS296" s="56">
        <v>0</v>
      </c>
      <c r="CT296" s="56">
        <v>0</v>
      </c>
      <c r="CU296" s="56">
        <v>0</v>
      </c>
      <c r="CV296" s="56">
        <v>0</v>
      </c>
      <c r="CW296" s="56">
        <v>0</v>
      </c>
      <c r="CX296" s="56">
        <v>0</v>
      </c>
      <c r="CY296" s="56">
        <v>0</v>
      </c>
      <c r="CZ296" s="56">
        <v>0</v>
      </c>
      <c r="DA296" s="56">
        <v>0</v>
      </c>
      <c r="DB296" s="56">
        <v>0</v>
      </c>
      <c r="DC296" s="56">
        <v>0</v>
      </c>
      <c r="DD296" s="56">
        <v>0</v>
      </c>
      <c r="DE296" s="56">
        <v>0</v>
      </c>
      <c r="DF296" s="56">
        <v>0</v>
      </c>
      <c r="DG296" s="56">
        <v>0</v>
      </c>
      <c r="DH296" s="56">
        <v>0</v>
      </c>
      <c r="DI296" s="56">
        <v>0</v>
      </c>
      <c r="DJ296" s="56">
        <v>0</v>
      </c>
      <c r="DK296" s="56">
        <v>0</v>
      </c>
      <c r="DL296" s="56">
        <v>0</v>
      </c>
      <c r="DM296" s="56">
        <v>0</v>
      </c>
      <c r="DN296" s="56">
        <v>0</v>
      </c>
      <c r="DO296" s="56">
        <v>0</v>
      </c>
      <c r="DP296" s="56">
        <v>0</v>
      </c>
      <c r="DQ296" s="56">
        <v>0</v>
      </c>
      <c r="DR296" s="56">
        <v>0</v>
      </c>
      <c r="DS296" s="56">
        <v>0</v>
      </c>
      <c r="DT296" s="56">
        <v>0</v>
      </c>
      <c r="DU296" s="56">
        <v>0</v>
      </c>
      <c r="DV296" s="56">
        <v>0</v>
      </c>
      <c r="DW296" s="56">
        <v>0</v>
      </c>
      <c r="DX296" s="56">
        <v>0</v>
      </c>
      <c r="DY296" s="56">
        <v>0</v>
      </c>
      <c r="DZ296" s="56">
        <v>0</v>
      </c>
      <c r="EA296" s="56">
        <v>0</v>
      </c>
      <c r="EB296" s="56">
        <v>0</v>
      </c>
      <c r="EC296" s="56">
        <v>0</v>
      </c>
      <c r="ED296" s="56">
        <v>0</v>
      </c>
      <c r="EE296" s="56">
        <v>0</v>
      </c>
      <c r="EF296" s="56">
        <v>0</v>
      </c>
      <c r="EG296" s="56">
        <v>0</v>
      </c>
      <c r="EH296" s="56">
        <v>280.08</v>
      </c>
      <c r="EI296" s="56">
        <v>0</v>
      </c>
      <c r="EJ296" s="56">
        <v>0</v>
      </c>
      <c r="EK296" s="56">
        <v>0</v>
      </c>
      <c r="EL296" s="56">
        <v>0</v>
      </c>
      <c r="EM296" s="56">
        <v>0</v>
      </c>
      <c r="EN296" s="56">
        <v>0</v>
      </c>
      <c r="EO296" s="56">
        <v>0</v>
      </c>
      <c r="EP296" s="56">
        <v>0</v>
      </c>
      <c r="EQ296" s="56">
        <v>0</v>
      </c>
      <c r="ER296" s="56">
        <v>0</v>
      </c>
      <c r="ES296" s="56">
        <v>0</v>
      </c>
      <c r="ET296" s="56">
        <v>0</v>
      </c>
      <c r="EU296" s="56">
        <v>0</v>
      </c>
      <c r="EV296" s="56">
        <v>0</v>
      </c>
      <c r="EW296" s="56">
        <v>0</v>
      </c>
      <c r="EX296" s="56">
        <v>0</v>
      </c>
      <c r="EY296" s="56">
        <v>0</v>
      </c>
      <c r="EZ296" s="56">
        <v>0</v>
      </c>
      <c r="FA296" s="56">
        <v>0</v>
      </c>
      <c r="FB296" s="56">
        <v>0</v>
      </c>
      <c r="FC296" s="58">
        <v>0</v>
      </c>
      <c r="FD296" s="56">
        <v>0</v>
      </c>
      <c r="FE296" s="56">
        <v>0</v>
      </c>
      <c r="FF296" s="56">
        <v>0</v>
      </c>
      <c r="FG296" s="56">
        <v>0</v>
      </c>
      <c r="FH296" s="56">
        <v>0</v>
      </c>
      <c r="FI296" s="56">
        <v>0</v>
      </c>
      <c r="FJ296" s="56">
        <v>0</v>
      </c>
      <c r="FK296" s="56">
        <v>0</v>
      </c>
      <c r="FL296" s="56">
        <v>0</v>
      </c>
      <c r="FM296" s="56">
        <v>0</v>
      </c>
      <c r="FN296" s="56">
        <v>0</v>
      </c>
      <c r="FO296" s="56">
        <v>0</v>
      </c>
      <c r="FP296" s="56">
        <v>0</v>
      </c>
      <c r="FQ296" s="56">
        <v>0</v>
      </c>
      <c r="FR296" s="56">
        <v>0</v>
      </c>
      <c r="FS296" s="58">
        <v>0</v>
      </c>
      <c r="FT296" s="56">
        <v>0</v>
      </c>
      <c r="FU296" s="56">
        <v>0</v>
      </c>
      <c r="FV296" s="56">
        <v>0</v>
      </c>
      <c r="FW296" s="56">
        <v>0</v>
      </c>
      <c r="FX296" s="56">
        <v>0</v>
      </c>
      <c r="FY296" s="56">
        <v>0</v>
      </c>
      <c r="FZ296" s="54" t="s">
        <v>1070</v>
      </c>
      <c r="GA296" s="54" t="s">
        <v>1071</v>
      </c>
      <c r="GB296" s="54" t="s">
        <v>1072</v>
      </c>
      <c r="GC296" s="54" t="s">
        <v>1073</v>
      </c>
      <c r="GD296" s="54" t="s">
        <v>1283</v>
      </c>
      <c r="GE296" s="54" t="s">
        <v>1201</v>
      </c>
      <c r="GF296" s="54"/>
      <c r="GG296" s="55"/>
      <c r="GH296" s="54"/>
      <c r="GI296" s="54"/>
      <c r="GJ296" s="54" t="s">
        <v>1076</v>
      </c>
      <c r="GK296" s="54" t="s">
        <v>1077</v>
      </c>
      <c r="GL296" s="54"/>
      <c r="GM296" s="54"/>
      <c r="GN296" s="54" t="s">
        <v>1208</v>
      </c>
      <c r="GO296" s="54" t="s">
        <v>1209</v>
      </c>
      <c r="GP296" s="54"/>
      <c r="GQ296" s="56">
        <v>0</v>
      </c>
      <c r="GR296" s="54" t="s">
        <v>1079</v>
      </c>
      <c r="GS296" s="54"/>
    </row>
    <row r="297" spans="1:201" x14ac:dyDescent="0.25">
      <c r="A297" s="54" t="s">
        <v>1032</v>
      </c>
      <c r="B297" s="54" t="s">
        <v>1033</v>
      </c>
      <c r="C297" s="54" t="s">
        <v>1305</v>
      </c>
      <c r="D297" s="54" t="s">
        <v>1035</v>
      </c>
      <c r="E297" s="54" t="s">
        <v>1036</v>
      </c>
      <c r="F297" s="55">
        <v>46197</v>
      </c>
      <c r="G297" s="55">
        <v>46197</v>
      </c>
      <c r="H297" s="54" t="s">
        <v>1037</v>
      </c>
      <c r="I297" s="54" t="s">
        <v>1038</v>
      </c>
      <c r="J297" s="54" t="s">
        <v>1039</v>
      </c>
      <c r="K297" s="55"/>
      <c r="L297" s="54" t="s">
        <v>1040</v>
      </c>
      <c r="M297" s="54"/>
      <c r="N297" s="54" t="s">
        <v>1306</v>
      </c>
      <c r="O297" s="54" t="s">
        <v>1088</v>
      </c>
      <c r="P297" s="54" t="s">
        <v>607</v>
      </c>
      <c r="Q297" s="54" t="s">
        <v>658</v>
      </c>
      <c r="R297" s="54" t="s">
        <v>1043</v>
      </c>
      <c r="S297" s="56">
        <v>6588</v>
      </c>
      <c r="T297" s="56">
        <v>6588</v>
      </c>
      <c r="U297" s="56">
        <v>0</v>
      </c>
      <c r="V297" s="56">
        <v>0</v>
      </c>
      <c r="W297" s="56">
        <v>0</v>
      </c>
      <c r="X297" s="56">
        <v>0</v>
      </c>
      <c r="Y297" s="56">
        <v>0</v>
      </c>
      <c r="Z297" s="56">
        <v>1200</v>
      </c>
      <c r="AA297" s="56">
        <v>1200</v>
      </c>
      <c r="AB297" s="59">
        <v>0</v>
      </c>
      <c r="AC297" s="56">
        <v>0</v>
      </c>
      <c r="AD297" s="56">
        <v>0</v>
      </c>
      <c r="AE297" s="56">
        <v>0</v>
      </c>
      <c r="AF297" s="54" t="s">
        <v>1044</v>
      </c>
      <c r="AG297" s="57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 t="s">
        <v>1045</v>
      </c>
      <c r="AS297" s="54" t="s">
        <v>1046</v>
      </c>
      <c r="AT297" s="54" t="s">
        <v>1047</v>
      </c>
      <c r="AU297" s="54" t="s">
        <v>1048</v>
      </c>
      <c r="AV297" s="54"/>
      <c r="AW297" s="55">
        <v>46210</v>
      </c>
      <c r="AX297" s="55">
        <v>46197</v>
      </c>
      <c r="AY297" s="55">
        <v>46197</v>
      </c>
      <c r="AZ297" s="55"/>
      <c r="BA297" s="55">
        <v>46210</v>
      </c>
      <c r="BB297" s="56">
        <v>0</v>
      </c>
      <c r="BC297" s="56">
        <v>0</v>
      </c>
      <c r="BD297" s="56">
        <v>0</v>
      </c>
      <c r="BE297" s="56">
        <v>0</v>
      </c>
      <c r="BF297" s="56">
        <v>0</v>
      </c>
      <c r="BG297" s="56">
        <v>0</v>
      </c>
      <c r="BH297" s="56">
        <v>0</v>
      </c>
      <c r="BI297" s="56">
        <v>0</v>
      </c>
      <c r="BJ297" s="56">
        <v>0</v>
      </c>
      <c r="BK297" s="56">
        <v>0</v>
      </c>
      <c r="BL297" s="56">
        <v>0</v>
      </c>
      <c r="BM297" s="56">
        <v>0</v>
      </c>
      <c r="BN297" s="56">
        <v>0</v>
      </c>
      <c r="BO297" s="56">
        <v>0</v>
      </c>
      <c r="BP297" s="54" t="s">
        <v>1049</v>
      </c>
      <c r="BQ297" s="54" t="s">
        <v>1050</v>
      </c>
      <c r="BR297" s="54" t="s">
        <v>1049</v>
      </c>
      <c r="BS297" s="54" t="s">
        <v>1050</v>
      </c>
      <c r="BT297" s="54" t="s">
        <v>1051</v>
      </c>
      <c r="BU297" s="54" t="s">
        <v>1043</v>
      </c>
      <c r="BV297" s="58">
        <v>1200</v>
      </c>
      <c r="BW297" s="54" t="s">
        <v>1052</v>
      </c>
      <c r="BX297" s="54" t="s">
        <v>1053</v>
      </c>
      <c r="BY297" s="54" t="s">
        <v>1054</v>
      </c>
      <c r="BZ297" s="54" t="s">
        <v>1055</v>
      </c>
      <c r="CA297" s="55"/>
      <c r="CB297" s="54" t="s">
        <v>1056</v>
      </c>
      <c r="CC297" s="54" t="s">
        <v>1057</v>
      </c>
      <c r="CD297" s="54" t="s">
        <v>1200</v>
      </c>
      <c r="CE297" s="54" t="s">
        <v>1201</v>
      </c>
      <c r="CF297" s="54" t="s">
        <v>1202</v>
      </c>
      <c r="CG297" s="54" t="s">
        <v>1203</v>
      </c>
      <c r="CH297" s="54" t="s">
        <v>1204</v>
      </c>
      <c r="CI297" s="54" t="s">
        <v>1203</v>
      </c>
      <c r="CJ297" s="54" t="s">
        <v>1064</v>
      </c>
      <c r="CK297" s="54" t="s">
        <v>1065</v>
      </c>
      <c r="CL297" s="54" t="s">
        <v>1205</v>
      </c>
      <c r="CM297" s="54" t="s">
        <v>1206</v>
      </c>
      <c r="CN297" s="54" t="s">
        <v>1068</v>
      </c>
      <c r="CO297" s="54" t="s">
        <v>1069</v>
      </c>
      <c r="CP297" s="56">
        <v>0</v>
      </c>
      <c r="CQ297" s="56">
        <v>0</v>
      </c>
      <c r="CR297" s="56">
        <v>0</v>
      </c>
      <c r="CS297" s="56">
        <v>0</v>
      </c>
      <c r="CT297" s="56">
        <v>0</v>
      </c>
      <c r="CU297" s="56">
        <v>0</v>
      </c>
      <c r="CV297" s="56">
        <v>0</v>
      </c>
      <c r="CW297" s="56">
        <v>0</v>
      </c>
      <c r="CX297" s="56">
        <v>0</v>
      </c>
      <c r="CY297" s="56">
        <v>0</v>
      </c>
      <c r="CZ297" s="56">
        <v>0</v>
      </c>
      <c r="DA297" s="56">
        <v>0</v>
      </c>
      <c r="DB297" s="56">
        <v>0</v>
      </c>
      <c r="DC297" s="56">
        <v>0</v>
      </c>
      <c r="DD297" s="56">
        <v>0</v>
      </c>
      <c r="DE297" s="56">
        <v>0</v>
      </c>
      <c r="DF297" s="56">
        <v>0</v>
      </c>
      <c r="DG297" s="56">
        <v>0</v>
      </c>
      <c r="DH297" s="56">
        <v>0</v>
      </c>
      <c r="DI297" s="56">
        <v>0</v>
      </c>
      <c r="DJ297" s="56">
        <v>0</v>
      </c>
      <c r="DK297" s="56">
        <v>0</v>
      </c>
      <c r="DL297" s="56">
        <v>0</v>
      </c>
      <c r="DM297" s="56">
        <v>0</v>
      </c>
      <c r="DN297" s="56">
        <v>0</v>
      </c>
      <c r="DO297" s="56">
        <v>0</v>
      </c>
      <c r="DP297" s="56">
        <v>0</v>
      </c>
      <c r="DQ297" s="56">
        <v>0</v>
      </c>
      <c r="DR297" s="56">
        <v>0</v>
      </c>
      <c r="DS297" s="56">
        <v>0</v>
      </c>
      <c r="DT297" s="56">
        <v>0</v>
      </c>
      <c r="DU297" s="56">
        <v>0</v>
      </c>
      <c r="DV297" s="56">
        <v>0</v>
      </c>
      <c r="DW297" s="56">
        <v>0</v>
      </c>
      <c r="DX297" s="56">
        <v>0</v>
      </c>
      <c r="DY297" s="56">
        <v>0</v>
      </c>
      <c r="DZ297" s="56">
        <v>0</v>
      </c>
      <c r="EA297" s="56">
        <v>0</v>
      </c>
      <c r="EB297" s="56">
        <v>0</v>
      </c>
      <c r="EC297" s="56">
        <v>0</v>
      </c>
      <c r="ED297" s="56">
        <v>0</v>
      </c>
      <c r="EE297" s="56">
        <v>0</v>
      </c>
      <c r="EF297" s="56">
        <v>0</v>
      </c>
      <c r="EG297" s="56">
        <v>0</v>
      </c>
      <c r="EH297" s="56">
        <v>790.56</v>
      </c>
      <c r="EI297" s="56">
        <v>0</v>
      </c>
      <c r="EJ297" s="56">
        <v>0</v>
      </c>
      <c r="EK297" s="56">
        <v>0</v>
      </c>
      <c r="EL297" s="56">
        <v>0</v>
      </c>
      <c r="EM297" s="56">
        <v>0</v>
      </c>
      <c r="EN297" s="56">
        <v>0</v>
      </c>
      <c r="EO297" s="56">
        <v>0</v>
      </c>
      <c r="EP297" s="56">
        <v>0</v>
      </c>
      <c r="EQ297" s="56">
        <v>0</v>
      </c>
      <c r="ER297" s="56">
        <v>0</v>
      </c>
      <c r="ES297" s="56">
        <v>0</v>
      </c>
      <c r="ET297" s="56">
        <v>0</v>
      </c>
      <c r="EU297" s="56">
        <v>0</v>
      </c>
      <c r="EV297" s="56">
        <v>0</v>
      </c>
      <c r="EW297" s="56">
        <v>0</v>
      </c>
      <c r="EX297" s="56">
        <v>0</v>
      </c>
      <c r="EY297" s="56">
        <v>0</v>
      </c>
      <c r="EZ297" s="56">
        <v>0</v>
      </c>
      <c r="FA297" s="56">
        <v>0</v>
      </c>
      <c r="FB297" s="56">
        <v>0</v>
      </c>
      <c r="FC297" s="58">
        <v>0</v>
      </c>
      <c r="FD297" s="56">
        <v>0</v>
      </c>
      <c r="FE297" s="56">
        <v>0</v>
      </c>
      <c r="FF297" s="56">
        <v>0</v>
      </c>
      <c r="FG297" s="56">
        <v>0</v>
      </c>
      <c r="FH297" s="56">
        <v>0</v>
      </c>
      <c r="FI297" s="56">
        <v>0</v>
      </c>
      <c r="FJ297" s="56">
        <v>0</v>
      </c>
      <c r="FK297" s="56">
        <v>0</v>
      </c>
      <c r="FL297" s="56">
        <v>0</v>
      </c>
      <c r="FM297" s="56">
        <v>0</v>
      </c>
      <c r="FN297" s="56">
        <v>0</v>
      </c>
      <c r="FO297" s="56">
        <v>0</v>
      </c>
      <c r="FP297" s="56">
        <v>0</v>
      </c>
      <c r="FQ297" s="56">
        <v>0</v>
      </c>
      <c r="FR297" s="56">
        <v>0</v>
      </c>
      <c r="FS297" s="58">
        <v>0</v>
      </c>
      <c r="FT297" s="56">
        <v>0</v>
      </c>
      <c r="FU297" s="56">
        <v>0</v>
      </c>
      <c r="FV297" s="56">
        <v>0</v>
      </c>
      <c r="FW297" s="56">
        <v>0</v>
      </c>
      <c r="FX297" s="56">
        <v>0</v>
      </c>
      <c r="FY297" s="56">
        <v>0</v>
      </c>
      <c r="FZ297" s="54" t="s">
        <v>1070</v>
      </c>
      <c r="GA297" s="54" t="s">
        <v>1071</v>
      </c>
      <c r="GB297" s="54" t="s">
        <v>1072</v>
      </c>
      <c r="GC297" s="54" t="s">
        <v>1073</v>
      </c>
      <c r="GD297" s="54"/>
      <c r="GE297" s="54"/>
      <c r="GF297" s="54"/>
      <c r="GG297" s="55"/>
      <c r="GH297" s="54"/>
      <c r="GI297" s="54"/>
      <c r="GJ297" s="54" t="s">
        <v>1076</v>
      </c>
      <c r="GK297" s="54" t="s">
        <v>1077</v>
      </c>
      <c r="GL297" s="54"/>
      <c r="GM297" s="54"/>
      <c r="GN297" s="54" t="s">
        <v>1208</v>
      </c>
      <c r="GO297" s="54" t="s">
        <v>1209</v>
      </c>
      <c r="GP297" s="54"/>
      <c r="GQ297" s="56">
        <v>0</v>
      </c>
      <c r="GR297" s="54" t="s">
        <v>1079</v>
      </c>
      <c r="GS297" s="54"/>
    </row>
    <row r="298" spans="1:201" x14ac:dyDescent="0.25">
      <c r="A298" s="54" t="s">
        <v>1032</v>
      </c>
      <c r="B298" s="54" t="s">
        <v>1033</v>
      </c>
      <c r="C298" s="54" t="s">
        <v>1305</v>
      </c>
      <c r="D298" s="54" t="s">
        <v>1035</v>
      </c>
      <c r="E298" s="54" t="s">
        <v>1036</v>
      </c>
      <c r="F298" s="55">
        <v>46197</v>
      </c>
      <c r="G298" s="55">
        <v>46197</v>
      </c>
      <c r="H298" s="54" t="s">
        <v>1037</v>
      </c>
      <c r="I298" s="54" t="s">
        <v>1038</v>
      </c>
      <c r="J298" s="54" t="s">
        <v>1039</v>
      </c>
      <c r="K298" s="55"/>
      <c r="L298" s="54" t="s">
        <v>1040</v>
      </c>
      <c r="M298" s="54"/>
      <c r="N298" s="54" t="s">
        <v>1306</v>
      </c>
      <c r="O298" s="54" t="s">
        <v>1089</v>
      </c>
      <c r="P298" s="54" t="s">
        <v>246</v>
      </c>
      <c r="Q298" s="54" t="s">
        <v>90</v>
      </c>
      <c r="R298" s="54" t="s">
        <v>1043</v>
      </c>
      <c r="S298" s="56">
        <v>515.4</v>
      </c>
      <c r="T298" s="56">
        <v>515.4</v>
      </c>
      <c r="U298" s="56">
        <v>0</v>
      </c>
      <c r="V298" s="56">
        <v>0</v>
      </c>
      <c r="W298" s="56">
        <v>0</v>
      </c>
      <c r="X298" s="56">
        <v>0</v>
      </c>
      <c r="Y298" s="56">
        <v>0</v>
      </c>
      <c r="Z298" s="56">
        <v>60</v>
      </c>
      <c r="AA298" s="56">
        <v>60</v>
      </c>
      <c r="AB298" s="59">
        <v>0</v>
      </c>
      <c r="AC298" s="56">
        <v>0</v>
      </c>
      <c r="AD298" s="56">
        <v>0</v>
      </c>
      <c r="AE298" s="56">
        <v>0</v>
      </c>
      <c r="AF298" s="54" t="s">
        <v>1044</v>
      </c>
      <c r="AG298" s="57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 t="s">
        <v>1045</v>
      </c>
      <c r="AS298" s="54" t="s">
        <v>1081</v>
      </c>
      <c r="AT298" s="54" t="s">
        <v>1082</v>
      </c>
      <c r="AU298" s="54" t="s">
        <v>1048</v>
      </c>
      <c r="AV298" s="54"/>
      <c r="AW298" s="55">
        <v>46210</v>
      </c>
      <c r="AX298" s="55">
        <v>46197</v>
      </c>
      <c r="AY298" s="55">
        <v>46197</v>
      </c>
      <c r="AZ298" s="55"/>
      <c r="BA298" s="55">
        <v>46210</v>
      </c>
      <c r="BB298" s="56">
        <v>0</v>
      </c>
      <c r="BC298" s="56">
        <v>0</v>
      </c>
      <c r="BD298" s="56">
        <v>0</v>
      </c>
      <c r="BE298" s="56">
        <v>0</v>
      </c>
      <c r="BF298" s="56">
        <v>0</v>
      </c>
      <c r="BG298" s="56">
        <v>0</v>
      </c>
      <c r="BH298" s="56">
        <v>0</v>
      </c>
      <c r="BI298" s="56">
        <v>0</v>
      </c>
      <c r="BJ298" s="56">
        <v>0</v>
      </c>
      <c r="BK298" s="56">
        <v>0</v>
      </c>
      <c r="BL298" s="56">
        <v>0</v>
      </c>
      <c r="BM298" s="56">
        <v>0</v>
      </c>
      <c r="BN298" s="56">
        <v>0</v>
      </c>
      <c r="BO298" s="56">
        <v>0</v>
      </c>
      <c r="BP298" s="54" t="s">
        <v>1049</v>
      </c>
      <c r="BQ298" s="54" t="s">
        <v>1050</v>
      </c>
      <c r="BR298" s="54" t="s">
        <v>1049</v>
      </c>
      <c r="BS298" s="54" t="s">
        <v>1050</v>
      </c>
      <c r="BT298" s="54" t="s">
        <v>1051</v>
      </c>
      <c r="BU298" s="54" t="s">
        <v>1043</v>
      </c>
      <c r="BV298" s="58">
        <v>60</v>
      </c>
      <c r="BW298" s="54" t="s">
        <v>1052</v>
      </c>
      <c r="BX298" s="54" t="s">
        <v>1053</v>
      </c>
      <c r="BY298" s="54" t="s">
        <v>1054</v>
      </c>
      <c r="BZ298" s="54" t="s">
        <v>1055</v>
      </c>
      <c r="CA298" s="55"/>
      <c r="CB298" s="54" t="s">
        <v>1056</v>
      </c>
      <c r="CC298" s="54" t="s">
        <v>1057</v>
      </c>
      <c r="CD298" s="54" t="s">
        <v>1200</v>
      </c>
      <c r="CE298" s="54" t="s">
        <v>1201</v>
      </c>
      <c r="CF298" s="54" t="s">
        <v>1202</v>
      </c>
      <c r="CG298" s="54" t="s">
        <v>1203</v>
      </c>
      <c r="CH298" s="54" t="s">
        <v>1204</v>
      </c>
      <c r="CI298" s="54" t="s">
        <v>1203</v>
      </c>
      <c r="CJ298" s="54" t="s">
        <v>1064</v>
      </c>
      <c r="CK298" s="54" t="s">
        <v>1065</v>
      </c>
      <c r="CL298" s="54" t="s">
        <v>1205</v>
      </c>
      <c r="CM298" s="54" t="s">
        <v>1206</v>
      </c>
      <c r="CN298" s="54" t="s">
        <v>1068</v>
      </c>
      <c r="CO298" s="54" t="s">
        <v>1069</v>
      </c>
      <c r="CP298" s="56">
        <v>0</v>
      </c>
      <c r="CQ298" s="56">
        <v>0</v>
      </c>
      <c r="CR298" s="56">
        <v>0</v>
      </c>
      <c r="CS298" s="56">
        <v>0</v>
      </c>
      <c r="CT298" s="56">
        <v>0</v>
      </c>
      <c r="CU298" s="56">
        <v>0</v>
      </c>
      <c r="CV298" s="56">
        <v>0</v>
      </c>
      <c r="CW298" s="56">
        <v>0</v>
      </c>
      <c r="CX298" s="56">
        <v>0</v>
      </c>
      <c r="CY298" s="56">
        <v>0</v>
      </c>
      <c r="CZ298" s="56">
        <v>0</v>
      </c>
      <c r="DA298" s="56">
        <v>0</v>
      </c>
      <c r="DB298" s="56">
        <v>0</v>
      </c>
      <c r="DC298" s="56">
        <v>0</v>
      </c>
      <c r="DD298" s="56">
        <v>0</v>
      </c>
      <c r="DE298" s="56">
        <v>0</v>
      </c>
      <c r="DF298" s="56">
        <v>0</v>
      </c>
      <c r="DG298" s="56">
        <v>0</v>
      </c>
      <c r="DH298" s="56">
        <v>0</v>
      </c>
      <c r="DI298" s="56">
        <v>0</v>
      </c>
      <c r="DJ298" s="56">
        <v>0</v>
      </c>
      <c r="DK298" s="56">
        <v>0</v>
      </c>
      <c r="DL298" s="56">
        <v>0</v>
      </c>
      <c r="DM298" s="56">
        <v>0</v>
      </c>
      <c r="DN298" s="56">
        <v>0</v>
      </c>
      <c r="DO298" s="56">
        <v>0</v>
      </c>
      <c r="DP298" s="56">
        <v>0</v>
      </c>
      <c r="DQ298" s="56">
        <v>0</v>
      </c>
      <c r="DR298" s="56">
        <v>0</v>
      </c>
      <c r="DS298" s="56">
        <v>0</v>
      </c>
      <c r="DT298" s="56">
        <v>0</v>
      </c>
      <c r="DU298" s="56">
        <v>0</v>
      </c>
      <c r="DV298" s="56">
        <v>0</v>
      </c>
      <c r="DW298" s="56">
        <v>0</v>
      </c>
      <c r="DX298" s="56">
        <v>0</v>
      </c>
      <c r="DY298" s="56">
        <v>0</v>
      </c>
      <c r="DZ298" s="56">
        <v>0</v>
      </c>
      <c r="EA298" s="56">
        <v>0</v>
      </c>
      <c r="EB298" s="56">
        <v>0</v>
      </c>
      <c r="EC298" s="56">
        <v>0</v>
      </c>
      <c r="ED298" s="56">
        <v>0</v>
      </c>
      <c r="EE298" s="56">
        <v>0</v>
      </c>
      <c r="EF298" s="56">
        <v>0</v>
      </c>
      <c r="EG298" s="56">
        <v>0</v>
      </c>
      <c r="EH298" s="56">
        <v>61.85</v>
      </c>
      <c r="EI298" s="56">
        <v>0</v>
      </c>
      <c r="EJ298" s="56">
        <v>0</v>
      </c>
      <c r="EK298" s="56">
        <v>0</v>
      </c>
      <c r="EL298" s="56">
        <v>0</v>
      </c>
      <c r="EM298" s="56">
        <v>0</v>
      </c>
      <c r="EN298" s="56">
        <v>0</v>
      </c>
      <c r="EO298" s="56">
        <v>0</v>
      </c>
      <c r="EP298" s="56">
        <v>0</v>
      </c>
      <c r="EQ298" s="56">
        <v>0</v>
      </c>
      <c r="ER298" s="56">
        <v>0</v>
      </c>
      <c r="ES298" s="56">
        <v>0</v>
      </c>
      <c r="ET298" s="56">
        <v>0</v>
      </c>
      <c r="EU298" s="56">
        <v>0</v>
      </c>
      <c r="EV298" s="56">
        <v>0</v>
      </c>
      <c r="EW298" s="56">
        <v>0</v>
      </c>
      <c r="EX298" s="56">
        <v>0</v>
      </c>
      <c r="EY298" s="56">
        <v>0</v>
      </c>
      <c r="EZ298" s="56">
        <v>0</v>
      </c>
      <c r="FA298" s="56">
        <v>0</v>
      </c>
      <c r="FB298" s="56">
        <v>0</v>
      </c>
      <c r="FC298" s="58">
        <v>0</v>
      </c>
      <c r="FD298" s="56">
        <v>0</v>
      </c>
      <c r="FE298" s="56">
        <v>0</v>
      </c>
      <c r="FF298" s="56">
        <v>0</v>
      </c>
      <c r="FG298" s="56">
        <v>0</v>
      </c>
      <c r="FH298" s="56">
        <v>0</v>
      </c>
      <c r="FI298" s="56">
        <v>0</v>
      </c>
      <c r="FJ298" s="56">
        <v>0</v>
      </c>
      <c r="FK298" s="56">
        <v>0</v>
      </c>
      <c r="FL298" s="56">
        <v>0</v>
      </c>
      <c r="FM298" s="56">
        <v>0</v>
      </c>
      <c r="FN298" s="56">
        <v>0</v>
      </c>
      <c r="FO298" s="56">
        <v>0</v>
      </c>
      <c r="FP298" s="56">
        <v>0</v>
      </c>
      <c r="FQ298" s="56">
        <v>0</v>
      </c>
      <c r="FR298" s="56">
        <v>0</v>
      </c>
      <c r="FS298" s="58">
        <v>0</v>
      </c>
      <c r="FT298" s="56">
        <v>0</v>
      </c>
      <c r="FU298" s="56">
        <v>0</v>
      </c>
      <c r="FV298" s="56">
        <v>0</v>
      </c>
      <c r="FW298" s="56">
        <v>0</v>
      </c>
      <c r="FX298" s="56">
        <v>0</v>
      </c>
      <c r="FY298" s="56">
        <v>0</v>
      </c>
      <c r="FZ298" s="54" t="s">
        <v>1083</v>
      </c>
      <c r="GA298" s="54" t="s">
        <v>1084</v>
      </c>
      <c r="GB298" s="54" t="s">
        <v>1072</v>
      </c>
      <c r="GC298" s="54" t="s">
        <v>1073</v>
      </c>
      <c r="GD298" s="54" t="s">
        <v>1308</v>
      </c>
      <c r="GE298" s="54" t="s">
        <v>1201</v>
      </c>
      <c r="GF298" s="54"/>
      <c r="GG298" s="55"/>
      <c r="GH298" s="54"/>
      <c r="GI298" s="54"/>
      <c r="GJ298" s="54" t="s">
        <v>1076</v>
      </c>
      <c r="GK298" s="54" t="s">
        <v>1077</v>
      </c>
      <c r="GL298" s="54"/>
      <c r="GM298" s="54"/>
      <c r="GN298" s="54" t="s">
        <v>1208</v>
      </c>
      <c r="GO298" s="54" t="s">
        <v>1209</v>
      </c>
      <c r="GP298" s="54"/>
      <c r="GQ298" s="56">
        <v>0</v>
      </c>
      <c r="GR298" s="54" t="s">
        <v>1079</v>
      </c>
      <c r="GS298" s="54"/>
    </row>
    <row r="299" spans="1:201" x14ac:dyDescent="0.25">
      <c r="A299" s="54" t="s">
        <v>1032</v>
      </c>
      <c r="B299" s="54" t="s">
        <v>1033</v>
      </c>
      <c r="C299" s="54" t="s">
        <v>1305</v>
      </c>
      <c r="D299" s="54" t="s">
        <v>1035</v>
      </c>
      <c r="E299" s="54" t="s">
        <v>1036</v>
      </c>
      <c r="F299" s="55">
        <v>46197</v>
      </c>
      <c r="G299" s="55">
        <v>46197</v>
      </c>
      <c r="H299" s="54" t="s">
        <v>1037</v>
      </c>
      <c r="I299" s="54" t="s">
        <v>1038</v>
      </c>
      <c r="J299" s="54" t="s">
        <v>1039</v>
      </c>
      <c r="K299" s="55"/>
      <c r="L299" s="54" t="s">
        <v>1040</v>
      </c>
      <c r="M299" s="54"/>
      <c r="N299" s="54" t="s">
        <v>1306</v>
      </c>
      <c r="O299" s="54" t="s">
        <v>1090</v>
      </c>
      <c r="P299" s="54" t="s">
        <v>732</v>
      </c>
      <c r="Q299" s="54" t="s">
        <v>743</v>
      </c>
      <c r="R299" s="54" t="s">
        <v>1043</v>
      </c>
      <c r="S299" s="56">
        <v>3239.6</v>
      </c>
      <c r="T299" s="56">
        <v>3239.6</v>
      </c>
      <c r="U299" s="56">
        <v>0</v>
      </c>
      <c r="V299" s="56">
        <v>0</v>
      </c>
      <c r="W299" s="56">
        <v>0</v>
      </c>
      <c r="X299" s="56">
        <v>0</v>
      </c>
      <c r="Y299" s="56">
        <v>0</v>
      </c>
      <c r="Z299" s="56">
        <v>140</v>
      </c>
      <c r="AA299" s="56">
        <v>140</v>
      </c>
      <c r="AB299" s="59">
        <v>0</v>
      </c>
      <c r="AC299" s="56">
        <v>0</v>
      </c>
      <c r="AD299" s="56">
        <v>0</v>
      </c>
      <c r="AE299" s="56">
        <v>0</v>
      </c>
      <c r="AF299" s="54" t="s">
        <v>1044</v>
      </c>
      <c r="AG299" s="57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 t="s">
        <v>1045</v>
      </c>
      <c r="AS299" s="54" t="s">
        <v>1046</v>
      </c>
      <c r="AT299" s="54" t="s">
        <v>1047</v>
      </c>
      <c r="AU299" s="54" t="s">
        <v>1048</v>
      </c>
      <c r="AV299" s="54"/>
      <c r="AW299" s="55">
        <v>46210</v>
      </c>
      <c r="AX299" s="55">
        <v>46197</v>
      </c>
      <c r="AY299" s="55">
        <v>46197</v>
      </c>
      <c r="AZ299" s="55"/>
      <c r="BA299" s="55">
        <v>46210</v>
      </c>
      <c r="BB299" s="56">
        <v>0</v>
      </c>
      <c r="BC299" s="56">
        <v>0</v>
      </c>
      <c r="BD299" s="56">
        <v>0</v>
      </c>
      <c r="BE299" s="56">
        <v>0</v>
      </c>
      <c r="BF299" s="56">
        <v>0</v>
      </c>
      <c r="BG299" s="56">
        <v>0</v>
      </c>
      <c r="BH299" s="56">
        <v>0</v>
      </c>
      <c r="BI299" s="56">
        <v>0</v>
      </c>
      <c r="BJ299" s="56">
        <v>0</v>
      </c>
      <c r="BK299" s="56">
        <v>0</v>
      </c>
      <c r="BL299" s="56">
        <v>0</v>
      </c>
      <c r="BM299" s="56">
        <v>0</v>
      </c>
      <c r="BN299" s="56">
        <v>0</v>
      </c>
      <c r="BO299" s="56">
        <v>0</v>
      </c>
      <c r="BP299" s="54" t="s">
        <v>1049</v>
      </c>
      <c r="BQ299" s="54" t="s">
        <v>1050</v>
      </c>
      <c r="BR299" s="54" t="s">
        <v>1049</v>
      </c>
      <c r="BS299" s="54" t="s">
        <v>1050</v>
      </c>
      <c r="BT299" s="54" t="s">
        <v>1051</v>
      </c>
      <c r="BU299" s="54" t="s">
        <v>1043</v>
      </c>
      <c r="BV299" s="58">
        <v>140</v>
      </c>
      <c r="BW299" s="54" t="s">
        <v>1052</v>
      </c>
      <c r="BX299" s="54" t="s">
        <v>1053</v>
      </c>
      <c r="BY299" s="54" t="s">
        <v>1054</v>
      </c>
      <c r="BZ299" s="54" t="s">
        <v>1055</v>
      </c>
      <c r="CA299" s="55"/>
      <c r="CB299" s="54" t="s">
        <v>1056</v>
      </c>
      <c r="CC299" s="54" t="s">
        <v>1057</v>
      </c>
      <c r="CD299" s="54" t="s">
        <v>1200</v>
      </c>
      <c r="CE299" s="54" t="s">
        <v>1201</v>
      </c>
      <c r="CF299" s="54" t="s">
        <v>1202</v>
      </c>
      <c r="CG299" s="54" t="s">
        <v>1203</v>
      </c>
      <c r="CH299" s="54" t="s">
        <v>1204</v>
      </c>
      <c r="CI299" s="54" t="s">
        <v>1203</v>
      </c>
      <c r="CJ299" s="54" t="s">
        <v>1064</v>
      </c>
      <c r="CK299" s="54" t="s">
        <v>1065</v>
      </c>
      <c r="CL299" s="54" t="s">
        <v>1205</v>
      </c>
      <c r="CM299" s="54" t="s">
        <v>1206</v>
      </c>
      <c r="CN299" s="54" t="s">
        <v>1068</v>
      </c>
      <c r="CO299" s="54" t="s">
        <v>1069</v>
      </c>
      <c r="CP299" s="56">
        <v>0</v>
      </c>
      <c r="CQ299" s="56">
        <v>0</v>
      </c>
      <c r="CR299" s="56">
        <v>0</v>
      </c>
      <c r="CS299" s="56">
        <v>0</v>
      </c>
      <c r="CT299" s="56">
        <v>0</v>
      </c>
      <c r="CU299" s="56">
        <v>0</v>
      </c>
      <c r="CV299" s="56">
        <v>0</v>
      </c>
      <c r="CW299" s="56">
        <v>0</v>
      </c>
      <c r="CX299" s="56">
        <v>0</v>
      </c>
      <c r="CY299" s="56">
        <v>0</v>
      </c>
      <c r="CZ299" s="56">
        <v>0</v>
      </c>
      <c r="DA299" s="56">
        <v>0</v>
      </c>
      <c r="DB299" s="56">
        <v>0</v>
      </c>
      <c r="DC299" s="56">
        <v>0</v>
      </c>
      <c r="DD299" s="56">
        <v>0</v>
      </c>
      <c r="DE299" s="56">
        <v>0</v>
      </c>
      <c r="DF299" s="56">
        <v>0</v>
      </c>
      <c r="DG299" s="56">
        <v>0</v>
      </c>
      <c r="DH299" s="56">
        <v>0</v>
      </c>
      <c r="DI299" s="56">
        <v>0</v>
      </c>
      <c r="DJ299" s="56">
        <v>0</v>
      </c>
      <c r="DK299" s="56">
        <v>0</v>
      </c>
      <c r="DL299" s="56">
        <v>0</v>
      </c>
      <c r="DM299" s="56">
        <v>0</v>
      </c>
      <c r="DN299" s="56">
        <v>0</v>
      </c>
      <c r="DO299" s="56">
        <v>0</v>
      </c>
      <c r="DP299" s="56">
        <v>0</v>
      </c>
      <c r="DQ299" s="56">
        <v>0</v>
      </c>
      <c r="DR299" s="56">
        <v>0</v>
      </c>
      <c r="DS299" s="56">
        <v>0</v>
      </c>
      <c r="DT299" s="56">
        <v>0</v>
      </c>
      <c r="DU299" s="56">
        <v>0</v>
      </c>
      <c r="DV299" s="56">
        <v>0</v>
      </c>
      <c r="DW299" s="56">
        <v>0</v>
      </c>
      <c r="DX299" s="56">
        <v>0</v>
      </c>
      <c r="DY299" s="56">
        <v>0</v>
      </c>
      <c r="DZ299" s="56">
        <v>0</v>
      </c>
      <c r="EA299" s="56">
        <v>0</v>
      </c>
      <c r="EB299" s="56">
        <v>0</v>
      </c>
      <c r="EC299" s="56">
        <v>0</v>
      </c>
      <c r="ED299" s="56">
        <v>0</v>
      </c>
      <c r="EE299" s="56">
        <v>0</v>
      </c>
      <c r="EF299" s="56">
        <v>0</v>
      </c>
      <c r="EG299" s="56">
        <v>0</v>
      </c>
      <c r="EH299" s="56">
        <v>129.58000000000001</v>
      </c>
      <c r="EI299" s="56">
        <v>0</v>
      </c>
      <c r="EJ299" s="56">
        <v>0</v>
      </c>
      <c r="EK299" s="56">
        <v>0</v>
      </c>
      <c r="EL299" s="56">
        <v>0</v>
      </c>
      <c r="EM299" s="56">
        <v>0</v>
      </c>
      <c r="EN299" s="56">
        <v>0</v>
      </c>
      <c r="EO299" s="56">
        <v>0</v>
      </c>
      <c r="EP299" s="56">
        <v>0</v>
      </c>
      <c r="EQ299" s="56">
        <v>0</v>
      </c>
      <c r="ER299" s="56">
        <v>0</v>
      </c>
      <c r="ES299" s="56">
        <v>0</v>
      </c>
      <c r="ET299" s="56">
        <v>0</v>
      </c>
      <c r="EU299" s="56">
        <v>0</v>
      </c>
      <c r="EV299" s="56">
        <v>0</v>
      </c>
      <c r="EW299" s="56">
        <v>0</v>
      </c>
      <c r="EX299" s="56">
        <v>0</v>
      </c>
      <c r="EY299" s="56">
        <v>0</v>
      </c>
      <c r="EZ299" s="56">
        <v>0</v>
      </c>
      <c r="FA299" s="56">
        <v>0</v>
      </c>
      <c r="FB299" s="56">
        <v>0</v>
      </c>
      <c r="FC299" s="58">
        <v>0</v>
      </c>
      <c r="FD299" s="56">
        <v>0</v>
      </c>
      <c r="FE299" s="56">
        <v>0</v>
      </c>
      <c r="FF299" s="56">
        <v>0</v>
      </c>
      <c r="FG299" s="56">
        <v>0</v>
      </c>
      <c r="FH299" s="56">
        <v>0</v>
      </c>
      <c r="FI299" s="56">
        <v>0</v>
      </c>
      <c r="FJ299" s="56">
        <v>0</v>
      </c>
      <c r="FK299" s="56">
        <v>0</v>
      </c>
      <c r="FL299" s="56">
        <v>0</v>
      </c>
      <c r="FM299" s="56">
        <v>0</v>
      </c>
      <c r="FN299" s="56">
        <v>0</v>
      </c>
      <c r="FO299" s="56">
        <v>0</v>
      </c>
      <c r="FP299" s="56">
        <v>0</v>
      </c>
      <c r="FQ299" s="56">
        <v>0</v>
      </c>
      <c r="FR299" s="56">
        <v>0</v>
      </c>
      <c r="FS299" s="58">
        <v>0</v>
      </c>
      <c r="FT299" s="56">
        <v>0</v>
      </c>
      <c r="FU299" s="56">
        <v>0</v>
      </c>
      <c r="FV299" s="56">
        <v>0</v>
      </c>
      <c r="FW299" s="56">
        <v>0</v>
      </c>
      <c r="FX299" s="56">
        <v>0</v>
      </c>
      <c r="FY299" s="56">
        <v>0</v>
      </c>
      <c r="FZ299" s="54" t="s">
        <v>1083</v>
      </c>
      <c r="GA299" s="54" t="s">
        <v>1084</v>
      </c>
      <c r="GB299" s="54" t="s">
        <v>1072</v>
      </c>
      <c r="GC299" s="54" t="s">
        <v>1073</v>
      </c>
      <c r="GD299" s="54"/>
      <c r="GE299" s="54"/>
      <c r="GF299" s="54"/>
      <c r="GG299" s="55"/>
      <c r="GH299" s="54"/>
      <c r="GI299" s="54"/>
      <c r="GJ299" s="54" t="s">
        <v>1076</v>
      </c>
      <c r="GK299" s="54" t="s">
        <v>1077</v>
      </c>
      <c r="GL299" s="54"/>
      <c r="GM299" s="54"/>
      <c r="GN299" s="54" t="s">
        <v>1208</v>
      </c>
      <c r="GO299" s="54" t="s">
        <v>1209</v>
      </c>
      <c r="GP299" s="54"/>
      <c r="GQ299" s="56">
        <v>0</v>
      </c>
      <c r="GR299" s="54" t="s">
        <v>1079</v>
      </c>
      <c r="GS299" s="54"/>
    </row>
    <row r="300" spans="1:201" x14ac:dyDescent="0.25">
      <c r="A300" s="54" t="s">
        <v>1032</v>
      </c>
      <c r="B300" s="54" t="s">
        <v>1033</v>
      </c>
      <c r="C300" s="54" t="s">
        <v>1305</v>
      </c>
      <c r="D300" s="54" t="s">
        <v>1035</v>
      </c>
      <c r="E300" s="54" t="s">
        <v>1036</v>
      </c>
      <c r="F300" s="55">
        <v>46197</v>
      </c>
      <c r="G300" s="55">
        <v>46197</v>
      </c>
      <c r="H300" s="54" t="s">
        <v>1037</v>
      </c>
      <c r="I300" s="54" t="s">
        <v>1038</v>
      </c>
      <c r="J300" s="54" t="s">
        <v>1039</v>
      </c>
      <c r="K300" s="55"/>
      <c r="L300" s="54" t="s">
        <v>1040</v>
      </c>
      <c r="M300" s="54"/>
      <c r="N300" s="54" t="s">
        <v>1306</v>
      </c>
      <c r="O300" s="54" t="s">
        <v>1081</v>
      </c>
      <c r="P300" s="54" t="s">
        <v>398</v>
      </c>
      <c r="Q300" s="54" t="s">
        <v>400</v>
      </c>
      <c r="R300" s="54" t="s">
        <v>1043</v>
      </c>
      <c r="S300" s="56">
        <v>1473.6</v>
      </c>
      <c r="T300" s="56">
        <v>0</v>
      </c>
      <c r="U300" s="56">
        <v>0</v>
      </c>
      <c r="V300" s="56">
        <v>1473.6</v>
      </c>
      <c r="W300" s="56">
        <v>0</v>
      </c>
      <c r="X300" s="56">
        <v>0</v>
      </c>
      <c r="Y300" s="56">
        <v>0</v>
      </c>
      <c r="Z300" s="56">
        <v>120</v>
      </c>
      <c r="AA300" s="56">
        <v>0</v>
      </c>
      <c r="AB300" s="59">
        <v>0</v>
      </c>
      <c r="AC300" s="56">
        <v>120</v>
      </c>
      <c r="AD300" s="56">
        <v>0</v>
      </c>
      <c r="AE300" s="56">
        <v>0</v>
      </c>
      <c r="AF300" s="54" t="s">
        <v>1044</v>
      </c>
      <c r="AG300" s="57"/>
      <c r="AH300" s="54" t="s">
        <v>1252</v>
      </c>
      <c r="AI300" s="54" t="s">
        <v>1253</v>
      </c>
      <c r="AJ300" s="54"/>
      <c r="AK300" s="54"/>
      <c r="AL300" s="54"/>
      <c r="AM300" s="54"/>
      <c r="AN300" s="54"/>
      <c r="AO300" s="54"/>
      <c r="AP300" s="54"/>
      <c r="AQ300" s="54"/>
      <c r="AR300" s="54" t="s">
        <v>1045</v>
      </c>
      <c r="AS300" s="54" t="s">
        <v>1046</v>
      </c>
      <c r="AT300" s="54" t="s">
        <v>1047</v>
      </c>
      <c r="AU300" s="54" t="s">
        <v>1048</v>
      </c>
      <c r="AV300" s="54"/>
      <c r="AW300" s="55">
        <v>46210</v>
      </c>
      <c r="AX300" s="55">
        <v>46197</v>
      </c>
      <c r="AY300" s="55">
        <v>46197</v>
      </c>
      <c r="AZ300" s="55"/>
      <c r="BA300" s="55">
        <v>46210</v>
      </c>
      <c r="BB300" s="56">
        <v>0</v>
      </c>
      <c r="BC300" s="56">
        <v>0</v>
      </c>
      <c r="BD300" s="56">
        <v>0</v>
      </c>
      <c r="BE300" s="56">
        <v>0</v>
      </c>
      <c r="BF300" s="56">
        <v>0</v>
      </c>
      <c r="BG300" s="56">
        <v>0</v>
      </c>
      <c r="BH300" s="56">
        <v>0</v>
      </c>
      <c r="BI300" s="56">
        <v>0</v>
      </c>
      <c r="BJ300" s="56">
        <v>0</v>
      </c>
      <c r="BK300" s="56">
        <v>0</v>
      </c>
      <c r="BL300" s="56">
        <v>0</v>
      </c>
      <c r="BM300" s="56">
        <v>0</v>
      </c>
      <c r="BN300" s="56">
        <v>0</v>
      </c>
      <c r="BO300" s="56">
        <v>0</v>
      </c>
      <c r="BP300" s="54" t="s">
        <v>1049</v>
      </c>
      <c r="BQ300" s="54" t="s">
        <v>1050</v>
      </c>
      <c r="BR300" s="54" t="s">
        <v>1049</v>
      </c>
      <c r="BS300" s="54" t="s">
        <v>1050</v>
      </c>
      <c r="BT300" s="54" t="s">
        <v>1051</v>
      </c>
      <c r="BU300" s="54" t="s">
        <v>1043</v>
      </c>
      <c r="BV300" s="58">
        <v>0</v>
      </c>
      <c r="BW300" s="54" t="s">
        <v>1052</v>
      </c>
      <c r="BX300" s="54" t="s">
        <v>1053</v>
      </c>
      <c r="BY300" s="54" t="s">
        <v>1054</v>
      </c>
      <c r="BZ300" s="54" t="s">
        <v>1055</v>
      </c>
      <c r="CA300" s="55"/>
      <c r="CB300" s="54" t="s">
        <v>1056</v>
      </c>
      <c r="CC300" s="54" t="s">
        <v>1057</v>
      </c>
      <c r="CD300" s="54" t="s">
        <v>1200</v>
      </c>
      <c r="CE300" s="54" t="s">
        <v>1201</v>
      </c>
      <c r="CF300" s="54" t="s">
        <v>1202</v>
      </c>
      <c r="CG300" s="54" t="s">
        <v>1203</v>
      </c>
      <c r="CH300" s="54" t="s">
        <v>1204</v>
      </c>
      <c r="CI300" s="54" t="s">
        <v>1203</v>
      </c>
      <c r="CJ300" s="54" t="s">
        <v>1064</v>
      </c>
      <c r="CK300" s="54" t="s">
        <v>1065</v>
      </c>
      <c r="CL300" s="54" t="s">
        <v>1205</v>
      </c>
      <c r="CM300" s="54" t="s">
        <v>1206</v>
      </c>
      <c r="CN300" s="54" t="s">
        <v>1068</v>
      </c>
      <c r="CO300" s="54" t="s">
        <v>1069</v>
      </c>
      <c r="CP300" s="56">
        <v>0</v>
      </c>
      <c r="CQ300" s="56">
        <v>0</v>
      </c>
      <c r="CR300" s="56">
        <v>0</v>
      </c>
      <c r="CS300" s="56">
        <v>0</v>
      </c>
      <c r="CT300" s="56">
        <v>0</v>
      </c>
      <c r="CU300" s="56">
        <v>0</v>
      </c>
      <c r="CV300" s="56">
        <v>0</v>
      </c>
      <c r="CW300" s="56">
        <v>0</v>
      </c>
      <c r="CX300" s="56">
        <v>0</v>
      </c>
      <c r="CY300" s="56">
        <v>0</v>
      </c>
      <c r="CZ300" s="56">
        <v>0</v>
      </c>
      <c r="DA300" s="56">
        <v>0</v>
      </c>
      <c r="DB300" s="56">
        <v>0</v>
      </c>
      <c r="DC300" s="56">
        <v>0</v>
      </c>
      <c r="DD300" s="56">
        <v>0</v>
      </c>
      <c r="DE300" s="56">
        <v>0</v>
      </c>
      <c r="DF300" s="56">
        <v>0</v>
      </c>
      <c r="DG300" s="56">
        <v>0</v>
      </c>
      <c r="DH300" s="56">
        <v>0</v>
      </c>
      <c r="DI300" s="56">
        <v>0</v>
      </c>
      <c r="DJ300" s="56">
        <v>0</v>
      </c>
      <c r="DK300" s="56">
        <v>0</v>
      </c>
      <c r="DL300" s="56">
        <v>0</v>
      </c>
      <c r="DM300" s="56">
        <v>0</v>
      </c>
      <c r="DN300" s="56">
        <v>0</v>
      </c>
      <c r="DO300" s="56">
        <v>0</v>
      </c>
      <c r="DP300" s="56">
        <v>0</v>
      </c>
      <c r="DQ300" s="56">
        <v>0</v>
      </c>
      <c r="DR300" s="56">
        <v>0</v>
      </c>
      <c r="DS300" s="56">
        <v>0</v>
      </c>
      <c r="DT300" s="56">
        <v>0</v>
      </c>
      <c r="DU300" s="56">
        <v>0</v>
      </c>
      <c r="DV300" s="56">
        <v>0</v>
      </c>
      <c r="DW300" s="56">
        <v>0</v>
      </c>
      <c r="DX300" s="56">
        <v>0</v>
      </c>
      <c r="DY300" s="56">
        <v>0</v>
      </c>
      <c r="DZ300" s="56">
        <v>0</v>
      </c>
      <c r="EA300" s="56">
        <v>0</v>
      </c>
      <c r="EB300" s="56">
        <v>0</v>
      </c>
      <c r="EC300" s="56">
        <v>0</v>
      </c>
      <c r="ED300" s="56">
        <v>0</v>
      </c>
      <c r="EE300" s="56">
        <v>0</v>
      </c>
      <c r="EF300" s="56">
        <v>0</v>
      </c>
      <c r="EG300" s="56">
        <v>0</v>
      </c>
      <c r="EH300" s="56">
        <v>176.83</v>
      </c>
      <c r="EI300" s="56">
        <v>0</v>
      </c>
      <c r="EJ300" s="56">
        <v>0</v>
      </c>
      <c r="EK300" s="56">
        <v>0</v>
      </c>
      <c r="EL300" s="56">
        <v>0</v>
      </c>
      <c r="EM300" s="56">
        <v>0</v>
      </c>
      <c r="EN300" s="56">
        <v>0</v>
      </c>
      <c r="EO300" s="56">
        <v>0</v>
      </c>
      <c r="EP300" s="56">
        <v>0</v>
      </c>
      <c r="EQ300" s="56">
        <v>0</v>
      </c>
      <c r="ER300" s="56">
        <v>0</v>
      </c>
      <c r="ES300" s="56">
        <v>0</v>
      </c>
      <c r="ET300" s="56">
        <v>0</v>
      </c>
      <c r="EU300" s="56">
        <v>0</v>
      </c>
      <c r="EV300" s="56">
        <v>0</v>
      </c>
      <c r="EW300" s="56">
        <v>0</v>
      </c>
      <c r="EX300" s="56">
        <v>0</v>
      </c>
      <c r="EY300" s="56">
        <v>0</v>
      </c>
      <c r="EZ300" s="56">
        <v>0</v>
      </c>
      <c r="FA300" s="56">
        <v>0</v>
      </c>
      <c r="FB300" s="56">
        <v>0</v>
      </c>
      <c r="FC300" s="58">
        <v>0</v>
      </c>
      <c r="FD300" s="56">
        <v>0</v>
      </c>
      <c r="FE300" s="56">
        <v>0</v>
      </c>
      <c r="FF300" s="56">
        <v>0</v>
      </c>
      <c r="FG300" s="56">
        <v>0</v>
      </c>
      <c r="FH300" s="56">
        <v>0</v>
      </c>
      <c r="FI300" s="56">
        <v>0</v>
      </c>
      <c r="FJ300" s="56">
        <v>0</v>
      </c>
      <c r="FK300" s="56">
        <v>0</v>
      </c>
      <c r="FL300" s="56">
        <v>0</v>
      </c>
      <c r="FM300" s="56">
        <v>0</v>
      </c>
      <c r="FN300" s="56">
        <v>0</v>
      </c>
      <c r="FO300" s="56">
        <v>0</v>
      </c>
      <c r="FP300" s="56">
        <v>0</v>
      </c>
      <c r="FQ300" s="56">
        <v>0</v>
      </c>
      <c r="FR300" s="56">
        <v>0</v>
      </c>
      <c r="FS300" s="58">
        <v>0</v>
      </c>
      <c r="FT300" s="56">
        <v>0</v>
      </c>
      <c r="FU300" s="56">
        <v>0</v>
      </c>
      <c r="FV300" s="56">
        <v>0</v>
      </c>
      <c r="FW300" s="56">
        <v>0</v>
      </c>
      <c r="FX300" s="56">
        <v>0</v>
      </c>
      <c r="FY300" s="56">
        <v>0</v>
      </c>
      <c r="FZ300" s="54" t="s">
        <v>1083</v>
      </c>
      <c r="GA300" s="54" t="s">
        <v>1084</v>
      </c>
      <c r="GB300" s="54" t="s">
        <v>1072</v>
      </c>
      <c r="GC300" s="54" t="s">
        <v>1073</v>
      </c>
      <c r="GD300" s="54"/>
      <c r="GE300" s="54"/>
      <c r="GF300" s="54"/>
      <c r="GG300" s="55"/>
      <c r="GH300" s="54"/>
      <c r="GI300" s="54"/>
      <c r="GJ300" s="54" t="s">
        <v>1076</v>
      </c>
      <c r="GK300" s="54" t="s">
        <v>1077</v>
      </c>
      <c r="GL300" s="54"/>
      <c r="GM300" s="54"/>
      <c r="GN300" s="54" t="s">
        <v>1208</v>
      </c>
      <c r="GO300" s="54" t="s">
        <v>1209</v>
      </c>
      <c r="GP300" s="54"/>
      <c r="GQ300" s="56">
        <v>0</v>
      </c>
      <c r="GR300" s="54" t="s">
        <v>1079</v>
      </c>
      <c r="GS300" s="54"/>
    </row>
    <row r="301" spans="1:201" x14ac:dyDescent="0.25">
      <c r="A301" s="54" t="s">
        <v>1032</v>
      </c>
      <c r="B301" s="54" t="s">
        <v>1033</v>
      </c>
      <c r="C301" s="54" t="s">
        <v>1305</v>
      </c>
      <c r="D301" s="54" t="s">
        <v>1035</v>
      </c>
      <c r="E301" s="54" t="s">
        <v>1036</v>
      </c>
      <c r="F301" s="55">
        <v>46197</v>
      </c>
      <c r="G301" s="55">
        <v>46197</v>
      </c>
      <c r="H301" s="54" t="s">
        <v>1037</v>
      </c>
      <c r="I301" s="54" t="s">
        <v>1038</v>
      </c>
      <c r="J301" s="54" t="s">
        <v>1039</v>
      </c>
      <c r="K301" s="55"/>
      <c r="L301" s="54" t="s">
        <v>1040</v>
      </c>
      <c r="M301" s="54"/>
      <c r="N301" s="54" t="s">
        <v>1306</v>
      </c>
      <c r="O301" s="54" t="s">
        <v>1046</v>
      </c>
      <c r="P301" s="54" t="s">
        <v>260</v>
      </c>
      <c r="Q301" s="54" t="s">
        <v>102</v>
      </c>
      <c r="R301" s="54" t="s">
        <v>1043</v>
      </c>
      <c r="S301" s="56">
        <v>3402</v>
      </c>
      <c r="T301" s="56">
        <v>3402</v>
      </c>
      <c r="U301" s="56">
        <v>0</v>
      </c>
      <c r="V301" s="56">
        <v>0</v>
      </c>
      <c r="W301" s="56">
        <v>0</v>
      </c>
      <c r="X301" s="56">
        <v>0</v>
      </c>
      <c r="Y301" s="56">
        <v>0</v>
      </c>
      <c r="Z301" s="56">
        <v>600</v>
      </c>
      <c r="AA301" s="56">
        <v>600</v>
      </c>
      <c r="AB301" s="59">
        <v>0</v>
      </c>
      <c r="AC301" s="56">
        <v>0</v>
      </c>
      <c r="AD301" s="56">
        <v>0</v>
      </c>
      <c r="AE301" s="56">
        <v>0</v>
      </c>
      <c r="AF301" s="54" t="s">
        <v>1044</v>
      </c>
      <c r="AG301" s="57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 t="s">
        <v>1045</v>
      </c>
      <c r="AS301" s="54" t="s">
        <v>1081</v>
      </c>
      <c r="AT301" s="54" t="s">
        <v>1082</v>
      </c>
      <c r="AU301" s="54" t="s">
        <v>1048</v>
      </c>
      <c r="AV301" s="54"/>
      <c r="AW301" s="55">
        <v>46210</v>
      </c>
      <c r="AX301" s="55">
        <v>46197</v>
      </c>
      <c r="AY301" s="55">
        <v>46197</v>
      </c>
      <c r="AZ301" s="55"/>
      <c r="BA301" s="55">
        <v>46210</v>
      </c>
      <c r="BB301" s="56">
        <v>0</v>
      </c>
      <c r="BC301" s="56">
        <v>0</v>
      </c>
      <c r="BD301" s="56">
        <v>0</v>
      </c>
      <c r="BE301" s="56">
        <v>0</v>
      </c>
      <c r="BF301" s="56">
        <v>0</v>
      </c>
      <c r="BG301" s="56">
        <v>0</v>
      </c>
      <c r="BH301" s="56">
        <v>0</v>
      </c>
      <c r="BI301" s="56">
        <v>0</v>
      </c>
      <c r="BJ301" s="56">
        <v>0</v>
      </c>
      <c r="BK301" s="56">
        <v>0</v>
      </c>
      <c r="BL301" s="56">
        <v>0</v>
      </c>
      <c r="BM301" s="56">
        <v>0</v>
      </c>
      <c r="BN301" s="56">
        <v>0</v>
      </c>
      <c r="BO301" s="56">
        <v>0</v>
      </c>
      <c r="BP301" s="54" t="s">
        <v>1049</v>
      </c>
      <c r="BQ301" s="54" t="s">
        <v>1050</v>
      </c>
      <c r="BR301" s="54" t="s">
        <v>1049</v>
      </c>
      <c r="BS301" s="54" t="s">
        <v>1050</v>
      </c>
      <c r="BT301" s="54" t="s">
        <v>1051</v>
      </c>
      <c r="BU301" s="54" t="s">
        <v>1043</v>
      </c>
      <c r="BV301" s="58">
        <v>600</v>
      </c>
      <c r="BW301" s="54" t="s">
        <v>1052</v>
      </c>
      <c r="BX301" s="54" t="s">
        <v>1053</v>
      </c>
      <c r="BY301" s="54" t="s">
        <v>1054</v>
      </c>
      <c r="BZ301" s="54" t="s">
        <v>1055</v>
      </c>
      <c r="CA301" s="55"/>
      <c r="CB301" s="54" t="s">
        <v>1056</v>
      </c>
      <c r="CC301" s="54" t="s">
        <v>1057</v>
      </c>
      <c r="CD301" s="54" t="s">
        <v>1200</v>
      </c>
      <c r="CE301" s="54" t="s">
        <v>1201</v>
      </c>
      <c r="CF301" s="54" t="s">
        <v>1202</v>
      </c>
      <c r="CG301" s="54" t="s">
        <v>1203</v>
      </c>
      <c r="CH301" s="54" t="s">
        <v>1204</v>
      </c>
      <c r="CI301" s="54" t="s">
        <v>1203</v>
      </c>
      <c r="CJ301" s="54" t="s">
        <v>1064</v>
      </c>
      <c r="CK301" s="54" t="s">
        <v>1065</v>
      </c>
      <c r="CL301" s="54" t="s">
        <v>1205</v>
      </c>
      <c r="CM301" s="54" t="s">
        <v>1206</v>
      </c>
      <c r="CN301" s="54" t="s">
        <v>1068</v>
      </c>
      <c r="CO301" s="54" t="s">
        <v>1069</v>
      </c>
      <c r="CP301" s="56">
        <v>0</v>
      </c>
      <c r="CQ301" s="56">
        <v>0</v>
      </c>
      <c r="CR301" s="56">
        <v>0</v>
      </c>
      <c r="CS301" s="56">
        <v>0</v>
      </c>
      <c r="CT301" s="56">
        <v>0</v>
      </c>
      <c r="CU301" s="56">
        <v>0</v>
      </c>
      <c r="CV301" s="56">
        <v>0</v>
      </c>
      <c r="CW301" s="56">
        <v>0</v>
      </c>
      <c r="CX301" s="56">
        <v>0</v>
      </c>
      <c r="CY301" s="56">
        <v>0</v>
      </c>
      <c r="CZ301" s="56">
        <v>0</v>
      </c>
      <c r="DA301" s="56">
        <v>0</v>
      </c>
      <c r="DB301" s="56">
        <v>0</v>
      </c>
      <c r="DC301" s="56">
        <v>0</v>
      </c>
      <c r="DD301" s="56">
        <v>0</v>
      </c>
      <c r="DE301" s="56">
        <v>0</v>
      </c>
      <c r="DF301" s="56">
        <v>0</v>
      </c>
      <c r="DG301" s="56">
        <v>0</v>
      </c>
      <c r="DH301" s="56">
        <v>0</v>
      </c>
      <c r="DI301" s="56">
        <v>0</v>
      </c>
      <c r="DJ301" s="56">
        <v>0</v>
      </c>
      <c r="DK301" s="56">
        <v>0</v>
      </c>
      <c r="DL301" s="56">
        <v>0</v>
      </c>
      <c r="DM301" s="56">
        <v>0</v>
      </c>
      <c r="DN301" s="56">
        <v>0</v>
      </c>
      <c r="DO301" s="56">
        <v>0</v>
      </c>
      <c r="DP301" s="56">
        <v>0</v>
      </c>
      <c r="DQ301" s="56">
        <v>0</v>
      </c>
      <c r="DR301" s="56">
        <v>0</v>
      </c>
      <c r="DS301" s="56">
        <v>0</v>
      </c>
      <c r="DT301" s="56">
        <v>0</v>
      </c>
      <c r="DU301" s="56">
        <v>0</v>
      </c>
      <c r="DV301" s="56">
        <v>0</v>
      </c>
      <c r="DW301" s="56">
        <v>0</v>
      </c>
      <c r="DX301" s="56">
        <v>0</v>
      </c>
      <c r="DY301" s="56">
        <v>0</v>
      </c>
      <c r="DZ301" s="56">
        <v>0</v>
      </c>
      <c r="EA301" s="56">
        <v>0</v>
      </c>
      <c r="EB301" s="56">
        <v>0</v>
      </c>
      <c r="EC301" s="56">
        <v>0</v>
      </c>
      <c r="ED301" s="56">
        <v>0</v>
      </c>
      <c r="EE301" s="56">
        <v>0</v>
      </c>
      <c r="EF301" s="56">
        <v>0</v>
      </c>
      <c r="EG301" s="56">
        <v>0</v>
      </c>
      <c r="EH301" s="56">
        <v>408.24</v>
      </c>
      <c r="EI301" s="56">
        <v>0</v>
      </c>
      <c r="EJ301" s="56">
        <v>0</v>
      </c>
      <c r="EK301" s="56">
        <v>0</v>
      </c>
      <c r="EL301" s="56">
        <v>0</v>
      </c>
      <c r="EM301" s="56">
        <v>0</v>
      </c>
      <c r="EN301" s="56">
        <v>0</v>
      </c>
      <c r="EO301" s="56">
        <v>0</v>
      </c>
      <c r="EP301" s="56">
        <v>0</v>
      </c>
      <c r="EQ301" s="56">
        <v>0</v>
      </c>
      <c r="ER301" s="56">
        <v>0</v>
      </c>
      <c r="ES301" s="56">
        <v>0</v>
      </c>
      <c r="ET301" s="56">
        <v>0</v>
      </c>
      <c r="EU301" s="56">
        <v>0</v>
      </c>
      <c r="EV301" s="56">
        <v>0</v>
      </c>
      <c r="EW301" s="56">
        <v>0</v>
      </c>
      <c r="EX301" s="56">
        <v>0</v>
      </c>
      <c r="EY301" s="56">
        <v>0</v>
      </c>
      <c r="EZ301" s="56">
        <v>0</v>
      </c>
      <c r="FA301" s="56">
        <v>0</v>
      </c>
      <c r="FB301" s="56">
        <v>0</v>
      </c>
      <c r="FC301" s="58">
        <v>0</v>
      </c>
      <c r="FD301" s="56">
        <v>0</v>
      </c>
      <c r="FE301" s="56">
        <v>0</v>
      </c>
      <c r="FF301" s="56">
        <v>0</v>
      </c>
      <c r="FG301" s="56">
        <v>0</v>
      </c>
      <c r="FH301" s="56">
        <v>0</v>
      </c>
      <c r="FI301" s="56">
        <v>0</v>
      </c>
      <c r="FJ301" s="56">
        <v>0</v>
      </c>
      <c r="FK301" s="56">
        <v>0</v>
      </c>
      <c r="FL301" s="56">
        <v>0</v>
      </c>
      <c r="FM301" s="56">
        <v>0</v>
      </c>
      <c r="FN301" s="56">
        <v>0</v>
      </c>
      <c r="FO301" s="56">
        <v>0</v>
      </c>
      <c r="FP301" s="56">
        <v>0</v>
      </c>
      <c r="FQ301" s="56">
        <v>0</v>
      </c>
      <c r="FR301" s="56">
        <v>0</v>
      </c>
      <c r="FS301" s="58">
        <v>0</v>
      </c>
      <c r="FT301" s="56">
        <v>0</v>
      </c>
      <c r="FU301" s="56">
        <v>0</v>
      </c>
      <c r="FV301" s="56">
        <v>0</v>
      </c>
      <c r="FW301" s="56">
        <v>0</v>
      </c>
      <c r="FX301" s="56">
        <v>0</v>
      </c>
      <c r="FY301" s="56">
        <v>0</v>
      </c>
      <c r="FZ301" s="54" t="s">
        <v>1083</v>
      </c>
      <c r="GA301" s="54" t="s">
        <v>1084</v>
      </c>
      <c r="GB301" s="54" t="s">
        <v>1072</v>
      </c>
      <c r="GC301" s="54" t="s">
        <v>1073</v>
      </c>
      <c r="GD301" s="54" t="s">
        <v>1223</v>
      </c>
      <c r="GE301" s="54" t="s">
        <v>1201</v>
      </c>
      <c r="GF301" s="54"/>
      <c r="GG301" s="55"/>
      <c r="GH301" s="54"/>
      <c r="GI301" s="54"/>
      <c r="GJ301" s="54" t="s">
        <v>1076</v>
      </c>
      <c r="GK301" s="54" t="s">
        <v>1077</v>
      </c>
      <c r="GL301" s="54"/>
      <c r="GM301" s="54"/>
      <c r="GN301" s="54" t="s">
        <v>1208</v>
      </c>
      <c r="GO301" s="54" t="s">
        <v>1209</v>
      </c>
      <c r="GP301" s="54"/>
      <c r="GQ301" s="56">
        <v>0</v>
      </c>
      <c r="GR301" s="54" t="s">
        <v>1079</v>
      </c>
      <c r="GS301" s="54"/>
    </row>
    <row r="302" spans="1:201" x14ac:dyDescent="0.25">
      <c r="A302" s="54" t="s">
        <v>1032</v>
      </c>
      <c r="B302" s="54" t="s">
        <v>1033</v>
      </c>
      <c r="C302" s="54" t="s">
        <v>1305</v>
      </c>
      <c r="D302" s="54" t="s">
        <v>1035</v>
      </c>
      <c r="E302" s="54" t="s">
        <v>1036</v>
      </c>
      <c r="F302" s="55">
        <v>46197</v>
      </c>
      <c r="G302" s="55">
        <v>46197</v>
      </c>
      <c r="H302" s="54" t="s">
        <v>1037</v>
      </c>
      <c r="I302" s="54" t="s">
        <v>1038</v>
      </c>
      <c r="J302" s="54" t="s">
        <v>1039</v>
      </c>
      <c r="K302" s="55"/>
      <c r="L302" s="54" t="s">
        <v>1040</v>
      </c>
      <c r="M302" s="54"/>
      <c r="N302" s="54" t="s">
        <v>1306</v>
      </c>
      <c r="O302" s="54" t="s">
        <v>1091</v>
      </c>
      <c r="P302" s="54" t="s">
        <v>257</v>
      </c>
      <c r="Q302" s="54" t="s">
        <v>100</v>
      </c>
      <c r="R302" s="54" t="s">
        <v>1043</v>
      </c>
      <c r="S302" s="56">
        <v>1401.12</v>
      </c>
      <c r="T302" s="56">
        <v>1401.12</v>
      </c>
      <c r="U302" s="56">
        <v>0</v>
      </c>
      <c r="V302" s="56">
        <v>0</v>
      </c>
      <c r="W302" s="56">
        <v>0</v>
      </c>
      <c r="X302" s="56">
        <v>0</v>
      </c>
      <c r="Y302" s="56">
        <v>0</v>
      </c>
      <c r="Z302" s="56">
        <v>36</v>
      </c>
      <c r="AA302" s="56">
        <v>36</v>
      </c>
      <c r="AB302" s="59">
        <v>0</v>
      </c>
      <c r="AC302" s="56">
        <v>0</v>
      </c>
      <c r="AD302" s="56">
        <v>0</v>
      </c>
      <c r="AE302" s="56">
        <v>0</v>
      </c>
      <c r="AF302" s="54" t="s">
        <v>1044</v>
      </c>
      <c r="AG302" s="57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 t="s">
        <v>1045</v>
      </c>
      <c r="AS302" s="54" t="s">
        <v>1081</v>
      </c>
      <c r="AT302" s="54" t="s">
        <v>1082</v>
      </c>
      <c r="AU302" s="54" t="s">
        <v>1048</v>
      </c>
      <c r="AV302" s="54"/>
      <c r="AW302" s="55">
        <v>46210</v>
      </c>
      <c r="AX302" s="55">
        <v>46197</v>
      </c>
      <c r="AY302" s="55">
        <v>46197</v>
      </c>
      <c r="AZ302" s="55"/>
      <c r="BA302" s="55">
        <v>46210</v>
      </c>
      <c r="BB302" s="56">
        <v>0</v>
      </c>
      <c r="BC302" s="56">
        <v>0</v>
      </c>
      <c r="BD302" s="56">
        <v>0</v>
      </c>
      <c r="BE302" s="56">
        <v>0</v>
      </c>
      <c r="BF302" s="56">
        <v>0</v>
      </c>
      <c r="BG302" s="56">
        <v>0</v>
      </c>
      <c r="BH302" s="56">
        <v>0</v>
      </c>
      <c r="BI302" s="56">
        <v>0</v>
      </c>
      <c r="BJ302" s="56">
        <v>0</v>
      </c>
      <c r="BK302" s="56">
        <v>0</v>
      </c>
      <c r="BL302" s="56">
        <v>0</v>
      </c>
      <c r="BM302" s="56">
        <v>0</v>
      </c>
      <c r="BN302" s="56">
        <v>0</v>
      </c>
      <c r="BO302" s="56">
        <v>0</v>
      </c>
      <c r="BP302" s="54" t="s">
        <v>1049</v>
      </c>
      <c r="BQ302" s="54" t="s">
        <v>1050</v>
      </c>
      <c r="BR302" s="54" t="s">
        <v>1049</v>
      </c>
      <c r="BS302" s="54" t="s">
        <v>1050</v>
      </c>
      <c r="BT302" s="54" t="s">
        <v>1051</v>
      </c>
      <c r="BU302" s="54" t="s">
        <v>1043</v>
      </c>
      <c r="BV302" s="58">
        <v>36</v>
      </c>
      <c r="BW302" s="54" t="s">
        <v>1052</v>
      </c>
      <c r="BX302" s="54" t="s">
        <v>1053</v>
      </c>
      <c r="BY302" s="54" t="s">
        <v>1054</v>
      </c>
      <c r="BZ302" s="54" t="s">
        <v>1055</v>
      </c>
      <c r="CA302" s="55"/>
      <c r="CB302" s="54" t="s">
        <v>1056</v>
      </c>
      <c r="CC302" s="54" t="s">
        <v>1057</v>
      </c>
      <c r="CD302" s="54" t="s">
        <v>1200</v>
      </c>
      <c r="CE302" s="54" t="s">
        <v>1201</v>
      </c>
      <c r="CF302" s="54" t="s">
        <v>1202</v>
      </c>
      <c r="CG302" s="54" t="s">
        <v>1203</v>
      </c>
      <c r="CH302" s="54" t="s">
        <v>1204</v>
      </c>
      <c r="CI302" s="54" t="s">
        <v>1203</v>
      </c>
      <c r="CJ302" s="54" t="s">
        <v>1064</v>
      </c>
      <c r="CK302" s="54" t="s">
        <v>1065</v>
      </c>
      <c r="CL302" s="54" t="s">
        <v>1205</v>
      </c>
      <c r="CM302" s="54" t="s">
        <v>1206</v>
      </c>
      <c r="CN302" s="54" t="s">
        <v>1068</v>
      </c>
      <c r="CO302" s="54" t="s">
        <v>1069</v>
      </c>
      <c r="CP302" s="56">
        <v>0</v>
      </c>
      <c r="CQ302" s="56">
        <v>0</v>
      </c>
      <c r="CR302" s="56">
        <v>0</v>
      </c>
      <c r="CS302" s="56">
        <v>0</v>
      </c>
      <c r="CT302" s="56">
        <v>0</v>
      </c>
      <c r="CU302" s="56">
        <v>0</v>
      </c>
      <c r="CV302" s="56">
        <v>0</v>
      </c>
      <c r="CW302" s="56">
        <v>0</v>
      </c>
      <c r="CX302" s="56">
        <v>0</v>
      </c>
      <c r="CY302" s="56">
        <v>0</v>
      </c>
      <c r="CZ302" s="56">
        <v>0</v>
      </c>
      <c r="DA302" s="56">
        <v>0</v>
      </c>
      <c r="DB302" s="56">
        <v>0</v>
      </c>
      <c r="DC302" s="56">
        <v>0</v>
      </c>
      <c r="DD302" s="56">
        <v>0</v>
      </c>
      <c r="DE302" s="56">
        <v>0</v>
      </c>
      <c r="DF302" s="56">
        <v>0</v>
      </c>
      <c r="DG302" s="56">
        <v>0</v>
      </c>
      <c r="DH302" s="56">
        <v>0</v>
      </c>
      <c r="DI302" s="56">
        <v>0</v>
      </c>
      <c r="DJ302" s="56">
        <v>0</v>
      </c>
      <c r="DK302" s="56">
        <v>0</v>
      </c>
      <c r="DL302" s="56">
        <v>0</v>
      </c>
      <c r="DM302" s="56">
        <v>0</v>
      </c>
      <c r="DN302" s="56">
        <v>0</v>
      </c>
      <c r="DO302" s="56">
        <v>0</v>
      </c>
      <c r="DP302" s="56">
        <v>0</v>
      </c>
      <c r="DQ302" s="56">
        <v>0</v>
      </c>
      <c r="DR302" s="56">
        <v>0</v>
      </c>
      <c r="DS302" s="56">
        <v>0</v>
      </c>
      <c r="DT302" s="56">
        <v>0</v>
      </c>
      <c r="DU302" s="56">
        <v>0</v>
      </c>
      <c r="DV302" s="56">
        <v>0</v>
      </c>
      <c r="DW302" s="56">
        <v>0</v>
      </c>
      <c r="DX302" s="56">
        <v>0</v>
      </c>
      <c r="DY302" s="56">
        <v>0</v>
      </c>
      <c r="DZ302" s="56">
        <v>0</v>
      </c>
      <c r="EA302" s="56">
        <v>0</v>
      </c>
      <c r="EB302" s="56">
        <v>0</v>
      </c>
      <c r="EC302" s="56">
        <v>0</v>
      </c>
      <c r="ED302" s="56">
        <v>0</v>
      </c>
      <c r="EE302" s="56">
        <v>0</v>
      </c>
      <c r="EF302" s="56">
        <v>0</v>
      </c>
      <c r="EG302" s="56">
        <v>0</v>
      </c>
      <c r="EH302" s="56">
        <v>168.13</v>
      </c>
      <c r="EI302" s="56">
        <v>0</v>
      </c>
      <c r="EJ302" s="56">
        <v>0</v>
      </c>
      <c r="EK302" s="56">
        <v>0</v>
      </c>
      <c r="EL302" s="56">
        <v>0</v>
      </c>
      <c r="EM302" s="56">
        <v>0</v>
      </c>
      <c r="EN302" s="56">
        <v>0</v>
      </c>
      <c r="EO302" s="56">
        <v>0</v>
      </c>
      <c r="EP302" s="56">
        <v>0</v>
      </c>
      <c r="EQ302" s="56">
        <v>0</v>
      </c>
      <c r="ER302" s="56">
        <v>0</v>
      </c>
      <c r="ES302" s="56">
        <v>0</v>
      </c>
      <c r="ET302" s="56">
        <v>0</v>
      </c>
      <c r="EU302" s="56">
        <v>0</v>
      </c>
      <c r="EV302" s="56">
        <v>0</v>
      </c>
      <c r="EW302" s="56">
        <v>0</v>
      </c>
      <c r="EX302" s="56">
        <v>0</v>
      </c>
      <c r="EY302" s="56">
        <v>0</v>
      </c>
      <c r="EZ302" s="56">
        <v>0</v>
      </c>
      <c r="FA302" s="56">
        <v>0</v>
      </c>
      <c r="FB302" s="56">
        <v>0</v>
      </c>
      <c r="FC302" s="58">
        <v>0</v>
      </c>
      <c r="FD302" s="56">
        <v>0</v>
      </c>
      <c r="FE302" s="56">
        <v>0</v>
      </c>
      <c r="FF302" s="56">
        <v>0</v>
      </c>
      <c r="FG302" s="56">
        <v>0</v>
      </c>
      <c r="FH302" s="56">
        <v>0</v>
      </c>
      <c r="FI302" s="56">
        <v>0</v>
      </c>
      <c r="FJ302" s="56">
        <v>0</v>
      </c>
      <c r="FK302" s="56">
        <v>0</v>
      </c>
      <c r="FL302" s="56">
        <v>0</v>
      </c>
      <c r="FM302" s="56">
        <v>0</v>
      </c>
      <c r="FN302" s="56">
        <v>0</v>
      </c>
      <c r="FO302" s="56">
        <v>0</v>
      </c>
      <c r="FP302" s="56">
        <v>0</v>
      </c>
      <c r="FQ302" s="56">
        <v>0</v>
      </c>
      <c r="FR302" s="56">
        <v>0</v>
      </c>
      <c r="FS302" s="58">
        <v>0</v>
      </c>
      <c r="FT302" s="56">
        <v>0</v>
      </c>
      <c r="FU302" s="56">
        <v>0</v>
      </c>
      <c r="FV302" s="56">
        <v>0</v>
      </c>
      <c r="FW302" s="56">
        <v>0</v>
      </c>
      <c r="FX302" s="56">
        <v>0</v>
      </c>
      <c r="FY302" s="56">
        <v>0</v>
      </c>
      <c r="FZ302" s="54" t="s">
        <v>1083</v>
      </c>
      <c r="GA302" s="54" t="s">
        <v>1084</v>
      </c>
      <c r="GB302" s="54" t="s">
        <v>1072</v>
      </c>
      <c r="GC302" s="54" t="s">
        <v>1073</v>
      </c>
      <c r="GD302" s="54" t="s">
        <v>1223</v>
      </c>
      <c r="GE302" s="54" t="s">
        <v>1201</v>
      </c>
      <c r="GF302" s="54"/>
      <c r="GG302" s="55"/>
      <c r="GH302" s="54"/>
      <c r="GI302" s="54"/>
      <c r="GJ302" s="54" t="s">
        <v>1076</v>
      </c>
      <c r="GK302" s="54" t="s">
        <v>1077</v>
      </c>
      <c r="GL302" s="54"/>
      <c r="GM302" s="54"/>
      <c r="GN302" s="54" t="s">
        <v>1208</v>
      </c>
      <c r="GO302" s="54" t="s">
        <v>1209</v>
      </c>
      <c r="GP302" s="54"/>
      <c r="GQ302" s="56">
        <v>0</v>
      </c>
      <c r="GR302" s="54" t="s">
        <v>1079</v>
      </c>
      <c r="GS302" s="54"/>
    </row>
    <row r="303" spans="1:201" x14ac:dyDescent="0.25">
      <c r="A303" s="54" t="s">
        <v>1032</v>
      </c>
      <c r="B303" s="54" t="s">
        <v>1033</v>
      </c>
      <c r="C303" s="54" t="s">
        <v>1305</v>
      </c>
      <c r="D303" s="54" t="s">
        <v>1035</v>
      </c>
      <c r="E303" s="54" t="s">
        <v>1036</v>
      </c>
      <c r="F303" s="55">
        <v>46197</v>
      </c>
      <c r="G303" s="55">
        <v>46197</v>
      </c>
      <c r="H303" s="54" t="s">
        <v>1037</v>
      </c>
      <c r="I303" s="54" t="s">
        <v>1038</v>
      </c>
      <c r="J303" s="54" t="s">
        <v>1039</v>
      </c>
      <c r="K303" s="55"/>
      <c r="L303" s="54" t="s">
        <v>1040</v>
      </c>
      <c r="M303" s="54"/>
      <c r="N303" s="54" t="s">
        <v>1306</v>
      </c>
      <c r="O303" s="54" t="s">
        <v>1093</v>
      </c>
      <c r="P303" s="54" t="s">
        <v>264</v>
      </c>
      <c r="Q303" s="54" t="s">
        <v>105</v>
      </c>
      <c r="R303" s="54" t="s">
        <v>1043</v>
      </c>
      <c r="S303" s="56">
        <v>220.8</v>
      </c>
      <c r="T303" s="56">
        <v>0</v>
      </c>
      <c r="U303" s="56">
        <v>0</v>
      </c>
      <c r="V303" s="56">
        <v>220.8</v>
      </c>
      <c r="W303" s="56">
        <v>0</v>
      </c>
      <c r="X303" s="56">
        <v>0</v>
      </c>
      <c r="Y303" s="56">
        <v>0</v>
      </c>
      <c r="Z303" s="56">
        <v>120</v>
      </c>
      <c r="AA303" s="56">
        <v>0</v>
      </c>
      <c r="AB303" s="59">
        <v>0</v>
      </c>
      <c r="AC303" s="56">
        <v>120</v>
      </c>
      <c r="AD303" s="56">
        <v>0</v>
      </c>
      <c r="AE303" s="56">
        <v>0</v>
      </c>
      <c r="AF303" s="54" t="s">
        <v>1044</v>
      </c>
      <c r="AG303" s="57"/>
      <c r="AH303" s="54" t="s">
        <v>1252</v>
      </c>
      <c r="AI303" s="54" t="s">
        <v>1253</v>
      </c>
      <c r="AJ303" s="54"/>
      <c r="AK303" s="54"/>
      <c r="AL303" s="54"/>
      <c r="AM303" s="54"/>
      <c r="AN303" s="54"/>
      <c r="AO303" s="54"/>
      <c r="AP303" s="54"/>
      <c r="AQ303" s="54"/>
      <c r="AR303" s="54" t="s">
        <v>1045</v>
      </c>
      <c r="AS303" s="54" t="s">
        <v>1046</v>
      </c>
      <c r="AT303" s="54" t="s">
        <v>1047</v>
      </c>
      <c r="AU303" s="54" t="s">
        <v>1048</v>
      </c>
      <c r="AV303" s="54"/>
      <c r="AW303" s="55">
        <v>46210</v>
      </c>
      <c r="AX303" s="55">
        <v>46197</v>
      </c>
      <c r="AY303" s="55">
        <v>46197</v>
      </c>
      <c r="AZ303" s="55"/>
      <c r="BA303" s="55">
        <v>46210</v>
      </c>
      <c r="BB303" s="56">
        <v>0</v>
      </c>
      <c r="BC303" s="56">
        <v>0</v>
      </c>
      <c r="BD303" s="56">
        <v>0</v>
      </c>
      <c r="BE303" s="56">
        <v>0</v>
      </c>
      <c r="BF303" s="56">
        <v>0</v>
      </c>
      <c r="BG303" s="56">
        <v>0</v>
      </c>
      <c r="BH303" s="56">
        <v>0</v>
      </c>
      <c r="BI303" s="56">
        <v>0</v>
      </c>
      <c r="BJ303" s="56">
        <v>0</v>
      </c>
      <c r="BK303" s="56">
        <v>0</v>
      </c>
      <c r="BL303" s="56">
        <v>0</v>
      </c>
      <c r="BM303" s="56">
        <v>0</v>
      </c>
      <c r="BN303" s="56">
        <v>0</v>
      </c>
      <c r="BO303" s="56">
        <v>0</v>
      </c>
      <c r="BP303" s="54" t="s">
        <v>1049</v>
      </c>
      <c r="BQ303" s="54" t="s">
        <v>1050</v>
      </c>
      <c r="BR303" s="54" t="s">
        <v>1049</v>
      </c>
      <c r="BS303" s="54" t="s">
        <v>1050</v>
      </c>
      <c r="BT303" s="54" t="s">
        <v>1051</v>
      </c>
      <c r="BU303" s="54" t="s">
        <v>1043</v>
      </c>
      <c r="BV303" s="58">
        <v>0</v>
      </c>
      <c r="BW303" s="54" t="s">
        <v>1052</v>
      </c>
      <c r="BX303" s="54" t="s">
        <v>1053</v>
      </c>
      <c r="BY303" s="54" t="s">
        <v>1054</v>
      </c>
      <c r="BZ303" s="54" t="s">
        <v>1055</v>
      </c>
      <c r="CA303" s="55"/>
      <c r="CB303" s="54" t="s">
        <v>1056</v>
      </c>
      <c r="CC303" s="54" t="s">
        <v>1057</v>
      </c>
      <c r="CD303" s="54" t="s">
        <v>1200</v>
      </c>
      <c r="CE303" s="54" t="s">
        <v>1201</v>
      </c>
      <c r="CF303" s="54" t="s">
        <v>1202</v>
      </c>
      <c r="CG303" s="54" t="s">
        <v>1203</v>
      </c>
      <c r="CH303" s="54" t="s">
        <v>1204</v>
      </c>
      <c r="CI303" s="54" t="s">
        <v>1203</v>
      </c>
      <c r="CJ303" s="54" t="s">
        <v>1064</v>
      </c>
      <c r="CK303" s="54" t="s">
        <v>1065</v>
      </c>
      <c r="CL303" s="54" t="s">
        <v>1205</v>
      </c>
      <c r="CM303" s="54" t="s">
        <v>1206</v>
      </c>
      <c r="CN303" s="54" t="s">
        <v>1068</v>
      </c>
      <c r="CO303" s="54" t="s">
        <v>1069</v>
      </c>
      <c r="CP303" s="56">
        <v>0</v>
      </c>
      <c r="CQ303" s="56">
        <v>0</v>
      </c>
      <c r="CR303" s="56">
        <v>0</v>
      </c>
      <c r="CS303" s="56">
        <v>0</v>
      </c>
      <c r="CT303" s="56">
        <v>0</v>
      </c>
      <c r="CU303" s="56">
        <v>0</v>
      </c>
      <c r="CV303" s="56">
        <v>0</v>
      </c>
      <c r="CW303" s="56">
        <v>0</v>
      </c>
      <c r="CX303" s="56">
        <v>0</v>
      </c>
      <c r="CY303" s="56">
        <v>0</v>
      </c>
      <c r="CZ303" s="56">
        <v>0</v>
      </c>
      <c r="DA303" s="56">
        <v>0</v>
      </c>
      <c r="DB303" s="56">
        <v>0</v>
      </c>
      <c r="DC303" s="56">
        <v>0</v>
      </c>
      <c r="DD303" s="56">
        <v>0</v>
      </c>
      <c r="DE303" s="56">
        <v>0</v>
      </c>
      <c r="DF303" s="56">
        <v>0</v>
      </c>
      <c r="DG303" s="56">
        <v>0</v>
      </c>
      <c r="DH303" s="56">
        <v>0</v>
      </c>
      <c r="DI303" s="56">
        <v>0</v>
      </c>
      <c r="DJ303" s="56">
        <v>0</v>
      </c>
      <c r="DK303" s="56">
        <v>0</v>
      </c>
      <c r="DL303" s="56">
        <v>0</v>
      </c>
      <c r="DM303" s="56">
        <v>0</v>
      </c>
      <c r="DN303" s="56">
        <v>0</v>
      </c>
      <c r="DO303" s="56">
        <v>0</v>
      </c>
      <c r="DP303" s="56">
        <v>0</v>
      </c>
      <c r="DQ303" s="56">
        <v>0</v>
      </c>
      <c r="DR303" s="56">
        <v>0</v>
      </c>
      <c r="DS303" s="56">
        <v>0</v>
      </c>
      <c r="DT303" s="56">
        <v>0</v>
      </c>
      <c r="DU303" s="56">
        <v>0</v>
      </c>
      <c r="DV303" s="56">
        <v>0</v>
      </c>
      <c r="DW303" s="56">
        <v>0</v>
      </c>
      <c r="DX303" s="56">
        <v>0</v>
      </c>
      <c r="DY303" s="56">
        <v>0</v>
      </c>
      <c r="DZ303" s="56">
        <v>0</v>
      </c>
      <c r="EA303" s="56">
        <v>0</v>
      </c>
      <c r="EB303" s="56">
        <v>0</v>
      </c>
      <c r="EC303" s="56">
        <v>0</v>
      </c>
      <c r="ED303" s="56">
        <v>0</v>
      </c>
      <c r="EE303" s="56">
        <v>0</v>
      </c>
      <c r="EF303" s="56">
        <v>0</v>
      </c>
      <c r="EG303" s="56">
        <v>0</v>
      </c>
      <c r="EH303" s="56">
        <v>26.5</v>
      </c>
      <c r="EI303" s="56">
        <v>0</v>
      </c>
      <c r="EJ303" s="56">
        <v>0</v>
      </c>
      <c r="EK303" s="56">
        <v>0</v>
      </c>
      <c r="EL303" s="56">
        <v>0</v>
      </c>
      <c r="EM303" s="56">
        <v>0</v>
      </c>
      <c r="EN303" s="56">
        <v>0</v>
      </c>
      <c r="EO303" s="56">
        <v>0</v>
      </c>
      <c r="EP303" s="56">
        <v>0</v>
      </c>
      <c r="EQ303" s="56">
        <v>0</v>
      </c>
      <c r="ER303" s="56">
        <v>0</v>
      </c>
      <c r="ES303" s="56">
        <v>0</v>
      </c>
      <c r="ET303" s="56">
        <v>0</v>
      </c>
      <c r="EU303" s="56">
        <v>0</v>
      </c>
      <c r="EV303" s="56">
        <v>0</v>
      </c>
      <c r="EW303" s="56">
        <v>0</v>
      </c>
      <c r="EX303" s="56">
        <v>0</v>
      </c>
      <c r="EY303" s="56">
        <v>0</v>
      </c>
      <c r="EZ303" s="56">
        <v>0</v>
      </c>
      <c r="FA303" s="56">
        <v>0</v>
      </c>
      <c r="FB303" s="56">
        <v>0</v>
      </c>
      <c r="FC303" s="58">
        <v>0</v>
      </c>
      <c r="FD303" s="56">
        <v>0</v>
      </c>
      <c r="FE303" s="56">
        <v>0</v>
      </c>
      <c r="FF303" s="56">
        <v>0</v>
      </c>
      <c r="FG303" s="56">
        <v>0</v>
      </c>
      <c r="FH303" s="56">
        <v>0</v>
      </c>
      <c r="FI303" s="56">
        <v>0</v>
      </c>
      <c r="FJ303" s="56">
        <v>0</v>
      </c>
      <c r="FK303" s="56">
        <v>0</v>
      </c>
      <c r="FL303" s="56">
        <v>0</v>
      </c>
      <c r="FM303" s="56">
        <v>0</v>
      </c>
      <c r="FN303" s="56">
        <v>0</v>
      </c>
      <c r="FO303" s="56">
        <v>0</v>
      </c>
      <c r="FP303" s="56">
        <v>0</v>
      </c>
      <c r="FQ303" s="56">
        <v>0</v>
      </c>
      <c r="FR303" s="56">
        <v>0</v>
      </c>
      <c r="FS303" s="58">
        <v>0</v>
      </c>
      <c r="FT303" s="56">
        <v>0</v>
      </c>
      <c r="FU303" s="56">
        <v>0</v>
      </c>
      <c r="FV303" s="56">
        <v>0</v>
      </c>
      <c r="FW303" s="56">
        <v>0</v>
      </c>
      <c r="FX303" s="56">
        <v>0</v>
      </c>
      <c r="FY303" s="56">
        <v>0</v>
      </c>
      <c r="FZ303" s="54" t="s">
        <v>1070</v>
      </c>
      <c r="GA303" s="54" t="s">
        <v>1071</v>
      </c>
      <c r="GB303" s="54" t="s">
        <v>1072</v>
      </c>
      <c r="GC303" s="54" t="s">
        <v>1073</v>
      </c>
      <c r="GD303" s="54" t="s">
        <v>1227</v>
      </c>
      <c r="GE303" s="54" t="s">
        <v>1201</v>
      </c>
      <c r="GF303" s="54"/>
      <c r="GG303" s="55"/>
      <c r="GH303" s="54"/>
      <c r="GI303" s="54"/>
      <c r="GJ303" s="54" t="s">
        <v>1076</v>
      </c>
      <c r="GK303" s="54" t="s">
        <v>1077</v>
      </c>
      <c r="GL303" s="54"/>
      <c r="GM303" s="54"/>
      <c r="GN303" s="54" t="s">
        <v>1208</v>
      </c>
      <c r="GO303" s="54" t="s">
        <v>1209</v>
      </c>
      <c r="GP303" s="54"/>
      <c r="GQ303" s="56">
        <v>0</v>
      </c>
      <c r="GR303" s="54" t="s">
        <v>1079</v>
      </c>
      <c r="GS303" s="54"/>
    </row>
    <row r="304" spans="1:201" x14ac:dyDescent="0.25">
      <c r="A304" s="54" t="s">
        <v>1032</v>
      </c>
      <c r="B304" s="54" t="s">
        <v>1033</v>
      </c>
      <c r="C304" s="54" t="s">
        <v>1305</v>
      </c>
      <c r="D304" s="54" t="s">
        <v>1035</v>
      </c>
      <c r="E304" s="54" t="s">
        <v>1036</v>
      </c>
      <c r="F304" s="55">
        <v>46197</v>
      </c>
      <c r="G304" s="55">
        <v>46197</v>
      </c>
      <c r="H304" s="54" t="s">
        <v>1037</v>
      </c>
      <c r="I304" s="54" t="s">
        <v>1038</v>
      </c>
      <c r="J304" s="54" t="s">
        <v>1039</v>
      </c>
      <c r="K304" s="55"/>
      <c r="L304" s="54" t="s">
        <v>1040</v>
      </c>
      <c r="M304" s="54"/>
      <c r="N304" s="54" t="s">
        <v>1306</v>
      </c>
      <c r="O304" s="54" t="s">
        <v>1099</v>
      </c>
      <c r="P304" s="54" t="s">
        <v>265</v>
      </c>
      <c r="Q304" s="54" t="s">
        <v>106</v>
      </c>
      <c r="R304" s="54" t="s">
        <v>1043</v>
      </c>
      <c r="S304" s="56">
        <v>921</v>
      </c>
      <c r="T304" s="56">
        <v>0</v>
      </c>
      <c r="U304" s="56">
        <v>0</v>
      </c>
      <c r="V304" s="56">
        <v>921</v>
      </c>
      <c r="W304" s="56">
        <v>0</v>
      </c>
      <c r="X304" s="56">
        <v>0</v>
      </c>
      <c r="Y304" s="56">
        <v>0</v>
      </c>
      <c r="Z304" s="56">
        <v>300</v>
      </c>
      <c r="AA304" s="56">
        <v>0</v>
      </c>
      <c r="AB304" s="59">
        <v>0</v>
      </c>
      <c r="AC304" s="56">
        <v>300</v>
      </c>
      <c r="AD304" s="56">
        <v>0</v>
      </c>
      <c r="AE304" s="56">
        <v>0</v>
      </c>
      <c r="AF304" s="54" t="s">
        <v>1044</v>
      </c>
      <c r="AG304" s="57"/>
      <c r="AH304" s="54" t="s">
        <v>1252</v>
      </c>
      <c r="AI304" s="54" t="s">
        <v>1253</v>
      </c>
      <c r="AJ304" s="54"/>
      <c r="AK304" s="54"/>
      <c r="AL304" s="54"/>
      <c r="AM304" s="54"/>
      <c r="AN304" s="54"/>
      <c r="AO304" s="54"/>
      <c r="AP304" s="54"/>
      <c r="AQ304" s="54"/>
      <c r="AR304" s="54" t="s">
        <v>1045</v>
      </c>
      <c r="AS304" s="54" t="s">
        <v>1046</v>
      </c>
      <c r="AT304" s="54" t="s">
        <v>1047</v>
      </c>
      <c r="AU304" s="54" t="s">
        <v>1048</v>
      </c>
      <c r="AV304" s="54"/>
      <c r="AW304" s="55">
        <v>46210</v>
      </c>
      <c r="AX304" s="55">
        <v>46197</v>
      </c>
      <c r="AY304" s="55">
        <v>46197</v>
      </c>
      <c r="AZ304" s="55"/>
      <c r="BA304" s="55">
        <v>46210</v>
      </c>
      <c r="BB304" s="56">
        <v>0</v>
      </c>
      <c r="BC304" s="56">
        <v>0</v>
      </c>
      <c r="BD304" s="56">
        <v>0</v>
      </c>
      <c r="BE304" s="56">
        <v>0</v>
      </c>
      <c r="BF304" s="56">
        <v>0</v>
      </c>
      <c r="BG304" s="56">
        <v>0</v>
      </c>
      <c r="BH304" s="56">
        <v>0</v>
      </c>
      <c r="BI304" s="56">
        <v>0</v>
      </c>
      <c r="BJ304" s="56">
        <v>0</v>
      </c>
      <c r="BK304" s="56">
        <v>0</v>
      </c>
      <c r="BL304" s="56">
        <v>0</v>
      </c>
      <c r="BM304" s="56">
        <v>0</v>
      </c>
      <c r="BN304" s="56">
        <v>0</v>
      </c>
      <c r="BO304" s="56">
        <v>0</v>
      </c>
      <c r="BP304" s="54" t="s">
        <v>1049</v>
      </c>
      <c r="BQ304" s="54" t="s">
        <v>1050</v>
      </c>
      <c r="BR304" s="54" t="s">
        <v>1049</v>
      </c>
      <c r="BS304" s="54" t="s">
        <v>1050</v>
      </c>
      <c r="BT304" s="54" t="s">
        <v>1051</v>
      </c>
      <c r="BU304" s="54" t="s">
        <v>1043</v>
      </c>
      <c r="BV304" s="58">
        <v>0</v>
      </c>
      <c r="BW304" s="54" t="s">
        <v>1052</v>
      </c>
      <c r="BX304" s="54" t="s">
        <v>1053</v>
      </c>
      <c r="BY304" s="54" t="s">
        <v>1054</v>
      </c>
      <c r="BZ304" s="54" t="s">
        <v>1055</v>
      </c>
      <c r="CA304" s="55"/>
      <c r="CB304" s="54" t="s">
        <v>1056</v>
      </c>
      <c r="CC304" s="54" t="s">
        <v>1057</v>
      </c>
      <c r="CD304" s="54" t="s">
        <v>1200</v>
      </c>
      <c r="CE304" s="54" t="s">
        <v>1201</v>
      </c>
      <c r="CF304" s="54" t="s">
        <v>1202</v>
      </c>
      <c r="CG304" s="54" t="s">
        <v>1203</v>
      </c>
      <c r="CH304" s="54" t="s">
        <v>1204</v>
      </c>
      <c r="CI304" s="54" t="s">
        <v>1203</v>
      </c>
      <c r="CJ304" s="54" t="s">
        <v>1064</v>
      </c>
      <c r="CK304" s="54" t="s">
        <v>1065</v>
      </c>
      <c r="CL304" s="54" t="s">
        <v>1205</v>
      </c>
      <c r="CM304" s="54" t="s">
        <v>1206</v>
      </c>
      <c r="CN304" s="54" t="s">
        <v>1068</v>
      </c>
      <c r="CO304" s="54" t="s">
        <v>1069</v>
      </c>
      <c r="CP304" s="56">
        <v>0</v>
      </c>
      <c r="CQ304" s="56">
        <v>0</v>
      </c>
      <c r="CR304" s="56">
        <v>0</v>
      </c>
      <c r="CS304" s="56">
        <v>0</v>
      </c>
      <c r="CT304" s="56">
        <v>0</v>
      </c>
      <c r="CU304" s="56">
        <v>0</v>
      </c>
      <c r="CV304" s="56">
        <v>0</v>
      </c>
      <c r="CW304" s="56">
        <v>0</v>
      </c>
      <c r="CX304" s="56">
        <v>0</v>
      </c>
      <c r="CY304" s="56">
        <v>0</v>
      </c>
      <c r="CZ304" s="56">
        <v>0</v>
      </c>
      <c r="DA304" s="56">
        <v>0</v>
      </c>
      <c r="DB304" s="56">
        <v>0</v>
      </c>
      <c r="DC304" s="56">
        <v>0</v>
      </c>
      <c r="DD304" s="56">
        <v>0</v>
      </c>
      <c r="DE304" s="56">
        <v>0</v>
      </c>
      <c r="DF304" s="56">
        <v>0</v>
      </c>
      <c r="DG304" s="56">
        <v>0</v>
      </c>
      <c r="DH304" s="56">
        <v>0</v>
      </c>
      <c r="DI304" s="56">
        <v>0</v>
      </c>
      <c r="DJ304" s="56">
        <v>0</v>
      </c>
      <c r="DK304" s="56">
        <v>0</v>
      </c>
      <c r="DL304" s="56">
        <v>0</v>
      </c>
      <c r="DM304" s="56">
        <v>0</v>
      </c>
      <c r="DN304" s="56">
        <v>0</v>
      </c>
      <c r="DO304" s="56">
        <v>0</v>
      </c>
      <c r="DP304" s="56">
        <v>0</v>
      </c>
      <c r="DQ304" s="56">
        <v>0</v>
      </c>
      <c r="DR304" s="56">
        <v>0</v>
      </c>
      <c r="DS304" s="56">
        <v>0</v>
      </c>
      <c r="DT304" s="56">
        <v>0</v>
      </c>
      <c r="DU304" s="56">
        <v>0</v>
      </c>
      <c r="DV304" s="56">
        <v>0</v>
      </c>
      <c r="DW304" s="56">
        <v>0</v>
      </c>
      <c r="DX304" s="56">
        <v>0</v>
      </c>
      <c r="DY304" s="56">
        <v>0</v>
      </c>
      <c r="DZ304" s="56">
        <v>0</v>
      </c>
      <c r="EA304" s="56">
        <v>0</v>
      </c>
      <c r="EB304" s="56">
        <v>0</v>
      </c>
      <c r="EC304" s="56">
        <v>0</v>
      </c>
      <c r="ED304" s="56">
        <v>0</v>
      </c>
      <c r="EE304" s="56">
        <v>0</v>
      </c>
      <c r="EF304" s="56">
        <v>0</v>
      </c>
      <c r="EG304" s="56">
        <v>0</v>
      </c>
      <c r="EH304" s="56">
        <v>110.52</v>
      </c>
      <c r="EI304" s="56">
        <v>0</v>
      </c>
      <c r="EJ304" s="56">
        <v>0</v>
      </c>
      <c r="EK304" s="56">
        <v>0</v>
      </c>
      <c r="EL304" s="56">
        <v>0</v>
      </c>
      <c r="EM304" s="56">
        <v>0</v>
      </c>
      <c r="EN304" s="56">
        <v>0</v>
      </c>
      <c r="EO304" s="56">
        <v>0</v>
      </c>
      <c r="EP304" s="56">
        <v>0</v>
      </c>
      <c r="EQ304" s="56">
        <v>0</v>
      </c>
      <c r="ER304" s="56">
        <v>0</v>
      </c>
      <c r="ES304" s="56">
        <v>0</v>
      </c>
      <c r="ET304" s="56">
        <v>0</v>
      </c>
      <c r="EU304" s="56">
        <v>0</v>
      </c>
      <c r="EV304" s="56">
        <v>0</v>
      </c>
      <c r="EW304" s="56">
        <v>0</v>
      </c>
      <c r="EX304" s="56">
        <v>0</v>
      </c>
      <c r="EY304" s="56">
        <v>0</v>
      </c>
      <c r="EZ304" s="56">
        <v>0</v>
      </c>
      <c r="FA304" s="56">
        <v>0</v>
      </c>
      <c r="FB304" s="56">
        <v>0</v>
      </c>
      <c r="FC304" s="58">
        <v>0</v>
      </c>
      <c r="FD304" s="56">
        <v>0</v>
      </c>
      <c r="FE304" s="56">
        <v>0</v>
      </c>
      <c r="FF304" s="56">
        <v>0</v>
      </c>
      <c r="FG304" s="56">
        <v>0</v>
      </c>
      <c r="FH304" s="56">
        <v>0</v>
      </c>
      <c r="FI304" s="56">
        <v>0</v>
      </c>
      <c r="FJ304" s="56">
        <v>0</v>
      </c>
      <c r="FK304" s="56">
        <v>0</v>
      </c>
      <c r="FL304" s="56">
        <v>0</v>
      </c>
      <c r="FM304" s="56">
        <v>0</v>
      </c>
      <c r="FN304" s="56">
        <v>0</v>
      </c>
      <c r="FO304" s="56">
        <v>0</v>
      </c>
      <c r="FP304" s="56">
        <v>0</v>
      </c>
      <c r="FQ304" s="56">
        <v>0</v>
      </c>
      <c r="FR304" s="56">
        <v>0</v>
      </c>
      <c r="FS304" s="58">
        <v>0</v>
      </c>
      <c r="FT304" s="56">
        <v>0</v>
      </c>
      <c r="FU304" s="56">
        <v>0</v>
      </c>
      <c r="FV304" s="56">
        <v>0</v>
      </c>
      <c r="FW304" s="56">
        <v>0</v>
      </c>
      <c r="FX304" s="56">
        <v>0</v>
      </c>
      <c r="FY304" s="56">
        <v>0</v>
      </c>
      <c r="FZ304" s="54" t="s">
        <v>1070</v>
      </c>
      <c r="GA304" s="54" t="s">
        <v>1071</v>
      </c>
      <c r="GB304" s="54" t="s">
        <v>1072</v>
      </c>
      <c r="GC304" s="54" t="s">
        <v>1073</v>
      </c>
      <c r="GD304" s="54" t="s">
        <v>1227</v>
      </c>
      <c r="GE304" s="54" t="s">
        <v>1201</v>
      </c>
      <c r="GF304" s="54"/>
      <c r="GG304" s="55"/>
      <c r="GH304" s="54"/>
      <c r="GI304" s="54"/>
      <c r="GJ304" s="54" t="s">
        <v>1076</v>
      </c>
      <c r="GK304" s="54" t="s">
        <v>1077</v>
      </c>
      <c r="GL304" s="54"/>
      <c r="GM304" s="54"/>
      <c r="GN304" s="54" t="s">
        <v>1208</v>
      </c>
      <c r="GO304" s="54" t="s">
        <v>1209</v>
      </c>
      <c r="GP304" s="54"/>
      <c r="GQ304" s="56">
        <v>0</v>
      </c>
      <c r="GR304" s="54" t="s">
        <v>1079</v>
      </c>
      <c r="GS304" s="54"/>
    </row>
    <row r="305" spans="1:201" x14ac:dyDescent="0.25">
      <c r="A305" s="54" t="s">
        <v>1032</v>
      </c>
      <c r="B305" s="54" t="s">
        <v>1033</v>
      </c>
      <c r="C305" s="54" t="s">
        <v>1305</v>
      </c>
      <c r="D305" s="54" t="s">
        <v>1035</v>
      </c>
      <c r="E305" s="54" t="s">
        <v>1036</v>
      </c>
      <c r="F305" s="55">
        <v>46197</v>
      </c>
      <c r="G305" s="55">
        <v>46197</v>
      </c>
      <c r="H305" s="54" t="s">
        <v>1037</v>
      </c>
      <c r="I305" s="54" t="s">
        <v>1038</v>
      </c>
      <c r="J305" s="54" t="s">
        <v>1039</v>
      </c>
      <c r="K305" s="55"/>
      <c r="L305" s="54" t="s">
        <v>1040</v>
      </c>
      <c r="M305" s="54"/>
      <c r="N305" s="54" t="s">
        <v>1306</v>
      </c>
      <c r="O305" s="54" t="s">
        <v>1102</v>
      </c>
      <c r="P305" s="54" t="s">
        <v>697</v>
      </c>
      <c r="Q305" s="54" t="s">
        <v>698</v>
      </c>
      <c r="R305" s="54" t="s">
        <v>1043</v>
      </c>
      <c r="S305" s="56">
        <v>396</v>
      </c>
      <c r="T305" s="56">
        <v>396</v>
      </c>
      <c r="U305" s="56">
        <v>0</v>
      </c>
      <c r="V305" s="56">
        <v>0</v>
      </c>
      <c r="W305" s="56">
        <v>0</v>
      </c>
      <c r="X305" s="56">
        <v>0</v>
      </c>
      <c r="Y305" s="56">
        <v>0</v>
      </c>
      <c r="Z305" s="56">
        <v>36</v>
      </c>
      <c r="AA305" s="56">
        <v>36</v>
      </c>
      <c r="AB305" s="59">
        <v>0</v>
      </c>
      <c r="AC305" s="56">
        <v>0</v>
      </c>
      <c r="AD305" s="56">
        <v>0</v>
      </c>
      <c r="AE305" s="56">
        <v>0</v>
      </c>
      <c r="AF305" s="54" t="s">
        <v>1044</v>
      </c>
      <c r="AG305" s="57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 t="s">
        <v>1045</v>
      </c>
      <c r="AS305" s="54" t="s">
        <v>1046</v>
      </c>
      <c r="AT305" s="54" t="s">
        <v>1047</v>
      </c>
      <c r="AU305" s="54" t="s">
        <v>1048</v>
      </c>
      <c r="AV305" s="54"/>
      <c r="AW305" s="55">
        <v>46210</v>
      </c>
      <c r="AX305" s="55">
        <v>46197</v>
      </c>
      <c r="AY305" s="55">
        <v>46197</v>
      </c>
      <c r="AZ305" s="55"/>
      <c r="BA305" s="55">
        <v>46210</v>
      </c>
      <c r="BB305" s="56">
        <v>0</v>
      </c>
      <c r="BC305" s="56">
        <v>0</v>
      </c>
      <c r="BD305" s="56">
        <v>0</v>
      </c>
      <c r="BE305" s="56">
        <v>0</v>
      </c>
      <c r="BF305" s="56">
        <v>0</v>
      </c>
      <c r="BG305" s="56">
        <v>0</v>
      </c>
      <c r="BH305" s="56">
        <v>0</v>
      </c>
      <c r="BI305" s="56">
        <v>0</v>
      </c>
      <c r="BJ305" s="56">
        <v>0</v>
      </c>
      <c r="BK305" s="56">
        <v>0</v>
      </c>
      <c r="BL305" s="56">
        <v>0</v>
      </c>
      <c r="BM305" s="56">
        <v>0</v>
      </c>
      <c r="BN305" s="56">
        <v>0</v>
      </c>
      <c r="BO305" s="56">
        <v>0</v>
      </c>
      <c r="BP305" s="54" t="s">
        <v>1049</v>
      </c>
      <c r="BQ305" s="54" t="s">
        <v>1050</v>
      </c>
      <c r="BR305" s="54" t="s">
        <v>1049</v>
      </c>
      <c r="BS305" s="54" t="s">
        <v>1050</v>
      </c>
      <c r="BT305" s="54" t="s">
        <v>1051</v>
      </c>
      <c r="BU305" s="54" t="s">
        <v>1043</v>
      </c>
      <c r="BV305" s="58">
        <v>36</v>
      </c>
      <c r="BW305" s="54" t="s">
        <v>1052</v>
      </c>
      <c r="BX305" s="54" t="s">
        <v>1053</v>
      </c>
      <c r="BY305" s="54" t="s">
        <v>1054</v>
      </c>
      <c r="BZ305" s="54" t="s">
        <v>1055</v>
      </c>
      <c r="CA305" s="55"/>
      <c r="CB305" s="54" t="s">
        <v>1056</v>
      </c>
      <c r="CC305" s="54" t="s">
        <v>1057</v>
      </c>
      <c r="CD305" s="54" t="s">
        <v>1200</v>
      </c>
      <c r="CE305" s="54" t="s">
        <v>1201</v>
      </c>
      <c r="CF305" s="54" t="s">
        <v>1202</v>
      </c>
      <c r="CG305" s="54" t="s">
        <v>1203</v>
      </c>
      <c r="CH305" s="54" t="s">
        <v>1204</v>
      </c>
      <c r="CI305" s="54" t="s">
        <v>1203</v>
      </c>
      <c r="CJ305" s="54" t="s">
        <v>1064</v>
      </c>
      <c r="CK305" s="54" t="s">
        <v>1065</v>
      </c>
      <c r="CL305" s="54" t="s">
        <v>1205</v>
      </c>
      <c r="CM305" s="54" t="s">
        <v>1206</v>
      </c>
      <c r="CN305" s="54" t="s">
        <v>1068</v>
      </c>
      <c r="CO305" s="54" t="s">
        <v>1069</v>
      </c>
      <c r="CP305" s="56">
        <v>0</v>
      </c>
      <c r="CQ305" s="56">
        <v>0</v>
      </c>
      <c r="CR305" s="56">
        <v>0</v>
      </c>
      <c r="CS305" s="56">
        <v>0</v>
      </c>
      <c r="CT305" s="56">
        <v>0</v>
      </c>
      <c r="CU305" s="56">
        <v>0</v>
      </c>
      <c r="CV305" s="56">
        <v>0</v>
      </c>
      <c r="CW305" s="56">
        <v>0</v>
      </c>
      <c r="CX305" s="56">
        <v>0</v>
      </c>
      <c r="CY305" s="56">
        <v>0</v>
      </c>
      <c r="CZ305" s="56">
        <v>0</v>
      </c>
      <c r="DA305" s="56">
        <v>0</v>
      </c>
      <c r="DB305" s="56">
        <v>0</v>
      </c>
      <c r="DC305" s="56">
        <v>0</v>
      </c>
      <c r="DD305" s="56">
        <v>0</v>
      </c>
      <c r="DE305" s="56">
        <v>0</v>
      </c>
      <c r="DF305" s="56">
        <v>0</v>
      </c>
      <c r="DG305" s="56">
        <v>0</v>
      </c>
      <c r="DH305" s="56">
        <v>0</v>
      </c>
      <c r="DI305" s="56">
        <v>0</v>
      </c>
      <c r="DJ305" s="56">
        <v>0</v>
      </c>
      <c r="DK305" s="56">
        <v>0</v>
      </c>
      <c r="DL305" s="56">
        <v>0</v>
      </c>
      <c r="DM305" s="56">
        <v>0</v>
      </c>
      <c r="DN305" s="56">
        <v>0</v>
      </c>
      <c r="DO305" s="56">
        <v>0</v>
      </c>
      <c r="DP305" s="56">
        <v>0</v>
      </c>
      <c r="DQ305" s="56">
        <v>0</v>
      </c>
      <c r="DR305" s="56">
        <v>0</v>
      </c>
      <c r="DS305" s="56">
        <v>0</v>
      </c>
      <c r="DT305" s="56">
        <v>0</v>
      </c>
      <c r="DU305" s="56">
        <v>0</v>
      </c>
      <c r="DV305" s="56">
        <v>0</v>
      </c>
      <c r="DW305" s="56">
        <v>0</v>
      </c>
      <c r="DX305" s="56">
        <v>0</v>
      </c>
      <c r="DY305" s="56">
        <v>0</v>
      </c>
      <c r="DZ305" s="56">
        <v>0</v>
      </c>
      <c r="EA305" s="56">
        <v>0</v>
      </c>
      <c r="EB305" s="56">
        <v>0</v>
      </c>
      <c r="EC305" s="56">
        <v>0</v>
      </c>
      <c r="ED305" s="56">
        <v>0</v>
      </c>
      <c r="EE305" s="56">
        <v>0</v>
      </c>
      <c r="EF305" s="56">
        <v>0</v>
      </c>
      <c r="EG305" s="56">
        <v>0</v>
      </c>
      <c r="EH305" s="56">
        <v>15.84</v>
      </c>
      <c r="EI305" s="56">
        <v>0</v>
      </c>
      <c r="EJ305" s="56">
        <v>0</v>
      </c>
      <c r="EK305" s="56">
        <v>0</v>
      </c>
      <c r="EL305" s="56">
        <v>0</v>
      </c>
      <c r="EM305" s="56">
        <v>0</v>
      </c>
      <c r="EN305" s="56">
        <v>0</v>
      </c>
      <c r="EO305" s="56">
        <v>0</v>
      </c>
      <c r="EP305" s="56">
        <v>0</v>
      </c>
      <c r="EQ305" s="56">
        <v>0</v>
      </c>
      <c r="ER305" s="56">
        <v>0</v>
      </c>
      <c r="ES305" s="56">
        <v>0</v>
      </c>
      <c r="ET305" s="56">
        <v>0</v>
      </c>
      <c r="EU305" s="56">
        <v>0</v>
      </c>
      <c r="EV305" s="56">
        <v>0</v>
      </c>
      <c r="EW305" s="56">
        <v>0</v>
      </c>
      <c r="EX305" s="56">
        <v>0</v>
      </c>
      <c r="EY305" s="56">
        <v>0</v>
      </c>
      <c r="EZ305" s="56">
        <v>0</v>
      </c>
      <c r="FA305" s="56">
        <v>0</v>
      </c>
      <c r="FB305" s="56">
        <v>0</v>
      </c>
      <c r="FC305" s="58">
        <v>0</v>
      </c>
      <c r="FD305" s="56">
        <v>0</v>
      </c>
      <c r="FE305" s="56">
        <v>0</v>
      </c>
      <c r="FF305" s="56">
        <v>0</v>
      </c>
      <c r="FG305" s="56">
        <v>0</v>
      </c>
      <c r="FH305" s="56">
        <v>0</v>
      </c>
      <c r="FI305" s="56">
        <v>0</v>
      </c>
      <c r="FJ305" s="56">
        <v>0</v>
      </c>
      <c r="FK305" s="56">
        <v>0</v>
      </c>
      <c r="FL305" s="56">
        <v>0</v>
      </c>
      <c r="FM305" s="56">
        <v>0</v>
      </c>
      <c r="FN305" s="56">
        <v>0</v>
      </c>
      <c r="FO305" s="56">
        <v>0</v>
      </c>
      <c r="FP305" s="56">
        <v>0</v>
      </c>
      <c r="FQ305" s="56">
        <v>0</v>
      </c>
      <c r="FR305" s="56">
        <v>0</v>
      </c>
      <c r="FS305" s="58">
        <v>0</v>
      </c>
      <c r="FT305" s="56">
        <v>0</v>
      </c>
      <c r="FU305" s="56">
        <v>0</v>
      </c>
      <c r="FV305" s="56">
        <v>0</v>
      </c>
      <c r="FW305" s="56">
        <v>0</v>
      </c>
      <c r="FX305" s="56">
        <v>0</v>
      </c>
      <c r="FY305" s="56">
        <v>0</v>
      </c>
      <c r="FZ305" s="54" t="s">
        <v>1083</v>
      </c>
      <c r="GA305" s="54" t="s">
        <v>1084</v>
      </c>
      <c r="GB305" s="54" t="s">
        <v>1072</v>
      </c>
      <c r="GC305" s="54" t="s">
        <v>1073</v>
      </c>
      <c r="GD305" s="54"/>
      <c r="GE305" s="54"/>
      <c r="GF305" s="54"/>
      <c r="GG305" s="55"/>
      <c r="GH305" s="54"/>
      <c r="GI305" s="54"/>
      <c r="GJ305" s="54" t="s">
        <v>1076</v>
      </c>
      <c r="GK305" s="54" t="s">
        <v>1077</v>
      </c>
      <c r="GL305" s="54"/>
      <c r="GM305" s="54"/>
      <c r="GN305" s="54" t="s">
        <v>1208</v>
      </c>
      <c r="GO305" s="54" t="s">
        <v>1209</v>
      </c>
      <c r="GP305" s="54"/>
      <c r="GQ305" s="56">
        <v>0</v>
      </c>
      <c r="GR305" s="54" t="s">
        <v>1079</v>
      </c>
      <c r="GS305" s="54"/>
    </row>
    <row r="306" spans="1:201" x14ac:dyDescent="0.25">
      <c r="A306" s="54" t="s">
        <v>1032</v>
      </c>
      <c r="B306" s="54" t="s">
        <v>1033</v>
      </c>
      <c r="C306" s="54" t="s">
        <v>1305</v>
      </c>
      <c r="D306" s="54" t="s">
        <v>1035</v>
      </c>
      <c r="E306" s="54" t="s">
        <v>1036</v>
      </c>
      <c r="F306" s="55">
        <v>46197</v>
      </c>
      <c r="G306" s="55">
        <v>46197</v>
      </c>
      <c r="H306" s="54" t="s">
        <v>1037</v>
      </c>
      <c r="I306" s="54" t="s">
        <v>1038</v>
      </c>
      <c r="J306" s="54" t="s">
        <v>1039</v>
      </c>
      <c r="K306" s="55"/>
      <c r="L306" s="54" t="s">
        <v>1040</v>
      </c>
      <c r="M306" s="54"/>
      <c r="N306" s="54" t="s">
        <v>1306</v>
      </c>
      <c r="O306" s="54" t="s">
        <v>1107</v>
      </c>
      <c r="P306" s="54" t="s">
        <v>536</v>
      </c>
      <c r="Q306" s="54" t="s">
        <v>537</v>
      </c>
      <c r="R306" s="54" t="s">
        <v>1043</v>
      </c>
      <c r="S306" s="56">
        <v>4516.8</v>
      </c>
      <c r="T306" s="56">
        <v>4516.8</v>
      </c>
      <c r="U306" s="56">
        <v>0</v>
      </c>
      <c r="V306" s="56">
        <v>0</v>
      </c>
      <c r="W306" s="56">
        <v>0</v>
      </c>
      <c r="X306" s="56">
        <v>0</v>
      </c>
      <c r="Y306" s="56">
        <v>0</v>
      </c>
      <c r="Z306" s="56">
        <v>480</v>
      </c>
      <c r="AA306" s="56">
        <v>480</v>
      </c>
      <c r="AB306" s="59">
        <v>0</v>
      </c>
      <c r="AC306" s="56">
        <v>0</v>
      </c>
      <c r="AD306" s="56">
        <v>0</v>
      </c>
      <c r="AE306" s="56">
        <v>0</v>
      </c>
      <c r="AF306" s="54" t="s">
        <v>1044</v>
      </c>
      <c r="AG306" s="57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 t="s">
        <v>1045</v>
      </c>
      <c r="AS306" s="54" t="s">
        <v>1081</v>
      </c>
      <c r="AT306" s="54" t="s">
        <v>1082</v>
      </c>
      <c r="AU306" s="54" t="s">
        <v>1048</v>
      </c>
      <c r="AV306" s="54"/>
      <c r="AW306" s="55">
        <v>46210</v>
      </c>
      <c r="AX306" s="55">
        <v>46197</v>
      </c>
      <c r="AY306" s="55">
        <v>46197</v>
      </c>
      <c r="AZ306" s="55"/>
      <c r="BA306" s="55">
        <v>46210</v>
      </c>
      <c r="BB306" s="56">
        <v>0</v>
      </c>
      <c r="BC306" s="56">
        <v>0</v>
      </c>
      <c r="BD306" s="56">
        <v>0</v>
      </c>
      <c r="BE306" s="56">
        <v>0</v>
      </c>
      <c r="BF306" s="56">
        <v>0</v>
      </c>
      <c r="BG306" s="56">
        <v>0</v>
      </c>
      <c r="BH306" s="56">
        <v>0</v>
      </c>
      <c r="BI306" s="56">
        <v>0</v>
      </c>
      <c r="BJ306" s="56">
        <v>0</v>
      </c>
      <c r="BK306" s="56">
        <v>0</v>
      </c>
      <c r="BL306" s="56">
        <v>0</v>
      </c>
      <c r="BM306" s="56">
        <v>0</v>
      </c>
      <c r="BN306" s="56">
        <v>0</v>
      </c>
      <c r="BO306" s="56">
        <v>0</v>
      </c>
      <c r="BP306" s="54" t="s">
        <v>1049</v>
      </c>
      <c r="BQ306" s="54" t="s">
        <v>1050</v>
      </c>
      <c r="BR306" s="54" t="s">
        <v>1049</v>
      </c>
      <c r="BS306" s="54" t="s">
        <v>1050</v>
      </c>
      <c r="BT306" s="54" t="s">
        <v>1051</v>
      </c>
      <c r="BU306" s="54" t="s">
        <v>1043</v>
      </c>
      <c r="BV306" s="58">
        <v>480</v>
      </c>
      <c r="BW306" s="54" t="s">
        <v>1052</v>
      </c>
      <c r="BX306" s="54" t="s">
        <v>1053</v>
      </c>
      <c r="BY306" s="54" t="s">
        <v>1054</v>
      </c>
      <c r="BZ306" s="54" t="s">
        <v>1055</v>
      </c>
      <c r="CA306" s="55"/>
      <c r="CB306" s="54" t="s">
        <v>1056</v>
      </c>
      <c r="CC306" s="54" t="s">
        <v>1057</v>
      </c>
      <c r="CD306" s="54" t="s">
        <v>1200</v>
      </c>
      <c r="CE306" s="54" t="s">
        <v>1201</v>
      </c>
      <c r="CF306" s="54" t="s">
        <v>1202</v>
      </c>
      <c r="CG306" s="54" t="s">
        <v>1203</v>
      </c>
      <c r="CH306" s="54" t="s">
        <v>1204</v>
      </c>
      <c r="CI306" s="54" t="s">
        <v>1203</v>
      </c>
      <c r="CJ306" s="54" t="s">
        <v>1064</v>
      </c>
      <c r="CK306" s="54" t="s">
        <v>1065</v>
      </c>
      <c r="CL306" s="54" t="s">
        <v>1205</v>
      </c>
      <c r="CM306" s="54" t="s">
        <v>1206</v>
      </c>
      <c r="CN306" s="54" t="s">
        <v>1068</v>
      </c>
      <c r="CO306" s="54" t="s">
        <v>1069</v>
      </c>
      <c r="CP306" s="56">
        <v>0</v>
      </c>
      <c r="CQ306" s="56">
        <v>0</v>
      </c>
      <c r="CR306" s="56">
        <v>0</v>
      </c>
      <c r="CS306" s="56">
        <v>0</v>
      </c>
      <c r="CT306" s="56">
        <v>0</v>
      </c>
      <c r="CU306" s="56">
        <v>0</v>
      </c>
      <c r="CV306" s="56">
        <v>0</v>
      </c>
      <c r="CW306" s="56">
        <v>0</v>
      </c>
      <c r="CX306" s="56">
        <v>0</v>
      </c>
      <c r="CY306" s="56">
        <v>0</v>
      </c>
      <c r="CZ306" s="56">
        <v>0</v>
      </c>
      <c r="DA306" s="56">
        <v>0</v>
      </c>
      <c r="DB306" s="56">
        <v>0</v>
      </c>
      <c r="DC306" s="56">
        <v>0</v>
      </c>
      <c r="DD306" s="56">
        <v>0</v>
      </c>
      <c r="DE306" s="56">
        <v>0</v>
      </c>
      <c r="DF306" s="56">
        <v>0</v>
      </c>
      <c r="DG306" s="56">
        <v>0</v>
      </c>
      <c r="DH306" s="56">
        <v>0</v>
      </c>
      <c r="DI306" s="56">
        <v>0</v>
      </c>
      <c r="DJ306" s="56">
        <v>0</v>
      </c>
      <c r="DK306" s="56">
        <v>0</v>
      </c>
      <c r="DL306" s="56">
        <v>0</v>
      </c>
      <c r="DM306" s="56">
        <v>0</v>
      </c>
      <c r="DN306" s="56">
        <v>0</v>
      </c>
      <c r="DO306" s="56">
        <v>0</v>
      </c>
      <c r="DP306" s="56">
        <v>0</v>
      </c>
      <c r="DQ306" s="56">
        <v>0</v>
      </c>
      <c r="DR306" s="56">
        <v>0</v>
      </c>
      <c r="DS306" s="56">
        <v>0</v>
      </c>
      <c r="DT306" s="56">
        <v>0</v>
      </c>
      <c r="DU306" s="56">
        <v>0</v>
      </c>
      <c r="DV306" s="56">
        <v>0</v>
      </c>
      <c r="DW306" s="56">
        <v>0</v>
      </c>
      <c r="DX306" s="56">
        <v>0</v>
      </c>
      <c r="DY306" s="56">
        <v>0</v>
      </c>
      <c r="DZ306" s="56">
        <v>0</v>
      </c>
      <c r="EA306" s="56">
        <v>0</v>
      </c>
      <c r="EB306" s="56">
        <v>0</v>
      </c>
      <c r="EC306" s="56">
        <v>0</v>
      </c>
      <c r="ED306" s="56">
        <v>0</v>
      </c>
      <c r="EE306" s="56">
        <v>0</v>
      </c>
      <c r="EF306" s="56">
        <v>0</v>
      </c>
      <c r="EG306" s="56">
        <v>0</v>
      </c>
      <c r="EH306" s="56">
        <v>542.02</v>
      </c>
      <c r="EI306" s="56">
        <v>0</v>
      </c>
      <c r="EJ306" s="56">
        <v>0</v>
      </c>
      <c r="EK306" s="56">
        <v>0</v>
      </c>
      <c r="EL306" s="56">
        <v>0</v>
      </c>
      <c r="EM306" s="56">
        <v>0</v>
      </c>
      <c r="EN306" s="56">
        <v>0</v>
      </c>
      <c r="EO306" s="56">
        <v>0</v>
      </c>
      <c r="EP306" s="56">
        <v>0</v>
      </c>
      <c r="EQ306" s="56">
        <v>0</v>
      </c>
      <c r="ER306" s="56">
        <v>0</v>
      </c>
      <c r="ES306" s="56">
        <v>0</v>
      </c>
      <c r="ET306" s="56">
        <v>0</v>
      </c>
      <c r="EU306" s="56">
        <v>0</v>
      </c>
      <c r="EV306" s="56">
        <v>0</v>
      </c>
      <c r="EW306" s="56">
        <v>0</v>
      </c>
      <c r="EX306" s="56">
        <v>0</v>
      </c>
      <c r="EY306" s="56">
        <v>0</v>
      </c>
      <c r="EZ306" s="56">
        <v>0</v>
      </c>
      <c r="FA306" s="56">
        <v>0</v>
      </c>
      <c r="FB306" s="56">
        <v>0</v>
      </c>
      <c r="FC306" s="58">
        <v>0</v>
      </c>
      <c r="FD306" s="56">
        <v>0</v>
      </c>
      <c r="FE306" s="56">
        <v>0</v>
      </c>
      <c r="FF306" s="56">
        <v>0</v>
      </c>
      <c r="FG306" s="56">
        <v>0</v>
      </c>
      <c r="FH306" s="56">
        <v>0</v>
      </c>
      <c r="FI306" s="56">
        <v>0</v>
      </c>
      <c r="FJ306" s="56">
        <v>0</v>
      </c>
      <c r="FK306" s="56">
        <v>0</v>
      </c>
      <c r="FL306" s="56">
        <v>0</v>
      </c>
      <c r="FM306" s="56">
        <v>0</v>
      </c>
      <c r="FN306" s="56">
        <v>0</v>
      </c>
      <c r="FO306" s="56">
        <v>0</v>
      </c>
      <c r="FP306" s="56">
        <v>0</v>
      </c>
      <c r="FQ306" s="56">
        <v>0</v>
      </c>
      <c r="FR306" s="56">
        <v>0</v>
      </c>
      <c r="FS306" s="58">
        <v>0</v>
      </c>
      <c r="FT306" s="56">
        <v>0</v>
      </c>
      <c r="FU306" s="56">
        <v>0</v>
      </c>
      <c r="FV306" s="56">
        <v>0</v>
      </c>
      <c r="FW306" s="56">
        <v>0</v>
      </c>
      <c r="FX306" s="56">
        <v>0</v>
      </c>
      <c r="FY306" s="56">
        <v>0</v>
      </c>
      <c r="FZ306" s="54" t="s">
        <v>1083</v>
      </c>
      <c r="GA306" s="54" t="s">
        <v>1084</v>
      </c>
      <c r="GB306" s="54" t="s">
        <v>1072</v>
      </c>
      <c r="GC306" s="54" t="s">
        <v>1073</v>
      </c>
      <c r="GD306" s="54"/>
      <c r="GE306" s="54"/>
      <c r="GF306" s="54"/>
      <c r="GG306" s="55"/>
      <c r="GH306" s="54"/>
      <c r="GI306" s="54"/>
      <c r="GJ306" s="54" t="s">
        <v>1076</v>
      </c>
      <c r="GK306" s="54" t="s">
        <v>1077</v>
      </c>
      <c r="GL306" s="54"/>
      <c r="GM306" s="54"/>
      <c r="GN306" s="54" t="s">
        <v>1208</v>
      </c>
      <c r="GO306" s="54" t="s">
        <v>1209</v>
      </c>
      <c r="GP306" s="54"/>
      <c r="GQ306" s="56">
        <v>0</v>
      </c>
      <c r="GR306" s="54" t="s">
        <v>1079</v>
      </c>
      <c r="GS306" s="54"/>
    </row>
    <row r="307" spans="1:201" x14ac:dyDescent="0.25">
      <c r="A307" s="54" t="s">
        <v>1032</v>
      </c>
      <c r="B307" s="54" t="s">
        <v>1033</v>
      </c>
      <c r="C307" s="54" t="s">
        <v>1305</v>
      </c>
      <c r="D307" s="54" t="s">
        <v>1035</v>
      </c>
      <c r="E307" s="54" t="s">
        <v>1036</v>
      </c>
      <c r="F307" s="55">
        <v>46197</v>
      </c>
      <c r="G307" s="55">
        <v>46197</v>
      </c>
      <c r="H307" s="54" t="s">
        <v>1037</v>
      </c>
      <c r="I307" s="54" t="s">
        <v>1038</v>
      </c>
      <c r="J307" s="54" t="s">
        <v>1039</v>
      </c>
      <c r="K307" s="55"/>
      <c r="L307" s="54" t="s">
        <v>1040</v>
      </c>
      <c r="M307" s="54"/>
      <c r="N307" s="54" t="s">
        <v>1306</v>
      </c>
      <c r="O307" s="54" t="s">
        <v>1109</v>
      </c>
      <c r="P307" s="54" t="s">
        <v>292</v>
      </c>
      <c r="Q307" s="54" t="s">
        <v>132</v>
      </c>
      <c r="R307" s="54" t="s">
        <v>1043</v>
      </c>
      <c r="S307" s="56">
        <v>652.79999999999995</v>
      </c>
      <c r="T307" s="56">
        <v>652.79999999999995</v>
      </c>
      <c r="U307" s="56">
        <v>0</v>
      </c>
      <c r="V307" s="56">
        <v>0</v>
      </c>
      <c r="W307" s="56">
        <v>0</v>
      </c>
      <c r="X307" s="56">
        <v>0</v>
      </c>
      <c r="Y307" s="56">
        <v>0</v>
      </c>
      <c r="Z307" s="56">
        <v>60</v>
      </c>
      <c r="AA307" s="56">
        <v>60</v>
      </c>
      <c r="AB307" s="59">
        <v>0</v>
      </c>
      <c r="AC307" s="56">
        <v>0</v>
      </c>
      <c r="AD307" s="56">
        <v>0</v>
      </c>
      <c r="AE307" s="56">
        <v>0</v>
      </c>
      <c r="AF307" s="54" t="s">
        <v>1044</v>
      </c>
      <c r="AG307" s="57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 t="s">
        <v>1045</v>
      </c>
      <c r="AS307" s="54" t="s">
        <v>1046</v>
      </c>
      <c r="AT307" s="54" t="s">
        <v>1047</v>
      </c>
      <c r="AU307" s="54" t="s">
        <v>1048</v>
      </c>
      <c r="AV307" s="54"/>
      <c r="AW307" s="55">
        <v>46210</v>
      </c>
      <c r="AX307" s="55">
        <v>46197</v>
      </c>
      <c r="AY307" s="55">
        <v>46197</v>
      </c>
      <c r="AZ307" s="55"/>
      <c r="BA307" s="55">
        <v>46210</v>
      </c>
      <c r="BB307" s="56">
        <v>0</v>
      </c>
      <c r="BC307" s="56">
        <v>0</v>
      </c>
      <c r="BD307" s="56">
        <v>0</v>
      </c>
      <c r="BE307" s="56">
        <v>0</v>
      </c>
      <c r="BF307" s="56">
        <v>0</v>
      </c>
      <c r="BG307" s="56">
        <v>0</v>
      </c>
      <c r="BH307" s="56">
        <v>0</v>
      </c>
      <c r="BI307" s="56">
        <v>0</v>
      </c>
      <c r="BJ307" s="56">
        <v>0</v>
      </c>
      <c r="BK307" s="56">
        <v>0</v>
      </c>
      <c r="BL307" s="56">
        <v>0</v>
      </c>
      <c r="BM307" s="56">
        <v>0</v>
      </c>
      <c r="BN307" s="56">
        <v>0</v>
      </c>
      <c r="BO307" s="56">
        <v>0</v>
      </c>
      <c r="BP307" s="54" t="s">
        <v>1049</v>
      </c>
      <c r="BQ307" s="54" t="s">
        <v>1050</v>
      </c>
      <c r="BR307" s="54" t="s">
        <v>1049</v>
      </c>
      <c r="BS307" s="54" t="s">
        <v>1050</v>
      </c>
      <c r="BT307" s="54" t="s">
        <v>1051</v>
      </c>
      <c r="BU307" s="54" t="s">
        <v>1043</v>
      </c>
      <c r="BV307" s="58">
        <v>60</v>
      </c>
      <c r="BW307" s="54" t="s">
        <v>1052</v>
      </c>
      <c r="BX307" s="54" t="s">
        <v>1053</v>
      </c>
      <c r="BY307" s="54" t="s">
        <v>1054</v>
      </c>
      <c r="BZ307" s="54" t="s">
        <v>1055</v>
      </c>
      <c r="CA307" s="55"/>
      <c r="CB307" s="54" t="s">
        <v>1056</v>
      </c>
      <c r="CC307" s="54" t="s">
        <v>1057</v>
      </c>
      <c r="CD307" s="54" t="s">
        <v>1200</v>
      </c>
      <c r="CE307" s="54" t="s">
        <v>1201</v>
      </c>
      <c r="CF307" s="54" t="s">
        <v>1202</v>
      </c>
      <c r="CG307" s="54" t="s">
        <v>1203</v>
      </c>
      <c r="CH307" s="54" t="s">
        <v>1204</v>
      </c>
      <c r="CI307" s="54" t="s">
        <v>1203</v>
      </c>
      <c r="CJ307" s="54" t="s">
        <v>1064</v>
      </c>
      <c r="CK307" s="54" t="s">
        <v>1065</v>
      </c>
      <c r="CL307" s="54" t="s">
        <v>1205</v>
      </c>
      <c r="CM307" s="54" t="s">
        <v>1206</v>
      </c>
      <c r="CN307" s="54" t="s">
        <v>1068</v>
      </c>
      <c r="CO307" s="54" t="s">
        <v>1069</v>
      </c>
      <c r="CP307" s="56">
        <v>0</v>
      </c>
      <c r="CQ307" s="56">
        <v>0</v>
      </c>
      <c r="CR307" s="56">
        <v>0</v>
      </c>
      <c r="CS307" s="56">
        <v>0</v>
      </c>
      <c r="CT307" s="56">
        <v>0</v>
      </c>
      <c r="CU307" s="56">
        <v>0</v>
      </c>
      <c r="CV307" s="56">
        <v>0</v>
      </c>
      <c r="CW307" s="56">
        <v>0</v>
      </c>
      <c r="CX307" s="56">
        <v>0</v>
      </c>
      <c r="CY307" s="56">
        <v>0</v>
      </c>
      <c r="CZ307" s="56">
        <v>0</v>
      </c>
      <c r="DA307" s="56">
        <v>0</v>
      </c>
      <c r="DB307" s="56">
        <v>0</v>
      </c>
      <c r="DC307" s="56">
        <v>0</v>
      </c>
      <c r="DD307" s="56">
        <v>0</v>
      </c>
      <c r="DE307" s="56">
        <v>0</v>
      </c>
      <c r="DF307" s="56">
        <v>0</v>
      </c>
      <c r="DG307" s="56">
        <v>0</v>
      </c>
      <c r="DH307" s="56">
        <v>0</v>
      </c>
      <c r="DI307" s="56">
        <v>0</v>
      </c>
      <c r="DJ307" s="56">
        <v>0</v>
      </c>
      <c r="DK307" s="56">
        <v>0</v>
      </c>
      <c r="DL307" s="56">
        <v>0</v>
      </c>
      <c r="DM307" s="56">
        <v>0</v>
      </c>
      <c r="DN307" s="56">
        <v>0</v>
      </c>
      <c r="DO307" s="56">
        <v>0</v>
      </c>
      <c r="DP307" s="56">
        <v>0</v>
      </c>
      <c r="DQ307" s="56">
        <v>0</v>
      </c>
      <c r="DR307" s="56">
        <v>0</v>
      </c>
      <c r="DS307" s="56">
        <v>0</v>
      </c>
      <c r="DT307" s="56">
        <v>0</v>
      </c>
      <c r="DU307" s="56">
        <v>0</v>
      </c>
      <c r="DV307" s="56">
        <v>0</v>
      </c>
      <c r="DW307" s="56">
        <v>0</v>
      </c>
      <c r="DX307" s="56">
        <v>0</v>
      </c>
      <c r="DY307" s="56">
        <v>0</v>
      </c>
      <c r="DZ307" s="56">
        <v>0</v>
      </c>
      <c r="EA307" s="56">
        <v>0</v>
      </c>
      <c r="EB307" s="56">
        <v>0</v>
      </c>
      <c r="EC307" s="56">
        <v>0</v>
      </c>
      <c r="ED307" s="56">
        <v>0</v>
      </c>
      <c r="EE307" s="56">
        <v>0</v>
      </c>
      <c r="EF307" s="56">
        <v>0</v>
      </c>
      <c r="EG307" s="56">
        <v>0</v>
      </c>
      <c r="EH307" s="56">
        <v>78.34</v>
      </c>
      <c r="EI307" s="56">
        <v>0</v>
      </c>
      <c r="EJ307" s="56">
        <v>0</v>
      </c>
      <c r="EK307" s="56">
        <v>0</v>
      </c>
      <c r="EL307" s="56">
        <v>0</v>
      </c>
      <c r="EM307" s="56">
        <v>0</v>
      </c>
      <c r="EN307" s="56">
        <v>0</v>
      </c>
      <c r="EO307" s="56">
        <v>0</v>
      </c>
      <c r="EP307" s="56">
        <v>0</v>
      </c>
      <c r="EQ307" s="56">
        <v>0</v>
      </c>
      <c r="ER307" s="56">
        <v>0</v>
      </c>
      <c r="ES307" s="56">
        <v>0</v>
      </c>
      <c r="ET307" s="56">
        <v>0</v>
      </c>
      <c r="EU307" s="56">
        <v>0</v>
      </c>
      <c r="EV307" s="56">
        <v>0</v>
      </c>
      <c r="EW307" s="56">
        <v>0</v>
      </c>
      <c r="EX307" s="56">
        <v>0</v>
      </c>
      <c r="EY307" s="56">
        <v>0</v>
      </c>
      <c r="EZ307" s="56">
        <v>0</v>
      </c>
      <c r="FA307" s="56">
        <v>0</v>
      </c>
      <c r="FB307" s="56">
        <v>0</v>
      </c>
      <c r="FC307" s="58">
        <v>0</v>
      </c>
      <c r="FD307" s="56">
        <v>0</v>
      </c>
      <c r="FE307" s="56">
        <v>0</v>
      </c>
      <c r="FF307" s="56">
        <v>0</v>
      </c>
      <c r="FG307" s="56">
        <v>0</v>
      </c>
      <c r="FH307" s="56">
        <v>0</v>
      </c>
      <c r="FI307" s="56">
        <v>0</v>
      </c>
      <c r="FJ307" s="56">
        <v>0</v>
      </c>
      <c r="FK307" s="56">
        <v>0</v>
      </c>
      <c r="FL307" s="56">
        <v>0</v>
      </c>
      <c r="FM307" s="56">
        <v>0</v>
      </c>
      <c r="FN307" s="56">
        <v>0</v>
      </c>
      <c r="FO307" s="56">
        <v>0</v>
      </c>
      <c r="FP307" s="56">
        <v>0</v>
      </c>
      <c r="FQ307" s="56">
        <v>0</v>
      </c>
      <c r="FR307" s="56">
        <v>0</v>
      </c>
      <c r="FS307" s="58">
        <v>0</v>
      </c>
      <c r="FT307" s="56">
        <v>0</v>
      </c>
      <c r="FU307" s="56">
        <v>0</v>
      </c>
      <c r="FV307" s="56">
        <v>0</v>
      </c>
      <c r="FW307" s="56">
        <v>0</v>
      </c>
      <c r="FX307" s="56">
        <v>0</v>
      </c>
      <c r="FY307" s="56">
        <v>0</v>
      </c>
      <c r="FZ307" s="54" t="s">
        <v>1070</v>
      </c>
      <c r="GA307" s="54" t="s">
        <v>1071</v>
      </c>
      <c r="GB307" s="54" t="s">
        <v>1072</v>
      </c>
      <c r="GC307" s="54" t="s">
        <v>1073</v>
      </c>
      <c r="GD307" s="54" t="s">
        <v>1235</v>
      </c>
      <c r="GE307" s="54" t="s">
        <v>1201</v>
      </c>
      <c r="GF307" s="54"/>
      <c r="GG307" s="55"/>
      <c r="GH307" s="54"/>
      <c r="GI307" s="54"/>
      <c r="GJ307" s="54" t="s">
        <v>1076</v>
      </c>
      <c r="GK307" s="54" t="s">
        <v>1077</v>
      </c>
      <c r="GL307" s="54"/>
      <c r="GM307" s="54"/>
      <c r="GN307" s="54" t="s">
        <v>1208</v>
      </c>
      <c r="GO307" s="54" t="s">
        <v>1209</v>
      </c>
      <c r="GP307" s="54"/>
      <c r="GQ307" s="56">
        <v>0</v>
      </c>
      <c r="GR307" s="54" t="s">
        <v>1079</v>
      </c>
      <c r="GS307" s="54"/>
    </row>
    <row r="308" spans="1:201" x14ac:dyDescent="0.25">
      <c r="A308" s="54" t="s">
        <v>1032</v>
      </c>
      <c r="B308" s="54" t="s">
        <v>1033</v>
      </c>
      <c r="C308" s="54" t="s">
        <v>1305</v>
      </c>
      <c r="D308" s="54" t="s">
        <v>1035</v>
      </c>
      <c r="E308" s="54" t="s">
        <v>1036</v>
      </c>
      <c r="F308" s="55">
        <v>46197</v>
      </c>
      <c r="G308" s="55">
        <v>46197</v>
      </c>
      <c r="H308" s="54" t="s">
        <v>1037</v>
      </c>
      <c r="I308" s="54" t="s">
        <v>1038</v>
      </c>
      <c r="J308" s="54" t="s">
        <v>1039</v>
      </c>
      <c r="K308" s="55"/>
      <c r="L308" s="54" t="s">
        <v>1040</v>
      </c>
      <c r="M308" s="54"/>
      <c r="N308" s="54" t="s">
        <v>1306</v>
      </c>
      <c r="O308" s="54" t="s">
        <v>1111</v>
      </c>
      <c r="P308" s="54" t="s">
        <v>355</v>
      </c>
      <c r="Q308" s="54" t="s">
        <v>137</v>
      </c>
      <c r="R308" s="54" t="s">
        <v>1043</v>
      </c>
      <c r="S308" s="56">
        <v>3615.6</v>
      </c>
      <c r="T308" s="56">
        <v>0</v>
      </c>
      <c r="U308" s="56">
        <v>0</v>
      </c>
      <c r="V308" s="56">
        <v>3615.6</v>
      </c>
      <c r="W308" s="56">
        <v>0</v>
      </c>
      <c r="X308" s="56">
        <v>0</v>
      </c>
      <c r="Y308" s="56">
        <v>0</v>
      </c>
      <c r="Z308" s="56">
        <v>60</v>
      </c>
      <c r="AA308" s="56">
        <v>0</v>
      </c>
      <c r="AB308" s="59">
        <v>0</v>
      </c>
      <c r="AC308" s="56">
        <v>60</v>
      </c>
      <c r="AD308" s="56">
        <v>0</v>
      </c>
      <c r="AE308" s="56">
        <v>0</v>
      </c>
      <c r="AF308" s="54" t="s">
        <v>1044</v>
      </c>
      <c r="AG308" s="57"/>
      <c r="AH308" s="54" t="s">
        <v>1252</v>
      </c>
      <c r="AI308" s="54" t="s">
        <v>1253</v>
      </c>
      <c r="AJ308" s="54"/>
      <c r="AK308" s="54"/>
      <c r="AL308" s="54"/>
      <c r="AM308" s="54"/>
      <c r="AN308" s="54"/>
      <c r="AO308" s="54"/>
      <c r="AP308" s="54"/>
      <c r="AQ308" s="54"/>
      <c r="AR308" s="54" t="s">
        <v>1045</v>
      </c>
      <c r="AS308" s="54" t="s">
        <v>1046</v>
      </c>
      <c r="AT308" s="54" t="s">
        <v>1047</v>
      </c>
      <c r="AU308" s="54" t="s">
        <v>1048</v>
      </c>
      <c r="AV308" s="54"/>
      <c r="AW308" s="55">
        <v>46210</v>
      </c>
      <c r="AX308" s="55">
        <v>46197</v>
      </c>
      <c r="AY308" s="55">
        <v>46197</v>
      </c>
      <c r="AZ308" s="55"/>
      <c r="BA308" s="55">
        <v>46210</v>
      </c>
      <c r="BB308" s="56">
        <v>0</v>
      </c>
      <c r="BC308" s="56">
        <v>0</v>
      </c>
      <c r="BD308" s="56">
        <v>0</v>
      </c>
      <c r="BE308" s="56">
        <v>0</v>
      </c>
      <c r="BF308" s="56">
        <v>0</v>
      </c>
      <c r="BG308" s="56">
        <v>0</v>
      </c>
      <c r="BH308" s="56">
        <v>0</v>
      </c>
      <c r="BI308" s="56">
        <v>0</v>
      </c>
      <c r="BJ308" s="56">
        <v>0</v>
      </c>
      <c r="BK308" s="56">
        <v>0</v>
      </c>
      <c r="BL308" s="56">
        <v>0</v>
      </c>
      <c r="BM308" s="56">
        <v>0</v>
      </c>
      <c r="BN308" s="56">
        <v>0</v>
      </c>
      <c r="BO308" s="56">
        <v>0</v>
      </c>
      <c r="BP308" s="54" t="s">
        <v>1049</v>
      </c>
      <c r="BQ308" s="54" t="s">
        <v>1050</v>
      </c>
      <c r="BR308" s="54" t="s">
        <v>1049</v>
      </c>
      <c r="BS308" s="54" t="s">
        <v>1050</v>
      </c>
      <c r="BT308" s="54" t="s">
        <v>1051</v>
      </c>
      <c r="BU308" s="54" t="s">
        <v>1043</v>
      </c>
      <c r="BV308" s="58">
        <v>0</v>
      </c>
      <c r="BW308" s="54" t="s">
        <v>1052</v>
      </c>
      <c r="BX308" s="54" t="s">
        <v>1053</v>
      </c>
      <c r="BY308" s="54" t="s">
        <v>1054</v>
      </c>
      <c r="BZ308" s="54" t="s">
        <v>1055</v>
      </c>
      <c r="CA308" s="55"/>
      <c r="CB308" s="54" t="s">
        <v>1056</v>
      </c>
      <c r="CC308" s="54" t="s">
        <v>1057</v>
      </c>
      <c r="CD308" s="54" t="s">
        <v>1200</v>
      </c>
      <c r="CE308" s="54" t="s">
        <v>1201</v>
      </c>
      <c r="CF308" s="54" t="s">
        <v>1202</v>
      </c>
      <c r="CG308" s="54" t="s">
        <v>1203</v>
      </c>
      <c r="CH308" s="54" t="s">
        <v>1204</v>
      </c>
      <c r="CI308" s="54" t="s">
        <v>1203</v>
      </c>
      <c r="CJ308" s="54" t="s">
        <v>1064</v>
      </c>
      <c r="CK308" s="54" t="s">
        <v>1065</v>
      </c>
      <c r="CL308" s="54" t="s">
        <v>1205</v>
      </c>
      <c r="CM308" s="54" t="s">
        <v>1206</v>
      </c>
      <c r="CN308" s="54" t="s">
        <v>1068</v>
      </c>
      <c r="CO308" s="54" t="s">
        <v>1069</v>
      </c>
      <c r="CP308" s="56">
        <v>0</v>
      </c>
      <c r="CQ308" s="56">
        <v>0</v>
      </c>
      <c r="CR308" s="56">
        <v>0</v>
      </c>
      <c r="CS308" s="56">
        <v>0</v>
      </c>
      <c r="CT308" s="56">
        <v>0</v>
      </c>
      <c r="CU308" s="56">
        <v>0</v>
      </c>
      <c r="CV308" s="56">
        <v>0</v>
      </c>
      <c r="CW308" s="56">
        <v>0</v>
      </c>
      <c r="CX308" s="56">
        <v>0</v>
      </c>
      <c r="CY308" s="56">
        <v>0</v>
      </c>
      <c r="CZ308" s="56">
        <v>0</v>
      </c>
      <c r="DA308" s="56">
        <v>0</v>
      </c>
      <c r="DB308" s="56">
        <v>0</v>
      </c>
      <c r="DC308" s="56">
        <v>0</v>
      </c>
      <c r="DD308" s="56">
        <v>0</v>
      </c>
      <c r="DE308" s="56">
        <v>0</v>
      </c>
      <c r="DF308" s="56">
        <v>0</v>
      </c>
      <c r="DG308" s="56">
        <v>0</v>
      </c>
      <c r="DH308" s="56">
        <v>0</v>
      </c>
      <c r="DI308" s="56">
        <v>0</v>
      </c>
      <c r="DJ308" s="56">
        <v>0</v>
      </c>
      <c r="DK308" s="56">
        <v>0</v>
      </c>
      <c r="DL308" s="56">
        <v>0</v>
      </c>
      <c r="DM308" s="56">
        <v>0</v>
      </c>
      <c r="DN308" s="56">
        <v>0</v>
      </c>
      <c r="DO308" s="56">
        <v>0</v>
      </c>
      <c r="DP308" s="56">
        <v>0</v>
      </c>
      <c r="DQ308" s="56">
        <v>0</v>
      </c>
      <c r="DR308" s="56">
        <v>0</v>
      </c>
      <c r="DS308" s="56">
        <v>0</v>
      </c>
      <c r="DT308" s="56">
        <v>0</v>
      </c>
      <c r="DU308" s="56">
        <v>0</v>
      </c>
      <c r="DV308" s="56">
        <v>0</v>
      </c>
      <c r="DW308" s="56">
        <v>0</v>
      </c>
      <c r="DX308" s="56">
        <v>0</v>
      </c>
      <c r="DY308" s="56">
        <v>0</v>
      </c>
      <c r="DZ308" s="56">
        <v>0</v>
      </c>
      <c r="EA308" s="56">
        <v>0</v>
      </c>
      <c r="EB308" s="56">
        <v>0</v>
      </c>
      <c r="EC308" s="56">
        <v>0</v>
      </c>
      <c r="ED308" s="56">
        <v>0</v>
      </c>
      <c r="EE308" s="56">
        <v>0</v>
      </c>
      <c r="EF308" s="56">
        <v>0</v>
      </c>
      <c r="EG308" s="56">
        <v>0</v>
      </c>
      <c r="EH308" s="56">
        <v>433.87</v>
      </c>
      <c r="EI308" s="56">
        <v>0</v>
      </c>
      <c r="EJ308" s="56">
        <v>0</v>
      </c>
      <c r="EK308" s="56">
        <v>0</v>
      </c>
      <c r="EL308" s="56">
        <v>0</v>
      </c>
      <c r="EM308" s="56">
        <v>0</v>
      </c>
      <c r="EN308" s="56">
        <v>0</v>
      </c>
      <c r="EO308" s="56">
        <v>0</v>
      </c>
      <c r="EP308" s="56">
        <v>0</v>
      </c>
      <c r="EQ308" s="56">
        <v>0</v>
      </c>
      <c r="ER308" s="56">
        <v>0</v>
      </c>
      <c r="ES308" s="56">
        <v>0</v>
      </c>
      <c r="ET308" s="56">
        <v>0</v>
      </c>
      <c r="EU308" s="56">
        <v>0</v>
      </c>
      <c r="EV308" s="56">
        <v>0</v>
      </c>
      <c r="EW308" s="56">
        <v>0</v>
      </c>
      <c r="EX308" s="56">
        <v>0</v>
      </c>
      <c r="EY308" s="56">
        <v>0</v>
      </c>
      <c r="EZ308" s="56">
        <v>0</v>
      </c>
      <c r="FA308" s="56">
        <v>0</v>
      </c>
      <c r="FB308" s="56">
        <v>0</v>
      </c>
      <c r="FC308" s="58">
        <v>0</v>
      </c>
      <c r="FD308" s="56">
        <v>0</v>
      </c>
      <c r="FE308" s="56">
        <v>0</v>
      </c>
      <c r="FF308" s="56">
        <v>0</v>
      </c>
      <c r="FG308" s="56">
        <v>0</v>
      </c>
      <c r="FH308" s="56">
        <v>0</v>
      </c>
      <c r="FI308" s="56">
        <v>0</v>
      </c>
      <c r="FJ308" s="56">
        <v>0</v>
      </c>
      <c r="FK308" s="56">
        <v>0</v>
      </c>
      <c r="FL308" s="56">
        <v>0</v>
      </c>
      <c r="FM308" s="56">
        <v>0</v>
      </c>
      <c r="FN308" s="56">
        <v>0</v>
      </c>
      <c r="FO308" s="56">
        <v>0</v>
      </c>
      <c r="FP308" s="56">
        <v>0</v>
      </c>
      <c r="FQ308" s="56">
        <v>0</v>
      </c>
      <c r="FR308" s="56">
        <v>0</v>
      </c>
      <c r="FS308" s="58">
        <v>0</v>
      </c>
      <c r="FT308" s="56">
        <v>0</v>
      </c>
      <c r="FU308" s="56">
        <v>0</v>
      </c>
      <c r="FV308" s="56">
        <v>0</v>
      </c>
      <c r="FW308" s="56">
        <v>0</v>
      </c>
      <c r="FX308" s="56">
        <v>0</v>
      </c>
      <c r="FY308" s="56">
        <v>0</v>
      </c>
      <c r="FZ308" s="54" t="s">
        <v>1083</v>
      </c>
      <c r="GA308" s="54" t="s">
        <v>1084</v>
      </c>
      <c r="GB308" s="54" t="s">
        <v>1072</v>
      </c>
      <c r="GC308" s="54" t="s">
        <v>1073</v>
      </c>
      <c r="GD308" s="54" t="s">
        <v>1309</v>
      </c>
      <c r="GE308" s="54" t="s">
        <v>1201</v>
      </c>
      <c r="GF308" s="54"/>
      <c r="GG308" s="55"/>
      <c r="GH308" s="54"/>
      <c r="GI308" s="54"/>
      <c r="GJ308" s="54" t="s">
        <v>1076</v>
      </c>
      <c r="GK308" s="54" t="s">
        <v>1077</v>
      </c>
      <c r="GL308" s="54"/>
      <c r="GM308" s="54"/>
      <c r="GN308" s="54" t="s">
        <v>1208</v>
      </c>
      <c r="GO308" s="54" t="s">
        <v>1209</v>
      </c>
      <c r="GP308" s="54"/>
      <c r="GQ308" s="56">
        <v>0</v>
      </c>
      <c r="GR308" s="54" t="s">
        <v>1079</v>
      </c>
      <c r="GS308" s="54"/>
    </row>
    <row r="309" spans="1:201" x14ac:dyDescent="0.25">
      <c r="A309" s="54" t="s">
        <v>1032</v>
      </c>
      <c r="B309" s="54" t="s">
        <v>1033</v>
      </c>
      <c r="C309" s="54" t="s">
        <v>1305</v>
      </c>
      <c r="D309" s="54" t="s">
        <v>1035</v>
      </c>
      <c r="E309" s="54" t="s">
        <v>1036</v>
      </c>
      <c r="F309" s="55">
        <v>46197</v>
      </c>
      <c r="G309" s="55">
        <v>46197</v>
      </c>
      <c r="H309" s="54" t="s">
        <v>1037</v>
      </c>
      <c r="I309" s="54" t="s">
        <v>1038</v>
      </c>
      <c r="J309" s="54" t="s">
        <v>1039</v>
      </c>
      <c r="K309" s="55"/>
      <c r="L309" s="54" t="s">
        <v>1040</v>
      </c>
      <c r="M309" s="54"/>
      <c r="N309" s="54" t="s">
        <v>1306</v>
      </c>
      <c r="O309" s="54" t="s">
        <v>1113</v>
      </c>
      <c r="P309" s="54" t="s">
        <v>452</v>
      </c>
      <c r="Q309" s="54" t="s">
        <v>463</v>
      </c>
      <c r="R309" s="54" t="s">
        <v>1043</v>
      </c>
      <c r="S309" s="56">
        <v>3326.4</v>
      </c>
      <c r="T309" s="56">
        <v>0</v>
      </c>
      <c r="U309" s="56">
        <v>0</v>
      </c>
      <c r="V309" s="56">
        <v>3326.4</v>
      </c>
      <c r="W309" s="56">
        <v>0</v>
      </c>
      <c r="X309" s="56">
        <v>0</v>
      </c>
      <c r="Y309" s="56">
        <v>0</v>
      </c>
      <c r="Z309" s="56">
        <v>480</v>
      </c>
      <c r="AA309" s="56">
        <v>0</v>
      </c>
      <c r="AB309" s="59">
        <v>0</v>
      </c>
      <c r="AC309" s="56">
        <v>480</v>
      </c>
      <c r="AD309" s="56">
        <v>0</v>
      </c>
      <c r="AE309" s="56">
        <v>0</v>
      </c>
      <c r="AF309" s="54" t="s">
        <v>1044</v>
      </c>
      <c r="AG309" s="57"/>
      <c r="AH309" s="54" t="s">
        <v>1123</v>
      </c>
      <c r="AI309" s="54" t="s">
        <v>1124</v>
      </c>
      <c r="AJ309" s="54"/>
      <c r="AK309" s="54"/>
      <c r="AL309" s="54"/>
      <c r="AM309" s="54"/>
      <c r="AN309" s="54"/>
      <c r="AO309" s="54"/>
      <c r="AP309" s="54"/>
      <c r="AQ309" s="54"/>
      <c r="AR309" s="54" t="s">
        <v>1045</v>
      </c>
      <c r="AS309" s="54" t="s">
        <v>1046</v>
      </c>
      <c r="AT309" s="54" t="s">
        <v>1047</v>
      </c>
      <c r="AU309" s="54" t="s">
        <v>1048</v>
      </c>
      <c r="AV309" s="54"/>
      <c r="AW309" s="55">
        <v>46210</v>
      </c>
      <c r="AX309" s="55">
        <v>46197</v>
      </c>
      <c r="AY309" s="55">
        <v>46197</v>
      </c>
      <c r="AZ309" s="55"/>
      <c r="BA309" s="55">
        <v>46210</v>
      </c>
      <c r="BB309" s="56">
        <v>0</v>
      </c>
      <c r="BC309" s="56">
        <v>0</v>
      </c>
      <c r="BD309" s="56">
        <v>0</v>
      </c>
      <c r="BE309" s="56">
        <v>0</v>
      </c>
      <c r="BF309" s="56">
        <v>0</v>
      </c>
      <c r="BG309" s="56">
        <v>0</v>
      </c>
      <c r="BH309" s="56">
        <v>0</v>
      </c>
      <c r="BI309" s="56">
        <v>0</v>
      </c>
      <c r="BJ309" s="56">
        <v>0</v>
      </c>
      <c r="BK309" s="56">
        <v>0</v>
      </c>
      <c r="BL309" s="56">
        <v>0</v>
      </c>
      <c r="BM309" s="56">
        <v>0</v>
      </c>
      <c r="BN309" s="56">
        <v>0</v>
      </c>
      <c r="BO309" s="56">
        <v>0</v>
      </c>
      <c r="BP309" s="54" t="s">
        <v>1049</v>
      </c>
      <c r="BQ309" s="54" t="s">
        <v>1050</v>
      </c>
      <c r="BR309" s="54" t="s">
        <v>1049</v>
      </c>
      <c r="BS309" s="54" t="s">
        <v>1050</v>
      </c>
      <c r="BT309" s="54" t="s">
        <v>1051</v>
      </c>
      <c r="BU309" s="54" t="s">
        <v>1043</v>
      </c>
      <c r="BV309" s="58">
        <v>0</v>
      </c>
      <c r="BW309" s="54" t="s">
        <v>1052</v>
      </c>
      <c r="BX309" s="54" t="s">
        <v>1053</v>
      </c>
      <c r="BY309" s="54" t="s">
        <v>1054</v>
      </c>
      <c r="BZ309" s="54" t="s">
        <v>1055</v>
      </c>
      <c r="CA309" s="55"/>
      <c r="CB309" s="54" t="s">
        <v>1056</v>
      </c>
      <c r="CC309" s="54" t="s">
        <v>1057</v>
      </c>
      <c r="CD309" s="54" t="s">
        <v>1200</v>
      </c>
      <c r="CE309" s="54" t="s">
        <v>1201</v>
      </c>
      <c r="CF309" s="54" t="s">
        <v>1202</v>
      </c>
      <c r="CG309" s="54" t="s">
        <v>1203</v>
      </c>
      <c r="CH309" s="54" t="s">
        <v>1204</v>
      </c>
      <c r="CI309" s="54" t="s">
        <v>1203</v>
      </c>
      <c r="CJ309" s="54" t="s">
        <v>1064</v>
      </c>
      <c r="CK309" s="54" t="s">
        <v>1065</v>
      </c>
      <c r="CL309" s="54" t="s">
        <v>1205</v>
      </c>
      <c r="CM309" s="54" t="s">
        <v>1206</v>
      </c>
      <c r="CN309" s="54" t="s">
        <v>1068</v>
      </c>
      <c r="CO309" s="54" t="s">
        <v>1069</v>
      </c>
      <c r="CP309" s="56">
        <v>0</v>
      </c>
      <c r="CQ309" s="56">
        <v>0</v>
      </c>
      <c r="CR309" s="56">
        <v>0</v>
      </c>
      <c r="CS309" s="56">
        <v>0</v>
      </c>
      <c r="CT309" s="56">
        <v>0</v>
      </c>
      <c r="CU309" s="56">
        <v>0</v>
      </c>
      <c r="CV309" s="56">
        <v>0</v>
      </c>
      <c r="CW309" s="56">
        <v>0</v>
      </c>
      <c r="CX309" s="56">
        <v>0</v>
      </c>
      <c r="CY309" s="56">
        <v>0</v>
      </c>
      <c r="CZ309" s="56">
        <v>0</v>
      </c>
      <c r="DA309" s="56">
        <v>0</v>
      </c>
      <c r="DB309" s="56">
        <v>0</v>
      </c>
      <c r="DC309" s="56">
        <v>0</v>
      </c>
      <c r="DD309" s="56">
        <v>0</v>
      </c>
      <c r="DE309" s="56">
        <v>0</v>
      </c>
      <c r="DF309" s="56">
        <v>0</v>
      </c>
      <c r="DG309" s="56">
        <v>0</v>
      </c>
      <c r="DH309" s="56">
        <v>0</v>
      </c>
      <c r="DI309" s="56">
        <v>0</v>
      </c>
      <c r="DJ309" s="56">
        <v>0</v>
      </c>
      <c r="DK309" s="56">
        <v>0</v>
      </c>
      <c r="DL309" s="56">
        <v>0</v>
      </c>
      <c r="DM309" s="56">
        <v>0</v>
      </c>
      <c r="DN309" s="56">
        <v>0</v>
      </c>
      <c r="DO309" s="56">
        <v>0</v>
      </c>
      <c r="DP309" s="56">
        <v>0</v>
      </c>
      <c r="DQ309" s="56">
        <v>0</v>
      </c>
      <c r="DR309" s="56">
        <v>0</v>
      </c>
      <c r="DS309" s="56">
        <v>0</v>
      </c>
      <c r="DT309" s="56">
        <v>0</v>
      </c>
      <c r="DU309" s="56">
        <v>0</v>
      </c>
      <c r="DV309" s="56">
        <v>0</v>
      </c>
      <c r="DW309" s="56">
        <v>0</v>
      </c>
      <c r="DX309" s="56">
        <v>0</v>
      </c>
      <c r="DY309" s="56">
        <v>0</v>
      </c>
      <c r="DZ309" s="56">
        <v>0</v>
      </c>
      <c r="EA309" s="56">
        <v>0</v>
      </c>
      <c r="EB309" s="56">
        <v>0</v>
      </c>
      <c r="EC309" s="56">
        <v>0</v>
      </c>
      <c r="ED309" s="56">
        <v>0</v>
      </c>
      <c r="EE309" s="56">
        <v>0</v>
      </c>
      <c r="EF309" s="56">
        <v>0</v>
      </c>
      <c r="EG309" s="56">
        <v>0</v>
      </c>
      <c r="EH309" s="56">
        <v>399.17</v>
      </c>
      <c r="EI309" s="56">
        <v>0</v>
      </c>
      <c r="EJ309" s="56">
        <v>0</v>
      </c>
      <c r="EK309" s="56">
        <v>0</v>
      </c>
      <c r="EL309" s="56">
        <v>0</v>
      </c>
      <c r="EM309" s="56">
        <v>0</v>
      </c>
      <c r="EN309" s="56">
        <v>0</v>
      </c>
      <c r="EO309" s="56">
        <v>0</v>
      </c>
      <c r="EP309" s="56">
        <v>0</v>
      </c>
      <c r="EQ309" s="56">
        <v>0</v>
      </c>
      <c r="ER309" s="56">
        <v>0</v>
      </c>
      <c r="ES309" s="56">
        <v>0</v>
      </c>
      <c r="ET309" s="56">
        <v>0</v>
      </c>
      <c r="EU309" s="56">
        <v>0</v>
      </c>
      <c r="EV309" s="56">
        <v>0</v>
      </c>
      <c r="EW309" s="56">
        <v>0</v>
      </c>
      <c r="EX309" s="56">
        <v>0</v>
      </c>
      <c r="EY309" s="56">
        <v>0</v>
      </c>
      <c r="EZ309" s="56">
        <v>0</v>
      </c>
      <c r="FA309" s="56">
        <v>0</v>
      </c>
      <c r="FB309" s="56">
        <v>0</v>
      </c>
      <c r="FC309" s="58">
        <v>0</v>
      </c>
      <c r="FD309" s="56">
        <v>0</v>
      </c>
      <c r="FE309" s="56">
        <v>0</v>
      </c>
      <c r="FF309" s="56">
        <v>0</v>
      </c>
      <c r="FG309" s="56">
        <v>0</v>
      </c>
      <c r="FH309" s="56">
        <v>0</v>
      </c>
      <c r="FI309" s="56">
        <v>0</v>
      </c>
      <c r="FJ309" s="56">
        <v>0</v>
      </c>
      <c r="FK309" s="56">
        <v>0</v>
      </c>
      <c r="FL309" s="56">
        <v>0</v>
      </c>
      <c r="FM309" s="56">
        <v>0</v>
      </c>
      <c r="FN309" s="56">
        <v>0</v>
      </c>
      <c r="FO309" s="56">
        <v>0</v>
      </c>
      <c r="FP309" s="56">
        <v>0</v>
      </c>
      <c r="FQ309" s="56">
        <v>0</v>
      </c>
      <c r="FR309" s="56">
        <v>0</v>
      </c>
      <c r="FS309" s="58">
        <v>0</v>
      </c>
      <c r="FT309" s="56">
        <v>0</v>
      </c>
      <c r="FU309" s="56">
        <v>0</v>
      </c>
      <c r="FV309" s="56">
        <v>0</v>
      </c>
      <c r="FW309" s="56">
        <v>0</v>
      </c>
      <c r="FX309" s="56">
        <v>0</v>
      </c>
      <c r="FY309" s="56">
        <v>0</v>
      </c>
      <c r="FZ309" s="54" t="s">
        <v>1070</v>
      </c>
      <c r="GA309" s="54" t="s">
        <v>1071</v>
      </c>
      <c r="GB309" s="54" t="s">
        <v>1072</v>
      </c>
      <c r="GC309" s="54" t="s">
        <v>1073</v>
      </c>
      <c r="GD309" s="54"/>
      <c r="GE309" s="54"/>
      <c r="GF309" s="54"/>
      <c r="GG309" s="55"/>
      <c r="GH309" s="54"/>
      <c r="GI309" s="54"/>
      <c r="GJ309" s="54" t="s">
        <v>1076</v>
      </c>
      <c r="GK309" s="54" t="s">
        <v>1077</v>
      </c>
      <c r="GL309" s="54"/>
      <c r="GM309" s="54"/>
      <c r="GN309" s="54" t="s">
        <v>1208</v>
      </c>
      <c r="GO309" s="54" t="s">
        <v>1209</v>
      </c>
      <c r="GP309" s="54"/>
      <c r="GQ309" s="56">
        <v>0</v>
      </c>
      <c r="GR309" s="54" t="s">
        <v>1079</v>
      </c>
      <c r="GS309" s="54"/>
    </row>
    <row r="310" spans="1:201" x14ac:dyDescent="0.25">
      <c r="A310" s="54" t="s">
        <v>1032</v>
      </c>
      <c r="B310" s="54" t="s">
        <v>1033</v>
      </c>
      <c r="C310" s="54" t="s">
        <v>1305</v>
      </c>
      <c r="D310" s="54" t="s">
        <v>1035</v>
      </c>
      <c r="E310" s="54" t="s">
        <v>1036</v>
      </c>
      <c r="F310" s="55">
        <v>46197</v>
      </c>
      <c r="G310" s="55">
        <v>46197</v>
      </c>
      <c r="H310" s="54" t="s">
        <v>1037</v>
      </c>
      <c r="I310" s="54" t="s">
        <v>1038</v>
      </c>
      <c r="J310" s="54" t="s">
        <v>1039</v>
      </c>
      <c r="K310" s="55"/>
      <c r="L310" s="54" t="s">
        <v>1040</v>
      </c>
      <c r="M310" s="54"/>
      <c r="N310" s="54" t="s">
        <v>1306</v>
      </c>
      <c r="O310" s="54" t="s">
        <v>1114</v>
      </c>
      <c r="P310" s="54" t="s">
        <v>325</v>
      </c>
      <c r="Q310" s="54" t="s">
        <v>142</v>
      </c>
      <c r="R310" s="54" t="s">
        <v>1043</v>
      </c>
      <c r="S310" s="56">
        <v>496.8</v>
      </c>
      <c r="T310" s="56">
        <v>496.8</v>
      </c>
      <c r="U310" s="56">
        <v>0</v>
      </c>
      <c r="V310" s="56">
        <v>0</v>
      </c>
      <c r="W310" s="56">
        <v>0</v>
      </c>
      <c r="X310" s="56">
        <v>0</v>
      </c>
      <c r="Y310" s="56">
        <v>0</v>
      </c>
      <c r="Z310" s="56">
        <v>60</v>
      </c>
      <c r="AA310" s="56">
        <v>60</v>
      </c>
      <c r="AB310" s="59">
        <v>0</v>
      </c>
      <c r="AC310" s="56">
        <v>0</v>
      </c>
      <c r="AD310" s="56">
        <v>0</v>
      </c>
      <c r="AE310" s="56">
        <v>0</v>
      </c>
      <c r="AF310" s="54" t="s">
        <v>1044</v>
      </c>
      <c r="AG310" s="57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 t="s">
        <v>1045</v>
      </c>
      <c r="AS310" s="54" t="s">
        <v>1046</v>
      </c>
      <c r="AT310" s="54" t="s">
        <v>1047</v>
      </c>
      <c r="AU310" s="54" t="s">
        <v>1048</v>
      </c>
      <c r="AV310" s="54"/>
      <c r="AW310" s="55">
        <v>46210</v>
      </c>
      <c r="AX310" s="55">
        <v>46197</v>
      </c>
      <c r="AY310" s="55">
        <v>46197</v>
      </c>
      <c r="AZ310" s="55"/>
      <c r="BA310" s="55">
        <v>46210</v>
      </c>
      <c r="BB310" s="56">
        <v>0</v>
      </c>
      <c r="BC310" s="56">
        <v>0</v>
      </c>
      <c r="BD310" s="56">
        <v>0</v>
      </c>
      <c r="BE310" s="56">
        <v>0</v>
      </c>
      <c r="BF310" s="56">
        <v>0</v>
      </c>
      <c r="BG310" s="56">
        <v>0</v>
      </c>
      <c r="BH310" s="56">
        <v>0</v>
      </c>
      <c r="BI310" s="56">
        <v>0</v>
      </c>
      <c r="BJ310" s="56">
        <v>0</v>
      </c>
      <c r="BK310" s="56">
        <v>0</v>
      </c>
      <c r="BL310" s="56">
        <v>0</v>
      </c>
      <c r="BM310" s="56">
        <v>0</v>
      </c>
      <c r="BN310" s="56">
        <v>0</v>
      </c>
      <c r="BO310" s="56">
        <v>0</v>
      </c>
      <c r="BP310" s="54" t="s">
        <v>1049</v>
      </c>
      <c r="BQ310" s="54" t="s">
        <v>1050</v>
      </c>
      <c r="BR310" s="54" t="s">
        <v>1049</v>
      </c>
      <c r="BS310" s="54" t="s">
        <v>1050</v>
      </c>
      <c r="BT310" s="54" t="s">
        <v>1051</v>
      </c>
      <c r="BU310" s="54" t="s">
        <v>1043</v>
      </c>
      <c r="BV310" s="58">
        <v>60</v>
      </c>
      <c r="BW310" s="54" t="s">
        <v>1052</v>
      </c>
      <c r="BX310" s="54" t="s">
        <v>1053</v>
      </c>
      <c r="BY310" s="54" t="s">
        <v>1054</v>
      </c>
      <c r="BZ310" s="54" t="s">
        <v>1055</v>
      </c>
      <c r="CA310" s="55"/>
      <c r="CB310" s="54" t="s">
        <v>1056</v>
      </c>
      <c r="CC310" s="54" t="s">
        <v>1057</v>
      </c>
      <c r="CD310" s="54" t="s">
        <v>1200</v>
      </c>
      <c r="CE310" s="54" t="s">
        <v>1201</v>
      </c>
      <c r="CF310" s="54" t="s">
        <v>1202</v>
      </c>
      <c r="CG310" s="54" t="s">
        <v>1203</v>
      </c>
      <c r="CH310" s="54" t="s">
        <v>1204</v>
      </c>
      <c r="CI310" s="54" t="s">
        <v>1203</v>
      </c>
      <c r="CJ310" s="54" t="s">
        <v>1064</v>
      </c>
      <c r="CK310" s="54" t="s">
        <v>1065</v>
      </c>
      <c r="CL310" s="54" t="s">
        <v>1205</v>
      </c>
      <c r="CM310" s="54" t="s">
        <v>1206</v>
      </c>
      <c r="CN310" s="54" t="s">
        <v>1068</v>
      </c>
      <c r="CO310" s="54" t="s">
        <v>1069</v>
      </c>
      <c r="CP310" s="56">
        <v>0</v>
      </c>
      <c r="CQ310" s="56">
        <v>0</v>
      </c>
      <c r="CR310" s="56">
        <v>0</v>
      </c>
      <c r="CS310" s="56">
        <v>0</v>
      </c>
      <c r="CT310" s="56">
        <v>0</v>
      </c>
      <c r="CU310" s="56">
        <v>0</v>
      </c>
      <c r="CV310" s="56">
        <v>0</v>
      </c>
      <c r="CW310" s="56">
        <v>0</v>
      </c>
      <c r="CX310" s="56">
        <v>0</v>
      </c>
      <c r="CY310" s="56">
        <v>0</v>
      </c>
      <c r="CZ310" s="56">
        <v>0</v>
      </c>
      <c r="DA310" s="56">
        <v>0</v>
      </c>
      <c r="DB310" s="56">
        <v>0</v>
      </c>
      <c r="DC310" s="56">
        <v>0</v>
      </c>
      <c r="DD310" s="56">
        <v>0</v>
      </c>
      <c r="DE310" s="56">
        <v>0</v>
      </c>
      <c r="DF310" s="56">
        <v>0</v>
      </c>
      <c r="DG310" s="56">
        <v>0</v>
      </c>
      <c r="DH310" s="56">
        <v>0</v>
      </c>
      <c r="DI310" s="56">
        <v>0</v>
      </c>
      <c r="DJ310" s="56">
        <v>0</v>
      </c>
      <c r="DK310" s="56">
        <v>0</v>
      </c>
      <c r="DL310" s="56">
        <v>0</v>
      </c>
      <c r="DM310" s="56">
        <v>0</v>
      </c>
      <c r="DN310" s="56">
        <v>0</v>
      </c>
      <c r="DO310" s="56">
        <v>0</v>
      </c>
      <c r="DP310" s="56">
        <v>0</v>
      </c>
      <c r="DQ310" s="56">
        <v>0</v>
      </c>
      <c r="DR310" s="56">
        <v>0</v>
      </c>
      <c r="DS310" s="56">
        <v>0</v>
      </c>
      <c r="DT310" s="56">
        <v>0</v>
      </c>
      <c r="DU310" s="56">
        <v>0</v>
      </c>
      <c r="DV310" s="56">
        <v>0</v>
      </c>
      <c r="DW310" s="56">
        <v>0</v>
      </c>
      <c r="DX310" s="56">
        <v>0</v>
      </c>
      <c r="DY310" s="56">
        <v>0</v>
      </c>
      <c r="DZ310" s="56">
        <v>0</v>
      </c>
      <c r="EA310" s="56">
        <v>0</v>
      </c>
      <c r="EB310" s="56">
        <v>0</v>
      </c>
      <c r="EC310" s="56">
        <v>0</v>
      </c>
      <c r="ED310" s="56">
        <v>0</v>
      </c>
      <c r="EE310" s="56">
        <v>0</v>
      </c>
      <c r="EF310" s="56">
        <v>0</v>
      </c>
      <c r="EG310" s="56">
        <v>0</v>
      </c>
      <c r="EH310" s="56">
        <v>59.62</v>
      </c>
      <c r="EI310" s="56">
        <v>0</v>
      </c>
      <c r="EJ310" s="56">
        <v>0</v>
      </c>
      <c r="EK310" s="56">
        <v>0</v>
      </c>
      <c r="EL310" s="56">
        <v>0</v>
      </c>
      <c r="EM310" s="56">
        <v>0</v>
      </c>
      <c r="EN310" s="56">
        <v>0</v>
      </c>
      <c r="EO310" s="56">
        <v>0</v>
      </c>
      <c r="EP310" s="56">
        <v>0</v>
      </c>
      <c r="EQ310" s="56">
        <v>0</v>
      </c>
      <c r="ER310" s="56">
        <v>0</v>
      </c>
      <c r="ES310" s="56">
        <v>0</v>
      </c>
      <c r="ET310" s="56">
        <v>0</v>
      </c>
      <c r="EU310" s="56">
        <v>0</v>
      </c>
      <c r="EV310" s="56">
        <v>0</v>
      </c>
      <c r="EW310" s="56">
        <v>0</v>
      </c>
      <c r="EX310" s="56">
        <v>0</v>
      </c>
      <c r="EY310" s="56">
        <v>0</v>
      </c>
      <c r="EZ310" s="56">
        <v>0</v>
      </c>
      <c r="FA310" s="56">
        <v>0</v>
      </c>
      <c r="FB310" s="56">
        <v>0</v>
      </c>
      <c r="FC310" s="58">
        <v>0</v>
      </c>
      <c r="FD310" s="56">
        <v>0</v>
      </c>
      <c r="FE310" s="56">
        <v>0</v>
      </c>
      <c r="FF310" s="56">
        <v>0</v>
      </c>
      <c r="FG310" s="56">
        <v>0</v>
      </c>
      <c r="FH310" s="56">
        <v>0</v>
      </c>
      <c r="FI310" s="56">
        <v>0</v>
      </c>
      <c r="FJ310" s="56">
        <v>0</v>
      </c>
      <c r="FK310" s="56">
        <v>0</v>
      </c>
      <c r="FL310" s="56">
        <v>0</v>
      </c>
      <c r="FM310" s="56">
        <v>0</v>
      </c>
      <c r="FN310" s="56">
        <v>0</v>
      </c>
      <c r="FO310" s="56">
        <v>0</v>
      </c>
      <c r="FP310" s="56">
        <v>0</v>
      </c>
      <c r="FQ310" s="56">
        <v>0</v>
      </c>
      <c r="FR310" s="56">
        <v>0</v>
      </c>
      <c r="FS310" s="58">
        <v>0</v>
      </c>
      <c r="FT310" s="56">
        <v>0</v>
      </c>
      <c r="FU310" s="56">
        <v>0</v>
      </c>
      <c r="FV310" s="56">
        <v>0</v>
      </c>
      <c r="FW310" s="56">
        <v>0</v>
      </c>
      <c r="FX310" s="56">
        <v>0</v>
      </c>
      <c r="FY310" s="56">
        <v>0</v>
      </c>
      <c r="FZ310" s="54" t="s">
        <v>1070</v>
      </c>
      <c r="GA310" s="54" t="s">
        <v>1071</v>
      </c>
      <c r="GB310" s="54" t="s">
        <v>1072</v>
      </c>
      <c r="GC310" s="54" t="s">
        <v>1073</v>
      </c>
      <c r="GD310" s="54" t="s">
        <v>1236</v>
      </c>
      <c r="GE310" s="54" t="s">
        <v>1201</v>
      </c>
      <c r="GF310" s="54"/>
      <c r="GG310" s="55"/>
      <c r="GH310" s="54"/>
      <c r="GI310" s="54"/>
      <c r="GJ310" s="54" t="s">
        <v>1076</v>
      </c>
      <c r="GK310" s="54" t="s">
        <v>1077</v>
      </c>
      <c r="GL310" s="54"/>
      <c r="GM310" s="54"/>
      <c r="GN310" s="54" t="s">
        <v>1208</v>
      </c>
      <c r="GO310" s="54" t="s">
        <v>1209</v>
      </c>
      <c r="GP310" s="54"/>
      <c r="GQ310" s="56">
        <v>0</v>
      </c>
      <c r="GR310" s="54" t="s">
        <v>1079</v>
      </c>
      <c r="GS310" s="54"/>
    </row>
    <row r="311" spans="1:201" x14ac:dyDescent="0.25">
      <c r="A311" s="54" t="s">
        <v>1032</v>
      </c>
      <c r="B311" s="54" t="s">
        <v>1033</v>
      </c>
      <c r="C311" s="54" t="s">
        <v>1305</v>
      </c>
      <c r="D311" s="54" t="s">
        <v>1035</v>
      </c>
      <c r="E311" s="54" t="s">
        <v>1036</v>
      </c>
      <c r="F311" s="55">
        <v>46197</v>
      </c>
      <c r="G311" s="55">
        <v>46197</v>
      </c>
      <c r="H311" s="54" t="s">
        <v>1037</v>
      </c>
      <c r="I311" s="54" t="s">
        <v>1038</v>
      </c>
      <c r="J311" s="54" t="s">
        <v>1039</v>
      </c>
      <c r="K311" s="55"/>
      <c r="L311" s="54" t="s">
        <v>1040</v>
      </c>
      <c r="M311" s="54"/>
      <c r="N311" s="54" t="s">
        <v>1306</v>
      </c>
      <c r="O311" s="54" t="s">
        <v>1115</v>
      </c>
      <c r="P311" s="54" t="s">
        <v>718</v>
      </c>
      <c r="Q311" s="54" t="s">
        <v>724</v>
      </c>
      <c r="R311" s="54" t="s">
        <v>1043</v>
      </c>
      <c r="S311" s="56">
        <v>2018.4</v>
      </c>
      <c r="T311" s="56">
        <v>0</v>
      </c>
      <c r="U311" s="56">
        <v>0</v>
      </c>
      <c r="V311" s="56">
        <v>2018.4</v>
      </c>
      <c r="W311" s="56">
        <v>0</v>
      </c>
      <c r="X311" s="56">
        <v>0</v>
      </c>
      <c r="Y311" s="56">
        <v>0</v>
      </c>
      <c r="Z311" s="56">
        <v>48</v>
      </c>
      <c r="AA311" s="56">
        <v>0</v>
      </c>
      <c r="AB311" s="59">
        <v>0</v>
      </c>
      <c r="AC311" s="56">
        <v>48</v>
      </c>
      <c r="AD311" s="56">
        <v>0</v>
      </c>
      <c r="AE311" s="56">
        <v>0</v>
      </c>
      <c r="AF311" s="54" t="s">
        <v>1044</v>
      </c>
      <c r="AG311" s="57"/>
      <c r="AH311" s="54" t="s">
        <v>1123</v>
      </c>
      <c r="AI311" s="54" t="s">
        <v>1124</v>
      </c>
      <c r="AJ311" s="54"/>
      <c r="AK311" s="54"/>
      <c r="AL311" s="54"/>
      <c r="AM311" s="54"/>
      <c r="AN311" s="54"/>
      <c r="AO311" s="54"/>
      <c r="AP311" s="54"/>
      <c r="AQ311" s="54"/>
      <c r="AR311" s="54" t="s">
        <v>1045</v>
      </c>
      <c r="AS311" s="54" t="s">
        <v>1046</v>
      </c>
      <c r="AT311" s="54" t="s">
        <v>1047</v>
      </c>
      <c r="AU311" s="54" t="s">
        <v>1048</v>
      </c>
      <c r="AV311" s="54"/>
      <c r="AW311" s="55">
        <v>46210</v>
      </c>
      <c r="AX311" s="55">
        <v>46197</v>
      </c>
      <c r="AY311" s="55">
        <v>46197</v>
      </c>
      <c r="AZ311" s="55"/>
      <c r="BA311" s="55">
        <v>46210</v>
      </c>
      <c r="BB311" s="56">
        <v>0</v>
      </c>
      <c r="BC311" s="56">
        <v>0</v>
      </c>
      <c r="BD311" s="56">
        <v>0</v>
      </c>
      <c r="BE311" s="56">
        <v>0</v>
      </c>
      <c r="BF311" s="56">
        <v>0</v>
      </c>
      <c r="BG311" s="56">
        <v>0</v>
      </c>
      <c r="BH311" s="56">
        <v>0</v>
      </c>
      <c r="BI311" s="56">
        <v>0</v>
      </c>
      <c r="BJ311" s="56">
        <v>0</v>
      </c>
      <c r="BK311" s="56">
        <v>0</v>
      </c>
      <c r="BL311" s="56">
        <v>0</v>
      </c>
      <c r="BM311" s="56">
        <v>0</v>
      </c>
      <c r="BN311" s="56">
        <v>0</v>
      </c>
      <c r="BO311" s="56">
        <v>0</v>
      </c>
      <c r="BP311" s="54" t="s">
        <v>1049</v>
      </c>
      <c r="BQ311" s="54" t="s">
        <v>1050</v>
      </c>
      <c r="BR311" s="54" t="s">
        <v>1049</v>
      </c>
      <c r="BS311" s="54" t="s">
        <v>1050</v>
      </c>
      <c r="BT311" s="54" t="s">
        <v>1051</v>
      </c>
      <c r="BU311" s="54" t="s">
        <v>1043</v>
      </c>
      <c r="BV311" s="58">
        <v>0</v>
      </c>
      <c r="BW311" s="54" t="s">
        <v>1052</v>
      </c>
      <c r="BX311" s="54" t="s">
        <v>1053</v>
      </c>
      <c r="BY311" s="54" t="s">
        <v>1054</v>
      </c>
      <c r="BZ311" s="54" t="s">
        <v>1055</v>
      </c>
      <c r="CA311" s="55"/>
      <c r="CB311" s="54" t="s">
        <v>1056</v>
      </c>
      <c r="CC311" s="54" t="s">
        <v>1057</v>
      </c>
      <c r="CD311" s="54" t="s">
        <v>1200</v>
      </c>
      <c r="CE311" s="54" t="s">
        <v>1201</v>
      </c>
      <c r="CF311" s="54" t="s">
        <v>1202</v>
      </c>
      <c r="CG311" s="54" t="s">
        <v>1203</v>
      </c>
      <c r="CH311" s="54" t="s">
        <v>1204</v>
      </c>
      <c r="CI311" s="54" t="s">
        <v>1203</v>
      </c>
      <c r="CJ311" s="54" t="s">
        <v>1064</v>
      </c>
      <c r="CK311" s="54" t="s">
        <v>1065</v>
      </c>
      <c r="CL311" s="54" t="s">
        <v>1205</v>
      </c>
      <c r="CM311" s="54" t="s">
        <v>1206</v>
      </c>
      <c r="CN311" s="54" t="s">
        <v>1068</v>
      </c>
      <c r="CO311" s="54" t="s">
        <v>1069</v>
      </c>
      <c r="CP311" s="56">
        <v>0</v>
      </c>
      <c r="CQ311" s="56">
        <v>0</v>
      </c>
      <c r="CR311" s="56">
        <v>0</v>
      </c>
      <c r="CS311" s="56">
        <v>0</v>
      </c>
      <c r="CT311" s="56">
        <v>0</v>
      </c>
      <c r="CU311" s="56">
        <v>0</v>
      </c>
      <c r="CV311" s="56">
        <v>0</v>
      </c>
      <c r="CW311" s="56">
        <v>0</v>
      </c>
      <c r="CX311" s="56">
        <v>0</v>
      </c>
      <c r="CY311" s="56">
        <v>0</v>
      </c>
      <c r="CZ311" s="56">
        <v>0</v>
      </c>
      <c r="DA311" s="56">
        <v>0</v>
      </c>
      <c r="DB311" s="56">
        <v>0</v>
      </c>
      <c r="DC311" s="56">
        <v>0</v>
      </c>
      <c r="DD311" s="56">
        <v>0</v>
      </c>
      <c r="DE311" s="56">
        <v>0</v>
      </c>
      <c r="DF311" s="56">
        <v>0</v>
      </c>
      <c r="DG311" s="56">
        <v>0</v>
      </c>
      <c r="DH311" s="56">
        <v>0</v>
      </c>
      <c r="DI311" s="56">
        <v>0</v>
      </c>
      <c r="DJ311" s="56">
        <v>0</v>
      </c>
      <c r="DK311" s="56">
        <v>0</v>
      </c>
      <c r="DL311" s="56">
        <v>0</v>
      </c>
      <c r="DM311" s="56">
        <v>0</v>
      </c>
      <c r="DN311" s="56">
        <v>0</v>
      </c>
      <c r="DO311" s="56">
        <v>0</v>
      </c>
      <c r="DP311" s="56">
        <v>0</v>
      </c>
      <c r="DQ311" s="56">
        <v>0</v>
      </c>
      <c r="DR311" s="56">
        <v>0</v>
      </c>
      <c r="DS311" s="56">
        <v>0</v>
      </c>
      <c r="DT311" s="56">
        <v>0</v>
      </c>
      <c r="DU311" s="56">
        <v>0</v>
      </c>
      <c r="DV311" s="56">
        <v>0</v>
      </c>
      <c r="DW311" s="56">
        <v>0</v>
      </c>
      <c r="DX311" s="56">
        <v>0</v>
      </c>
      <c r="DY311" s="56">
        <v>0</v>
      </c>
      <c r="DZ311" s="56">
        <v>0</v>
      </c>
      <c r="EA311" s="56">
        <v>0</v>
      </c>
      <c r="EB311" s="56">
        <v>0</v>
      </c>
      <c r="EC311" s="56">
        <v>0</v>
      </c>
      <c r="ED311" s="56">
        <v>0</v>
      </c>
      <c r="EE311" s="56">
        <v>0</v>
      </c>
      <c r="EF311" s="56">
        <v>0</v>
      </c>
      <c r="EG311" s="56">
        <v>0</v>
      </c>
      <c r="EH311" s="56">
        <v>80.739999999999995</v>
      </c>
      <c r="EI311" s="56">
        <v>0</v>
      </c>
      <c r="EJ311" s="56">
        <v>0</v>
      </c>
      <c r="EK311" s="56">
        <v>0</v>
      </c>
      <c r="EL311" s="56">
        <v>0</v>
      </c>
      <c r="EM311" s="56">
        <v>0</v>
      </c>
      <c r="EN311" s="56">
        <v>0</v>
      </c>
      <c r="EO311" s="56">
        <v>0</v>
      </c>
      <c r="EP311" s="56">
        <v>0</v>
      </c>
      <c r="EQ311" s="56">
        <v>0</v>
      </c>
      <c r="ER311" s="56">
        <v>0</v>
      </c>
      <c r="ES311" s="56">
        <v>0</v>
      </c>
      <c r="ET311" s="56">
        <v>0</v>
      </c>
      <c r="EU311" s="56">
        <v>0</v>
      </c>
      <c r="EV311" s="56">
        <v>0</v>
      </c>
      <c r="EW311" s="56">
        <v>0</v>
      </c>
      <c r="EX311" s="56">
        <v>0</v>
      </c>
      <c r="EY311" s="56">
        <v>0</v>
      </c>
      <c r="EZ311" s="56">
        <v>0</v>
      </c>
      <c r="FA311" s="56">
        <v>0</v>
      </c>
      <c r="FB311" s="56">
        <v>0</v>
      </c>
      <c r="FC311" s="58">
        <v>0</v>
      </c>
      <c r="FD311" s="56">
        <v>0</v>
      </c>
      <c r="FE311" s="56">
        <v>0</v>
      </c>
      <c r="FF311" s="56">
        <v>0</v>
      </c>
      <c r="FG311" s="56">
        <v>0</v>
      </c>
      <c r="FH311" s="56">
        <v>0</v>
      </c>
      <c r="FI311" s="56">
        <v>0</v>
      </c>
      <c r="FJ311" s="56">
        <v>0</v>
      </c>
      <c r="FK311" s="56">
        <v>0</v>
      </c>
      <c r="FL311" s="56">
        <v>0</v>
      </c>
      <c r="FM311" s="56">
        <v>0</v>
      </c>
      <c r="FN311" s="56">
        <v>0</v>
      </c>
      <c r="FO311" s="56">
        <v>0</v>
      </c>
      <c r="FP311" s="56">
        <v>0</v>
      </c>
      <c r="FQ311" s="56">
        <v>0</v>
      </c>
      <c r="FR311" s="56">
        <v>0</v>
      </c>
      <c r="FS311" s="58">
        <v>0</v>
      </c>
      <c r="FT311" s="56">
        <v>0</v>
      </c>
      <c r="FU311" s="56">
        <v>0</v>
      </c>
      <c r="FV311" s="56">
        <v>0</v>
      </c>
      <c r="FW311" s="56">
        <v>0</v>
      </c>
      <c r="FX311" s="56">
        <v>0</v>
      </c>
      <c r="FY311" s="56">
        <v>0</v>
      </c>
      <c r="FZ311" s="54" t="s">
        <v>1070</v>
      </c>
      <c r="GA311" s="54" t="s">
        <v>1071</v>
      </c>
      <c r="GB311" s="54" t="s">
        <v>1072</v>
      </c>
      <c r="GC311" s="54" t="s">
        <v>1073</v>
      </c>
      <c r="GD311" s="54"/>
      <c r="GE311" s="54"/>
      <c r="GF311" s="54"/>
      <c r="GG311" s="55"/>
      <c r="GH311" s="54"/>
      <c r="GI311" s="54"/>
      <c r="GJ311" s="54" t="s">
        <v>1076</v>
      </c>
      <c r="GK311" s="54" t="s">
        <v>1077</v>
      </c>
      <c r="GL311" s="54"/>
      <c r="GM311" s="54"/>
      <c r="GN311" s="54" t="s">
        <v>1208</v>
      </c>
      <c r="GO311" s="54" t="s">
        <v>1209</v>
      </c>
      <c r="GP311" s="54"/>
      <c r="GQ311" s="56">
        <v>0</v>
      </c>
      <c r="GR311" s="54" t="s">
        <v>1079</v>
      </c>
      <c r="GS311" s="54"/>
    </row>
    <row r="312" spans="1:201" x14ac:dyDescent="0.25">
      <c r="A312" s="54" t="s">
        <v>1032</v>
      </c>
      <c r="B312" s="54" t="s">
        <v>1033</v>
      </c>
      <c r="C312" s="54" t="s">
        <v>1310</v>
      </c>
      <c r="D312" s="54" t="s">
        <v>1311</v>
      </c>
      <c r="E312" s="54" t="s">
        <v>1312</v>
      </c>
      <c r="F312" s="55">
        <v>46179</v>
      </c>
      <c r="G312" s="55">
        <v>46179</v>
      </c>
      <c r="H312" s="54" t="s">
        <v>1313</v>
      </c>
      <c r="I312" s="54" t="s">
        <v>1314</v>
      </c>
      <c r="J312" s="54" t="s">
        <v>1039</v>
      </c>
      <c r="K312" s="55"/>
      <c r="L312" s="54" t="s">
        <v>1315</v>
      </c>
      <c r="M312" s="54"/>
      <c r="N312" s="54" t="s">
        <v>1316</v>
      </c>
      <c r="O312" s="54" t="s">
        <v>1042</v>
      </c>
      <c r="P312" s="54" t="s">
        <v>170</v>
      </c>
      <c r="Q312" s="54" t="s">
        <v>1</v>
      </c>
      <c r="R312" s="54" t="s">
        <v>1043</v>
      </c>
      <c r="S312" s="56">
        <v>1660.6</v>
      </c>
      <c r="T312" s="56">
        <v>0</v>
      </c>
      <c r="U312" s="56">
        <v>1660.6</v>
      </c>
      <c r="V312" s="56">
        <v>0</v>
      </c>
      <c r="W312" s="56">
        <v>0</v>
      </c>
      <c r="X312" s="56">
        <v>0</v>
      </c>
      <c r="Y312" s="56">
        <v>0</v>
      </c>
      <c r="Z312" s="56">
        <v>230</v>
      </c>
      <c r="AA312" s="56">
        <v>0</v>
      </c>
      <c r="AB312" s="59">
        <v>230</v>
      </c>
      <c r="AC312" s="56">
        <v>0</v>
      </c>
      <c r="AD312" s="56">
        <v>0</v>
      </c>
      <c r="AE312" s="56">
        <v>0</v>
      </c>
      <c r="AF312" s="54" t="s">
        <v>1317</v>
      </c>
      <c r="AG312" s="57"/>
      <c r="AH312" s="54"/>
      <c r="AI312" s="54"/>
      <c r="AJ312" s="54"/>
      <c r="AK312" s="54"/>
      <c r="AL312" s="54"/>
      <c r="AM312" s="54"/>
      <c r="AN312" s="54" t="s">
        <v>1318</v>
      </c>
      <c r="AO312" s="54" t="s">
        <v>1319</v>
      </c>
      <c r="AP312" s="54"/>
      <c r="AQ312" s="54"/>
      <c r="AR312" s="54" t="s">
        <v>1045</v>
      </c>
      <c r="AS312" s="54" t="s">
        <v>1046</v>
      </c>
      <c r="AT312" s="54" t="s">
        <v>1047</v>
      </c>
      <c r="AU312" s="54" t="s">
        <v>1320</v>
      </c>
      <c r="AV312" s="54"/>
      <c r="AW312" s="55"/>
      <c r="AX312" s="55"/>
      <c r="AY312" s="55">
        <v>46179</v>
      </c>
      <c r="AZ312" s="55"/>
      <c r="BA312" s="55"/>
      <c r="BB312" s="56">
        <v>0</v>
      </c>
      <c r="BC312" s="56">
        <v>0</v>
      </c>
      <c r="BD312" s="56">
        <v>0</v>
      </c>
      <c r="BE312" s="56">
        <v>0</v>
      </c>
      <c r="BF312" s="56">
        <v>0</v>
      </c>
      <c r="BG312" s="56">
        <v>0</v>
      </c>
      <c r="BH312" s="56">
        <v>0</v>
      </c>
      <c r="BI312" s="56">
        <v>0</v>
      </c>
      <c r="BJ312" s="56">
        <v>0</v>
      </c>
      <c r="BK312" s="56">
        <v>0</v>
      </c>
      <c r="BL312" s="56">
        <v>0</v>
      </c>
      <c r="BM312" s="56">
        <v>0</v>
      </c>
      <c r="BN312" s="56">
        <v>0</v>
      </c>
      <c r="BO312" s="56">
        <v>0</v>
      </c>
      <c r="BP312" s="54" t="s">
        <v>1049</v>
      </c>
      <c r="BQ312" s="54" t="s">
        <v>1050</v>
      </c>
      <c r="BR312" s="54" t="s">
        <v>1049</v>
      </c>
      <c r="BS312" s="54" t="s">
        <v>1050</v>
      </c>
      <c r="BT312" s="54" t="s">
        <v>1051</v>
      </c>
      <c r="BU312" s="54" t="s">
        <v>1043</v>
      </c>
      <c r="BV312" s="58">
        <v>0</v>
      </c>
      <c r="BW312" s="54" t="s">
        <v>1052</v>
      </c>
      <c r="BX312" s="54" t="s">
        <v>1053</v>
      </c>
      <c r="BY312" s="54" t="s">
        <v>1054</v>
      </c>
      <c r="BZ312" s="54" t="s">
        <v>1055</v>
      </c>
      <c r="CA312" s="55"/>
      <c r="CB312" s="54" t="s">
        <v>1056</v>
      </c>
      <c r="CC312" s="54" t="s">
        <v>1057</v>
      </c>
      <c r="CD312" s="54" t="s">
        <v>1058</v>
      </c>
      <c r="CE312" s="54" t="s">
        <v>1059</v>
      </c>
      <c r="CF312" s="54" t="s">
        <v>1060</v>
      </c>
      <c r="CG312" s="54" t="s">
        <v>1061</v>
      </c>
      <c r="CH312" s="54" t="s">
        <v>1062</v>
      </c>
      <c r="CI312" s="54" t="s">
        <v>1063</v>
      </c>
      <c r="CJ312" s="54" t="s">
        <v>1064</v>
      </c>
      <c r="CK312" s="54" t="s">
        <v>1065</v>
      </c>
      <c r="CL312" s="54" t="s">
        <v>1066</v>
      </c>
      <c r="CM312" s="54" t="s">
        <v>1067</v>
      </c>
      <c r="CN312" s="54" t="s">
        <v>1321</v>
      </c>
      <c r="CO312" s="54" t="s">
        <v>1322</v>
      </c>
      <c r="CP312" s="56">
        <v>0</v>
      </c>
      <c r="CQ312" s="56">
        <v>0</v>
      </c>
      <c r="CR312" s="56">
        <v>0</v>
      </c>
      <c r="CS312" s="56">
        <v>0</v>
      </c>
      <c r="CT312" s="56">
        <v>0</v>
      </c>
      <c r="CU312" s="56">
        <v>0</v>
      </c>
      <c r="CV312" s="56">
        <v>0</v>
      </c>
      <c r="CW312" s="56">
        <v>0</v>
      </c>
      <c r="CX312" s="56">
        <v>0</v>
      </c>
      <c r="CY312" s="56">
        <v>0</v>
      </c>
      <c r="CZ312" s="56">
        <v>0</v>
      </c>
      <c r="DA312" s="56">
        <v>0</v>
      </c>
      <c r="DB312" s="56">
        <v>0</v>
      </c>
      <c r="DC312" s="56">
        <v>0</v>
      </c>
      <c r="DD312" s="56">
        <v>0</v>
      </c>
      <c r="DE312" s="56">
        <v>0</v>
      </c>
      <c r="DF312" s="56">
        <v>0</v>
      </c>
      <c r="DG312" s="56">
        <v>0</v>
      </c>
      <c r="DH312" s="56">
        <v>0</v>
      </c>
      <c r="DI312" s="56">
        <v>0</v>
      </c>
      <c r="DJ312" s="56">
        <v>0</v>
      </c>
      <c r="DK312" s="56">
        <v>0</v>
      </c>
      <c r="DL312" s="56">
        <v>0</v>
      </c>
      <c r="DM312" s="56">
        <v>0</v>
      </c>
      <c r="DN312" s="56">
        <v>0</v>
      </c>
      <c r="DO312" s="56">
        <v>0</v>
      </c>
      <c r="DP312" s="56">
        <v>0</v>
      </c>
      <c r="DQ312" s="56">
        <v>0</v>
      </c>
      <c r="DR312" s="56">
        <v>0</v>
      </c>
      <c r="DS312" s="56">
        <v>0</v>
      </c>
      <c r="DT312" s="56">
        <v>0</v>
      </c>
      <c r="DU312" s="56">
        <v>0</v>
      </c>
      <c r="DV312" s="56">
        <v>0</v>
      </c>
      <c r="DW312" s="56">
        <v>0</v>
      </c>
      <c r="DX312" s="56">
        <v>0</v>
      </c>
      <c r="DY312" s="56">
        <v>0</v>
      </c>
      <c r="DZ312" s="56">
        <v>0</v>
      </c>
      <c r="EA312" s="56">
        <v>0</v>
      </c>
      <c r="EB312" s="56">
        <v>0</v>
      </c>
      <c r="EC312" s="56">
        <v>199.27</v>
      </c>
      <c r="ED312" s="56">
        <v>0</v>
      </c>
      <c r="EE312" s="56">
        <v>0</v>
      </c>
      <c r="EF312" s="56">
        <v>0</v>
      </c>
      <c r="EG312" s="56">
        <v>0</v>
      </c>
      <c r="EH312" s="56">
        <v>199.27</v>
      </c>
      <c r="EI312" s="56">
        <v>0</v>
      </c>
      <c r="EJ312" s="56">
        <v>0</v>
      </c>
      <c r="EK312" s="56">
        <v>0</v>
      </c>
      <c r="EL312" s="56">
        <v>0</v>
      </c>
      <c r="EM312" s="56">
        <v>0</v>
      </c>
      <c r="EN312" s="56">
        <v>0</v>
      </c>
      <c r="EO312" s="56">
        <v>0</v>
      </c>
      <c r="EP312" s="56">
        <v>0</v>
      </c>
      <c r="EQ312" s="56">
        <v>0</v>
      </c>
      <c r="ER312" s="56">
        <v>0</v>
      </c>
      <c r="ES312" s="56">
        <v>0</v>
      </c>
      <c r="ET312" s="56">
        <v>0</v>
      </c>
      <c r="EU312" s="56">
        <v>0</v>
      </c>
      <c r="EV312" s="56">
        <v>0</v>
      </c>
      <c r="EW312" s="56">
        <v>0</v>
      </c>
      <c r="EX312" s="56">
        <v>0</v>
      </c>
      <c r="EY312" s="56">
        <v>0</v>
      </c>
      <c r="EZ312" s="56">
        <v>0</v>
      </c>
      <c r="FA312" s="56">
        <v>0</v>
      </c>
      <c r="FB312" s="56">
        <v>0</v>
      </c>
      <c r="FC312" s="58">
        <v>0</v>
      </c>
      <c r="FD312" s="56">
        <v>0</v>
      </c>
      <c r="FE312" s="56">
        <v>0</v>
      </c>
      <c r="FF312" s="56">
        <v>0</v>
      </c>
      <c r="FG312" s="56">
        <v>0</v>
      </c>
      <c r="FH312" s="56">
        <v>0</v>
      </c>
      <c r="FI312" s="56">
        <v>0</v>
      </c>
      <c r="FJ312" s="56">
        <v>0</v>
      </c>
      <c r="FK312" s="56">
        <v>0</v>
      </c>
      <c r="FL312" s="56">
        <v>0</v>
      </c>
      <c r="FM312" s="56">
        <v>0</v>
      </c>
      <c r="FN312" s="56">
        <v>0</v>
      </c>
      <c r="FO312" s="56">
        <v>0</v>
      </c>
      <c r="FP312" s="56">
        <v>0</v>
      </c>
      <c r="FQ312" s="56">
        <v>0</v>
      </c>
      <c r="FR312" s="56">
        <v>0</v>
      </c>
      <c r="FS312" s="58">
        <v>0</v>
      </c>
      <c r="FT312" s="56">
        <v>0</v>
      </c>
      <c r="FU312" s="56">
        <v>0</v>
      </c>
      <c r="FV312" s="56">
        <v>0</v>
      </c>
      <c r="FW312" s="56">
        <v>0</v>
      </c>
      <c r="FX312" s="56">
        <v>0</v>
      </c>
      <c r="FY312" s="56">
        <v>0</v>
      </c>
      <c r="FZ312" s="54" t="s">
        <v>1083</v>
      </c>
      <c r="GA312" s="54" t="s">
        <v>1084</v>
      </c>
      <c r="GB312" s="54" t="s">
        <v>1311</v>
      </c>
      <c r="GC312" s="54" t="s">
        <v>1323</v>
      </c>
      <c r="GD312" s="54" t="s">
        <v>1324</v>
      </c>
      <c r="GE312" s="54" t="s">
        <v>1075</v>
      </c>
      <c r="GF312" s="54"/>
      <c r="GG312" s="55"/>
      <c r="GH312" s="54"/>
      <c r="GI312" s="54" t="s">
        <v>1325</v>
      </c>
      <c r="GJ312" s="54" t="s">
        <v>1076</v>
      </c>
      <c r="GK312" s="54" t="s">
        <v>1077</v>
      </c>
      <c r="GL312" s="54"/>
      <c r="GM312" s="54"/>
      <c r="GN312" s="54" t="s">
        <v>1078</v>
      </c>
      <c r="GO312" s="54" t="s">
        <v>1059</v>
      </c>
      <c r="GP312" s="54" t="s">
        <v>1326</v>
      </c>
      <c r="GQ312" s="56">
        <v>0</v>
      </c>
      <c r="GR312" s="54"/>
      <c r="GS312" s="54"/>
    </row>
    <row r="313" spans="1:201" x14ac:dyDescent="0.25">
      <c r="A313" s="54" t="s">
        <v>1032</v>
      </c>
      <c r="B313" s="54" t="s">
        <v>1033</v>
      </c>
      <c r="C313" s="54" t="s">
        <v>1310</v>
      </c>
      <c r="D313" s="54" t="s">
        <v>1311</v>
      </c>
      <c r="E313" s="54" t="s">
        <v>1312</v>
      </c>
      <c r="F313" s="55">
        <v>46179</v>
      </c>
      <c r="G313" s="55">
        <v>46179</v>
      </c>
      <c r="H313" s="54" t="s">
        <v>1313</v>
      </c>
      <c r="I313" s="54" t="s">
        <v>1314</v>
      </c>
      <c r="J313" s="54" t="s">
        <v>1039</v>
      </c>
      <c r="K313" s="55"/>
      <c r="L313" s="54" t="s">
        <v>1315</v>
      </c>
      <c r="M313" s="54"/>
      <c r="N313" s="54" t="s">
        <v>1316</v>
      </c>
      <c r="O313" s="54" t="s">
        <v>1080</v>
      </c>
      <c r="P313" s="54" t="s">
        <v>425</v>
      </c>
      <c r="Q313" s="54" t="s">
        <v>426</v>
      </c>
      <c r="R313" s="54" t="s">
        <v>1043</v>
      </c>
      <c r="S313" s="56">
        <v>7466.91</v>
      </c>
      <c r="T313" s="56">
        <v>0</v>
      </c>
      <c r="U313" s="56">
        <v>7466.91</v>
      </c>
      <c r="V313" s="56">
        <v>0</v>
      </c>
      <c r="W313" s="56">
        <v>0</v>
      </c>
      <c r="X313" s="56">
        <v>0</v>
      </c>
      <c r="Y313" s="56">
        <v>0</v>
      </c>
      <c r="Z313" s="56">
        <v>561</v>
      </c>
      <c r="AA313" s="56">
        <v>0</v>
      </c>
      <c r="AB313" s="59">
        <v>561</v>
      </c>
      <c r="AC313" s="56">
        <v>0</v>
      </c>
      <c r="AD313" s="56">
        <v>0</v>
      </c>
      <c r="AE313" s="56">
        <v>0</v>
      </c>
      <c r="AF313" s="54" t="s">
        <v>1317</v>
      </c>
      <c r="AG313" s="57"/>
      <c r="AH313" s="54"/>
      <c r="AI313" s="54"/>
      <c r="AJ313" s="54"/>
      <c r="AK313" s="54"/>
      <c r="AL313" s="54"/>
      <c r="AM313" s="54"/>
      <c r="AN313" s="54" t="s">
        <v>1318</v>
      </c>
      <c r="AO313" s="54" t="s">
        <v>1319</v>
      </c>
      <c r="AP313" s="54"/>
      <c r="AQ313" s="54"/>
      <c r="AR313" s="54" t="s">
        <v>1045</v>
      </c>
      <c r="AS313" s="54" t="s">
        <v>1081</v>
      </c>
      <c r="AT313" s="54" t="s">
        <v>1082</v>
      </c>
      <c r="AU313" s="54" t="s">
        <v>1320</v>
      </c>
      <c r="AV313" s="54"/>
      <c r="AW313" s="55"/>
      <c r="AX313" s="55"/>
      <c r="AY313" s="55">
        <v>46179</v>
      </c>
      <c r="AZ313" s="55"/>
      <c r="BA313" s="55"/>
      <c r="BB313" s="56">
        <v>0</v>
      </c>
      <c r="BC313" s="56">
        <v>0</v>
      </c>
      <c r="BD313" s="56">
        <v>0</v>
      </c>
      <c r="BE313" s="56">
        <v>0</v>
      </c>
      <c r="BF313" s="56">
        <v>0</v>
      </c>
      <c r="BG313" s="56">
        <v>0</v>
      </c>
      <c r="BH313" s="56">
        <v>0</v>
      </c>
      <c r="BI313" s="56">
        <v>0</v>
      </c>
      <c r="BJ313" s="56">
        <v>0</v>
      </c>
      <c r="BK313" s="56">
        <v>0</v>
      </c>
      <c r="BL313" s="56">
        <v>0</v>
      </c>
      <c r="BM313" s="56">
        <v>0</v>
      </c>
      <c r="BN313" s="56">
        <v>0</v>
      </c>
      <c r="BO313" s="56">
        <v>0</v>
      </c>
      <c r="BP313" s="54" t="s">
        <v>1049</v>
      </c>
      <c r="BQ313" s="54" t="s">
        <v>1050</v>
      </c>
      <c r="BR313" s="54" t="s">
        <v>1049</v>
      </c>
      <c r="BS313" s="54" t="s">
        <v>1050</v>
      </c>
      <c r="BT313" s="54" t="s">
        <v>1051</v>
      </c>
      <c r="BU313" s="54" t="s">
        <v>1043</v>
      </c>
      <c r="BV313" s="58">
        <v>0</v>
      </c>
      <c r="BW313" s="54" t="s">
        <v>1052</v>
      </c>
      <c r="BX313" s="54" t="s">
        <v>1053</v>
      </c>
      <c r="BY313" s="54" t="s">
        <v>1054</v>
      </c>
      <c r="BZ313" s="54" t="s">
        <v>1055</v>
      </c>
      <c r="CA313" s="55"/>
      <c r="CB313" s="54" t="s">
        <v>1056</v>
      </c>
      <c r="CC313" s="54" t="s">
        <v>1057</v>
      </c>
      <c r="CD313" s="54" t="s">
        <v>1058</v>
      </c>
      <c r="CE313" s="54" t="s">
        <v>1059</v>
      </c>
      <c r="CF313" s="54" t="s">
        <v>1060</v>
      </c>
      <c r="CG313" s="54" t="s">
        <v>1061</v>
      </c>
      <c r="CH313" s="54" t="s">
        <v>1062</v>
      </c>
      <c r="CI313" s="54" t="s">
        <v>1063</v>
      </c>
      <c r="CJ313" s="54" t="s">
        <v>1064</v>
      </c>
      <c r="CK313" s="54" t="s">
        <v>1065</v>
      </c>
      <c r="CL313" s="54" t="s">
        <v>1066</v>
      </c>
      <c r="CM313" s="54" t="s">
        <v>1067</v>
      </c>
      <c r="CN313" s="54" t="s">
        <v>1321</v>
      </c>
      <c r="CO313" s="54" t="s">
        <v>1322</v>
      </c>
      <c r="CP313" s="56">
        <v>0</v>
      </c>
      <c r="CQ313" s="56">
        <v>0</v>
      </c>
      <c r="CR313" s="56">
        <v>0</v>
      </c>
      <c r="CS313" s="56">
        <v>0</v>
      </c>
      <c r="CT313" s="56">
        <v>0</v>
      </c>
      <c r="CU313" s="56">
        <v>0</v>
      </c>
      <c r="CV313" s="56">
        <v>0</v>
      </c>
      <c r="CW313" s="56">
        <v>0</v>
      </c>
      <c r="CX313" s="56">
        <v>0</v>
      </c>
      <c r="CY313" s="56">
        <v>0</v>
      </c>
      <c r="CZ313" s="56">
        <v>0</v>
      </c>
      <c r="DA313" s="56">
        <v>0</v>
      </c>
      <c r="DB313" s="56">
        <v>0</v>
      </c>
      <c r="DC313" s="56">
        <v>0</v>
      </c>
      <c r="DD313" s="56">
        <v>0</v>
      </c>
      <c r="DE313" s="56">
        <v>0</v>
      </c>
      <c r="DF313" s="56">
        <v>0</v>
      </c>
      <c r="DG313" s="56">
        <v>0</v>
      </c>
      <c r="DH313" s="56">
        <v>0</v>
      </c>
      <c r="DI313" s="56">
        <v>0</v>
      </c>
      <c r="DJ313" s="56">
        <v>0</v>
      </c>
      <c r="DK313" s="56">
        <v>0</v>
      </c>
      <c r="DL313" s="56">
        <v>0</v>
      </c>
      <c r="DM313" s="56">
        <v>0</v>
      </c>
      <c r="DN313" s="56">
        <v>0</v>
      </c>
      <c r="DO313" s="56">
        <v>0</v>
      </c>
      <c r="DP313" s="56">
        <v>0</v>
      </c>
      <c r="DQ313" s="56">
        <v>0</v>
      </c>
      <c r="DR313" s="56">
        <v>0</v>
      </c>
      <c r="DS313" s="56">
        <v>0</v>
      </c>
      <c r="DT313" s="56">
        <v>0</v>
      </c>
      <c r="DU313" s="56">
        <v>0</v>
      </c>
      <c r="DV313" s="56">
        <v>0</v>
      </c>
      <c r="DW313" s="56">
        <v>0</v>
      </c>
      <c r="DX313" s="56">
        <v>0</v>
      </c>
      <c r="DY313" s="56">
        <v>0</v>
      </c>
      <c r="DZ313" s="56">
        <v>0</v>
      </c>
      <c r="EA313" s="56">
        <v>0</v>
      </c>
      <c r="EB313" s="56">
        <v>0</v>
      </c>
      <c r="EC313" s="56">
        <v>896.03</v>
      </c>
      <c r="ED313" s="56">
        <v>0</v>
      </c>
      <c r="EE313" s="56">
        <v>0</v>
      </c>
      <c r="EF313" s="56">
        <v>0</v>
      </c>
      <c r="EG313" s="56">
        <v>0</v>
      </c>
      <c r="EH313" s="56">
        <v>896.03</v>
      </c>
      <c r="EI313" s="56">
        <v>0</v>
      </c>
      <c r="EJ313" s="56">
        <v>0</v>
      </c>
      <c r="EK313" s="56">
        <v>0</v>
      </c>
      <c r="EL313" s="56">
        <v>0</v>
      </c>
      <c r="EM313" s="56">
        <v>0</v>
      </c>
      <c r="EN313" s="56">
        <v>0</v>
      </c>
      <c r="EO313" s="56">
        <v>0</v>
      </c>
      <c r="EP313" s="56">
        <v>0</v>
      </c>
      <c r="EQ313" s="56">
        <v>0</v>
      </c>
      <c r="ER313" s="56">
        <v>0</v>
      </c>
      <c r="ES313" s="56">
        <v>0</v>
      </c>
      <c r="ET313" s="56">
        <v>0</v>
      </c>
      <c r="EU313" s="56">
        <v>0</v>
      </c>
      <c r="EV313" s="56">
        <v>0</v>
      </c>
      <c r="EW313" s="56">
        <v>0</v>
      </c>
      <c r="EX313" s="56">
        <v>0</v>
      </c>
      <c r="EY313" s="56">
        <v>0</v>
      </c>
      <c r="EZ313" s="56">
        <v>0</v>
      </c>
      <c r="FA313" s="56">
        <v>0</v>
      </c>
      <c r="FB313" s="56">
        <v>0</v>
      </c>
      <c r="FC313" s="58">
        <v>0</v>
      </c>
      <c r="FD313" s="56">
        <v>0</v>
      </c>
      <c r="FE313" s="56">
        <v>0</v>
      </c>
      <c r="FF313" s="56">
        <v>0</v>
      </c>
      <c r="FG313" s="56">
        <v>0</v>
      </c>
      <c r="FH313" s="56">
        <v>0</v>
      </c>
      <c r="FI313" s="56">
        <v>0</v>
      </c>
      <c r="FJ313" s="56">
        <v>0</v>
      </c>
      <c r="FK313" s="56">
        <v>0</v>
      </c>
      <c r="FL313" s="56">
        <v>0</v>
      </c>
      <c r="FM313" s="56">
        <v>0</v>
      </c>
      <c r="FN313" s="56">
        <v>0</v>
      </c>
      <c r="FO313" s="56">
        <v>0</v>
      </c>
      <c r="FP313" s="56">
        <v>0</v>
      </c>
      <c r="FQ313" s="56">
        <v>0</v>
      </c>
      <c r="FR313" s="56">
        <v>0</v>
      </c>
      <c r="FS313" s="58">
        <v>0</v>
      </c>
      <c r="FT313" s="56">
        <v>0</v>
      </c>
      <c r="FU313" s="56">
        <v>0</v>
      </c>
      <c r="FV313" s="56">
        <v>0</v>
      </c>
      <c r="FW313" s="56">
        <v>0</v>
      </c>
      <c r="FX313" s="56">
        <v>0</v>
      </c>
      <c r="FY313" s="56">
        <v>0</v>
      </c>
      <c r="FZ313" s="54" t="s">
        <v>1083</v>
      </c>
      <c r="GA313" s="54" t="s">
        <v>1084</v>
      </c>
      <c r="GB313" s="54" t="s">
        <v>1311</v>
      </c>
      <c r="GC313" s="54" t="s">
        <v>1323</v>
      </c>
      <c r="GD313" s="54"/>
      <c r="GE313" s="54"/>
      <c r="GF313" s="54"/>
      <c r="GG313" s="55"/>
      <c r="GH313" s="54"/>
      <c r="GI313" s="54" t="s">
        <v>1325</v>
      </c>
      <c r="GJ313" s="54" t="s">
        <v>1076</v>
      </c>
      <c r="GK313" s="54" t="s">
        <v>1077</v>
      </c>
      <c r="GL313" s="54"/>
      <c r="GM313" s="54"/>
      <c r="GN313" s="54" t="s">
        <v>1078</v>
      </c>
      <c r="GO313" s="54" t="s">
        <v>1059</v>
      </c>
      <c r="GP313" s="54" t="s">
        <v>1326</v>
      </c>
      <c r="GQ313" s="56">
        <v>0</v>
      </c>
      <c r="GR313" s="54"/>
      <c r="GS313" s="54"/>
    </row>
    <row r="314" spans="1:201" x14ac:dyDescent="0.25">
      <c r="A314" s="54" t="s">
        <v>1032</v>
      </c>
      <c r="B314" s="54" t="s">
        <v>1033</v>
      </c>
      <c r="C314" s="54" t="s">
        <v>1310</v>
      </c>
      <c r="D314" s="54" t="s">
        <v>1311</v>
      </c>
      <c r="E314" s="54" t="s">
        <v>1312</v>
      </c>
      <c r="F314" s="55">
        <v>46179</v>
      </c>
      <c r="G314" s="55">
        <v>46179</v>
      </c>
      <c r="H314" s="54" t="s">
        <v>1313</v>
      </c>
      <c r="I314" s="54" t="s">
        <v>1314</v>
      </c>
      <c r="J314" s="54" t="s">
        <v>1039</v>
      </c>
      <c r="K314" s="55"/>
      <c r="L314" s="54" t="s">
        <v>1315</v>
      </c>
      <c r="M314" s="54"/>
      <c r="N314" s="54" t="s">
        <v>1316</v>
      </c>
      <c r="O314" s="54" t="s">
        <v>1086</v>
      </c>
      <c r="P314" s="54" t="s">
        <v>773</v>
      </c>
      <c r="Q314" s="54" t="s">
        <v>780</v>
      </c>
      <c r="R314" s="54" t="s">
        <v>1043</v>
      </c>
      <c r="S314" s="56">
        <v>28725</v>
      </c>
      <c r="T314" s="56">
        <v>0</v>
      </c>
      <c r="U314" s="56">
        <v>28725</v>
      </c>
      <c r="V314" s="56">
        <v>0</v>
      </c>
      <c r="W314" s="56">
        <v>0</v>
      </c>
      <c r="X314" s="56">
        <v>0</v>
      </c>
      <c r="Y314" s="56">
        <v>0</v>
      </c>
      <c r="Z314" s="56">
        <v>2500</v>
      </c>
      <c r="AA314" s="56">
        <v>0</v>
      </c>
      <c r="AB314" s="59">
        <v>2500</v>
      </c>
      <c r="AC314" s="56">
        <v>0</v>
      </c>
      <c r="AD314" s="56">
        <v>0</v>
      </c>
      <c r="AE314" s="56">
        <v>0</v>
      </c>
      <c r="AF314" s="54" t="s">
        <v>1317</v>
      </c>
      <c r="AG314" s="57"/>
      <c r="AH314" s="54"/>
      <c r="AI314" s="54"/>
      <c r="AJ314" s="54"/>
      <c r="AK314" s="54"/>
      <c r="AL314" s="54"/>
      <c r="AM314" s="54"/>
      <c r="AN314" s="54" t="s">
        <v>1318</v>
      </c>
      <c r="AO314" s="54" t="s">
        <v>1319</v>
      </c>
      <c r="AP314" s="54"/>
      <c r="AQ314" s="54"/>
      <c r="AR314" s="54" t="s">
        <v>1045</v>
      </c>
      <c r="AS314" s="54" t="s">
        <v>1081</v>
      </c>
      <c r="AT314" s="54" t="s">
        <v>1082</v>
      </c>
      <c r="AU314" s="54" t="s">
        <v>1320</v>
      </c>
      <c r="AV314" s="54"/>
      <c r="AW314" s="55"/>
      <c r="AX314" s="55"/>
      <c r="AY314" s="55">
        <v>46179</v>
      </c>
      <c r="AZ314" s="55"/>
      <c r="BA314" s="55"/>
      <c r="BB314" s="56">
        <v>0</v>
      </c>
      <c r="BC314" s="56">
        <v>0</v>
      </c>
      <c r="BD314" s="56">
        <v>0</v>
      </c>
      <c r="BE314" s="56">
        <v>0</v>
      </c>
      <c r="BF314" s="56">
        <v>0</v>
      </c>
      <c r="BG314" s="56">
        <v>0</v>
      </c>
      <c r="BH314" s="56">
        <v>0</v>
      </c>
      <c r="BI314" s="56">
        <v>0</v>
      </c>
      <c r="BJ314" s="56">
        <v>0</v>
      </c>
      <c r="BK314" s="56">
        <v>0</v>
      </c>
      <c r="BL314" s="56">
        <v>0</v>
      </c>
      <c r="BM314" s="56">
        <v>0</v>
      </c>
      <c r="BN314" s="56">
        <v>0</v>
      </c>
      <c r="BO314" s="56">
        <v>0</v>
      </c>
      <c r="BP314" s="54" t="s">
        <v>1049</v>
      </c>
      <c r="BQ314" s="54" t="s">
        <v>1050</v>
      </c>
      <c r="BR314" s="54" t="s">
        <v>1049</v>
      </c>
      <c r="BS314" s="54" t="s">
        <v>1050</v>
      </c>
      <c r="BT314" s="54" t="s">
        <v>1051</v>
      </c>
      <c r="BU314" s="54" t="s">
        <v>1043</v>
      </c>
      <c r="BV314" s="58">
        <v>0</v>
      </c>
      <c r="BW314" s="54" t="s">
        <v>1052</v>
      </c>
      <c r="BX314" s="54" t="s">
        <v>1053</v>
      </c>
      <c r="BY314" s="54" t="s">
        <v>1054</v>
      </c>
      <c r="BZ314" s="54" t="s">
        <v>1055</v>
      </c>
      <c r="CA314" s="55"/>
      <c r="CB314" s="54" t="s">
        <v>1056</v>
      </c>
      <c r="CC314" s="54" t="s">
        <v>1057</v>
      </c>
      <c r="CD314" s="54" t="s">
        <v>1058</v>
      </c>
      <c r="CE314" s="54" t="s">
        <v>1059</v>
      </c>
      <c r="CF314" s="54" t="s">
        <v>1060</v>
      </c>
      <c r="CG314" s="54" t="s">
        <v>1061</v>
      </c>
      <c r="CH314" s="54" t="s">
        <v>1062</v>
      </c>
      <c r="CI314" s="54" t="s">
        <v>1063</v>
      </c>
      <c r="CJ314" s="54" t="s">
        <v>1064</v>
      </c>
      <c r="CK314" s="54" t="s">
        <v>1065</v>
      </c>
      <c r="CL314" s="54" t="s">
        <v>1066</v>
      </c>
      <c r="CM314" s="54" t="s">
        <v>1067</v>
      </c>
      <c r="CN314" s="54" t="s">
        <v>1321</v>
      </c>
      <c r="CO314" s="54" t="s">
        <v>1322</v>
      </c>
      <c r="CP314" s="56">
        <v>0</v>
      </c>
      <c r="CQ314" s="56">
        <v>0</v>
      </c>
      <c r="CR314" s="56">
        <v>0</v>
      </c>
      <c r="CS314" s="56">
        <v>0</v>
      </c>
      <c r="CT314" s="56">
        <v>0</v>
      </c>
      <c r="CU314" s="56">
        <v>0</v>
      </c>
      <c r="CV314" s="56">
        <v>0</v>
      </c>
      <c r="CW314" s="56">
        <v>0</v>
      </c>
      <c r="CX314" s="56">
        <v>0</v>
      </c>
      <c r="CY314" s="56">
        <v>0</v>
      </c>
      <c r="CZ314" s="56">
        <v>0</v>
      </c>
      <c r="DA314" s="56">
        <v>0</v>
      </c>
      <c r="DB314" s="56">
        <v>0</v>
      </c>
      <c r="DC314" s="56">
        <v>0</v>
      </c>
      <c r="DD314" s="56">
        <v>0</v>
      </c>
      <c r="DE314" s="56">
        <v>0</v>
      </c>
      <c r="DF314" s="56">
        <v>0</v>
      </c>
      <c r="DG314" s="56">
        <v>0</v>
      </c>
      <c r="DH314" s="56">
        <v>0</v>
      </c>
      <c r="DI314" s="56">
        <v>0</v>
      </c>
      <c r="DJ314" s="56">
        <v>0</v>
      </c>
      <c r="DK314" s="56">
        <v>0</v>
      </c>
      <c r="DL314" s="56">
        <v>0</v>
      </c>
      <c r="DM314" s="56">
        <v>0</v>
      </c>
      <c r="DN314" s="56">
        <v>0</v>
      </c>
      <c r="DO314" s="56">
        <v>0</v>
      </c>
      <c r="DP314" s="56">
        <v>0</v>
      </c>
      <c r="DQ314" s="56">
        <v>0</v>
      </c>
      <c r="DR314" s="56">
        <v>0</v>
      </c>
      <c r="DS314" s="56">
        <v>0</v>
      </c>
      <c r="DT314" s="56">
        <v>0</v>
      </c>
      <c r="DU314" s="56">
        <v>0</v>
      </c>
      <c r="DV314" s="56">
        <v>0</v>
      </c>
      <c r="DW314" s="56">
        <v>0</v>
      </c>
      <c r="DX314" s="56">
        <v>0</v>
      </c>
      <c r="DY314" s="56">
        <v>0</v>
      </c>
      <c r="DZ314" s="56">
        <v>0</v>
      </c>
      <c r="EA314" s="56">
        <v>0</v>
      </c>
      <c r="EB314" s="56">
        <v>0</v>
      </c>
      <c r="EC314" s="56">
        <v>3447</v>
      </c>
      <c r="ED314" s="56">
        <v>0</v>
      </c>
      <c r="EE314" s="56">
        <v>0</v>
      </c>
      <c r="EF314" s="56">
        <v>0</v>
      </c>
      <c r="EG314" s="56">
        <v>0</v>
      </c>
      <c r="EH314" s="56">
        <v>3447</v>
      </c>
      <c r="EI314" s="56">
        <v>0</v>
      </c>
      <c r="EJ314" s="56">
        <v>0</v>
      </c>
      <c r="EK314" s="56">
        <v>0</v>
      </c>
      <c r="EL314" s="56">
        <v>0</v>
      </c>
      <c r="EM314" s="56">
        <v>0</v>
      </c>
      <c r="EN314" s="56">
        <v>0</v>
      </c>
      <c r="EO314" s="56">
        <v>0</v>
      </c>
      <c r="EP314" s="56">
        <v>0</v>
      </c>
      <c r="EQ314" s="56">
        <v>0</v>
      </c>
      <c r="ER314" s="56">
        <v>0</v>
      </c>
      <c r="ES314" s="56">
        <v>0</v>
      </c>
      <c r="ET314" s="56">
        <v>0</v>
      </c>
      <c r="EU314" s="56">
        <v>0</v>
      </c>
      <c r="EV314" s="56">
        <v>0</v>
      </c>
      <c r="EW314" s="56">
        <v>0</v>
      </c>
      <c r="EX314" s="56">
        <v>0</v>
      </c>
      <c r="EY314" s="56">
        <v>0</v>
      </c>
      <c r="EZ314" s="56">
        <v>0</v>
      </c>
      <c r="FA314" s="56">
        <v>0</v>
      </c>
      <c r="FB314" s="56">
        <v>0</v>
      </c>
      <c r="FC314" s="58">
        <v>0</v>
      </c>
      <c r="FD314" s="56">
        <v>0</v>
      </c>
      <c r="FE314" s="56">
        <v>0</v>
      </c>
      <c r="FF314" s="56">
        <v>0</v>
      </c>
      <c r="FG314" s="56">
        <v>0</v>
      </c>
      <c r="FH314" s="56">
        <v>0</v>
      </c>
      <c r="FI314" s="56">
        <v>0</v>
      </c>
      <c r="FJ314" s="56">
        <v>0</v>
      </c>
      <c r="FK314" s="56">
        <v>0</v>
      </c>
      <c r="FL314" s="56">
        <v>0</v>
      </c>
      <c r="FM314" s="56">
        <v>0</v>
      </c>
      <c r="FN314" s="56">
        <v>0</v>
      </c>
      <c r="FO314" s="56">
        <v>0</v>
      </c>
      <c r="FP314" s="56">
        <v>0</v>
      </c>
      <c r="FQ314" s="56">
        <v>0</v>
      </c>
      <c r="FR314" s="56">
        <v>0</v>
      </c>
      <c r="FS314" s="58">
        <v>0</v>
      </c>
      <c r="FT314" s="56">
        <v>0</v>
      </c>
      <c r="FU314" s="56">
        <v>0</v>
      </c>
      <c r="FV314" s="56">
        <v>0</v>
      </c>
      <c r="FW314" s="56">
        <v>0</v>
      </c>
      <c r="FX314" s="56">
        <v>0</v>
      </c>
      <c r="FY314" s="56">
        <v>0</v>
      </c>
      <c r="FZ314" s="54" t="s">
        <v>1083</v>
      </c>
      <c r="GA314" s="54" t="s">
        <v>1084</v>
      </c>
      <c r="GB314" s="54" t="s">
        <v>1311</v>
      </c>
      <c r="GC314" s="54" t="s">
        <v>1323</v>
      </c>
      <c r="GD314" s="54"/>
      <c r="GE314" s="54"/>
      <c r="GF314" s="54"/>
      <c r="GG314" s="55"/>
      <c r="GH314" s="54"/>
      <c r="GI314" s="54" t="s">
        <v>1325</v>
      </c>
      <c r="GJ314" s="54" t="s">
        <v>1076</v>
      </c>
      <c r="GK314" s="54" t="s">
        <v>1077</v>
      </c>
      <c r="GL314" s="54"/>
      <c r="GM314" s="54"/>
      <c r="GN314" s="54" t="s">
        <v>1078</v>
      </c>
      <c r="GO314" s="54" t="s">
        <v>1059</v>
      </c>
      <c r="GP314" s="54" t="s">
        <v>1326</v>
      </c>
      <c r="GQ314" s="56">
        <v>0</v>
      </c>
      <c r="GR314" s="54"/>
      <c r="GS314" s="54"/>
    </row>
    <row r="315" spans="1:201" x14ac:dyDescent="0.25">
      <c r="A315" s="54" t="s">
        <v>1032</v>
      </c>
      <c r="B315" s="54" t="s">
        <v>1033</v>
      </c>
      <c r="C315" s="54" t="s">
        <v>1310</v>
      </c>
      <c r="D315" s="54" t="s">
        <v>1311</v>
      </c>
      <c r="E315" s="54" t="s">
        <v>1312</v>
      </c>
      <c r="F315" s="55">
        <v>46179</v>
      </c>
      <c r="G315" s="55">
        <v>46179</v>
      </c>
      <c r="H315" s="54" t="s">
        <v>1313</v>
      </c>
      <c r="I315" s="54" t="s">
        <v>1314</v>
      </c>
      <c r="J315" s="54" t="s">
        <v>1039</v>
      </c>
      <c r="K315" s="55"/>
      <c r="L315" s="54" t="s">
        <v>1315</v>
      </c>
      <c r="M315" s="54"/>
      <c r="N315" s="54" t="s">
        <v>1316</v>
      </c>
      <c r="O315" s="54" t="s">
        <v>1088</v>
      </c>
      <c r="P315" s="54" t="s">
        <v>184</v>
      </c>
      <c r="Q315" s="54" t="s">
        <v>14</v>
      </c>
      <c r="R315" s="54" t="s">
        <v>1043</v>
      </c>
      <c r="S315" s="56">
        <v>120300</v>
      </c>
      <c r="T315" s="56">
        <v>0</v>
      </c>
      <c r="U315" s="56">
        <v>120300</v>
      </c>
      <c r="V315" s="56">
        <v>0</v>
      </c>
      <c r="W315" s="56">
        <v>0</v>
      </c>
      <c r="X315" s="56">
        <v>0</v>
      </c>
      <c r="Y315" s="56">
        <v>0</v>
      </c>
      <c r="Z315" s="56">
        <v>15000</v>
      </c>
      <c r="AA315" s="56">
        <v>0</v>
      </c>
      <c r="AB315" s="59">
        <v>15000</v>
      </c>
      <c r="AC315" s="56">
        <v>0</v>
      </c>
      <c r="AD315" s="56">
        <v>0</v>
      </c>
      <c r="AE315" s="56">
        <v>0</v>
      </c>
      <c r="AF315" s="54" t="s">
        <v>1317</v>
      </c>
      <c r="AG315" s="57"/>
      <c r="AH315" s="54"/>
      <c r="AI315" s="54"/>
      <c r="AJ315" s="54"/>
      <c r="AK315" s="54"/>
      <c r="AL315" s="54"/>
      <c r="AM315" s="54"/>
      <c r="AN315" s="54" t="s">
        <v>1318</v>
      </c>
      <c r="AO315" s="54" t="s">
        <v>1319</v>
      </c>
      <c r="AP315" s="54"/>
      <c r="AQ315" s="54"/>
      <c r="AR315" s="54" t="s">
        <v>1045</v>
      </c>
      <c r="AS315" s="54" t="s">
        <v>1081</v>
      </c>
      <c r="AT315" s="54" t="s">
        <v>1082</v>
      </c>
      <c r="AU315" s="54" t="s">
        <v>1320</v>
      </c>
      <c r="AV315" s="54"/>
      <c r="AW315" s="55"/>
      <c r="AX315" s="55"/>
      <c r="AY315" s="55">
        <v>46179</v>
      </c>
      <c r="AZ315" s="55"/>
      <c r="BA315" s="55"/>
      <c r="BB315" s="56">
        <v>0</v>
      </c>
      <c r="BC315" s="56">
        <v>0</v>
      </c>
      <c r="BD315" s="56">
        <v>0</v>
      </c>
      <c r="BE315" s="56">
        <v>0</v>
      </c>
      <c r="BF315" s="56">
        <v>0</v>
      </c>
      <c r="BG315" s="56">
        <v>0</v>
      </c>
      <c r="BH315" s="56">
        <v>0</v>
      </c>
      <c r="BI315" s="56">
        <v>0</v>
      </c>
      <c r="BJ315" s="56">
        <v>0</v>
      </c>
      <c r="BK315" s="56">
        <v>0</v>
      </c>
      <c r="BL315" s="56">
        <v>0</v>
      </c>
      <c r="BM315" s="56">
        <v>0</v>
      </c>
      <c r="BN315" s="56">
        <v>0</v>
      </c>
      <c r="BO315" s="56">
        <v>0</v>
      </c>
      <c r="BP315" s="54" t="s">
        <v>1049</v>
      </c>
      <c r="BQ315" s="54" t="s">
        <v>1050</v>
      </c>
      <c r="BR315" s="54" t="s">
        <v>1049</v>
      </c>
      <c r="BS315" s="54" t="s">
        <v>1050</v>
      </c>
      <c r="BT315" s="54" t="s">
        <v>1051</v>
      </c>
      <c r="BU315" s="54" t="s">
        <v>1043</v>
      </c>
      <c r="BV315" s="58">
        <v>0</v>
      </c>
      <c r="BW315" s="54" t="s">
        <v>1052</v>
      </c>
      <c r="BX315" s="54" t="s">
        <v>1053</v>
      </c>
      <c r="BY315" s="54" t="s">
        <v>1054</v>
      </c>
      <c r="BZ315" s="54" t="s">
        <v>1055</v>
      </c>
      <c r="CA315" s="55"/>
      <c r="CB315" s="54" t="s">
        <v>1056</v>
      </c>
      <c r="CC315" s="54" t="s">
        <v>1057</v>
      </c>
      <c r="CD315" s="54" t="s">
        <v>1058</v>
      </c>
      <c r="CE315" s="54" t="s">
        <v>1059</v>
      </c>
      <c r="CF315" s="54" t="s">
        <v>1060</v>
      </c>
      <c r="CG315" s="54" t="s">
        <v>1061</v>
      </c>
      <c r="CH315" s="54" t="s">
        <v>1062</v>
      </c>
      <c r="CI315" s="54" t="s">
        <v>1063</v>
      </c>
      <c r="CJ315" s="54" t="s">
        <v>1064</v>
      </c>
      <c r="CK315" s="54" t="s">
        <v>1065</v>
      </c>
      <c r="CL315" s="54" t="s">
        <v>1066</v>
      </c>
      <c r="CM315" s="54" t="s">
        <v>1067</v>
      </c>
      <c r="CN315" s="54" t="s">
        <v>1321</v>
      </c>
      <c r="CO315" s="54" t="s">
        <v>1322</v>
      </c>
      <c r="CP315" s="56">
        <v>0</v>
      </c>
      <c r="CQ315" s="56">
        <v>0</v>
      </c>
      <c r="CR315" s="56">
        <v>0</v>
      </c>
      <c r="CS315" s="56">
        <v>0</v>
      </c>
      <c r="CT315" s="56">
        <v>0</v>
      </c>
      <c r="CU315" s="56">
        <v>0</v>
      </c>
      <c r="CV315" s="56">
        <v>0</v>
      </c>
      <c r="CW315" s="56">
        <v>0</v>
      </c>
      <c r="CX315" s="56">
        <v>0</v>
      </c>
      <c r="CY315" s="56">
        <v>0</v>
      </c>
      <c r="CZ315" s="56">
        <v>0</v>
      </c>
      <c r="DA315" s="56">
        <v>0</v>
      </c>
      <c r="DB315" s="56">
        <v>0</v>
      </c>
      <c r="DC315" s="56">
        <v>0</v>
      </c>
      <c r="DD315" s="56">
        <v>0</v>
      </c>
      <c r="DE315" s="56">
        <v>0</v>
      </c>
      <c r="DF315" s="56">
        <v>0</v>
      </c>
      <c r="DG315" s="56">
        <v>0</v>
      </c>
      <c r="DH315" s="56">
        <v>0</v>
      </c>
      <c r="DI315" s="56">
        <v>0</v>
      </c>
      <c r="DJ315" s="56">
        <v>0</v>
      </c>
      <c r="DK315" s="56">
        <v>0</v>
      </c>
      <c r="DL315" s="56">
        <v>0</v>
      </c>
      <c r="DM315" s="56">
        <v>0</v>
      </c>
      <c r="DN315" s="56">
        <v>0</v>
      </c>
      <c r="DO315" s="56">
        <v>0</v>
      </c>
      <c r="DP315" s="56">
        <v>0</v>
      </c>
      <c r="DQ315" s="56">
        <v>0</v>
      </c>
      <c r="DR315" s="56">
        <v>0</v>
      </c>
      <c r="DS315" s="56">
        <v>0</v>
      </c>
      <c r="DT315" s="56">
        <v>0</v>
      </c>
      <c r="DU315" s="56">
        <v>0</v>
      </c>
      <c r="DV315" s="56">
        <v>0</v>
      </c>
      <c r="DW315" s="56">
        <v>0</v>
      </c>
      <c r="DX315" s="56">
        <v>0</v>
      </c>
      <c r="DY315" s="56">
        <v>0</v>
      </c>
      <c r="DZ315" s="56">
        <v>0</v>
      </c>
      <c r="EA315" s="56">
        <v>0</v>
      </c>
      <c r="EB315" s="56">
        <v>0</v>
      </c>
      <c r="EC315" s="56">
        <v>14436</v>
      </c>
      <c r="ED315" s="56">
        <v>0</v>
      </c>
      <c r="EE315" s="56">
        <v>0</v>
      </c>
      <c r="EF315" s="56">
        <v>0</v>
      </c>
      <c r="EG315" s="56">
        <v>0</v>
      </c>
      <c r="EH315" s="56">
        <v>14436</v>
      </c>
      <c r="EI315" s="56">
        <v>0</v>
      </c>
      <c r="EJ315" s="56">
        <v>0</v>
      </c>
      <c r="EK315" s="56">
        <v>0</v>
      </c>
      <c r="EL315" s="56">
        <v>0</v>
      </c>
      <c r="EM315" s="56">
        <v>0</v>
      </c>
      <c r="EN315" s="56">
        <v>0</v>
      </c>
      <c r="EO315" s="56">
        <v>0</v>
      </c>
      <c r="EP315" s="56">
        <v>0</v>
      </c>
      <c r="EQ315" s="56">
        <v>0</v>
      </c>
      <c r="ER315" s="56">
        <v>0</v>
      </c>
      <c r="ES315" s="56">
        <v>0</v>
      </c>
      <c r="ET315" s="56">
        <v>0</v>
      </c>
      <c r="EU315" s="56">
        <v>0</v>
      </c>
      <c r="EV315" s="56">
        <v>0</v>
      </c>
      <c r="EW315" s="56">
        <v>0</v>
      </c>
      <c r="EX315" s="56">
        <v>0</v>
      </c>
      <c r="EY315" s="56">
        <v>0</v>
      </c>
      <c r="EZ315" s="56">
        <v>0</v>
      </c>
      <c r="FA315" s="56">
        <v>0</v>
      </c>
      <c r="FB315" s="56">
        <v>0</v>
      </c>
      <c r="FC315" s="58">
        <v>0</v>
      </c>
      <c r="FD315" s="56">
        <v>0</v>
      </c>
      <c r="FE315" s="56">
        <v>0</v>
      </c>
      <c r="FF315" s="56">
        <v>0</v>
      </c>
      <c r="FG315" s="56">
        <v>0</v>
      </c>
      <c r="FH315" s="56">
        <v>0</v>
      </c>
      <c r="FI315" s="56">
        <v>0</v>
      </c>
      <c r="FJ315" s="56">
        <v>0</v>
      </c>
      <c r="FK315" s="56">
        <v>0</v>
      </c>
      <c r="FL315" s="56">
        <v>0</v>
      </c>
      <c r="FM315" s="56">
        <v>0</v>
      </c>
      <c r="FN315" s="56">
        <v>0</v>
      </c>
      <c r="FO315" s="56">
        <v>0</v>
      </c>
      <c r="FP315" s="56">
        <v>0</v>
      </c>
      <c r="FQ315" s="56">
        <v>0</v>
      </c>
      <c r="FR315" s="56">
        <v>0</v>
      </c>
      <c r="FS315" s="58">
        <v>0</v>
      </c>
      <c r="FT315" s="56">
        <v>0</v>
      </c>
      <c r="FU315" s="56">
        <v>0</v>
      </c>
      <c r="FV315" s="56">
        <v>0</v>
      </c>
      <c r="FW315" s="56">
        <v>0</v>
      </c>
      <c r="FX315" s="56">
        <v>0</v>
      </c>
      <c r="FY315" s="56">
        <v>0</v>
      </c>
      <c r="FZ315" s="54" t="s">
        <v>1083</v>
      </c>
      <c r="GA315" s="54" t="s">
        <v>1084</v>
      </c>
      <c r="GB315" s="54" t="s">
        <v>1311</v>
      </c>
      <c r="GC315" s="54" t="s">
        <v>1323</v>
      </c>
      <c r="GD315" s="54" t="s">
        <v>1119</v>
      </c>
      <c r="GE315" s="54" t="s">
        <v>1075</v>
      </c>
      <c r="GF315" s="54"/>
      <c r="GG315" s="55"/>
      <c r="GH315" s="54"/>
      <c r="GI315" s="54" t="s">
        <v>1325</v>
      </c>
      <c r="GJ315" s="54" t="s">
        <v>1076</v>
      </c>
      <c r="GK315" s="54" t="s">
        <v>1077</v>
      </c>
      <c r="GL315" s="54"/>
      <c r="GM315" s="54"/>
      <c r="GN315" s="54" t="s">
        <v>1078</v>
      </c>
      <c r="GO315" s="54" t="s">
        <v>1059</v>
      </c>
      <c r="GP315" s="54" t="s">
        <v>1326</v>
      </c>
      <c r="GQ315" s="56">
        <v>0</v>
      </c>
      <c r="GR315" s="54"/>
      <c r="GS315" s="54"/>
    </row>
    <row r="316" spans="1:201" x14ac:dyDescent="0.25">
      <c r="A316" s="54" t="s">
        <v>1032</v>
      </c>
      <c r="B316" s="54" t="s">
        <v>1033</v>
      </c>
      <c r="C316" s="54" t="s">
        <v>1310</v>
      </c>
      <c r="D316" s="54" t="s">
        <v>1311</v>
      </c>
      <c r="E316" s="54" t="s">
        <v>1312</v>
      </c>
      <c r="F316" s="55">
        <v>46179</v>
      </c>
      <c r="G316" s="55">
        <v>46179</v>
      </c>
      <c r="H316" s="54" t="s">
        <v>1313</v>
      </c>
      <c r="I316" s="54" t="s">
        <v>1314</v>
      </c>
      <c r="J316" s="54" t="s">
        <v>1039</v>
      </c>
      <c r="K316" s="55"/>
      <c r="L316" s="54" t="s">
        <v>1315</v>
      </c>
      <c r="M316" s="54"/>
      <c r="N316" s="54" t="s">
        <v>1316</v>
      </c>
      <c r="O316" s="54" t="s">
        <v>1089</v>
      </c>
      <c r="P316" s="54" t="s">
        <v>183</v>
      </c>
      <c r="Q316" s="54" t="s">
        <v>13</v>
      </c>
      <c r="R316" s="54" t="s">
        <v>1043</v>
      </c>
      <c r="S316" s="56">
        <v>65880</v>
      </c>
      <c r="T316" s="56">
        <v>0</v>
      </c>
      <c r="U316" s="56">
        <v>65880</v>
      </c>
      <c r="V316" s="56">
        <v>0</v>
      </c>
      <c r="W316" s="56">
        <v>0</v>
      </c>
      <c r="X316" s="56">
        <v>0</v>
      </c>
      <c r="Y316" s="56">
        <v>0</v>
      </c>
      <c r="Z316" s="56">
        <v>18000</v>
      </c>
      <c r="AA316" s="56">
        <v>0</v>
      </c>
      <c r="AB316" s="59">
        <v>18000</v>
      </c>
      <c r="AC316" s="56">
        <v>0</v>
      </c>
      <c r="AD316" s="56">
        <v>0</v>
      </c>
      <c r="AE316" s="56">
        <v>0</v>
      </c>
      <c r="AF316" s="54" t="s">
        <v>1317</v>
      </c>
      <c r="AG316" s="57"/>
      <c r="AH316" s="54"/>
      <c r="AI316" s="54"/>
      <c r="AJ316" s="54"/>
      <c r="AK316" s="54"/>
      <c r="AL316" s="54"/>
      <c r="AM316" s="54"/>
      <c r="AN316" s="54" t="s">
        <v>1318</v>
      </c>
      <c r="AO316" s="54" t="s">
        <v>1319</v>
      </c>
      <c r="AP316" s="54"/>
      <c r="AQ316" s="54"/>
      <c r="AR316" s="54" t="s">
        <v>1045</v>
      </c>
      <c r="AS316" s="54" t="s">
        <v>1081</v>
      </c>
      <c r="AT316" s="54" t="s">
        <v>1082</v>
      </c>
      <c r="AU316" s="54" t="s">
        <v>1320</v>
      </c>
      <c r="AV316" s="54"/>
      <c r="AW316" s="55"/>
      <c r="AX316" s="55"/>
      <c r="AY316" s="55">
        <v>46179</v>
      </c>
      <c r="AZ316" s="55"/>
      <c r="BA316" s="55"/>
      <c r="BB316" s="56">
        <v>0</v>
      </c>
      <c r="BC316" s="56">
        <v>0</v>
      </c>
      <c r="BD316" s="56">
        <v>0</v>
      </c>
      <c r="BE316" s="56">
        <v>0</v>
      </c>
      <c r="BF316" s="56">
        <v>0</v>
      </c>
      <c r="BG316" s="56">
        <v>0</v>
      </c>
      <c r="BH316" s="56">
        <v>0</v>
      </c>
      <c r="BI316" s="56">
        <v>0</v>
      </c>
      <c r="BJ316" s="56">
        <v>0</v>
      </c>
      <c r="BK316" s="56">
        <v>0</v>
      </c>
      <c r="BL316" s="56">
        <v>0</v>
      </c>
      <c r="BM316" s="56">
        <v>0</v>
      </c>
      <c r="BN316" s="56">
        <v>0</v>
      </c>
      <c r="BO316" s="56">
        <v>0</v>
      </c>
      <c r="BP316" s="54" t="s">
        <v>1049</v>
      </c>
      <c r="BQ316" s="54" t="s">
        <v>1050</v>
      </c>
      <c r="BR316" s="54" t="s">
        <v>1049</v>
      </c>
      <c r="BS316" s="54" t="s">
        <v>1050</v>
      </c>
      <c r="BT316" s="54" t="s">
        <v>1051</v>
      </c>
      <c r="BU316" s="54" t="s">
        <v>1043</v>
      </c>
      <c r="BV316" s="58">
        <v>0</v>
      </c>
      <c r="BW316" s="54" t="s">
        <v>1052</v>
      </c>
      <c r="BX316" s="54" t="s">
        <v>1053</v>
      </c>
      <c r="BY316" s="54" t="s">
        <v>1054</v>
      </c>
      <c r="BZ316" s="54" t="s">
        <v>1055</v>
      </c>
      <c r="CA316" s="55"/>
      <c r="CB316" s="54" t="s">
        <v>1056</v>
      </c>
      <c r="CC316" s="54" t="s">
        <v>1057</v>
      </c>
      <c r="CD316" s="54" t="s">
        <v>1058</v>
      </c>
      <c r="CE316" s="54" t="s">
        <v>1059</v>
      </c>
      <c r="CF316" s="54" t="s">
        <v>1060</v>
      </c>
      <c r="CG316" s="54" t="s">
        <v>1061</v>
      </c>
      <c r="CH316" s="54" t="s">
        <v>1062</v>
      </c>
      <c r="CI316" s="54" t="s">
        <v>1063</v>
      </c>
      <c r="CJ316" s="54" t="s">
        <v>1064</v>
      </c>
      <c r="CK316" s="54" t="s">
        <v>1065</v>
      </c>
      <c r="CL316" s="54" t="s">
        <v>1066</v>
      </c>
      <c r="CM316" s="54" t="s">
        <v>1067</v>
      </c>
      <c r="CN316" s="54" t="s">
        <v>1321</v>
      </c>
      <c r="CO316" s="54" t="s">
        <v>1322</v>
      </c>
      <c r="CP316" s="56">
        <v>0</v>
      </c>
      <c r="CQ316" s="56">
        <v>0</v>
      </c>
      <c r="CR316" s="56">
        <v>0</v>
      </c>
      <c r="CS316" s="56">
        <v>0</v>
      </c>
      <c r="CT316" s="56">
        <v>0</v>
      </c>
      <c r="CU316" s="56">
        <v>0</v>
      </c>
      <c r="CV316" s="56">
        <v>0</v>
      </c>
      <c r="CW316" s="56">
        <v>0</v>
      </c>
      <c r="CX316" s="56">
        <v>0</v>
      </c>
      <c r="CY316" s="56">
        <v>0</v>
      </c>
      <c r="CZ316" s="56">
        <v>0</v>
      </c>
      <c r="DA316" s="56">
        <v>0</v>
      </c>
      <c r="DB316" s="56">
        <v>0</v>
      </c>
      <c r="DC316" s="56">
        <v>0</v>
      </c>
      <c r="DD316" s="56">
        <v>0</v>
      </c>
      <c r="DE316" s="56">
        <v>0</v>
      </c>
      <c r="DF316" s="56">
        <v>0</v>
      </c>
      <c r="DG316" s="56">
        <v>0</v>
      </c>
      <c r="DH316" s="56">
        <v>0</v>
      </c>
      <c r="DI316" s="56">
        <v>0</v>
      </c>
      <c r="DJ316" s="56">
        <v>0</v>
      </c>
      <c r="DK316" s="56">
        <v>0</v>
      </c>
      <c r="DL316" s="56">
        <v>0</v>
      </c>
      <c r="DM316" s="56">
        <v>0</v>
      </c>
      <c r="DN316" s="56">
        <v>0</v>
      </c>
      <c r="DO316" s="56">
        <v>0</v>
      </c>
      <c r="DP316" s="56">
        <v>0</v>
      </c>
      <c r="DQ316" s="56">
        <v>0</v>
      </c>
      <c r="DR316" s="56">
        <v>0</v>
      </c>
      <c r="DS316" s="56">
        <v>0</v>
      </c>
      <c r="DT316" s="56">
        <v>0</v>
      </c>
      <c r="DU316" s="56">
        <v>0</v>
      </c>
      <c r="DV316" s="56">
        <v>0</v>
      </c>
      <c r="DW316" s="56">
        <v>0</v>
      </c>
      <c r="DX316" s="56">
        <v>0</v>
      </c>
      <c r="DY316" s="56">
        <v>0</v>
      </c>
      <c r="DZ316" s="56">
        <v>0</v>
      </c>
      <c r="EA316" s="56">
        <v>0</v>
      </c>
      <c r="EB316" s="56">
        <v>0</v>
      </c>
      <c r="EC316" s="56">
        <v>7905.6</v>
      </c>
      <c r="ED316" s="56">
        <v>0</v>
      </c>
      <c r="EE316" s="56">
        <v>0</v>
      </c>
      <c r="EF316" s="56">
        <v>0</v>
      </c>
      <c r="EG316" s="56">
        <v>0</v>
      </c>
      <c r="EH316" s="56">
        <v>7905.6</v>
      </c>
      <c r="EI316" s="56">
        <v>0</v>
      </c>
      <c r="EJ316" s="56">
        <v>0</v>
      </c>
      <c r="EK316" s="56">
        <v>0</v>
      </c>
      <c r="EL316" s="56">
        <v>0</v>
      </c>
      <c r="EM316" s="56">
        <v>0</v>
      </c>
      <c r="EN316" s="56">
        <v>0</v>
      </c>
      <c r="EO316" s="56">
        <v>0</v>
      </c>
      <c r="EP316" s="56">
        <v>0</v>
      </c>
      <c r="EQ316" s="56">
        <v>0</v>
      </c>
      <c r="ER316" s="56">
        <v>0</v>
      </c>
      <c r="ES316" s="56">
        <v>0</v>
      </c>
      <c r="ET316" s="56">
        <v>0</v>
      </c>
      <c r="EU316" s="56">
        <v>0</v>
      </c>
      <c r="EV316" s="56">
        <v>0</v>
      </c>
      <c r="EW316" s="56">
        <v>0</v>
      </c>
      <c r="EX316" s="56">
        <v>0</v>
      </c>
      <c r="EY316" s="56">
        <v>0</v>
      </c>
      <c r="EZ316" s="56">
        <v>0</v>
      </c>
      <c r="FA316" s="56">
        <v>0</v>
      </c>
      <c r="FB316" s="56">
        <v>0</v>
      </c>
      <c r="FC316" s="58">
        <v>0</v>
      </c>
      <c r="FD316" s="56">
        <v>0</v>
      </c>
      <c r="FE316" s="56">
        <v>0</v>
      </c>
      <c r="FF316" s="56">
        <v>0</v>
      </c>
      <c r="FG316" s="56">
        <v>0</v>
      </c>
      <c r="FH316" s="56">
        <v>0</v>
      </c>
      <c r="FI316" s="56">
        <v>0</v>
      </c>
      <c r="FJ316" s="56">
        <v>0</v>
      </c>
      <c r="FK316" s="56">
        <v>0</v>
      </c>
      <c r="FL316" s="56">
        <v>0</v>
      </c>
      <c r="FM316" s="56">
        <v>0</v>
      </c>
      <c r="FN316" s="56">
        <v>0</v>
      </c>
      <c r="FO316" s="56">
        <v>0</v>
      </c>
      <c r="FP316" s="56">
        <v>0</v>
      </c>
      <c r="FQ316" s="56">
        <v>0</v>
      </c>
      <c r="FR316" s="56">
        <v>0</v>
      </c>
      <c r="FS316" s="58">
        <v>0</v>
      </c>
      <c r="FT316" s="56">
        <v>0</v>
      </c>
      <c r="FU316" s="56">
        <v>0</v>
      </c>
      <c r="FV316" s="56">
        <v>0</v>
      </c>
      <c r="FW316" s="56">
        <v>0</v>
      </c>
      <c r="FX316" s="56">
        <v>0</v>
      </c>
      <c r="FY316" s="56">
        <v>0</v>
      </c>
      <c r="FZ316" s="54" t="s">
        <v>1083</v>
      </c>
      <c r="GA316" s="54" t="s">
        <v>1084</v>
      </c>
      <c r="GB316" s="54" t="s">
        <v>1311</v>
      </c>
      <c r="GC316" s="54" t="s">
        <v>1323</v>
      </c>
      <c r="GD316" s="54" t="s">
        <v>1119</v>
      </c>
      <c r="GE316" s="54" t="s">
        <v>1075</v>
      </c>
      <c r="GF316" s="54"/>
      <c r="GG316" s="55"/>
      <c r="GH316" s="54"/>
      <c r="GI316" s="54" t="s">
        <v>1325</v>
      </c>
      <c r="GJ316" s="54" t="s">
        <v>1076</v>
      </c>
      <c r="GK316" s="54" t="s">
        <v>1077</v>
      </c>
      <c r="GL316" s="54"/>
      <c r="GM316" s="54"/>
      <c r="GN316" s="54" t="s">
        <v>1078</v>
      </c>
      <c r="GO316" s="54" t="s">
        <v>1059</v>
      </c>
      <c r="GP316" s="54" t="s">
        <v>1326</v>
      </c>
      <c r="GQ316" s="56">
        <v>0</v>
      </c>
      <c r="GR316" s="54"/>
      <c r="GS316" s="54"/>
    </row>
    <row r="317" spans="1:201" x14ac:dyDescent="0.25">
      <c r="A317" s="54" t="s">
        <v>1032</v>
      </c>
      <c r="B317" s="54" t="s">
        <v>1033</v>
      </c>
      <c r="C317" s="54" t="s">
        <v>1310</v>
      </c>
      <c r="D317" s="54" t="s">
        <v>1311</v>
      </c>
      <c r="E317" s="54" t="s">
        <v>1312</v>
      </c>
      <c r="F317" s="55">
        <v>46179</v>
      </c>
      <c r="G317" s="55">
        <v>46179</v>
      </c>
      <c r="H317" s="54" t="s">
        <v>1313</v>
      </c>
      <c r="I317" s="54" t="s">
        <v>1314</v>
      </c>
      <c r="J317" s="54" t="s">
        <v>1039</v>
      </c>
      <c r="K317" s="55"/>
      <c r="L317" s="54" t="s">
        <v>1315</v>
      </c>
      <c r="M317" s="54"/>
      <c r="N317" s="54" t="s">
        <v>1316</v>
      </c>
      <c r="O317" s="54" t="s">
        <v>1090</v>
      </c>
      <c r="P317" s="54" t="s">
        <v>336</v>
      </c>
      <c r="Q317" s="54" t="s">
        <v>28</v>
      </c>
      <c r="R317" s="54" t="s">
        <v>1043</v>
      </c>
      <c r="S317" s="56">
        <v>4545.72</v>
      </c>
      <c r="T317" s="56">
        <v>0</v>
      </c>
      <c r="U317" s="56">
        <v>4545.72</v>
      </c>
      <c r="V317" s="56">
        <v>0</v>
      </c>
      <c r="W317" s="56">
        <v>0</v>
      </c>
      <c r="X317" s="56">
        <v>0</v>
      </c>
      <c r="Y317" s="56">
        <v>0</v>
      </c>
      <c r="Z317" s="56">
        <v>2196</v>
      </c>
      <c r="AA317" s="56">
        <v>0</v>
      </c>
      <c r="AB317" s="59">
        <v>2196</v>
      </c>
      <c r="AC317" s="56">
        <v>0</v>
      </c>
      <c r="AD317" s="56">
        <v>0</v>
      </c>
      <c r="AE317" s="56">
        <v>0</v>
      </c>
      <c r="AF317" s="54" t="s">
        <v>1317</v>
      </c>
      <c r="AG317" s="57"/>
      <c r="AH317" s="54"/>
      <c r="AI317" s="54"/>
      <c r="AJ317" s="54"/>
      <c r="AK317" s="54"/>
      <c r="AL317" s="54"/>
      <c r="AM317" s="54"/>
      <c r="AN317" s="54" t="s">
        <v>1318</v>
      </c>
      <c r="AO317" s="54" t="s">
        <v>1319</v>
      </c>
      <c r="AP317" s="54"/>
      <c r="AQ317" s="54"/>
      <c r="AR317" s="54" t="s">
        <v>1045</v>
      </c>
      <c r="AS317" s="54" t="s">
        <v>1081</v>
      </c>
      <c r="AT317" s="54" t="s">
        <v>1082</v>
      </c>
      <c r="AU317" s="54" t="s">
        <v>1320</v>
      </c>
      <c r="AV317" s="54"/>
      <c r="AW317" s="55"/>
      <c r="AX317" s="55"/>
      <c r="AY317" s="55">
        <v>46179</v>
      </c>
      <c r="AZ317" s="55"/>
      <c r="BA317" s="55"/>
      <c r="BB317" s="56">
        <v>0</v>
      </c>
      <c r="BC317" s="56">
        <v>0</v>
      </c>
      <c r="BD317" s="56">
        <v>0</v>
      </c>
      <c r="BE317" s="56">
        <v>0</v>
      </c>
      <c r="BF317" s="56">
        <v>0</v>
      </c>
      <c r="BG317" s="56">
        <v>0</v>
      </c>
      <c r="BH317" s="56">
        <v>0</v>
      </c>
      <c r="BI317" s="56">
        <v>0</v>
      </c>
      <c r="BJ317" s="56">
        <v>0</v>
      </c>
      <c r="BK317" s="56">
        <v>0</v>
      </c>
      <c r="BL317" s="56">
        <v>0</v>
      </c>
      <c r="BM317" s="56">
        <v>0</v>
      </c>
      <c r="BN317" s="56">
        <v>0</v>
      </c>
      <c r="BO317" s="56">
        <v>0</v>
      </c>
      <c r="BP317" s="54" t="s">
        <v>1049</v>
      </c>
      <c r="BQ317" s="54" t="s">
        <v>1050</v>
      </c>
      <c r="BR317" s="54" t="s">
        <v>1049</v>
      </c>
      <c r="BS317" s="54" t="s">
        <v>1050</v>
      </c>
      <c r="BT317" s="54" t="s">
        <v>1051</v>
      </c>
      <c r="BU317" s="54" t="s">
        <v>1043</v>
      </c>
      <c r="BV317" s="58">
        <v>0</v>
      </c>
      <c r="BW317" s="54" t="s">
        <v>1052</v>
      </c>
      <c r="BX317" s="54" t="s">
        <v>1053</v>
      </c>
      <c r="BY317" s="54" t="s">
        <v>1054</v>
      </c>
      <c r="BZ317" s="54" t="s">
        <v>1055</v>
      </c>
      <c r="CA317" s="55"/>
      <c r="CB317" s="54" t="s">
        <v>1056</v>
      </c>
      <c r="CC317" s="54" t="s">
        <v>1057</v>
      </c>
      <c r="CD317" s="54" t="s">
        <v>1058</v>
      </c>
      <c r="CE317" s="54" t="s">
        <v>1059</v>
      </c>
      <c r="CF317" s="54" t="s">
        <v>1060</v>
      </c>
      <c r="CG317" s="54" t="s">
        <v>1061</v>
      </c>
      <c r="CH317" s="54" t="s">
        <v>1062</v>
      </c>
      <c r="CI317" s="54" t="s">
        <v>1063</v>
      </c>
      <c r="CJ317" s="54" t="s">
        <v>1064</v>
      </c>
      <c r="CK317" s="54" t="s">
        <v>1065</v>
      </c>
      <c r="CL317" s="54" t="s">
        <v>1066</v>
      </c>
      <c r="CM317" s="54" t="s">
        <v>1067</v>
      </c>
      <c r="CN317" s="54" t="s">
        <v>1321</v>
      </c>
      <c r="CO317" s="54" t="s">
        <v>1322</v>
      </c>
      <c r="CP317" s="56">
        <v>0</v>
      </c>
      <c r="CQ317" s="56">
        <v>0</v>
      </c>
      <c r="CR317" s="56">
        <v>0</v>
      </c>
      <c r="CS317" s="56">
        <v>0</v>
      </c>
      <c r="CT317" s="56">
        <v>0</v>
      </c>
      <c r="CU317" s="56">
        <v>0</v>
      </c>
      <c r="CV317" s="56">
        <v>0</v>
      </c>
      <c r="CW317" s="56">
        <v>0</v>
      </c>
      <c r="CX317" s="56">
        <v>0</v>
      </c>
      <c r="CY317" s="56">
        <v>0</v>
      </c>
      <c r="CZ317" s="56">
        <v>0</v>
      </c>
      <c r="DA317" s="56">
        <v>0</v>
      </c>
      <c r="DB317" s="56">
        <v>0</v>
      </c>
      <c r="DC317" s="56">
        <v>0</v>
      </c>
      <c r="DD317" s="56">
        <v>0</v>
      </c>
      <c r="DE317" s="56">
        <v>0</v>
      </c>
      <c r="DF317" s="56">
        <v>0</v>
      </c>
      <c r="DG317" s="56">
        <v>0</v>
      </c>
      <c r="DH317" s="56">
        <v>0</v>
      </c>
      <c r="DI317" s="56">
        <v>0</v>
      </c>
      <c r="DJ317" s="56">
        <v>0</v>
      </c>
      <c r="DK317" s="56">
        <v>0</v>
      </c>
      <c r="DL317" s="56">
        <v>0</v>
      </c>
      <c r="DM317" s="56">
        <v>0</v>
      </c>
      <c r="DN317" s="56">
        <v>0</v>
      </c>
      <c r="DO317" s="56">
        <v>0</v>
      </c>
      <c r="DP317" s="56">
        <v>0</v>
      </c>
      <c r="DQ317" s="56">
        <v>0</v>
      </c>
      <c r="DR317" s="56">
        <v>0</v>
      </c>
      <c r="DS317" s="56">
        <v>0</v>
      </c>
      <c r="DT317" s="56">
        <v>0</v>
      </c>
      <c r="DU317" s="56">
        <v>0</v>
      </c>
      <c r="DV317" s="56">
        <v>0</v>
      </c>
      <c r="DW317" s="56">
        <v>0</v>
      </c>
      <c r="DX317" s="56">
        <v>0</v>
      </c>
      <c r="DY317" s="56">
        <v>0</v>
      </c>
      <c r="DZ317" s="56">
        <v>0</v>
      </c>
      <c r="EA317" s="56">
        <v>0</v>
      </c>
      <c r="EB317" s="56">
        <v>0</v>
      </c>
      <c r="EC317" s="56">
        <v>545.49</v>
      </c>
      <c r="ED317" s="56">
        <v>0</v>
      </c>
      <c r="EE317" s="56">
        <v>0</v>
      </c>
      <c r="EF317" s="56">
        <v>0</v>
      </c>
      <c r="EG317" s="56">
        <v>0</v>
      </c>
      <c r="EH317" s="56">
        <v>545.49</v>
      </c>
      <c r="EI317" s="56">
        <v>0</v>
      </c>
      <c r="EJ317" s="56">
        <v>0</v>
      </c>
      <c r="EK317" s="56">
        <v>0</v>
      </c>
      <c r="EL317" s="56">
        <v>0</v>
      </c>
      <c r="EM317" s="56">
        <v>0</v>
      </c>
      <c r="EN317" s="56">
        <v>0</v>
      </c>
      <c r="EO317" s="56">
        <v>0</v>
      </c>
      <c r="EP317" s="56">
        <v>0</v>
      </c>
      <c r="EQ317" s="56">
        <v>0</v>
      </c>
      <c r="ER317" s="56">
        <v>0</v>
      </c>
      <c r="ES317" s="56">
        <v>0</v>
      </c>
      <c r="ET317" s="56">
        <v>0</v>
      </c>
      <c r="EU317" s="56">
        <v>0</v>
      </c>
      <c r="EV317" s="56">
        <v>0</v>
      </c>
      <c r="EW317" s="56">
        <v>0</v>
      </c>
      <c r="EX317" s="56">
        <v>0</v>
      </c>
      <c r="EY317" s="56">
        <v>0</v>
      </c>
      <c r="EZ317" s="56">
        <v>0</v>
      </c>
      <c r="FA317" s="56">
        <v>0</v>
      </c>
      <c r="FB317" s="56">
        <v>0</v>
      </c>
      <c r="FC317" s="58">
        <v>0</v>
      </c>
      <c r="FD317" s="56">
        <v>0</v>
      </c>
      <c r="FE317" s="56">
        <v>0</v>
      </c>
      <c r="FF317" s="56">
        <v>0</v>
      </c>
      <c r="FG317" s="56">
        <v>0</v>
      </c>
      <c r="FH317" s="56">
        <v>0</v>
      </c>
      <c r="FI317" s="56">
        <v>0</v>
      </c>
      <c r="FJ317" s="56">
        <v>0</v>
      </c>
      <c r="FK317" s="56">
        <v>0</v>
      </c>
      <c r="FL317" s="56">
        <v>0</v>
      </c>
      <c r="FM317" s="56">
        <v>0</v>
      </c>
      <c r="FN317" s="56">
        <v>0</v>
      </c>
      <c r="FO317" s="56">
        <v>0</v>
      </c>
      <c r="FP317" s="56">
        <v>0</v>
      </c>
      <c r="FQ317" s="56">
        <v>0</v>
      </c>
      <c r="FR317" s="56">
        <v>0</v>
      </c>
      <c r="FS317" s="58">
        <v>0</v>
      </c>
      <c r="FT317" s="56">
        <v>0</v>
      </c>
      <c r="FU317" s="56">
        <v>0</v>
      </c>
      <c r="FV317" s="56">
        <v>0</v>
      </c>
      <c r="FW317" s="56">
        <v>0</v>
      </c>
      <c r="FX317" s="56">
        <v>0</v>
      </c>
      <c r="FY317" s="56">
        <v>0</v>
      </c>
      <c r="FZ317" s="54" t="s">
        <v>1083</v>
      </c>
      <c r="GA317" s="54" t="s">
        <v>1084</v>
      </c>
      <c r="GB317" s="54" t="s">
        <v>1311</v>
      </c>
      <c r="GC317" s="54" t="s">
        <v>1323</v>
      </c>
      <c r="GD317" s="54" t="s">
        <v>1275</v>
      </c>
      <c r="GE317" s="54" t="s">
        <v>1075</v>
      </c>
      <c r="GF317" s="54"/>
      <c r="GG317" s="55"/>
      <c r="GH317" s="54"/>
      <c r="GI317" s="54" t="s">
        <v>1325</v>
      </c>
      <c r="GJ317" s="54" t="s">
        <v>1076</v>
      </c>
      <c r="GK317" s="54" t="s">
        <v>1077</v>
      </c>
      <c r="GL317" s="54"/>
      <c r="GM317" s="54"/>
      <c r="GN317" s="54" t="s">
        <v>1078</v>
      </c>
      <c r="GO317" s="54" t="s">
        <v>1059</v>
      </c>
      <c r="GP317" s="54" t="s">
        <v>1326</v>
      </c>
      <c r="GQ317" s="56">
        <v>0</v>
      </c>
      <c r="GR317" s="54"/>
      <c r="GS317" s="54"/>
    </row>
    <row r="318" spans="1:201" x14ac:dyDescent="0.25">
      <c r="A318" s="54" t="s">
        <v>1032</v>
      </c>
      <c r="B318" s="54" t="s">
        <v>1033</v>
      </c>
      <c r="C318" s="54" t="s">
        <v>1310</v>
      </c>
      <c r="D318" s="54" t="s">
        <v>1311</v>
      </c>
      <c r="E318" s="54" t="s">
        <v>1312</v>
      </c>
      <c r="F318" s="55">
        <v>46179</v>
      </c>
      <c r="G318" s="55">
        <v>46179</v>
      </c>
      <c r="H318" s="54" t="s">
        <v>1313</v>
      </c>
      <c r="I318" s="54" t="s">
        <v>1314</v>
      </c>
      <c r="J318" s="54" t="s">
        <v>1039</v>
      </c>
      <c r="K318" s="55"/>
      <c r="L318" s="54" t="s">
        <v>1315</v>
      </c>
      <c r="M318" s="54"/>
      <c r="N318" s="54" t="s">
        <v>1316</v>
      </c>
      <c r="O318" s="54" t="s">
        <v>1081</v>
      </c>
      <c r="P318" s="54" t="s">
        <v>201</v>
      </c>
      <c r="Q318" s="54" t="s">
        <v>33</v>
      </c>
      <c r="R318" s="54" t="s">
        <v>1043</v>
      </c>
      <c r="S318" s="56">
        <v>105400</v>
      </c>
      <c r="T318" s="56">
        <v>0</v>
      </c>
      <c r="U318" s="56">
        <v>105400</v>
      </c>
      <c r="V318" s="56">
        <v>0</v>
      </c>
      <c r="W318" s="56">
        <v>0</v>
      </c>
      <c r="X318" s="56">
        <v>0</v>
      </c>
      <c r="Y318" s="56">
        <v>0</v>
      </c>
      <c r="Z318" s="56">
        <v>20000</v>
      </c>
      <c r="AA318" s="56">
        <v>0</v>
      </c>
      <c r="AB318" s="59">
        <v>20000</v>
      </c>
      <c r="AC318" s="56">
        <v>0</v>
      </c>
      <c r="AD318" s="56">
        <v>0</v>
      </c>
      <c r="AE318" s="56">
        <v>0</v>
      </c>
      <c r="AF318" s="54" t="s">
        <v>1317</v>
      </c>
      <c r="AG318" s="57"/>
      <c r="AH318" s="54"/>
      <c r="AI318" s="54"/>
      <c r="AJ318" s="54"/>
      <c r="AK318" s="54"/>
      <c r="AL318" s="54"/>
      <c r="AM318" s="54"/>
      <c r="AN318" s="54" t="s">
        <v>1318</v>
      </c>
      <c r="AO318" s="54" t="s">
        <v>1319</v>
      </c>
      <c r="AP318" s="54"/>
      <c r="AQ318" s="54"/>
      <c r="AR318" s="54" t="s">
        <v>1045</v>
      </c>
      <c r="AS318" s="54" t="s">
        <v>1081</v>
      </c>
      <c r="AT318" s="54" t="s">
        <v>1082</v>
      </c>
      <c r="AU318" s="54" t="s">
        <v>1320</v>
      </c>
      <c r="AV318" s="54"/>
      <c r="AW318" s="55"/>
      <c r="AX318" s="55"/>
      <c r="AY318" s="55">
        <v>46179</v>
      </c>
      <c r="AZ318" s="55"/>
      <c r="BA318" s="55"/>
      <c r="BB318" s="56">
        <v>0</v>
      </c>
      <c r="BC318" s="56">
        <v>0</v>
      </c>
      <c r="BD318" s="56">
        <v>0</v>
      </c>
      <c r="BE318" s="56">
        <v>0</v>
      </c>
      <c r="BF318" s="56">
        <v>0</v>
      </c>
      <c r="BG318" s="56">
        <v>0</v>
      </c>
      <c r="BH318" s="56">
        <v>0</v>
      </c>
      <c r="BI318" s="56">
        <v>0</v>
      </c>
      <c r="BJ318" s="56">
        <v>0</v>
      </c>
      <c r="BK318" s="56">
        <v>0</v>
      </c>
      <c r="BL318" s="56">
        <v>0</v>
      </c>
      <c r="BM318" s="56">
        <v>0</v>
      </c>
      <c r="BN318" s="56">
        <v>0</v>
      </c>
      <c r="BO318" s="56">
        <v>0</v>
      </c>
      <c r="BP318" s="54" t="s">
        <v>1049</v>
      </c>
      <c r="BQ318" s="54" t="s">
        <v>1050</v>
      </c>
      <c r="BR318" s="54" t="s">
        <v>1049</v>
      </c>
      <c r="BS318" s="54" t="s">
        <v>1050</v>
      </c>
      <c r="BT318" s="54" t="s">
        <v>1051</v>
      </c>
      <c r="BU318" s="54" t="s">
        <v>1043</v>
      </c>
      <c r="BV318" s="58">
        <v>0</v>
      </c>
      <c r="BW318" s="54" t="s">
        <v>1052</v>
      </c>
      <c r="BX318" s="54" t="s">
        <v>1053</v>
      </c>
      <c r="BY318" s="54" t="s">
        <v>1054</v>
      </c>
      <c r="BZ318" s="54" t="s">
        <v>1055</v>
      </c>
      <c r="CA318" s="55"/>
      <c r="CB318" s="54" t="s">
        <v>1056</v>
      </c>
      <c r="CC318" s="54" t="s">
        <v>1057</v>
      </c>
      <c r="CD318" s="54" t="s">
        <v>1058</v>
      </c>
      <c r="CE318" s="54" t="s">
        <v>1059</v>
      </c>
      <c r="CF318" s="54" t="s">
        <v>1060</v>
      </c>
      <c r="CG318" s="54" t="s">
        <v>1061</v>
      </c>
      <c r="CH318" s="54" t="s">
        <v>1062</v>
      </c>
      <c r="CI318" s="54" t="s">
        <v>1063</v>
      </c>
      <c r="CJ318" s="54" t="s">
        <v>1064</v>
      </c>
      <c r="CK318" s="54" t="s">
        <v>1065</v>
      </c>
      <c r="CL318" s="54" t="s">
        <v>1066</v>
      </c>
      <c r="CM318" s="54" t="s">
        <v>1067</v>
      </c>
      <c r="CN318" s="54" t="s">
        <v>1321</v>
      </c>
      <c r="CO318" s="54" t="s">
        <v>1322</v>
      </c>
      <c r="CP318" s="56">
        <v>0</v>
      </c>
      <c r="CQ318" s="56">
        <v>0</v>
      </c>
      <c r="CR318" s="56">
        <v>0</v>
      </c>
      <c r="CS318" s="56">
        <v>0</v>
      </c>
      <c r="CT318" s="56">
        <v>0</v>
      </c>
      <c r="CU318" s="56">
        <v>0</v>
      </c>
      <c r="CV318" s="56">
        <v>0</v>
      </c>
      <c r="CW318" s="56">
        <v>0</v>
      </c>
      <c r="CX318" s="56">
        <v>0</v>
      </c>
      <c r="CY318" s="56">
        <v>0</v>
      </c>
      <c r="CZ318" s="56">
        <v>0</v>
      </c>
      <c r="DA318" s="56">
        <v>0</v>
      </c>
      <c r="DB318" s="56">
        <v>0</v>
      </c>
      <c r="DC318" s="56">
        <v>0</v>
      </c>
      <c r="DD318" s="56">
        <v>0</v>
      </c>
      <c r="DE318" s="56">
        <v>0</v>
      </c>
      <c r="DF318" s="56">
        <v>0</v>
      </c>
      <c r="DG318" s="56">
        <v>0</v>
      </c>
      <c r="DH318" s="56">
        <v>0</v>
      </c>
      <c r="DI318" s="56">
        <v>0</v>
      </c>
      <c r="DJ318" s="56">
        <v>0</v>
      </c>
      <c r="DK318" s="56">
        <v>0</v>
      </c>
      <c r="DL318" s="56">
        <v>0</v>
      </c>
      <c r="DM318" s="56">
        <v>0</v>
      </c>
      <c r="DN318" s="56">
        <v>0</v>
      </c>
      <c r="DO318" s="56">
        <v>0</v>
      </c>
      <c r="DP318" s="56">
        <v>0</v>
      </c>
      <c r="DQ318" s="56">
        <v>0</v>
      </c>
      <c r="DR318" s="56">
        <v>0</v>
      </c>
      <c r="DS318" s="56">
        <v>0</v>
      </c>
      <c r="DT318" s="56">
        <v>0</v>
      </c>
      <c r="DU318" s="56">
        <v>0</v>
      </c>
      <c r="DV318" s="56">
        <v>0</v>
      </c>
      <c r="DW318" s="56">
        <v>0</v>
      </c>
      <c r="DX318" s="56">
        <v>0</v>
      </c>
      <c r="DY318" s="56">
        <v>0</v>
      </c>
      <c r="DZ318" s="56">
        <v>0</v>
      </c>
      <c r="EA318" s="56">
        <v>0</v>
      </c>
      <c r="EB318" s="56">
        <v>0</v>
      </c>
      <c r="EC318" s="56">
        <v>12648</v>
      </c>
      <c r="ED318" s="56">
        <v>0</v>
      </c>
      <c r="EE318" s="56">
        <v>0</v>
      </c>
      <c r="EF318" s="56">
        <v>0</v>
      </c>
      <c r="EG318" s="56">
        <v>0</v>
      </c>
      <c r="EH318" s="56">
        <v>12648</v>
      </c>
      <c r="EI318" s="56">
        <v>0</v>
      </c>
      <c r="EJ318" s="56">
        <v>0</v>
      </c>
      <c r="EK318" s="56">
        <v>0</v>
      </c>
      <c r="EL318" s="56">
        <v>0</v>
      </c>
      <c r="EM318" s="56">
        <v>0</v>
      </c>
      <c r="EN318" s="56">
        <v>0</v>
      </c>
      <c r="EO318" s="56">
        <v>0</v>
      </c>
      <c r="EP318" s="56">
        <v>0</v>
      </c>
      <c r="EQ318" s="56">
        <v>0</v>
      </c>
      <c r="ER318" s="56">
        <v>0</v>
      </c>
      <c r="ES318" s="56">
        <v>0</v>
      </c>
      <c r="ET318" s="56">
        <v>0</v>
      </c>
      <c r="EU318" s="56">
        <v>0</v>
      </c>
      <c r="EV318" s="56">
        <v>0</v>
      </c>
      <c r="EW318" s="56">
        <v>0</v>
      </c>
      <c r="EX318" s="56">
        <v>0</v>
      </c>
      <c r="EY318" s="56">
        <v>0</v>
      </c>
      <c r="EZ318" s="56">
        <v>0</v>
      </c>
      <c r="FA318" s="56">
        <v>0</v>
      </c>
      <c r="FB318" s="56">
        <v>0</v>
      </c>
      <c r="FC318" s="58">
        <v>0</v>
      </c>
      <c r="FD318" s="56">
        <v>0</v>
      </c>
      <c r="FE318" s="56">
        <v>0</v>
      </c>
      <c r="FF318" s="56">
        <v>0</v>
      </c>
      <c r="FG318" s="56">
        <v>0</v>
      </c>
      <c r="FH318" s="56">
        <v>0</v>
      </c>
      <c r="FI318" s="56">
        <v>0</v>
      </c>
      <c r="FJ318" s="56">
        <v>0</v>
      </c>
      <c r="FK318" s="56">
        <v>0</v>
      </c>
      <c r="FL318" s="56">
        <v>0</v>
      </c>
      <c r="FM318" s="56">
        <v>0</v>
      </c>
      <c r="FN318" s="56">
        <v>0</v>
      </c>
      <c r="FO318" s="56">
        <v>0</v>
      </c>
      <c r="FP318" s="56">
        <v>0</v>
      </c>
      <c r="FQ318" s="56">
        <v>0</v>
      </c>
      <c r="FR318" s="56">
        <v>0</v>
      </c>
      <c r="FS318" s="58">
        <v>0</v>
      </c>
      <c r="FT318" s="56">
        <v>0</v>
      </c>
      <c r="FU318" s="56">
        <v>0</v>
      </c>
      <c r="FV318" s="56">
        <v>0</v>
      </c>
      <c r="FW318" s="56">
        <v>0</v>
      </c>
      <c r="FX318" s="56">
        <v>0</v>
      </c>
      <c r="FY318" s="56">
        <v>0</v>
      </c>
      <c r="FZ318" s="54" t="s">
        <v>1083</v>
      </c>
      <c r="GA318" s="54" t="s">
        <v>1084</v>
      </c>
      <c r="GB318" s="54" t="s">
        <v>1311</v>
      </c>
      <c r="GC318" s="54" t="s">
        <v>1323</v>
      </c>
      <c r="GD318" s="54" t="s">
        <v>1150</v>
      </c>
      <c r="GE318" s="54" t="s">
        <v>1075</v>
      </c>
      <c r="GF318" s="54"/>
      <c r="GG318" s="55"/>
      <c r="GH318" s="54"/>
      <c r="GI318" s="54" t="s">
        <v>1325</v>
      </c>
      <c r="GJ318" s="54" t="s">
        <v>1076</v>
      </c>
      <c r="GK318" s="54" t="s">
        <v>1077</v>
      </c>
      <c r="GL318" s="54"/>
      <c r="GM318" s="54"/>
      <c r="GN318" s="54" t="s">
        <v>1078</v>
      </c>
      <c r="GO318" s="54" t="s">
        <v>1059</v>
      </c>
      <c r="GP318" s="54" t="s">
        <v>1326</v>
      </c>
      <c r="GQ318" s="56">
        <v>0</v>
      </c>
      <c r="GR318" s="54"/>
      <c r="GS318" s="54"/>
    </row>
    <row r="319" spans="1:201" x14ac:dyDescent="0.25">
      <c r="A319" s="54" t="s">
        <v>1032</v>
      </c>
      <c r="B319" s="54" t="s">
        <v>1033</v>
      </c>
      <c r="C319" s="54" t="s">
        <v>1310</v>
      </c>
      <c r="D319" s="54" t="s">
        <v>1311</v>
      </c>
      <c r="E319" s="54" t="s">
        <v>1312</v>
      </c>
      <c r="F319" s="55">
        <v>46179</v>
      </c>
      <c r="G319" s="55">
        <v>46179</v>
      </c>
      <c r="H319" s="54" t="s">
        <v>1313</v>
      </c>
      <c r="I319" s="54" t="s">
        <v>1314</v>
      </c>
      <c r="J319" s="54" t="s">
        <v>1039</v>
      </c>
      <c r="K319" s="55"/>
      <c r="L319" s="54" t="s">
        <v>1315</v>
      </c>
      <c r="M319" s="54"/>
      <c r="N319" s="54" t="s">
        <v>1316</v>
      </c>
      <c r="O319" s="54" t="s">
        <v>1046</v>
      </c>
      <c r="P319" s="54" t="s">
        <v>337</v>
      </c>
      <c r="Q319" s="54" t="s">
        <v>34</v>
      </c>
      <c r="R319" s="54" t="s">
        <v>1043</v>
      </c>
      <c r="S319" s="56">
        <v>70524.3</v>
      </c>
      <c r="T319" s="56">
        <v>0</v>
      </c>
      <c r="U319" s="56">
        <v>70524.3</v>
      </c>
      <c r="V319" s="56">
        <v>0</v>
      </c>
      <c r="W319" s="56">
        <v>0</v>
      </c>
      <c r="X319" s="56">
        <v>0</v>
      </c>
      <c r="Y319" s="56">
        <v>0</v>
      </c>
      <c r="Z319" s="56">
        <v>14910</v>
      </c>
      <c r="AA319" s="56">
        <v>0</v>
      </c>
      <c r="AB319" s="59">
        <v>14910</v>
      </c>
      <c r="AC319" s="56">
        <v>0</v>
      </c>
      <c r="AD319" s="56">
        <v>0</v>
      </c>
      <c r="AE319" s="56">
        <v>0</v>
      </c>
      <c r="AF319" s="54" t="s">
        <v>1317</v>
      </c>
      <c r="AG319" s="57"/>
      <c r="AH319" s="54"/>
      <c r="AI319" s="54"/>
      <c r="AJ319" s="54"/>
      <c r="AK319" s="54"/>
      <c r="AL319" s="54"/>
      <c r="AM319" s="54"/>
      <c r="AN319" s="54" t="s">
        <v>1318</v>
      </c>
      <c r="AO319" s="54" t="s">
        <v>1319</v>
      </c>
      <c r="AP319" s="54"/>
      <c r="AQ319" s="54"/>
      <c r="AR319" s="54" t="s">
        <v>1045</v>
      </c>
      <c r="AS319" s="54" t="s">
        <v>1081</v>
      </c>
      <c r="AT319" s="54" t="s">
        <v>1082</v>
      </c>
      <c r="AU319" s="54" t="s">
        <v>1320</v>
      </c>
      <c r="AV319" s="54"/>
      <c r="AW319" s="55"/>
      <c r="AX319" s="55"/>
      <c r="AY319" s="55">
        <v>46179</v>
      </c>
      <c r="AZ319" s="55"/>
      <c r="BA319" s="55"/>
      <c r="BB319" s="56">
        <v>0</v>
      </c>
      <c r="BC319" s="56">
        <v>0</v>
      </c>
      <c r="BD319" s="56">
        <v>0</v>
      </c>
      <c r="BE319" s="56">
        <v>0</v>
      </c>
      <c r="BF319" s="56">
        <v>0</v>
      </c>
      <c r="BG319" s="56">
        <v>0</v>
      </c>
      <c r="BH319" s="56">
        <v>0</v>
      </c>
      <c r="BI319" s="56">
        <v>0</v>
      </c>
      <c r="BJ319" s="56">
        <v>0</v>
      </c>
      <c r="BK319" s="56">
        <v>0</v>
      </c>
      <c r="BL319" s="56">
        <v>0</v>
      </c>
      <c r="BM319" s="56">
        <v>0</v>
      </c>
      <c r="BN319" s="56">
        <v>0</v>
      </c>
      <c r="BO319" s="56">
        <v>0</v>
      </c>
      <c r="BP319" s="54" t="s">
        <v>1049</v>
      </c>
      <c r="BQ319" s="54" t="s">
        <v>1050</v>
      </c>
      <c r="BR319" s="54" t="s">
        <v>1049</v>
      </c>
      <c r="BS319" s="54" t="s">
        <v>1050</v>
      </c>
      <c r="BT319" s="54" t="s">
        <v>1051</v>
      </c>
      <c r="BU319" s="54" t="s">
        <v>1043</v>
      </c>
      <c r="BV319" s="58">
        <v>0</v>
      </c>
      <c r="BW319" s="54" t="s">
        <v>1052</v>
      </c>
      <c r="BX319" s="54" t="s">
        <v>1053</v>
      </c>
      <c r="BY319" s="54" t="s">
        <v>1054</v>
      </c>
      <c r="BZ319" s="54" t="s">
        <v>1055</v>
      </c>
      <c r="CA319" s="55"/>
      <c r="CB319" s="54" t="s">
        <v>1056</v>
      </c>
      <c r="CC319" s="54" t="s">
        <v>1057</v>
      </c>
      <c r="CD319" s="54" t="s">
        <v>1058</v>
      </c>
      <c r="CE319" s="54" t="s">
        <v>1059</v>
      </c>
      <c r="CF319" s="54" t="s">
        <v>1060</v>
      </c>
      <c r="CG319" s="54" t="s">
        <v>1061</v>
      </c>
      <c r="CH319" s="54" t="s">
        <v>1062</v>
      </c>
      <c r="CI319" s="54" t="s">
        <v>1063</v>
      </c>
      <c r="CJ319" s="54" t="s">
        <v>1064</v>
      </c>
      <c r="CK319" s="54" t="s">
        <v>1065</v>
      </c>
      <c r="CL319" s="54" t="s">
        <v>1066</v>
      </c>
      <c r="CM319" s="54" t="s">
        <v>1067</v>
      </c>
      <c r="CN319" s="54" t="s">
        <v>1321</v>
      </c>
      <c r="CO319" s="54" t="s">
        <v>1322</v>
      </c>
      <c r="CP319" s="56">
        <v>0</v>
      </c>
      <c r="CQ319" s="56">
        <v>0</v>
      </c>
      <c r="CR319" s="56">
        <v>0</v>
      </c>
      <c r="CS319" s="56">
        <v>0</v>
      </c>
      <c r="CT319" s="56">
        <v>0</v>
      </c>
      <c r="CU319" s="56">
        <v>0</v>
      </c>
      <c r="CV319" s="56">
        <v>0</v>
      </c>
      <c r="CW319" s="56">
        <v>0</v>
      </c>
      <c r="CX319" s="56">
        <v>0</v>
      </c>
      <c r="CY319" s="56">
        <v>0</v>
      </c>
      <c r="CZ319" s="56">
        <v>0</v>
      </c>
      <c r="DA319" s="56">
        <v>0</v>
      </c>
      <c r="DB319" s="56">
        <v>0</v>
      </c>
      <c r="DC319" s="56">
        <v>0</v>
      </c>
      <c r="DD319" s="56">
        <v>0</v>
      </c>
      <c r="DE319" s="56">
        <v>0</v>
      </c>
      <c r="DF319" s="56">
        <v>0</v>
      </c>
      <c r="DG319" s="56">
        <v>0</v>
      </c>
      <c r="DH319" s="56">
        <v>0</v>
      </c>
      <c r="DI319" s="56">
        <v>0</v>
      </c>
      <c r="DJ319" s="56">
        <v>0</v>
      </c>
      <c r="DK319" s="56">
        <v>0</v>
      </c>
      <c r="DL319" s="56">
        <v>0</v>
      </c>
      <c r="DM319" s="56">
        <v>0</v>
      </c>
      <c r="DN319" s="56">
        <v>0</v>
      </c>
      <c r="DO319" s="56">
        <v>0</v>
      </c>
      <c r="DP319" s="56">
        <v>0</v>
      </c>
      <c r="DQ319" s="56">
        <v>0</v>
      </c>
      <c r="DR319" s="56">
        <v>0</v>
      </c>
      <c r="DS319" s="56">
        <v>0</v>
      </c>
      <c r="DT319" s="56">
        <v>0</v>
      </c>
      <c r="DU319" s="56">
        <v>0</v>
      </c>
      <c r="DV319" s="56">
        <v>0</v>
      </c>
      <c r="DW319" s="56">
        <v>0</v>
      </c>
      <c r="DX319" s="56">
        <v>0</v>
      </c>
      <c r="DY319" s="56">
        <v>0</v>
      </c>
      <c r="DZ319" s="56">
        <v>0</v>
      </c>
      <c r="EA319" s="56">
        <v>0</v>
      </c>
      <c r="EB319" s="56">
        <v>0</v>
      </c>
      <c r="EC319" s="56">
        <v>8462.92</v>
      </c>
      <c r="ED319" s="56">
        <v>0</v>
      </c>
      <c r="EE319" s="56">
        <v>0</v>
      </c>
      <c r="EF319" s="56">
        <v>0</v>
      </c>
      <c r="EG319" s="56">
        <v>0</v>
      </c>
      <c r="EH319" s="56">
        <v>8462.92</v>
      </c>
      <c r="EI319" s="56">
        <v>0</v>
      </c>
      <c r="EJ319" s="56">
        <v>0</v>
      </c>
      <c r="EK319" s="56">
        <v>0</v>
      </c>
      <c r="EL319" s="56">
        <v>0</v>
      </c>
      <c r="EM319" s="56">
        <v>0</v>
      </c>
      <c r="EN319" s="56">
        <v>0</v>
      </c>
      <c r="EO319" s="56">
        <v>0</v>
      </c>
      <c r="EP319" s="56">
        <v>0</v>
      </c>
      <c r="EQ319" s="56">
        <v>0</v>
      </c>
      <c r="ER319" s="56">
        <v>0</v>
      </c>
      <c r="ES319" s="56">
        <v>0</v>
      </c>
      <c r="ET319" s="56">
        <v>0</v>
      </c>
      <c r="EU319" s="56">
        <v>0</v>
      </c>
      <c r="EV319" s="56">
        <v>0</v>
      </c>
      <c r="EW319" s="56">
        <v>0</v>
      </c>
      <c r="EX319" s="56">
        <v>0</v>
      </c>
      <c r="EY319" s="56">
        <v>0</v>
      </c>
      <c r="EZ319" s="56">
        <v>0</v>
      </c>
      <c r="FA319" s="56">
        <v>0</v>
      </c>
      <c r="FB319" s="56">
        <v>0</v>
      </c>
      <c r="FC319" s="58">
        <v>0</v>
      </c>
      <c r="FD319" s="56">
        <v>0</v>
      </c>
      <c r="FE319" s="56">
        <v>0</v>
      </c>
      <c r="FF319" s="56">
        <v>0</v>
      </c>
      <c r="FG319" s="56">
        <v>0</v>
      </c>
      <c r="FH319" s="56">
        <v>0</v>
      </c>
      <c r="FI319" s="56">
        <v>0</v>
      </c>
      <c r="FJ319" s="56">
        <v>0</v>
      </c>
      <c r="FK319" s="56">
        <v>0</v>
      </c>
      <c r="FL319" s="56">
        <v>0</v>
      </c>
      <c r="FM319" s="56">
        <v>0</v>
      </c>
      <c r="FN319" s="56">
        <v>0</v>
      </c>
      <c r="FO319" s="56">
        <v>0</v>
      </c>
      <c r="FP319" s="56">
        <v>0</v>
      </c>
      <c r="FQ319" s="56">
        <v>0</v>
      </c>
      <c r="FR319" s="56">
        <v>0</v>
      </c>
      <c r="FS319" s="58">
        <v>0</v>
      </c>
      <c r="FT319" s="56">
        <v>0</v>
      </c>
      <c r="FU319" s="56">
        <v>0</v>
      </c>
      <c r="FV319" s="56">
        <v>0</v>
      </c>
      <c r="FW319" s="56">
        <v>0</v>
      </c>
      <c r="FX319" s="56">
        <v>0</v>
      </c>
      <c r="FY319" s="56">
        <v>0</v>
      </c>
      <c r="FZ319" s="54" t="s">
        <v>1083</v>
      </c>
      <c r="GA319" s="54" t="s">
        <v>1084</v>
      </c>
      <c r="GB319" s="54" t="s">
        <v>1311</v>
      </c>
      <c r="GC319" s="54" t="s">
        <v>1323</v>
      </c>
      <c r="GD319" s="54" t="s">
        <v>1150</v>
      </c>
      <c r="GE319" s="54" t="s">
        <v>1075</v>
      </c>
      <c r="GF319" s="54"/>
      <c r="GG319" s="55"/>
      <c r="GH319" s="54"/>
      <c r="GI319" s="54" t="s">
        <v>1325</v>
      </c>
      <c r="GJ319" s="54" t="s">
        <v>1076</v>
      </c>
      <c r="GK319" s="54" t="s">
        <v>1077</v>
      </c>
      <c r="GL319" s="54"/>
      <c r="GM319" s="54"/>
      <c r="GN319" s="54" t="s">
        <v>1078</v>
      </c>
      <c r="GO319" s="54" t="s">
        <v>1059</v>
      </c>
      <c r="GP319" s="54" t="s">
        <v>1326</v>
      </c>
      <c r="GQ319" s="56">
        <v>0</v>
      </c>
      <c r="GR319" s="54"/>
      <c r="GS319" s="54"/>
    </row>
    <row r="320" spans="1:201" x14ac:dyDescent="0.25">
      <c r="A320" s="54" t="s">
        <v>1032</v>
      </c>
      <c r="B320" s="54" t="s">
        <v>1033</v>
      </c>
      <c r="C320" s="54" t="s">
        <v>1310</v>
      </c>
      <c r="D320" s="54" t="s">
        <v>1311</v>
      </c>
      <c r="E320" s="54" t="s">
        <v>1312</v>
      </c>
      <c r="F320" s="55">
        <v>46179</v>
      </c>
      <c r="G320" s="55">
        <v>46179</v>
      </c>
      <c r="H320" s="54" t="s">
        <v>1313</v>
      </c>
      <c r="I320" s="54" t="s">
        <v>1314</v>
      </c>
      <c r="J320" s="54" t="s">
        <v>1039</v>
      </c>
      <c r="K320" s="55"/>
      <c r="L320" s="54" t="s">
        <v>1315</v>
      </c>
      <c r="M320" s="54"/>
      <c r="N320" s="54" t="s">
        <v>1316</v>
      </c>
      <c r="O320" s="54" t="s">
        <v>1091</v>
      </c>
      <c r="P320" s="54" t="s">
        <v>203</v>
      </c>
      <c r="Q320" s="54" t="s">
        <v>37</v>
      </c>
      <c r="R320" s="54" t="s">
        <v>1043</v>
      </c>
      <c r="S320" s="56">
        <v>80717.600000000006</v>
      </c>
      <c r="T320" s="56">
        <v>0</v>
      </c>
      <c r="U320" s="56">
        <v>80717.600000000006</v>
      </c>
      <c r="V320" s="56">
        <v>0</v>
      </c>
      <c r="W320" s="56">
        <v>0</v>
      </c>
      <c r="X320" s="56">
        <v>0</v>
      </c>
      <c r="Y320" s="56">
        <v>0</v>
      </c>
      <c r="Z320" s="56">
        <v>12380</v>
      </c>
      <c r="AA320" s="56">
        <v>0</v>
      </c>
      <c r="AB320" s="59">
        <v>12380</v>
      </c>
      <c r="AC320" s="56">
        <v>0</v>
      </c>
      <c r="AD320" s="56">
        <v>0</v>
      </c>
      <c r="AE320" s="56">
        <v>0</v>
      </c>
      <c r="AF320" s="54" t="s">
        <v>1317</v>
      </c>
      <c r="AG320" s="57"/>
      <c r="AH320" s="54"/>
      <c r="AI320" s="54"/>
      <c r="AJ320" s="54"/>
      <c r="AK320" s="54"/>
      <c r="AL320" s="54"/>
      <c r="AM320" s="54"/>
      <c r="AN320" s="54" t="s">
        <v>1318</v>
      </c>
      <c r="AO320" s="54" t="s">
        <v>1319</v>
      </c>
      <c r="AP320" s="54"/>
      <c r="AQ320" s="54"/>
      <c r="AR320" s="54" t="s">
        <v>1045</v>
      </c>
      <c r="AS320" s="54" t="s">
        <v>1081</v>
      </c>
      <c r="AT320" s="54" t="s">
        <v>1082</v>
      </c>
      <c r="AU320" s="54" t="s">
        <v>1320</v>
      </c>
      <c r="AV320" s="54"/>
      <c r="AW320" s="55"/>
      <c r="AX320" s="55"/>
      <c r="AY320" s="55">
        <v>46179</v>
      </c>
      <c r="AZ320" s="55"/>
      <c r="BA320" s="55"/>
      <c r="BB320" s="56">
        <v>0</v>
      </c>
      <c r="BC320" s="56">
        <v>0</v>
      </c>
      <c r="BD320" s="56">
        <v>0</v>
      </c>
      <c r="BE320" s="56">
        <v>0</v>
      </c>
      <c r="BF320" s="56">
        <v>0</v>
      </c>
      <c r="BG320" s="56">
        <v>0</v>
      </c>
      <c r="BH320" s="56">
        <v>0</v>
      </c>
      <c r="BI320" s="56">
        <v>0</v>
      </c>
      <c r="BJ320" s="56">
        <v>0</v>
      </c>
      <c r="BK320" s="56">
        <v>0</v>
      </c>
      <c r="BL320" s="56">
        <v>0</v>
      </c>
      <c r="BM320" s="56">
        <v>0</v>
      </c>
      <c r="BN320" s="56">
        <v>0</v>
      </c>
      <c r="BO320" s="56">
        <v>0</v>
      </c>
      <c r="BP320" s="54" t="s">
        <v>1049</v>
      </c>
      <c r="BQ320" s="54" t="s">
        <v>1050</v>
      </c>
      <c r="BR320" s="54" t="s">
        <v>1049</v>
      </c>
      <c r="BS320" s="54" t="s">
        <v>1050</v>
      </c>
      <c r="BT320" s="54" t="s">
        <v>1051</v>
      </c>
      <c r="BU320" s="54" t="s">
        <v>1043</v>
      </c>
      <c r="BV320" s="58">
        <v>0</v>
      </c>
      <c r="BW320" s="54" t="s">
        <v>1052</v>
      </c>
      <c r="BX320" s="54" t="s">
        <v>1053</v>
      </c>
      <c r="BY320" s="54" t="s">
        <v>1054</v>
      </c>
      <c r="BZ320" s="54" t="s">
        <v>1055</v>
      </c>
      <c r="CA320" s="55"/>
      <c r="CB320" s="54" t="s">
        <v>1056</v>
      </c>
      <c r="CC320" s="54" t="s">
        <v>1057</v>
      </c>
      <c r="CD320" s="54" t="s">
        <v>1058</v>
      </c>
      <c r="CE320" s="54" t="s">
        <v>1059</v>
      </c>
      <c r="CF320" s="54" t="s">
        <v>1060</v>
      </c>
      <c r="CG320" s="54" t="s">
        <v>1061</v>
      </c>
      <c r="CH320" s="54" t="s">
        <v>1062</v>
      </c>
      <c r="CI320" s="54" t="s">
        <v>1063</v>
      </c>
      <c r="CJ320" s="54" t="s">
        <v>1064</v>
      </c>
      <c r="CK320" s="54" t="s">
        <v>1065</v>
      </c>
      <c r="CL320" s="54" t="s">
        <v>1066</v>
      </c>
      <c r="CM320" s="54" t="s">
        <v>1067</v>
      </c>
      <c r="CN320" s="54" t="s">
        <v>1321</v>
      </c>
      <c r="CO320" s="54" t="s">
        <v>1322</v>
      </c>
      <c r="CP320" s="56">
        <v>0</v>
      </c>
      <c r="CQ320" s="56">
        <v>0</v>
      </c>
      <c r="CR320" s="56">
        <v>0</v>
      </c>
      <c r="CS320" s="56">
        <v>0</v>
      </c>
      <c r="CT320" s="56">
        <v>0</v>
      </c>
      <c r="CU320" s="56">
        <v>0</v>
      </c>
      <c r="CV320" s="56">
        <v>0</v>
      </c>
      <c r="CW320" s="56">
        <v>0</v>
      </c>
      <c r="CX320" s="56">
        <v>0</v>
      </c>
      <c r="CY320" s="56">
        <v>0</v>
      </c>
      <c r="CZ320" s="56">
        <v>0</v>
      </c>
      <c r="DA320" s="56">
        <v>0</v>
      </c>
      <c r="DB320" s="56">
        <v>0</v>
      </c>
      <c r="DC320" s="56">
        <v>0</v>
      </c>
      <c r="DD320" s="56">
        <v>0</v>
      </c>
      <c r="DE320" s="56">
        <v>0</v>
      </c>
      <c r="DF320" s="56">
        <v>0</v>
      </c>
      <c r="DG320" s="56">
        <v>0</v>
      </c>
      <c r="DH320" s="56">
        <v>0</v>
      </c>
      <c r="DI320" s="56">
        <v>0</v>
      </c>
      <c r="DJ320" s="56">
        <v>0</v>
      </c>
      <c r="DK320" s="56">
        <v>0</v>
      </c>
      <c r="DL320" s="56">
        <v>0</v>
      </c>
      <c r="DM320" s="56">
        <v>0</v>
      </c>
      <c r="DN320" s="56">
        <v>0</v>
      </c>
      <c r="DO320" s="56">
        <v>0</v>
      </c>
      <c r="DP320" s="56">
        <v>0</v>
      </c>
      <c r="DQ320" s="56">
        <v>0</v>
      </c>
      <c r="DR320" s="56">
        <v>0</v>
      </c>
      <c r="DS320" s="56">
        <v>0</v>
      </c>
      <c r="DT320" s="56">
        <v>0</v>
      </c>
      <c r="DU320" s="56">
        <v>0</v>
      </c>
      <c r="DV320" s="56">
        <v>0</v>
      </c>
      <c r="DW320" s="56">
        <v>0</v>
      </c>
      <c r="DX320" s="56">
        <v>0</v>
      </c>
      <c r="DY320" s="56">
        <v>0</v>
      </c>
      <c r="DZ320" s="56">
        <v>0</v>
      </c>
      <c r="EA320" s="56">
        <v>0</v>
      </c>
      <c r="EB320" s="56">
        <v>0</v>
      </c>
      <c r="EC320" s="56">
        <v>9686.11</v>
      </c>
      <c r="ED320" s="56">
        <v>0</v>
      </c>
      <c r="EE320" s="56">
        <v>0</v>
      </c>
      <c r="EF320" s="56">
        <v>0</v>
      </c>
      <c r="EG320" s="56">
        <v>0</v>
      </c>
      <c r="EH320" s="56">
        <v>9686.11</v>
      </c>
      <c r="EI320" s="56">
        <v>0</v>
      </c>
      <c r="EJ320" s="56">
        <v>0</v>
      </c>
      <c r="EK320" s="56">
        <v>0</v>
      </c>
      <c r="EL320" s="56">
        <v>0</v>
      </c>
      <c r="EM320" s="56">
        <v>0</v>
      </c>
      <c r="EN320" s="56">
        <v>0</v>
      </c>
      <c r="EO320" s="56">
        <v>0</v>
      </c>
      <c r="EP320" s="56">
        <v>0</v>
      </c>
      <c r="EQ320" s="56">
        <v>0</v>
      </c>
      <c r="ER320" s="56">
        <v>0</v>
      </c>
      <c r="ES320" s="56">
        <v>0</v>
      </c>
      <c r="ET320" s="56">
        <v>0</v>
      </c>
      <c r="EU320" s="56">
        <v>0</v>
      </c>
      <c r="EV320" s="56">
        <v>0</v>
      </c>
      <c r="EW320" s="56">
        <v>0</v>
      </c>
      <c r="EX320" s="56">
        <v>0</v>
      </c>
      <c r="EY320" s="56">
        <v>0</v>
      </c>
      <c r="EZ320" s="56">
        <v>0</v>
      </c>
      <c r="FA320" s="56">
        <v>0</v>
      </c>
      <c r="FB320" s="56">
        <v>0</v>
      </c>
      <c r="FC320" s="58">
        <v>0</v>
      </c>
      <c r="FD320" s="56">
        <v>0</v>
      </c>
      <c r="FE320" s="56">
        <v>0</v>
      </c>
      <c r="FF320" s="56">
        <v>0</v>
      </c>
      <c r="FG320" s="56">
        <v>0</v>
      </c>
      <c r="FH320" s="56">
        <v>0</v>
      </c>
      <c r="FI320" s="56">
        <v>0</v>
      </c>
      <c r="FJ320" s="56">
        <v>0</v>
      </c>
      <c r="FK320" s="56">
        <v>0</v>
      </c>
      <c r="FL320" s="56">
        <v>0</v>
      </c>
      <c r="FM320" s="56">
        <v>0</v>
      </c>
      <c r="FN320" s="56">
        <v>0</v>
      </c>
      <c r="FO320" s="56">
        <v>0</v>
      </c>
      <c r="FP320" s="56">
        <v>0</v>
      </c>
      <c r="FQ320" s="56">
        <v>0</v>
      </c>
      <c r="FR320" s="56">
        <v>0</v>
      </c>
      <c r="FS320" s="58">
        <v>0</v>
      </c>
      <c r="FT320" s="56">
        <v>0</v>
      </c>
      <c r="FU320" s="56">
        <v>0</v>
      </c>
      <c r="FV320" s="56">
        <v>0</v>
      </c>
      <c r="FW320" s="56">
        <v>0</v>
      </c>
      <c r="FX320" s="56">
        <v>0</v>
      </c>
      <c r="FY320" s="56">
        <v>0</v>
      </c>
      <c r="FZ320" s="54" t="s">
        <v>1083</v>
      </c>
      <c r="GA320" s="54" t="s">
        <v>1084</v>
      </c>
      <c r="GB320" s="54" t="s">
        <v>1311</v>
      </c>
      <c r="GC320" s="54" t="s">
        <v>1323</v>
      </c>
      <c r="GD320" s="54" t="s">
        <v>1160</v>
      </c>
      <c r="GE320" s="54" t="s">
        <v>1075</v>
      </c>
      <c r="GF320" s="54"/>
      <c r="GG320" s="55"/>
      <c r="GH320" s="54"/>
      <c r="GI320" s="54" t="s">
        <v>1325</v>
      </c>
      <c r="GJ320" s="54" t="s">
        <v>1076</v>
      </c>
      <c r="GK320" s="54" t="s">
        <v>1077</v>
      </c>
      <c r="GL320" s="54"/>
      <c r="GM320" s="54"/>
      <c r="GN320" s="54" t="s">
        <v>1078</v>
      </c>
      <c r="GO320" s="54" t="s">
        <v>1059</v>
      </c>
      <c r="GP320" s="54" t="s">
        <v>1326</v>
      </c>
      <c r="GQ320" s="56">
        <v>0</v>
      </c>
      <c r="GR320" s="54"/>
      <c r="GS320" s="54"/>
    </row>
    <row r="321" spans="1:201" x14ac:dyDescent="0.25">
      <c r="A321" s="54" t="s">
        <v>1032</v>
      </c>
      <c r="B321" s="54" t="s">
        <v>1033</v>
      </c>
      <c r="C321" s="54" t="s">
        <v>1310</v>
      </c>
      <c r="D321" s="54" t="s">
        <v>1311</v>
      </c>
      <c r="E321" s="54" t="s">
        <v>1312</v>
      </c>
      <c r="F321" s="55">
        <v>46179</v>
      </c>
      <c r="G321" s="55">
        <v>46179</v>
      </c>
      <c r="H321" s="54" t="s">
        <v>1313</v>
      </c>
      <c r="I321" s="54" t="s">
        <v>1314</v>
      </c>
      <c r="J321" s="54" t="s">
        <v>1039</v>
      </c>
      <c r="K321" s="55"/>
      <c r="L321" s="54" t="s">
        <v>1315</v>
      </c>
      <c r="M321" s="54"/>
      <c r="N321" s="54" t="s">
        <v>1316</v>
      </c>
      <c r="O321" s="54" t="s">
        <v>1099</v>
      </c>
      <c r="P321" s="54" t="s">
        <v>575</v>
      </c>
      <c r="Q321" s="54" t="s">
        <v>577</v>
      </c>
      <c r="R321" s="54" t="s">
        <v>1043</v>
      </c>
      <c r="S321" s="56">
        <v>254.52</v>
      </c>
      <c r="T321" s="56">
        <v>0</v>
      </c>
      <c r="U321" s="56">
        <v>254.52</v>
      </c>
      <c r="V321" s="56">
        <v>0</v>
      </c>
      <c r="W321" s="56">
        <v>0</v>
      </c>
      <c r="X321" s="56">
        <v>0</v>
      </c>
      <c r="Y321" s="56">
        <v>0</v>
      </c>
      <c r="Z321" s="56">
        <v>12</v>
      </c>
      <c r="AA321" s="56">
        <v>0</v>
      </c>
      <c r="AB321" s="59">
        <v>12</v>
      </c>
      <c r="AC321" s="56">
        <v>0</v>
      </c>
      <c r="AD321" s="56">
        <v>0</v>
      </c>
      <c r="AE321" s="56">
        <v>0</v>
      </c>
      <c r="AF321" s="54" t="s">
        <v>1317</v>
      </c>
      <c r="AG321" s="57"/>
      <c r="AH321" s="54"/>
      <c r="AI321" s="54"/>
      <c r="AJ321" s="54"/>
      <c r="AK321" s="54"/>
      <c r="AL321" s="54"/>
      <c r="AM321" s="54"/>
      <c r="AN321" s="54" t="s">
        <v>1318</v>
      </c>
      <c r="AO321" s="54" t="s">
        <v>1319</v>
      </c>
      <c r="AP321" s="54"/>
      <c r="AQ321" s="54"/>
      <c r="AR321" s="54" t="s">
        <v>1045</v>
      </c>
      <c r="AS321" s="54" t="s">
        <v>1081</v>
      </c>
      <c r="AT321" s="54" t="s">
        <v>1082</v>
      </c>
      <c r="AU321" s="54" t="s">
        <v>1320</v>
      </c>
      <c r="AV321" s="54"/>
      <c r="AW321" s="55"/>
      <c r="AX321" s="55"/>
      <c r="AY321" s="55">
        <v>46179</v>
      </c>
      <c r="AZ321" s="55"/>
      <c r="BA321" s="55"/>
      <c r="BB321" s="56">
        <v>0</v>
      </c>
      <c r="BC321" s="56">
        <v>0</v>
      </c>
      <c r="BD321" s="56">
        <v>0</v>
      </c>
      <c r="BE321" s="56">
        <v>0</v>
      </c>
      <c r="BF321" s="56">
        <v>0</v>
      </c>
      <c r="BG321" s="56">
        <v>0</v>
      </c>
      <c r="BH321" s="56">
        <v>0</v>
      </c>
      <c r="BI321" s="56">
        <v>0</v>
      </c>
      <c r="BJ321" s="56">
        <v>0</v>
      </c>
      <c r="BK321" s="56">
        <v>0</v>
      </c>
      <c r="BL321" s="56">
        <v>0</v>
      </c>
      <c r="BM321" s="56">
        <v>0</v>
      </c>
      <c r="BN321" s="56">
        <v>0</v>
      </c>
      <c r="BO321" s="56">
        <v>0</v>
      </c>
      <c r="BP321" s="54" t="s">
        <v>1049</v>
      </c>
      <c r="BQ321" s="54" t="s">
        <v>1050</v>
      </c>
      <c r="BR321" s="54" t="s">
        <v>1049</v>
      </c>
      <c r="BS321" s="54" t="s">
        <v>1050</v>
      </c>
      <c r="BT321" s="54" t="s">
        <v>1051</v>
      </c>
      <c r="BU321" s="54" t="s">
        <v>1043</v>
      </c>
      <c r="BV321" s="58">
        <v>0</v>
      </c>
      <c r="BW321" s="54" t="s">
        <v>1052</v>
      </c>
      <c r="BX321" s="54" t="s">
        <v>1053</v>
      </c>
      <c r="BY321" s="54" t="s">
        <v>1054</v>
      </c>
      <c r="BZ321" s="54" t="s">
        <v>1055</v>
      </c>
      <c r="CA321" s="55"/>
      <c r="CB321" s="54" t="s">
        <v>1056</v>
      </c>
      <c r="CC321" s="54" t="s">
        <v>1057</v>
      </c>
      <c r="CD321" s="54" t="s">
        <v>1058</v>
      </c>
      <c r="CE321" s="54" t="s">
        <v>1059</v>
      </c>
      <c r="CF321" s="54" t="s">
        <v>1060</v>
      </c>
      <c r="CG321" s="54" t="s">
        <v>1061</v>
      </c>
      <c r="CH321" s="54" t="s">
        <v>1062</v>
      </c>
      <c r="CI321" s="54" t="s">
        <v>1063</v>
      </c>
      <c r="CJ321" s="54" t="s">
        <v>1064</v>
      </c>
      <c r="CK321" s="54" t="s">
        <v>1065</v>
      </c>
      <c r="CL321" s="54" t="s">
        <v>1066</v>
      </c>
      <c r="CM321" s="54" t="s">
        <v>1067</v>
      </c>
      <c r="CN321" s="54" t="s">
        <v>1321</v>
      </c>
      <c r="CO321" s="54" t="s">
        <v>1322</v>
      </c>
      <c r="CP321" s="56">
        <v>0</v>
      </c>
      <c r="CQ321" s="56">
        <v>0</v>
      </c>
      <c r="CR321" s="56">
        <v>0</v>
      </c>
      <c r="CS321" s="56">
        <v>0</v>
      </c>
      <c r="CT321" s="56">
        <v>0</v>
      </c>
      <c r="CU321" s="56">
        <v>0</v>
      </c>
      <c r="CV321" s="56">
        <v>0</v>
      </c>
      <c r="CW321" s="56">
        <v>0</v>
      </c>
      <c r="CX321" s="56">
        <v>0</v>
      </c>
      <c r="CY321" s="56">
        <v>0</v>
      </c>
      <c r="CZ321" s="56">
        <v>0</v>
      </c>
      <c r="DA321" s="56">
        <v>0</v>
      </c>
      <c r="DB321" s="56">
        <v>0</v>
      </c>
      <c r="DC321" s="56">
        <v>0</v>
      </c>
      <c r="DD321" s="56">
        <v>0</v>
      </c>
      <c r="DE321" s="56">
        <v>0</v>
      </c>
      <c r="DF321" s="56">
        <v>0</v>
      </c>
      <c r="DG321" s="56">
        <v>0</v>
      </c>
      <c r="DH321" s="56">
        <v>0</v>
      </c>
      <c r="DI321" s="56">
        <v>0</v>
      </c>
      <c r="DJ321" s="56">
        <v>0</v>
      </c>
      <c r="DK321" s="56">
        <v>0</v>
      </c>
      <c r="DL321" s="56">
        <v>0</v>
      </c>
      <c r="DM321" s="56">
        <v>0</v>
      </c>
      <c r="DN321" s="56">
        <v>0</v>
      </c>
      <c r="DO321" s="56">
        <v>0</v>
      </c>
      <c r="DP321" s="56">
        <v>0</v>
      </c>
      <c r="DQ321" s="56">
        <v>0</v>
      </c>
      <c r="DR321" s="56">
        <v>0</v>
      </c>
      <c r="DS321" s="56">
        <v>0</v>
      </c>
      <c r="DT321" s="56">
        <v>0</v>
      </c>
      <c r="DU321" s="56">
        <v>0</v>
      </c>
      <c r="DV321" s="56">
        <v>0</v>
      </c>
      <c r="DW321" s="56">
        <v>0</v>
      </c>
      <c r="DX321" s="56">
        <v>0</v>
      </c>
      <c r="DY321" s="56">
        <v>0</v>
      </c>
      <c r="DZ321" s="56">
        <v>0</v>
      </c>
      <c r="EA321" s="56">
        <v>0</v>
      </c>
      <c r="EB321" s="56">
        <v>0</v>
      </c>
      <c r="EC321" s="56">
        <v>30.54</v>
      </c>
      <c r="ED321" s="56">
        <v>0</v>
      </c>
      <c r="EE321" s="56">
        <v>0</v>
      </c>
      <c r="EF321" s="56">
        <v>0</v>
      </c>
      <c r="EG321" s="56">
        <v>0</v>
      </c>
      <c r="EH321" s="56">
        <v>30.54</v>
      </c>
      <c r="EI321" s="56">
        <v>0</v>
      </c>
      <c r="EJ321" s="56">
        <v>0</v>
      </c>
      <c r="EK321" s="56">
        <v>0</v>
      </c>
      <c r="EL321" s="56">
        <v>0</v>
      </c>
      <c r="EM321" s="56">
        <v>0</v>
      </c>
      <c r="EN321" s="56">
        <v>0</v>
      </c>
      <c r="EO321" s="56">
        <v>0</v>
      </c>
      <c r="EP321" s="56">
        <v>0</v>
      </c>
      <c r="EQ321" s="56">
        <v>0</v>
      </c>
      <c r="ER321" s="56">
        <v>0</v>
      </c>
      <c r="ES321" s="56">
        <v>0</v>
      </c>
      <c r="ET321" s="56">
        <v>0</v>
      </c>
      <c r="EU321" s="56">
        <v>0</v>
      </c>
      <c r="EV321" s="56">
        <v>0</v>
      </c>
      <c r="EW321" s="56">
        <v>0</v>
      </c>
      <c r="EX321" s="56">
        <v>0</v>
      </c>
      <c r="EY321" s="56">
        <v>0</v>
      </c>
      <c r="EZ321" s="56">
        <v>0</v>
      </c>
      <c r="FA321" s="56">
        <v>0</v>
      </c>
      <c r="FB321" s="56">
        <v>0</v>
      </c>
      <c r="FC321" s="58">
        <v>0</v>
      </c>
      <c r="FD321" s="56">
        <v>0</v>
      </c>
      <c r="FE321" s="56">
        <v>0</v>
      </c>
      <c r="FF321" s="56">
        <v>0</v>
      </c>
      <c r="FG321" s="56">
        <v>0</v>
      </c>
      <c r="FH321" s="56">
        <v>0</v>
      </c>
      <c r="FI321" s="56">
        <v>0</v>
      </c>
      <c r="FJ321" s="56">
        <v>0</v>
      </c>
      <c r="FK321" s="56">
        <v>0</v>
      </c>
      <c r="FL321" s="56">
        <v>0</v>
      </c>
      <c r="FM321" s="56">
        <v>0</v>
      </c>
      <c r="FN321" s="56">
        <v>0</v>
      </c>
      <c r="FO321" s="56">
        <v>0</v>
      </c>
      <c r="FP321" s="56">
        <v>0</v>
      </c>
      <c r="FQ321" s="56">
        <v>0</v>
      </c>
      <c r="FR321" s="56">
        <v>0</v>
      </c>
      <c r="FS321" s="58">
        <v>0</v>
      </c>
      <c r="FT321" s="56">
        <v>0</v>
      </c>
      <c r="FU321" s="56">
        <v>0</v>
      </c>
      <c r="FV321" s="56">
        <v>0</v>
      </c>
      <c r="FW321" s="56">
        <v>0</v>
      </c>
      <c r="FX321" s="56">
        <v>0</v>
      </c>
      <c r="FY321" s="56">
        <v>0</v>
      </c>
      <c r="FZ321" s="54" t="s">
        <v>1083</v>
      </c>
      <c r="GA321" s="54" t="s">
        <v>1084</v>
      </c>
      <c r="GB321" s="54" t="s">
        <v>1311</v>
      </c>
      <c r="GC321" s="54" t="s">
        <v>1323</v>
      </c>
      <c r="GD321" s="54"/>
      <c r="GE321" s="54"/>
      <c r="GF321" s="54"/>
      <c r="GG321" s="55"/>
      <c r="GH321" s="54"/>
      <c r="GI321" s="54" t="s">
        <v>1325</v>
      </c>
      <c r="GJ321" s="54" t="s">
        <v>1076</v>
      </c>
      <c r="GK321" s="54" t="s">
        <v>1077</v>
      </c>
      <c r="GL321" s="54"/>
      <c r="GM321" s="54"/>
      <c r="GN321" s="54" t="s">
        <v>1078</v>
      </c>
      <c r="GO321" s="54" t="s">
        <v>1059</v>
      </c>
      <c r="GP321" s="54" t="s">
        <v>1326</v>
      </c>
      <c r="GQ321" s="56">
        <v>0</v>
      </c>
      <c r="GR321" s="54"/>
      <c r="GS321" s="54"/>
    </row>
    <row r="322" spans="1:201" x14ac:dyDescent="0.25">
      <c r="A322" s="54" t="s">
        <v>1032</v>
      </c>
      <c r="B322" s="54" t="s">
        <v>1033</v>
      </c>
      <c r="C322" s="54" t="s">
        <v>1310</v>
      </c>
      <c r="D322" s="54" t="s">
        <v>1311</v>
      </c>
      <c r="E322" s="54" t="s">
        <v>1312</v>
      </c>
      <c r="F322" s="55">
        <v>46179</v>
      </c>
      <c r="G322" s="55">
        <v>46179</v>
      </c>
      <c r="H322" s="54" t="s">
        <v>1313</v>
      </c>
      <c r="I322" s="54" t="s">
        <v>1314</v>
      </c>
      <c r="J322" s="54" t="s">
        <v>1039</v>
      </c>
      <c r="K322" s="55"/>
      <c r="L322" s="54" t="s">
        <v>1315</v>
      </c>
      <c r="M322" s="54"/>
      <c r="N322" s="54" t="s">
        <v>1316</v>
      </c>
      <c r="O322" s="54" t="s">
        <v>1102</v>
      </c>
      <c r="P322" s="54" t="s">
        <v>576</v>
      </c>
      <c r="Q322" s="54" t="s">
        <v>578</v>
      </c>
      <c r="R322" s="54" t="s">
        <v>1043</v>
      </c>
      <c r="S322" s="56">
        <v>305.52</v>
      </c>
      <c r="T322" s="56">
        <v>0</v>
      </c>
      <c r="U322" s="56">
        <v>305.52</v>
      </c>
      <c r="V322" s="56">
        <v>0</v>
      </c>
      <c r="W322" s="56">
        <v>0</v>
      </c>
      <c r="X322" s="56">
        <v>0</v>
      </c>
      <c r="Y322" s="56">
        <v>0</v>
      </c>
      <c r="Z322" s="56">
        <v>12</v>
      </c>
      <c r="AA322" s="56">
        <v>0</v>
      </c>
      <c r="AB322" s="59">
        <v>12</v>
      </c>
      <c r="AC322" s="56">
        <v>0</v>
      </c>
      <c r="AD322" s="56">
        <v>0</v>
      </c>
      <c r="AE322" s="56">
        <v>0</v>
      </c>
      <c r="AF322" s="54" t="s">
        <v>1317</v>
      </c>
      <c r="AG322" s="57"/>
      <c r="AH322" s="54"/>
      <c r="AI322" s="54"/>
      <c r="AJ322" s="54"/>
      <c r="AK322" s="54"/>
      <c r="AL322" s="54"/>
      <c r="AM322" s="54"/>
      <c r="AN322" s="54" t="s">
        <v>1318</v>
      </c>
      <c r="AO322" s="54" t="s">
        <v>1319</v>
      </c>
      <c r="AP322" s="54"/>
      <c r="AQ322" s="54"/>
      <c r="AR322" s="54" t="s">
        <v>1045</v>
      </c>
      <c r="AS322" s="54" t="s">
        <v>1081</v>
      </c>
      <c r="AT322" s="54" t="s">
        <v>1082</v>
      </c>
      <c r="AU322" s="54" t="s">
        <v>1320</v>
      </c>
      <c r="AV322" s="54"/>
      <c r="AW322" s="55"/>
      <c r="AX322" s="55"/>
      <c r="AY322" s="55">
        <v>46179</v>
      </c>
      <c r="AZ322" s="55"/>
      <c r="BA322" s="55"/>
      <c r="BB322" s="56">
        <v>0</v>
      </c>
      <c r="BC322" s="56">
        <v>0</v>
      </c>
      <c r="BD322" s="56">
        <v>0</v>
      </c>
      <c r="BE322" s="56">
        <v>0</v>
      </c>
      <c r="BF322" s="56">
        <v>0</v>
      </c>
      <c r="BG322" s="56">
        <v>0</v>
      </c>
      <c r="BH322" s="56">
        <v>0</v>
      </c>
      <c r="BI322" s="56">
        <v>0</v>
      </c>
      <c r="BJ322" s="56">
        <v>0</v>
      </c>
      <c r="BK322" s="56">
        <v>0</v>
      </c>
      <c r="BL322" s="56">
        <v>0</v>
      </c>
      <c r="BM322" s="56">
        <v>0</v>
      </c>
      <c r="BN322" s="56">
        <v>0</v>
      </c>
      <c r="BO322" s="56">
        <v>0</v>
      </c>
      <c r="BP322" s="54" t="s">
        <v>1049</v>
      </c>
      <c r="BQ322" s="54" t="s">
        <v>1050</v>
      </c>
      <c r="BR322" s="54" t="s">
        <v>1049</v>
      </c>
      <c r="BS322" s="54" t="s">
        <v>1050</v>
      </c>
      <c r="BT322" s="54" t="s">
        <v>1051</v>
      </c>
      <c r="BU322" s="54" t="s">
        <v>1043</v>
      </c>
      <c r="BV322" s="58">
        <v>0</v>
      </c>
      <c r="BW322" s="54" t="s">
        <v>1052</v>
      </c>
      <c r="BX322" s="54" t="s">
        <v>1053</v>
      </c>
      <c r="BY322" s="54" t="s">
        <v>1054</v>
      </c>
      <c r="BZ322" s="54" t="s">
        <v>1055</v>
      </c>
      <c r="CA322" s="55"/>
      <c r="CB322" s="54" t="s">
        <v>1056</v>
      </c>
      <c r="CC322" s="54" t="s">
        <v>1057</v>
      </c>
      <c r="CD322" s="54" t="s">
        <v>1058</v>
      </c>
      <c r="CE322" s="54" t="s">
        <v>1059</v>
      </c>
      <c r="CF322" s="54" t="s">
        <v>1060</v>
      </c>
      <c r="CG322" s="54" t="s">
        <v>1061</v>
      </c>
      <c r="CH322" s="54" t="s">
        <v>1062</v>
      </c>
      <c r="CI322" s="54" t="s">
        <v>1063</v>
      </c>
      <c r="CJ322" s="54" t="s">
        <v>1064</v>
      </c>
      <c r="CK322" s="54" t="s">
        <v>1065</v>
      </c>
      <c r="CL322" s="54" t="s">
        <v>1066</v>
      </c>
      <c r="CM322" s="54" t="s">
        <v>1067</v>
      </c>
      <c r="CN322" s="54" t="s">
        <v>1321</v>
      </c>
      <c r="CO322" s="54" t="s">
        <v>1322</v>
      </c>
      <c r="CP322" s="56">
        <v>0</v>
      </c>
      <c r="CQ322" s="56">
        <v>0</v>
      </c>
      <c r="CR322" s="56">
        <v>0</v>
      </c>
      <c r="CS322" s="56">
        <v>0</v>
      </c>
      <c r="CT322" s="56">
        <v>0</v>
      </c>
      <c r="CU322" s="56">
        <v>0</v>
      </c>
      <c r="CV322" s="56">
        <v>0</v>
      </c>
      <c r="CW322" s="56">
        <v>0</v>
      </c>
      <c r="CX322" s="56">
        <v>0</v>
      </c>
      <c r="CY322" s="56">
        <v>0</v>
      </c>
      <c r="CZ322" s="56">
        <v>0</v>
      </c>
      <c r="DA322" s="56">
        <v>0</v>
      </c>
      <c r="DB322" s="56">
        <v>0</v>
      </c>
      <c r="DC322" s="56">
        <v>0</v>
      </c>
      <c r="DD322" s="56">
        <v>0</v>
      </c>
      <c r="DE322" s="56">
        <v>0</v>
      </c>
      <c r="DF322" s="56">
        <v>0</v>
      </c>
      <c r="DG322" s="56">
        <v>0</v>
      </c>
      <c r="DH322" s="56">
        <v>0</v>
      </c>
      <c r="DI322" s="56">
        <v>0</v>
      </c>
      <c r="DJ322" s="56">
        <v>0</v>
      </c>
      <c r="DK322" s="56">
        <v>0</v>
      </c>
      <c r="DL322" s="56">
        <v>0</v>
      </c>
      <c r="DM322" s="56">
        <v>0</v>
      </c>
      <c r="DN322" s="56">
        <v>0</v>
      </c>
      <c r="DO322" s="56">
        <v>0</v>
      </c>
      <c r="DP322" s="56">
        <v>0</v>
      </c>
      <c r="DQ322" s="56">
        <v>0</v>
      </c>
      <c r="DR322" s="56">
        <v>0</v>
      </c>
      <c r="DS322" s="56">
        <v>0</v>
      </c>
      <c r="DT322" s="56">
        <v>0</v>
      </c>
      <c r="DU322" s="56">
        <v>0</v>
      </c>
      <c r="DV322" s="56">
        <v>0</v>
      </c>
      <c r="DW322" s="56">
        <v>0</v>
      </c>
      <c r="DX322" s="56">
        <v>0</v>
      </c>
      <c r="DY322" s="56">
        <v>0</v>
      </c>
      <c r="DZ322" s="56">
        <v>0</v>
      </c>
      <c r="EA322" s="56">
        <v>0</v>
      </c>
      <c r="EB322" s="56">
        <v>0</v>
      </c>
      <c r="EC322" s="56">
        <v>36.659999999999997</v>
      </c>
      <c r="ED322" s="56">
        <v>0</v>
      </c>
      <c r="EE322" s="56">
        <v>0</v>
      </c>
      <c r="EF322" s="56">
        <v>0</v>
      </c>
      <c r="EG322" s="56">
        <v>0</v>
      </c>
      <c r="EH322" s="56">
        <v>36.659999999999997</v>
      </c>
      <c r="EI322" s="56">
        <v>0</v>
      </c>
      <c r="EJ322" s="56">
        <v>0</v>
      </c>
      <c r="EK322" s="56">
        <v>0</v>
      </c>
      <c r="EL322" s="56">
        <v>0</v>
      </c>
      <c r="EM322" s="56">
        <v>0</v>
      </c>
      <c r="EN322" s="56">
        <v>0</v>
      </c>
      <c r="EO322" s="56">
        <v>0</v>
      </c>
      <c r="EP322" s="56">
        <v>0</v>
      </c>
      <c r="EQ322" s="56">
        <v>0</v>
      </c>
      <c r="ER322" s="56">
        <v>0</v>
      </c>
      <c r="ES322" s="56">
        <v>0</v>
      </c>
      <c r="ET322" s="56">
        <v>0</v>
      </c>
      <c r="EU322" s="56">
        <v>0</v>
      </c>
      <c r="EV322" s="56">
        <v>0</v>
      </c>
      <c r="EW322" s="56">
        <v>0</v>
      </c>
      <c r="EX322" s="56">
        <v>0</v>
      </c>
      <c r="EY322" s="56">
        <v>0</v>
      </c>
      <c r="EZ322" s="56">
        <v>0</v>
      </c>
      <c r="FA322" s="56">
        <v>0</v>
      </c>
      <c r="FB322" s="56">
        <v>0</v>
      </c>
      <c r="FC322" s="58">
        <v>0</v>
      </c>
      <c r="FD322" s="56">
        <v>0</v>
      </c>
      <c r="FE322" s="56">
        <v>0</v>
      </c>
      <c r="FF322" s="56">
        <v>0</v>
      </c>
      <c r="FG322" s="56">
        <v>0</v>
      </c>
      <c r="FH322" s="56">
        <v>0</v>
      </c>
      <c r="FI322" s="56">
        <v>0</v>
      </c>
      <c r="FJ322" s="56">
        <v>0</v>
      </c>
      <c r="FK322" s="56">
        <v>0</v>
      </c>
      <c r="FL322" s="56">
        <v>0</v>
      </c>
      <c r="FM322" s="56">
        <v>0</v>
      </c>
      <c r="FN322" s="56">
        <v>0</v>
      </c>
      <c r="FO322" s="56">
        <v>0</v>
      </c>
      <c r="FP322" s="56">
        <v>0</v>
      </c>
      <c r="FQ322" s="56">
        <v>0</v>
      </c>
      <c r="FR322" s="56">
        <v>0</v>
      </c>
      <c r="FS322" s="58">
        <v>0</v>
      </c>
      <c r="FT322" s="56">
        <v>0</v>
      </c>
      <c r="FU322" s="56">
        <v>0</v>
      </c>
      <c r="FV322" s="56">
        <v>0</v>
      </c>
      <c r="FW322" s="56">
        <v>0</v>
      </c>
      <c r="FX322" s="56">
        <v>0</v>
      </c>
      <c r="FY322" s="56">
        <v>0</v>
      </c>
      <c r="FZ322" s="54" t="s">
        <v>1083</v>
      </c>
      <c r="GA322" s="54" t="s">
        <v>1084</v>
      </c>
      <c r="GB322" s="54" t="s">
        <v>1311</v>
      </c>
      <c r="GC322" s="54" t="s">
        <v>1323</v>
      </c>
      <c r="GD322" s="54"/>
      <c r="GE322" s="54"/>
      <c r="GF322" s="54"/>
      <c r="GG322" s="55"/>
      <c r="GH322" s="54"/>
      <c r="GI322" s="54" t="s">
        <v>1325</v>
      </c>
      <c r="GJ322" s="54" t="s">
        <v>1076</v>
      </c>
      <c r="GK322" s="54" t="s">
        <v>1077</v>
      </c>
      <c r="GL322" s="54"/>
      <c r="GM322" s="54"/>
      <c r="GN322" s="54" t="s">
        <v>1078</v>
      </c>
      <c r="GO322" s="54" t="s">
        <v>1059</v>
      </c>
      <c r="GP322" s="54" t="s">
        <v>1326</v>
      </c>
      <c r="GQ322" s="56">
        <v>0</v>
      </c>
      <c r="GR322" s="54"/>
      <c r="GS322" s="54"/>
    </row>
    <row r="323" spans="1:201" x14ac:dyDescent="0.25">
      <c r="A323" s="54" t="s">
        <v>1032</v>
      </c>
      <c r="B323" s="54" t="s">
        <v>1033</v>
      </c>
      <c r="C323" s="54" t="s">
        <v>1310</v>
      </c>
      <c r="D323" s="54" t="s">
        <v>1311</v>
      </c>
      <c r="E323" s="54" t="s">
        <v>1312</v>
      </c>
      <c r="F323" s="55">
        <v>46179</v>
      </c>
      <c r="G323" s="55">
        <v>46179</v>
      </c>
      <c r="H323" s="54" t="s">
        <v>1313</v>
      </c>
      <c r="I323" s="54" t="s">
        <v>1314</v>
      </c>
      <c r="J323" s="54" t="s">
        <v>1039</v>
      </c>
      <c r="K323" s="55"/>
      <c r="L323" s="54" t="s">
        <v>1315</v>
      </c>
      <c r="M323" s="54"/>
      <c r="N323" s="54" t="s">
        <v>1316</v>
      </c>
      <c r="O323" s="54" t="s">
        <v>1107</v>
      </c>
      <c r="P323" s="54" t="s">
        <v>208</v>
      </c>
      <c r="Q323" s="54" t="s">
        <v>42</v>
      </c>
      <c r="R323" s="54" t="s">
        <v>1043</v>
      </c>
      <c r="S323" s="56">
        <v>107.04</v>
      </c>
      <c r="T323" s="56">
        <v>0</v>
      </c>
      <c r="U323" s="56">
        <v>107.04</v>
      </c>
      <c r="V323" s="56">
        <v>0</v>
      </c>
      <c r="W323" s="56">
        <v>0</v>
      </c>
      <c r="X323" s="56">
        <v>0</v>
      </c>
      <c r="Y323" s="56">
        <v>0</v>
      </c>
      <c r="Z323" s="56">
        <v>12</v>
      </c>
      <c r="AA323" s="56">
        <v>0</v>
      </c>
      <c r="AB323" s="59">
        <v>12</v>
      </c>
      <c r="AC323" s="56">
        <v>0</v>
      </c>
      <c r="AD323" s="56">
        <v>0</v>
      </c>
      <c r="AE323" s="56">
        <v>0</v>
      </c>
      <c r="AF323" s="54" t="s">
        <v>1317</v>
      </c>
      <c r="AG323" s="57"/>
      <c r="AH323" s="54"/>
      <c r="AI323" s="54"/>
      <c r="AJ323" s="54"/>
      <c r="AK323" s="54"/>
      <c r="AL323" s="54"/>
      <c r="AM323" s="54"/>
      <c r="AN323" s="54" t="s">
        <v>1318</v>
      </c>
      <c r="AO323" s="54" t="s">
        <v>1319</v>
      </c>
      <c r="AP323" s="54"/>
      <c r="AQ323" s="54"/>
      <c r="AR323" s="54" t="s">
        <v>1045</v>
      </c>
      <c r="AS323" s="54" t="s">
        <v>1081</v>
      </c>
      <c r="AT323" s="54" t="s">
        <v>1082</v>
      </c>
      <c r="AU323" s="54" t="s">
        <v>1320</v>
      </c>
      <c r="AV323" s="54"/>
      <c r="AW323" s="55"/>
      <c r="AX323" s="55"/>
      <c r="AY323" s="55">
        <v>46179</v>
      </c>
      <c r="AZ323" s="55"/>
      <c r="BA323" s="55"/>
      <c r="BB323" s="56">
        <v>0</v>
      </c>
      <c r="BC323" s="56">
        <v>0</v>
      </c>
      <c r="BD323" s="56">
        <v>0</v>
      </c>
      <c r="BE323" s="56">
        <v>0</v>
      </c>
      <c r="BF323" s="56">
        <v>0</v>
      </c>
      <c r="BG323" s="56">
        <v>0</v>
      </c>
      <c r="BH323" s="56">
        <v>0</v>
      </c>
      <c r="BI323" s="56">
        <v>0</v>
      </c>
      <c r="BJ323" s="56">
        <v>0</v>
      </c>
      <c r="BK323" s="56">
        <v>0</v>
      </c>
      <c r="BL323" s="56">
        <v>0</v>
      </c>
      <c r="BM323" s="56">
        <v>0</v>
      </c>
      <c r="BN323" s="56">
        <v>0</v>
      </c>
      <c r="BO323" s="56">
        <v>0</v>
      </c>
      <c r="BP323" s="54" t="s">
        <v>1049</v>
      </c>
      <c r="BQ323" s="54" t="s">
        <v>1050</v>
      </c>
      <c r="BR323" s="54" t="s">
        <v>1049</v>
      </c>
      <c r="BS323" s="54" t="s">
        <v>1050</v>
      </c>
      <c r="BT323" s="54" t="s">
        <v>1051</v>
      </c>
      <c r="BU323" s="54" t="s">
        <v>1043</v>
      </c>
      <c r="BV323" s="58">
        <v>0</v>
      </c>
      <c r="BW323" s="54" t="s">
        <v>1052</v>
      </c>
      <c r="BX323" s="54" t="s">
        <v>1053</v>
      </c>
      <c r="BY323" s="54" t="s">
        <v>1054</v>
      </c>
      <c r="BZ323" s="54" t="s">
        <v>1055</v>
      </c>
      <c r="CA323" s="55"/>
      <c r="CB323" s="54" t="s">
        <v>1056</v>
      </c>
      <c r="CC323" s="54" t="s">
        <v>1057</v>
      </c>
      <c r="CD323" s="54" t="s">
        <v>1058</v>
      </c>
      <c r="CE323" s="54" t="s">
        <v>1059</v>
      </c>
      <c r="CF323" s="54" t="s">
        <v>1060</v>
      </c>
      <c r="CG323" s="54" t="s">
        <v>1061</v>
      </c>
      <c r="CH323" s="54" t="s">
        <v>1062</v>
      </c>
      <c r="CI323" s="54" t="s">
        <v>1063</v>
      </c>
      <c r="CJ323" s="54" t="s">
        <v>1064</v>
      </c>
      <c r="CK323" s="54" t="s">
        <v>1065</v>
      </c>
      <c r="CL323" s="54" t="s">
        <v>1066</v>
      </c>
      <c r="CM323" s="54" t="s">
        <v>1067</v>
      </c>
      <c r="CN323" s="54" t="s">
        <v>1321</v>
      </c>
      <c r="CO323" s="54" t="s">
        <v>1322</v>
      </c>
      <c r="CP323" s="56">
        <v>0</v>
      </c>
      <c r="CQ323" s="56">
        <v>0</v>
      </c>
      <c r="CR323" s="56">
        <v>0</v>
      </c>
      <c r="CS323" s="56">
        <v>0</v>
      </c>
      <c r="CT323" s="56">
        <v>0</v>
      </c>
      <c r="CU323" s="56">
        <v>0</v>
      </c>
      <c r="CV323" s="56">
        <v>0</v>
      </c>
      <c r="CW323" s="56">
        <v>0</v>
      </c>
      <c r="CX323" s="56">
        <v>0</v>
      </c>
      <c r="CY323" s="56">
        <v>0</v>
      </c>
      <c r="CZ323" s="56">
        <v>0</v>
      </c>
      <c r="DA323" s="56">
        <v>0</v>
      </c>
      <c r="DB323" s="56">
        <v>0</v>
      </c>
      <c r="DC323" s="56">
        <v>0</v>
      </c>
      <c r="DD323" s="56">
        <v>0</v>
      </c>
      <c r="DE323" s="56">
        <v>0</v>
      </c>
      <c r="DF323" s="56">
        <v>0</v>
      </c>
      <c r="DG323" s="56">
        <v>0</v>
      </c>
      <c r="DH323" s="56">
        <v>0</v>
      </c>
      <c r="DI323" s="56">
        <v>0</v>
      </c>
      <c r="DJ323" s="56">
        <v>0</v>
      </c>
      <c r="DK323" s="56">
        <v>0</v>
      </c>
      <c r="DL323" s="56">
        <v>0</v>
      </c>
      <c r="DM323" s="56">
        <v>0</v>
      </c>
      <c r="DN323" s="56">
        <v>0</v>
      </c>
      <c r="DO323" s="56">
        <v>0</v>
      </c>
      <c r="DP323" s="56">
        <v>0</v>
      </c>
      <c r="DQ323" s="56">
        <v>0</v>
      </c>
      <c r="DR323" s="56">
        <v>0</v>
      </c>
      <c r="DS323" s="56">
        <v>0</v>
      </c>
      <c r="DT323" s="56">
        <v>0</v>
      </c>
      <c r="DU323" s="56">
        <v>0</v>
      </c>
      <c r="DV323" s="56">
        <v>0</v>
      </c>
      <c r="DW323" s="56">
        <v>0</v>
      </c>
      <c r="DX323" s="56">
        <v>0</v>
      </c>
      <c r="DY323" s="56">
        <v>0</v>
      </c>
      <c r="DZ323" s="56">
        <v>0</v>
      </c>
      <c r="EA323" s="56">
        <v>0</v>
      </c>
      <c r="EB323" s="56">
        <v>0</v>
      </c>
      <c r="EC323" s="56">
        <v>12.84</v>
      </c>
      <c r="ED323" s="56">
        <v>0</v>
      </c>
      <c r="EE323" s="56">
        <v>0</v>
      </c>
      <c r="EF323" s="56">
        <v>0</v>
      </c>
      <c r="EG323" s="56">
        <v>0</v>
      </c>
      <c r="EH323" s="56">
        <v>12.84</v>
      </c>
      <c r="EI323" s="56">
        <v>0</v>
      </c>
      <c r="EJ323" s="56">
        <v>0</v>
      </c>
      <c r="EK323" s="56">
        <v>0</v>
      </c>
      <c r="EL323" s="56">
        <v>0</v>
      </c>
      <c r="EM323" s="56">
        <v>0</v>
      </c>
      <c r="EN323" s="56">
        <v>0</v>
      </c>
      <c r="EO323" s="56">
        <v>0</v>
      </c>
      <c r="EP323" s="56">
        <v>0</v>
      </c>
      <c r="EQ323" s="56">
        <v>0</v>
      </c>
      <c r="ER323" s="56">
        <v>0</v>
      </c>
      <c r="ES323" s="56">
        <v>0</v>
      </c>
      <c r="ET323" s="56">
        <v>0</v>
      </c>
      <c r="EU323" s="56">
        <v>0</v>
      </c>
      <c r="EV323" s="56">
        <v>0</v>
      </c>
      <c r="EW323" s="56">
        <v>0</v>
      </c>
      <c r="EX323" s="56">
        <v>0</v>
      </c>
      <c r="EY323" s="56">
        <v>0</v>
      </c>
      <c r="EZ323" s="56">
        <v>0</v>
      </c>
      <c r="FA323" s="56">
        <v>0</v>
      </c>
      <c r="FB323" s="56">
        <v>0</v>
      </c>
      <c r="FC323" s="58">
        <v>0</v>
      </c>
      <c r="FD323" s="56">
        <v>0</v>
      </c>
      <c r="FE323" s="56">
        <v>0</v>
      </c>
      <c r="FF323" s="56">
        <v>0</v>
      </c>
      <c r="FG323" s="56">
        <v>0</v>
      </c>
      <c r="FH323" s="56">
        <v>0</v>
      </c>
      <c r="FI323" s="56">
        <v>0</v>
      </c>
      <c r="FJ323" s="56">
        <v>0</v>
      </c>
      <c r="FK323" s="56">
        <v>0</v>
      </c>
      <c r="FL323" s="56">
        <v>0</v>
      </c>
      <c r="FM323" s="56">
        <v>0</v>
      </c>
      <c r="FN323" s="56">
        <v>0</v>
      </c>
      <c r="FO323" s="56">
        <v>0</v>
      </c>
      <c r="FP323" s="56">
        <v>0</v>
      </c>
      <c r="FQ323" s="56">
        <v>0</v>
      </c>
      <c r="FR323" s="56">
        <v>0</v>
      </c>
      <c r="FS323" s="58">
        <v>0</v>
      </c>
      <c r="FT323" s="56">
        <v>0</v>
      </c>
      <c r="FU323" s="56">
        <v>0</v>
      </c>
      <c r="FV323" s="56">
        <v>0</v>
      </c>
      <c r="FW323" s="56">
        <v>0</v>
      </c>
      <c r="FX323" s="56">
        <v>0</v>
      </c>
      <c r="FY323" s="56">
        <v>0</v>
      </c>
      <c r="FZ323" s="54" t="s">
        <v>1083</v>
      </c>
      <c r="GA323" s="54" t="s">
        <v>1084</v>
      </c>
      <c r="GB323" s="54" t="s">
        <v>1311</v>
      </c>
      <c r="GC323" s="54" t="s">
        <v>1323</v>
      </c>
      <c r="GD323" s="54" t="s">
        <v>1171</v>
      </c>
      <c r="GE323" s="54" t="s">
        <v>1075</v>
      </c>
      <c r="GF323" s="54"/>
      <c r="GG323" s="55"/>
      <c r="GH323" s="54"/>
      <c r="GI323" s="54" t="s">
        <v>1325</v>
      </c>
      <c r="GJ323" s="54" t="s">
        <v>1076</v>
      </c>
      <c r="GK323" s="54" t="s">
        <v>1077</v>
      </c>
      <c r="GL323" s="54"/>
      <c r="GM323" s="54"/>
      <c r="GN323" s="54" t="s">
        <v>1078</v>
      </c>
      <c r="GO323" s="54" t="s">
        <v>1059</v>
      </c>
      <c r="GP323" s="54" t="s">
        <v>1326</v>
      </c>
      <c r="GQ323" s="56">
        <v>0</v>
      </c>
      <c r="GR323" s="54"/>
      <c r="GS323" s="54"/>
    </row>
    <row r="324" spans="1:201" x14ac:dyDescent="0.25">
      <c r="A324" s="54" t="s">
        <v>1032</v>
      </c>
      <c r="B324" s="54" t="s">
        <v>1033</v>
      </c>
      <c r="C324" s="54" t="s">
        <v>1310</v>
      </c>
      <c r="D324" s="54" t="s">
        <v>1311</v>
      </c>
      <c r="E324" s="54" t="s">
        <v>1312</v>
      </c>
      <c r="F324" s="55">
        <v>46179</v>
      </c>
      <c r="G324" s="55">
        <v>46179</v>
      </c>
      <c r="H324" s="54" t="s">
        <v>1313</v>
      </c>
      <c r="I324" s="54" t="s">
        <v>1314</v>
      </c>
      <c r="J324" s="54" t="s">
        <v>1039</v>
      </c>
      <c r="K324" s="55"/>
      <c r="L324" s="54" t="s">
        <v>1315</v>
      </c>
      <c r="M324" s="54"/>
      <c r="N324" s="54" t="s">
        <v>1316</v>
      </c>
      <c r="O324" s="54" t="s">
        <v>1109</v>
      </c>
      <c r="P324" s="54" t="s">
        <v>207</v>
      </c>
      <c r="Q324" s="54" t="s">
        <v>41</v>
      </c>
      <c r="R324" s="54" t="s">
        <v>1043</v>
      </c>
      <c r="S324" s="56">
        <v>99.36</v>
      </c>
      <c r="T324" s="56">
        <v>0</v>
      </c>
      <c r="U324" s="56">
        <v>99.36</v>
      </c>
      <c r="V324" s="56">
        <v>0</v>
      </c>
      <c r="W324" s="56">
        <v>0</v>
      </c>
      <c r="X324" s="56">
        <v>0</v>
      </c>
      <c r="Y324" s="56">
        <v>0</v>
      </c>
      <c r="Z324" s="56">
        <v>12</v>
      </c>
      <c r="AA324" s="56">
        <v>0</v>
      </c>
      <c r="AB324" s="59">
        <v>12</v>
      </c>
      <c r="AC324" s="56">
        <v>0</v>
      </c>
      <c r="AD324" s="56">
        <v>0</v>
      </c>
      <c r="AE324" s="56">
        <v>0</v>
      </c>
      <c r="AF324" s="54" t="s">
        <v>1317</v>
      </c>
      <c r="AG324" s="57"/>
      <c r="AH324" s="54"/>
      <c r="AI324" s="54"/>
      <c r="AJ324" s="54"/>
      <c r="AK324" s="54"/>
      <c r="AL324" s="54"/>
      <c r="AM324" s="54"/>
      <c r="AN324" s="54" t="s">
        <v>1318</v>
      </c>
      <c r="AO324" s="54" t="s">
        <v>1319</v>
      </c>
      <c r="AP324" s="54"/>
      <c r="AQ324" s="54"/>
      <c r="AR324" s="54" t="s">
        <v>1045</v>
      </c>
      <c r="AS324" s="54" t="s">
        <v>1081</v>
      </c>
      <c r="AT324" s="54" t="s">
        <v>1082</v>
      </c>
      <c r="AU324" s="54" t="s">
        <v>1320</v>
      </c>
      <c r="AV324" s="54"/>
      <c r="AW324" s="55"/>
      <c r="AX324" s="55"/>
      <c r="AY324" s="55">
        <v>46179</v>
      </c>
      <c r="AZ324" s="55"/>
      <c r="BA324" s="55"/>
      <c r="BB324" s="56">
        <v>0</v>
      </c>
      <c r="BC324" s="56">
        <v>0</v>
      </c>
      <c r="BD324" s="56">
        <v>0</v>
      </c>
      <c r="BE324" s="56">
        <v>0</v>
      </c>
      <c r="BF324" s="56">
        <v>0</v>
      </c>
      <c r="BG324" s="56">
        <v>0</v>
      </c>
      <c r="BH324" s="56">
        <v>0</v>
      </c>
      <c r="BI324" s="56">
        <v>0</v>
      </c>
      <c r="BJ324" s="56">
        <v>0</v>
      </c>
      <c r="BK324" s="56">
        <v>0</v>
      </c>
      <c r="BL324" s="56">
        <v>0</v>
      </c>
      <c r="BM324" s="56">
        <v>0</v>
      </c>
      <c r="BN324" s="56">
        <v>0</v>
      </c>
      <c r="BO324" s="56">
        <v>0</v>
      </c>
      <c r="BP324" s="54" t="s">
        <v>1049</v>
      </c>
      <c r="BQ324" s="54" t="s">
        <v>1050</v>
      </c>
      <c r="BR324" s="54" t="s">
        <v>1049</v>
      </c>
      <c r="BS324" s="54" t="s">
        <v>1050</v>
      </c>
      <c r="BT324" s="54" t="s">
        <v>1051</v>
      </c>
      <c r="BU324" s="54" t="s">
        <v>1043</v>
      </c>
      <c r="BV324" s="58">
        <v>0</v>
      </c>
      <c r="BW324" s="54" t="s">
        <v>1052</v>
      </c>
      <c r="BX324" s="54" t="s">
        <v>1053</v>
      </c>
      <c r="BY324" s="54" t="s">
        <v>1054</v>
      </c>
      <c r="BZ324" s="54" t="s">
        <v>1055</v>
      </c>
      <c r="CA324" s="55"/>
      <c r="CB324" s="54" t="s">
        <v>1056</v>
      </c>
      <c r="CC324" s="54" t="s">
        <v>1057</v>
      </c>
      <c r="CD324" s="54" t="s">
        <v>1058</v>
      </c>
      <c r="CE324" s="54" t="s">
        <v>1059</v>
      </c>
      <c r="CF324" s="54" t="s">
        <v>1060</v>
      </c>
      <c r="CG324" s="54" t="s">
        <v>1061</v>
      </c>
      <c r="CH324" s="54" t="s">
        <v>1062</v>
      </c>
      <c r="CI324" s="54" t="s">
        <v>1063</v>
      </c>
      <c r="CJ324" s="54" t="s">
        <v>1064</v>
      </c>
      <c r="CK324" s="54" t="s">
        <v>1065</v>
      </c>
      <c r="CL324" s="54" t="s">
        <v>1066</v>
      </c>
      <c r="CM324" s="54" t="s">
        <v>1067</v>
      </c>
      <c r="CN324" s="54" t="s">
        <v>1321</v>
      </c>
      <c r="CO324" s="54" t="s">
        <v>1322</v>
      </c>
      <c r="CP324" s="56">
        <v>0</v>
      </c>
      <c r="CQ324" s="56">
        <v>0</v>
      </c>
      <c r="CR324" s="56">
        <v>0</v>
      </c>
      <c r="CS324" s="56">
        <v>0</v>
      </c>
      <c r="CT324" s="56">
        <v>0</v>
      </c>
      <c r="CU324" s="56">
        <v>0</v>
      </c>
      <c r="CV324" s="56">
        <v>0</v>
      </c>
      <c r="CW324" s="56">
        <v>0</v>
      </c>
      <c r="CX324" s="56">
        <v>0</v>
      </c>
      <c r="CY324" s="56">
        <v>0</v>
      </c>
      <c r="CZ324" s="56">
        <v>0</v>
      </c>
      <c r="DA324" s="56">
        <v>0</v>
      </c>
      <c r="DB324" s="56">
        <v>0</v>
      </c>
      <c r="DC324" s="56">
        <v>0</v>
      </c>
      <c r="DD324" s="56">
        <v>0</v>
      </c>
      <c r="DE324" s="56">
        <v>0</v>
      </c>
      <c r="DF324" s="56">
        <v>0</v>
      </c>
      <c r="DG324" s="56">
        <v>0</v>
      </c>
      <c r="DH324" s="56">
        <v>0</v>
      </c>
      <c r="DI324" s="56">
        <v>0</v>
      </c>
      <c r="DJ324" s="56">
        <v>0</v>
      </c>
      <c r="DK324" s="56">
        <v>0</v>
      </c>
      <c r="DL324" s="56">
        <v>0</v>
      </c>
      <c r="DM324" s="56">
        <v>0</v>
      </c>
      <c r="DN324" s="56">
        <v>0</v>
      </c>
      <c r="DO324" s="56">
        <v>0</v>
      </c>
      <c r="DP324" s="56">
        <v>0</v>
      </c>
      <c r="DQ324" s="56">
        <v>0</v>
      </c>
      <c r="DR324" s="56">
        <v>0</v>
      </c>
      <c r="DS324" s="56">
        <v>0</v>
      </c>
      <c r="DT324" s="56">
        <v>0</v>
      </c>
      <c r="DU324" s="56">
        <v>0</v>
      </c>
      <c r="DV324" s="56">
        <v>0</v>
      </c>
      <c r="DW324" s="56">
        <v>0</v>
      </c>
      <c r="DX324" s="56">
        <v>0</v>
      </c>
      <c r="DY324" s="56">
        <v>0</v>
      </c>
      <c r="DZ324" s="56">
        <v>0</v>
      </c>
      <c r="EA324" s="56">
        <v>0</v>
      </c>
      <c r="EB324" s="56">
        <v>0</v>
      </c>
      <c r="EC324" s="56">
        <v>11.92</v>
      </c>
      <c r="ED324" s="56">
        <v>0</v>
      </c>
      <c r="EE324" s="56">
        <v>0</v>
      </c>
      <c r="EF324" s="56">
        <v>0</v>
      </c>
      <c r="EG324" s="56">
        <v>0</v>
      </c>
      <c r="EH324" s="56">
        <v>11.92</v>
      </c>
      <c r="EI324" s="56">
        <v>0</v>
      </c>
      <c r="EJ324" s="56">
        <v>0</v>
      </c>
      <c r="EK324" s="56">
        <v>0</v>
      </c>
      <c r="EL324" s="56">
        <v>0</v>
      </c>
      <c r="EM324" s="56">
        <v>0</v>
      </c>
      <c r="EN324" s="56">
        <v>0</v>
      </c>
      <c r="EO324" s="56">
        <v>0</v>
      </c>
      <c r="EP324" s="56">
        <v>0</v>
      </c>
      <c r="EQ324" s="56">
        <v>0</v>
      </c>
      <c r="ER324" s="56">
        <v>0</v>
      </c>
      <c r="ES324" s="56">
        <v>0</v>
      </c>
      <c r="ET324" s="56">
        <v>0</v>
      </c>
      <c r="EU324" s="56">
        <v>0</v>
      </c>
      <c r="EV324" s="56">
        <v>0</v>
      </c>
      <c r="EW324" s="56">
        <v>0</v>
      </c>
      <c r="EX324" s="56">
        <v>0</v>
      </c>
      <c r="EY324" s="56">
        <v>0</v>
      </c>
      <c r="EZ324" s="56">
        <v>0</v>
      </c>
      <c r="FA324" s="56">
        <v>0</v>
      </c>
      <c r="FB324" s="56">
        <v>0</v>
      </c>
      <c r="FC324" s="58">
        <v>0</v>
      </c>
      <c r="FD324" s="56">
        <v>0</v>
      </c>
      <c r="FE324" s="56">
        <v>0</v>
      </c>
      <c r="FF324" s="56">
        <v>0</v>
      </c>
      <c r="FG324" s="56">
        <v>0</v>
      </c>
      <c r="FH324" s="56">
        <v>0</v>
      </c>
      <c r="FI324" s="56">
        <v>0</v>
      </c>
      <c r="FJ324" s="56">
        <v>0</v>
      </c>
      <c r="FK324" s="56">
        <v>0</v>
      </c>
      <c r="FL324" s="56">
        <v>0</v>
      </c>
      <c r="FM324" s="56">
        <v>0</v>
      </c>
      <c r="FN324" s="56">
        <v>0</v>
      </c>
      <c r="FO324" s="56">
        <v>0</v>
      </c>
      <c r="FP324" s="56">
        <v>0</v>
      </c>
      <c r="FQ324" s="56">
        <v>0</v>
      </c>
      <c r="FR324" s="56">
        <v>0</v>
      </c>
      <c r="FS324" s="58">
        <v>0</v>
      </c>
      <c r="FT324" s="56">
        <v>0</v>
      </c>
      <c r="FU324" s="56">
        <v>0</v>
      </c>
      <c r="FV324" s="56">
        <v>0</v>
      </c>
      <c r="FW324" s="56">
        <v>0</v>
      </c>
      <c r="FX324" s="56">
        <v>0</v>
      </c>
      <c r="FY324" s="56">
        <v>0</v>
      </c>
      <c r="FZ324" s="54" t="s">
        <v>1083</v>
      </c>
      <c r="GA324" s="54" t="s">
        <v>1084</v>
      </c>
      <c r="GB324" s="54" t="s">
        <v>1311</v>
      </c>
      <c r="GC324" s="54" t="s">
        <v>1323</v>
      </c>
      <c r="GD324" s="54" t="s">
        <v>1171</v>
      </c>
      <c r="GE324" s="54" t="s">
        <v>1075</v>
      </c>
      <c r="GF324" s="54"/>
      <c r="GG324" s="55"/>
      <c r="GH324" s="54"/>
      <c r="GI324" s="54" t="s">
        <v>1325</v>
      </c>
      <c r="GJ324" s="54" t="s">
        <v>1076</v>
      </c>
      <c r="GK324" s="54" t="s">
        <v>1077</v>
      </c>
      <c r="GL324" s="54"/>
      <c r="GM324" s="54"/>
      <c r="GN324" s="54" t="s">
        <v>1078</v>
      </c>
      <c r="GO324" s="54" t="s">
        <v>1059</v>
      </c>
      <c r="GP324" s="54" t="s">
        <v>1326</v>
      </c>
      <c r="GQ324" s="56">
        <v>0</v>
      </c>
      <c r="GR324" s="54"/>
      <c r="GS324" s="54"/>
    </row>
    <row r="325" spans="1:201" x14ac:dyDescent="0.25">
      <c r="A325" s="54" t="s">
        <v>1032</v>
      </c>
      <c r="B325" s="54" t="s">
        <v>1033</v>
      </c>
      <c r="C325" s="54" t="s">
        <v>1310</v>
      </c>
      <c r="D325" s="54" t="s">
        <v>1311</v>
      </c>
      <c r="E325" s="54" t="s">
        <v>1312</v>
      </c>
      <c r="F325" s="55">
        <v>46179</v>
      </c>
      <c r="G325" s="55">
        <v>46179</v>
      </c>
      <c r="H325" s="54" t="s">
        <v>1313</v>
      </c>
      <c r="I325" s="54" t="s">
        <v>1314</v>
      </c>
      <c r="J325" s="54" t="s">
        <v>1039</v>
      </c>
      <c r="K325" s="55"/>
      <c r="L325" s="54" t="s">
        <v>1315</v>
      </c>
      <c r="M325" s="54"/>
      <c r="N325" s="54" t="s">
        <v>1316</v>
      </c>
      <c r="O325" s="54" t="s">
        <v>1111</v>
      </c>
      <c r="P325" s="54" t="s">
        <v>211</v>
      </c>
      <c r="Q325" s="54" t="s">
        <v>44</v>
      </c>
      <c r="R325" s="54" t="s">
        <v>1043</v>
      </c>
      <c r="S325" s="56">
        <v>14725</v>
      </c>
      <c r="T325" s="56">
        <v>0</v>
      </c>
      <c r="U325" s="56">
        <v>14725</v>
      </c>
      <c r="V325" s="56">
        <v>0</v>
      </c>
      <c r="W325" s="56">
        <v>0</v>
      </c>
      <c r="X325" s="56">
        <v>0</v>
      </c>
      <c r="Y325" s="56">
        <v>0</v>
      </c>
      <c r="Z325" s="56">
        <v>2500</v>
      </c>
      <c r="AA325" s="56">
        <v>0</v>
      </c>
      <c r="AB325" s="59">
        <v>2500</v>
      </c>
      <c r="AC325" s="56">
        <v>0</v>
      </c>
      <c r="AD325" s="56">
        <v>0</v>
      </c>
      <c r="AE325" s="56">
        <v>0</v>
      </c>
      <c r="AF325" s="54" t="s">
        <v>1317</v>
      </c>
      <c r="AG325" s="57"/>
      <c r="AH325" s="54"/>
      <c r="AI325" s="54"/>
      <c r="AJ325" s="54"/>
      <c r="AK325" s="54"/>
      <c r="AL325" s="54"/>
      <c r="AM325" s="54"/>
      <c r="AN325" s="54" t="s">
        <v>1318</v>
      </c>
      <c r="AO325" s="54" t="s">
        <v>1319</v>
      </c>
      <c r="AP325" s="54"/>
      <c r="AQ325" s="54"/>
      <c r="AR325" s="54" t="s">
        <v>1045</v>
      </c>
      <c r="AS325" s="54" t="s">
        <v>1081</v>
      </c>
      <c r="AT325" s="54" t="s">
        <v>1082</v>
      </c>
      <c r="AU325" s="54" t="s">
        <v>1320</v>
      </c>
      <c r="AV325" s="54"/>
      <c r="AW325" s="55"/>
      <c r="AX325" s="55"/>
      <c r="AY325" s="55">
        <v>46179</v>
      </c>
      <c r="AZ325" s="55"/>
      <c r="BA325" s="55"/>
      <c r="BB325" s="56">
        <v>0</v>
      </c>
      <c r="BC325" s="56">
        <v>0</v>
      </c>
      <c r="BD325" s="56">
        <v>0</v>
      </c>
      <c r="BE325" s="56">
        <v>0</v>
      </c>
      <c r="BF325" s="56">
        <v>0</v>
      </c>
      <c r="BG325" s="56">
        <v>0</v>
      </c>
      <c r="BH325" s="56">
        <v>0</v>
      </c>
      <c r="BI325" s="56">
        <v>0</v>
      </c>
      <c r="BJ325" s="56">
        <v>0</v>
      </c>
      <c r="BK325" s="56">
        <v>0</v>
      </c>
      <c r="BL325" s="56">
        <v>0</v>
      </c>
      <c r="BM325" s="56">
        <v>0</v>
      </c>
      <c r="BN325" s="56">
        <v>0</v>
      </c>
      <c r="BO325" s="56">
        <v>0</v>
      </c>
      <c r="BP325" s="54" t="s">
        <v>1049</v>
      </c>
      <c r="BQ325" s="54" t="s">
        <v>1050</v>
      </c>
      <c r="BR325" s="54" t="s">
        <v>1049</v>
      </c>
      <c r="BS325" s="54" t="s">
        <v>1050</v>
      </c>
      <c r="BT325" s="54" t="s">
        <v>1051</v>
      </c>
      <c r="BU325" s="54" t="s">
        <v>1043</v>
      </c>
      <c r="BV325" s="58">
        <v>0</v>
      </c>
      <c r="BW325" s="54" t="s">
        <v>1052</v>
      </c>
      <c r="BX325" s="54" t="s">
        <v>1053</v>
      </c>
      <c r="BY325" s="54" t="s">
        <v>1054</v>
      </c>
      <c r="BZ325" s="54" t="s">
        <v>1055</v>
      </c>
      <c r="CA325" s="55"/>
      <c r="CB325" s="54" t="s">
        <v>1056</v>
      </c>
      <c r="CC325" s="54" t="s">
        <v>1057</v>
      </c>
      <c r="CD325" s="54" t="s">
        <v>1058</v>
      </c>
      <c r="CE325" s="54" t="s">
        <v>1059</v>
      </c>
      <c r="CF325" s="54" t="s">
        <v>1060</v>
      </c>
      <c r="CG325" s="54" t="s">
        <v>1061</v>
      </c>
      <c r="CH325" s="54" t="s">
        <v>1062</v>
      </c>
      <c r="CI325" s="54" t="s">
        <v>1063</v>
      </c>
      <c r="CJ325" s="54" t="s">
        <v>1064</v>
      </c>
      <c r="CK325" s="54" t="s">
        <v>1065</v>
      </c>
      <c r="CL325" s="54" t="s">
        <v>1066</v>
      </c>
      <c r="CM325" s="54" t="s">
        <v>1067</v>
      </c>
      <c r="CN325" s="54" t="s">
        <v>1321</v>
      </c>
      <c r="CO325" s="54" t="s">
        <v>1322</v>
      </c>
      <c r="CP325" s="56">
        <v>0</v>
      </c>
      <c r="CQ325" s="56">
        <v>0</v>
      </c>
      <c r="CR325" s="56">
        <v>0</v>
      </c>
      <c r="CS325" s="56">
        <v>0</v>
      </c>
      <c r="CT325" s="56">
        <v>0</v>
      </c>
      <c r="CU325" s="56">
        <v>0</v>
      </c>
      <c r="CV325" s="56">
        <v>0</v>
      </c>
      <c r="CW325" s="56">
        <v>0</v>
      </c>
      <c r="CX325" s="56">
        <v>0</v>
      </c>
      <c r="CY325" s="56">
        <v>0</v>
      </c>
      <c r="CZ325" s="56">
        <v>0</v>
      </c>
      <c r="DA325" s="56">
        <v>0</v>
      </c>
      <c r="DB325" s="56">
        <v>0</v>
      </c>
      <c r="DC325" s="56">
        <v>0</v>
      </c>
      <c r="DD325" s="56">
        <v>0</v>
      </c>
      <c r="DE325" s="56">
        <v>0</v>
      </c>
      <c r="DF325" s="56">
        <v>0</v>
      </c>
      <c r="DG325" s="56">
        <v>0</v>
      </c>
      <c r="DH325" s="56">
        <v>0</v>
      </c>
      <c r="DI325" s="56">
        <v>0</v>
      </c>
      <c r="DJ325" s="56">
        <v>0</v>
      </c>
      <c r="DK325" s="56">
        <v>0</v>
      </c>
      <c r="DL325" s="56">
        <v>0</v>
      </c>
      <c r="DM325" s="56">
        <v>0</v>
      </c>
      <c r="DN325" s="56">
        <v>0</v>
      </c>
      <c r="DO325" s="56">
        <v>0</v>
      </c>
      <c r="DP325" s="56">
        <v>0</v>
      </c>
      <c r="DQ325" s="56">
        <v>0</v>
      </c>
      <c r="DR325" s="56">
        <v>0</v>
      </c>
      <c r="DS325" s="56">
        <v>0</v>
      </c>
      <c r="DT325" s="56">
        <v>0</v>
      </c>
      <c r="DU325" s="56">
        <v>0</v>
      </c>
      <c r="DV325" s="56">
        <v>0</v>
      </c>
      <c r="DW325" s="56">
        <v>0</v>
      </c>
      <c r="DX325" s="56">
        <v>0</v>
      </c>
      <c r="DY325" s="56">
        <v>0</v>
      </c>
      <c r="DZ325" s="56">
        <v>0</v>
      </c>
      <c r="EA325" s="56">
        <v>0</v>
      </c>
      <c r="EB325" s="56">
        <v>0</v>
      </c>
      <c r="EC325" s="56">
        <v>1767</v>
      </c>
      <c r="ED325" s="56">
        <v>0</v>
      </c>
      <c r="EE325" s="56">
        <v>0</v>
      </c>
      <c r="EF325" s="56">
        <v>0</v>
      </c>
      <c r="EG325" s="56">
        <v>0</v>
      </c>
      <c r="EH325" s="56">
        <v>1767</v>
      </c>
      <c r="EI325" s="56">
        <v>0</v>
      </c>
      <c r="EJ325" s="56">
        <v>0</v>
      </c>
      <c r="EK325" s="56">
        <v>0</v>
      </c>
      <c r="EL325" s="56">
        <v>0</v>
      </c>
      <c r="EM325" s="56">
        <v>0</v>
      </c>
      <c r="EN325" s="56">
        <v>0</v>
      </c>
      <c r="EO325" s="56">
        <v>0</v>
      </c>
      <c r="EP325" s="56">
        <v>0</v>
      </c>
      <c r="EQ325" s="56">
        <v>0</v>
      </c>
      <c r="ER325" s="56">
        <v>0</v>
      </c>
      <c r="ES325" s="56">
        <v>0</v>
      </c>
      <c r="ET325" s="56">
        <v>0</v>
      </c>
      <c r="EU325" s="56">
        <v>0</v>
      </c>
      <c r="EV325" s="56">
        <v>0</v>
      </c>
      <c r="EW325" s="56">
        <v>0</v>
      </c>
      <c r="EX325" s="56">
        <v>0</v>
      </c>
      <c r="EY325" s="56">
        <v>0</v>
      </c>
      <c r="EZ325" s="56">
        <v>0</v>
      </c>
      <c r="FA325" s="56">
        <v>0</v>
      </c>
      <c r="FB325" s="56">
        <v>0</v>
      </c>
      <c r="FC325" s="58">
        <v>0</v>
      </c>
      <c r="FD325" s="56">
        <v>0</v>
      </c>
      <c r="FE325" s="56">
        <v>0</v>
      </c>
      <c r="FF325" s="56">
        <v>0</v>
      </c>
      <c r="FG325" s="56">
        <v>0</v>
      </c>
      <c r="FH325" s="56">
        <v>0</v>
      </c>
      <c r="FI325" s="56">
        <v>0</v>
      </c>
      <c r="FJ325" s="56">
        <v>0</v>
      </c>
      <c r="FK325" s="56">
        <v>0</v>
      </c>
      <c r="FL325" s="56">
        <v>0</v>
      </c>
      <c r="FM325" s="56">
        <v>0</v>
      </c>
      <c r="FN325" s="56">
        <v>0</v>
      </c>
      <c r="FO325" s="56">
        <v>0</v>
      </c>
      <c r="FP325" s="56">
        <v>0</v>
      </c>
      <c r="FQ325" s="56">
        <v>0</v>
      </c>
      <c r="FR325" s="56">
        <v>0</v>
      </c>
      <c r="FS325" s="58">
        <v>0</v>
      </c>
      <c r="FT325" s="56">
        <v>0</v>
      </c>
      <c r="FU325" s="56">
        <v>0</v>
      </c>
      <c r="FV325" s="56">
        <v>0</v>
      </c>
      <c r="FW325" s="56">
        <v>0</v>
      </c>
      <c r="FX325" s="56">
        <v>0</v>
      </c>
      <c r="FY325" s="56">
        <v>0</v>
      </c>
      <c r="FZ325" s="54" t="s">
        <v>1083</v>
      </c>
      <c r="GA325" s="54" t="s">
        <v>1084</v>
      </c>
      <c r="GB325" s="54" t="s">
        <v>1311</v>
      </c>
      <c r="GC325" s="54" t="s">
        <v>1323</v>
      </c>
      <c r="GD325" s="54" t="s">
        <v>1178</v>
      </c>
      <c r="GE325" s="54" t="s">
        <v>1075</v>
      </c>
      <c r="GF325" s="54"/>
      <c r="GG325" s="55"/>
      <c r="GH325" s="54"/>
      <c r="GI325" s="54" t="s">
        <v>1325</v>
      </c>
      <c r="GJ325" s="54" t="s">
        <v>1076</v>
      </c>
      <c r="GK325" s="54" t="s">
        <v>1077</v>
      </c>
      <c r="GL325" s="54"/>
      <c r="GM325" s="54"/>
      <c r="GN325" s="54" t="s">
        <v>1078</v>
      </c>
      <c r="GO325" s="54" t="s">
        <v>1059</v>
      </c>
      <c r="GP325" s="54" t="s">
        <v>1326</v>
      </c>
      <c r="GQ325" s="56">
        <v>0</v>
      </c>
      <c r="GR325" s="54"/>
      <c r="GS325" s="54"/>
    </row>
    <row r="326" spans="1:201" x14ac:dyDescent="0.25">
      <c r="A326" s="54" t="s">
        <v>1032</v>
      </c>
      <c r="B326" s="54" t="s">
        <v>1033</v>
      </c>
      <c r="C326" s="54" t="s">
        <v>1310</v>
      </c>
      <c r="D326" s="54" t="s">
        <v>1311</v>
      </c>
      <c r="E326" s="54" t="s">
        <v>1312</v>
      </c>
      <c r="F326" s="55">
        <v>46179</v>
      </c>
      <c r="G326" s="55">
        <v>46179</v>
      </c>
      <c r="H326" s="54" t="s">
        <v>1313</v>
      </c>
      <c r="I326" s="54" t="s">
        <v>1314</v>
      </c>
      <c r="J326" s="54" t="s">
        <v>1039</v>
      </c>
      <c r="K326" s="55"/>
      <c r="L326" s="54" t="s">
        <v>1315</v>
      </c>
      <c r="M326" s="54"/>
      <c r="N326" s="54" t="s">
        <v>1316</v>
      </c>
      <c r="O326" s="54" t="s">
        <v>1113</v>
      </c>
      <c r="P326" s="54" t="s">
        <v>210</v>
      </c>
      <c r="Q326" s="54" t="s">
        <v>43</v>
      </c>
      <c r="R326" s="54" t="s">
        <v>1043</v>
      </c>
      <c r="S326" s="56">
        <v>16600</v>
      </c>
      <c r="T326" s="56">
        <v>0</v>
      </c>
      <c r="U326" s="56">
        <v>16600</v>
      </c>
      <c r="V326" s="56">
        <v>0</v>
      </c>
      <c r="W326" s="56">
        <v>0</v>
      </c>
      <c r="X326" s="56">
        <v>0</v>
      </c>
      <c r="Y326" s="56">
        <v>0</v>
      </c>
      <c r="Z326" s="56">
        <v>2500</v>
      </c>
      <c r="AA326" s="56">
        <v>0</v>
      </c>
      <c r="AB326" s="59">
        <v>2500</v>
      </c>
      <c r="AC326" s="56">
        <v>0</v>
      </c>
      <c r="AD326" s="56">
        <v>0</v>
      </c>
      <c r="AE326" s="56">
        <v>0</v>
      </c>
      <c r="AF326" s="54" t="s">
        <v>1317</v>
      </c>
      <c r="AG326" s="57"/>
      <c r="AH326" s="54"/>
      <c r="AI326" s="54"/>
      <c r="AJ326" s="54"/>
      <c r="AK326" s="54"/>
      <c r="AL326" s="54"/>
      <c r="AM326" s="54"/>
      <c r="AN326" s="54" t="s">
        <v>1318</v>
      </c>
      <c r="AO326" s="54" t="s">
        <v>1319</v>
      </c>
      <c r="AP326" s="54"/>
      <c r="AQ326" s="54"/>
      <c r="AR326" s="54" t="s">
        <v>1045</v>
      </c>
      <c r="AS326" s="54" t="s">
        <v>1081</v>
      </c>
      <c r="AT326" s="54" t="s">
        <v>1082</v>
      </c>
      <c r="AU326" s="54" t="s">
        <v>1320</v>
      </c>
      <c r="AV326" s="54"/>
      <c r="AW326" s="55"/>
      <c r="AX326" s="55"/>
      <c r="AY326" s="55">
        <v>46179</v>
      </c>
      <c r="AZ326" s="55"/>
      <c r="BA326" s="55"/>
      <c r="BB326" s="56">
        <v>0</v>
      </c>
      <c r="BC326" s="56">
        <v>0</v>
      </c>
      <c r="BD326" s="56">
        <v>0</v>
      </c>
      <c r="BE326" s="56">
        <v>0</v>
      </c>
      <c r="BF326" s="56">
        <v>0</v>
      </c>
      <c r="BG326" s="56">
        <v>0</v>
      </c>
      <c r="BH326" s="56">
        <v>0</v>
      </c>
      <c r="BI326" s="56">
        <v>0</v>
      </c>
      <c r="BJ326" s="56">
        <v>0</v>
      </c>
      <c r="BK326" s="56">
        <v>0</v>
      </c>
      <c r="BL326" s="56">
        <v>0</v>
      </c>
      <c r="BM326" s="56">
        <v>0</v>
      </c>
      <c r="BN326" s="56">
        <v>0</v>
      </c>
      <c r="BO326" s="56">
        <v>0</v>
      </c>
      <c r="BP326" s="54" t="s">
        <v>1049</v>
      </c>
      <c r="BQ326" s="54" t="s">
        <v>1050</v>
      </c>
      <c r="BR326" s="54" t="s">
        <v>1049</v>
      </c>
      <c r="BS326" s="54" t="s">
        <v>1050</v>
      </c>
      <c r="BT326" s="54" t="s">
        <v>1051</v>
      </c>
      <c r="BU326" s="54" t="s">
        <v>1043</v>
      </c>
      <c r="BV326" s="58">
        <v>0</v>
      </c>
      <c r="BW326" s="54" t="s">
        <v>1052</v>
      </c>
      <c r="BX326" s="54" t="s">
        <v>1053</v>
      </c>
      <c r="BY326" s="54" t="s">
        <v>1054</v>
      </c>
      <c r="BZ326" s="54" t="s">
        <v>1055</v>
      </c>
      <c r="CA326" s="55"/>
      <c r="CB326" s="54" t="s">
        <v>1056</v>
      </c>
      <c r="CC326" s="54" t="s">
        <v>1057</v>
      </c>
      <c r="CD326" s="54" t="s">
        <v>1058</v>
      </c>
      <c r="CE326" s="54" t="s">
        <v>1059</v>
      </c>
      <c r="CF326" s="54" t="s">
        <v>1060</v>
      </c>
      <c r="CG326" s="54" t="s">
        <v>1061</v>
      </c>
      <c r="CH326" s="54" t="s">
        <v>1062</v>
      </c>
      <c r="CI326" s="54" t="s">
        <v>1063</v>
      </c>
      <c r="CJ326" s="54" t="s">
        <v>1064</v>
      </c>
      <c r="CK326" s="54" t="s">
        <v>1065</v>
      </c>
      <c r="CL326" s="54" t="s">
        <v>1066</v>
      </c>
      <c r="CM326" s="54" t="s">
        <v>1067</v>
      </c>
      <c r="CN326" s="54" t="s">
        <v>1321</v>
      </c>
      <c r="CO326" s="54" t="s">
        <v>1322</v>
      </c>
      <c r="CP326" s="56">
        <v>0</v>
      </c>
      <c r="CQ326" s="56">
        <v>0</v>
      </c>
      <c r="CR326" s="56">
        <v>0</v>
      </c>
      <c r="CS326" s="56">
        <v>0</v>
      </c>
      <c r="CT326" s="56">
        <v>0</v>
      </c>
      <c r="CU326" s="56">
        <v>0</v>
      </c>
      <c r="CV326" s="56">
        <v>0</v>
      </c>
      <c r="CW326" s="56">
        <v>0</v>
      </c>
      <c r="CX326" s="56">
        <v>0</v>
      </c>
      <c r="CY326" s="56">
        <v>0</v>
      </c>
      <c r="CZ326" s="56">
        <v>0</v>
      </c>
      <c r="DA326" s="56">
        <v>0</v>
      </c>
      <c r="DB326" s="56">
        <v>0</v>
      </c>
      <c r="DC326" s="56">
        <v>0</v>
      </c>
      <c r="DD326" s="56">
        <v>0</v>
      </c>
      <c r="DE326" s="56">
        <v>0</v>
      </c>
      <c r="DF326" s="56">
        <v>0</v>
      </c>
      <c r="DG326" s="56">
        <v>0</v>
      </c>
      <c r="DH326" s="56">
        <v>0</v>
      </c>
      <c r="DI326" s="56">
        <v>0</v>
      </c>
      <c r="DJ326" s="56">
        <v>0</v>
      </c>
      <c r="DK326" s="56">
        <v>0</v>
      </c>
      <c r="DL326" s="56">
        <v>0</v>
      </c>
      <c r="DM326" s="56">
        <v>0</v>
      </c>
      <c r="DN326" s="56">
        <v>0</v>
      </c>
      <c r="DO326" s="56">
        <v>0</v>
      </c>
      <c r="DP326" s="56">
        <v>0</v>
      </c>
      <c r="DQ326" s="56">
        <v>0</v>
      </c>
      <c r="DR326" s="56">
        <v>0</v>
      </c>
      <c r="DS326" s="56">
        <v>0</v>
      </c>
      <c r="DT326" s="56">
        <v>0</v>
      </c>
      <c r="DU326" s="56">
        <v>0</v>
      </c>
      <c r="DV326" s="56">
        <v>0</v>
      </c>
      <c r="DW326" s="56">
        <v>0</v>
      </c>
      <c r="DX326" s="56">
        <v>0</v>
      </c>
      <c r="DY326" s="56">
        <v>0</v>
      </c>
      <c r="DZ326" s="56">
        <v>0</v>
      </c>
      <c r="EA326" s="56">
        <v>0</v>
      </c>
      <c r="EB326" s="56">
        <v>0</v>
      </c>
      <c r="EC326" s="56">
        <v>1992</v>
      </c>
      <c r="ED326" s="56">
        <v>0</v>
      </c>
      <c r="EE326" s="56">
        <v>0</v>
      </c>
      <c r="EF326" s="56">
        <v>0</v>
      </c>
      <c r="EG326" s="56">
        <v>0</v>
      </c>
      <c r="EH326" s="56">
        <v>1992</v>
      </c>
      <c r="EI326" s="56">
        <v>0</v>
      </c>
      <c r="EJ326" s="56">
        <v>0</v>
      </c>
      <c r="EK326" s="56">
        <v>0</v>
      </c>
      <c r="EL326" s="56">
        <v>0</v>
      </c>
      <c r="EM326" s="56">
        <v>0</v>
      </c>
      <c r="EN326" s="56">
        <v>0</v>
      </c>
      <c r="EO326" s="56">
        <v>0</v>
      </c>
      <c r="EP326" s="56">
        <v>0</v>
      </c>
      <c r="EQ326" s="56">
        <v>0</v>
      </c>
      <c r="ER326" s="56">
        <v>0</v>
      </c>
      <c r="ES326" s="56">
        <v>0</v>
      </c>
      <c r="ET326" s="56">
        <v>0</v>
      </c>
      <c r="EU326" s="56">
        <v>0</v>
      </c>
      <c r="EV326" s="56">
        <v>0</v>
      </c>
      <c r="EW326" s="56">
        <v>0</v>
      </c>
      <c r="EX326" s="56">
        <v>0</v>
      </c>
      <c r="EY326" s="56">
        <v>0</v>
      </c>
      <c r="EZ326" s="56">
        <v>0</v>
      </c>
      <c r="FA326" s="56">
        <v>0</v>
      </c>
      <c r="FB326" s="56">
        <v>0</v>
      </c>
      <c r="FC326" s="58">
        <v>0</v>
      </c>
      <c r="FD326" s="56">
        <v>0</v>
      </c>
      <c r="FE326" s="56">
        <v>0</v>
      </c>
      <c r="FF326" s="56">
        <v>0</v>
      </c>
      <c r="FG326" s="56">
        <v>0</v>
      </c>
      <c r="FH326" s="56">
        <v>0</v>
      </c>
      <c r="FI326" s="56">
        <v>0</v>
      </c>
      <c r="FJ326" s="56">
        <v>0</v>
      </c>
      <c r="FK326" s="56">
        <v>0</v>
      </c>
      <c r="FL326" s="56">
        <v>0</v>
      </c>
      <c r="FM326" s="56">
        <v>0</v>
      </c>
      <c r="FN326" s="56">
        <v>0</v>
      </c>
      <c r="FO326" s="56">
        <v>0</v>
      </c>
      <c r="FP326" s="56">
        <v>0</v>
      </c>
      <c r="FQ326" s="56">
        <v>0</v>
      </c>
      <c r="FR326" s="56">
        <v>0</v>
      </c>
      <c r="FS326" s="58">
        <v>0</v>
      </c>
      <c r="FT326" s="56">
        <v>0</v>
      </c>
      <c r="FU326" s="56">
        <v>0</v>
      </c>
      <c r="FV326" s="56">
        <v>0</v>
      </c>
      <c r="FW326" s="56">
        <v>0</v>
      </c>
      <c r="FX326" s="56">
        <v>0</v>
      </c>
      <c r="FY326" s="56">
        <v>0</v>
      </c>
      <c r="FZ326" s="54" t="s">
        <v>1083</v>
      </c>
      <c r="GA326" s="54" t="s">
        <v>1084</v>
      </c>
      <c r="GB326" s="54" t="s">
        <v>1311</v>
      </c>
      <c r="GC326" s="54" t="s">
        <v>1323</v>
      </c>
      <c r="GD326" s="54" t="s">
        <v>1178</v>
      </c>
      <c r="GE326" s="54" t="s">
        <v>1075</v>
      </c>
      <c r="GF326" s="54"/>
      <c r="GG326" s="55"/>
      <c r="GH326" s="54"/>
      <c r="GI326" s="54" t="s">
        <v>1325</v>
      </c>
      <c r="GJ326" s="54" t="s">
        <v>1076</v>
      </c>
      <c r="GK326" s="54" t="s">
        <v>1077</v>
      </c>
      <c r="GL326" s="54"/>
      <c r="GM326" s="54"/>
      <c r="GN326" s="54" t="s">
        <v>1078</v>
      </c>
      <c r="GO326" s="54" t="s">
        <v>1059</v>
      </c>
      <c r="GP326" s="54" t="s">
        <v>1326</v>
      </c>
      <c r="GQ326" s="56">
        <v>0</v>
      </c>
      <c r="GR326" s="54"/>
      <c r="GS326" s="54"/>
    </row>
    <row r="327" spans="1:201" x14ac:dyDescent="0.25">
      <c r="A327" s="54" t="s">
        <v>1032</v>
      </c>
      <c r="B327" s="54" t="s">
        <v>1033</v>
      </c>
      <c r="C327" s="54" t="s">
        <v>1327</v>
      </c>
      <c r="D327" s="54" t="s">
        <v>1311</v>
      </c>
      <c r="E327" s="54" t="s">
        <v>1312</v>
      </c>
      <c r="F327" s="55">
        <v>46179</v>
      </c>
      <c r="G327" s="55">
        <v>46179</v>
      </c>
      <c r="H327" s="54" t="s">
        <v>1313</v>
      </c>
      <c r="I327" s="54" t="s">
        <v>1314</v>
      </c>
      <c r="J327" s="54" t="s">
        <v>1039</v>
      </c>
      <c r="K327" s="55"/>
      <c r="L327" s="54" t="s">
        <v>1315</v>
      </c>
      <c r="M327" s="54"/>
      <c r="N327" s="54" t="s">
        <v>1328</v>
      </c>
      <c r="O327" s="54" t="s">
        <v>1088</v>
      </c>
      <c r="P327" s="54" t="s">
        <v>234</v>
      </c>
      <c r="Q327" s="54" t="s">
        <v>76</v>
      </c>
      <c r="R327" s="54" t="s">
        <v>1043</v>
      </c>
      <c r="S327" s="56">
        <v>3684.72</v>
      </c>
      <c r="T327" s="56">
        <v>0</v>
      </c>
      <c r="U327" s="56">
        <v>3684.72</v>
      </c>
      <c r="V327" s="56">
        <v>0</v>
      </c>
      <c r="W327" s="56">
        <v>0</v>
      </c>
      <c r="X327" s="56">
        <v>0</v>
      </c>
      <c r="Y327" s="56">
        <v>0</v>
      </c>
      <c r="Z327" s="56">
        <v>312</v>
      </c>
      <c r="AA327" s="56">
        <v>0</v>
      </c>
      <c r="AB327" s="59">
        <v>312</v>
      </c>
      <c r="AC327" s="56">
        <v>0</v>
      </c>
      <c r="AD327" s="56">
        <v>0</v>
      </c>
      <c r="AE327" s="56">
        <v>0</v>
      </c>
      <c r="AF327" s="54" t="s">
        <v>1317</v>
      </c>
      <c r="AG327" s="57"/>
      <c r="AH327" s="54"/>
      <c r="AI327" s="54"/>
      <c r="AJ327" s="54"/>
      <c r="AK327" s="54"/>
      <c r="AL327" s="54"/>
      <c r="AM327" s="54"/>
      <c r="AN327" s="54" t="s">
        <v>1318</v>
      </c>
      <c r="AO327" s="54" t="s">
        <v>1319</v>
      </c>
      <c r="AP327" s="54"/>
      <c r="AQ327" s="54"/>
      <c r="AR327" s="54" t="s">
        <v>1045</v>
      </c>
      <c r="AS327" s="54" t="s">
        <v>1046</v>
      </c>
      <c r="AT327" s="54" t="s">
        <v>1047</v>
      </c>
      <c r="AU327" s="54" t="s">
        <v>1320</v>
      </c>
      <c r="AV327" s="54"/>
      <c r="AW327" s="55"/>
      <c r="AX327" s="55"/>
      <c r="AY327" s="55">
        <v>46179</v>
      </c>
      <c r="AZ327" s="55"/>
      <c r="BA327" s="55"/>
      <c r="BB327" s="56">
        <v>0</v>
      </c>
      <c r="BC327" s="56">
        <v>0</v>
      </c>
      <c r="BD327" s="56">
        <v>0</v>
      </c>
      <c r="BE327" s="56">
        <v>0</v>
      </c>
      <c r="BF327" s="56">
        <v>0</v>
      </c>
      <c r="BG327" s="56">
        <v>0</v>
      </c>
      <c r="BH327" s="56">
        <v>0</v>
      </c>
      <c r="BI327" s="56">
        <v>0</v>
      </c>
      <c r="BJ327" s="56">
        <v>0</v>
      </c>
      <c r="BK327" s="56">
        <v>0</v>
      </c>
      <c r="BL327" s="56">
        <v>0</v>
      </c>
      <c r="BM327" s="56">
        <v>0</v>
      </c>
      <c r="BN327" s="56">
        <v>0</v>
      </c>
      <c r="BO327" s="56">
        <v>0</v>
      </c>
      <c r="BP327" s="54" t="s">
        <v>1049</v>
      </c>
      <c r="BQ327" s="54" t="s">
        <v>1050</v>
      </c>
      <c r="BR327" s="54" t="s">
        <v>1049</v>
      </c>
      <c r="BS327" s="54" t="s">
        <v>1050</v>
      </c>
      <c r="BT327" s="54" t="s">
        <v>1051</v>
      </c>
      <c r="BU327" s="54" t="s">
        <v>1043</v>
      </c>
      <c r="BV327" s="58">
        <v>0</v>
      </c>
      <c r="BW327" s="54" t="s">
        <v>1052</v>
      </c>
      <c r="BX327" s="54" t="s">
        <v>1053</v>
      </c>
      <c r="BY327" s="54" t="s">
        <v>1054</v>
      </c>
      <c r="BZ327" s="54" t="s">
        <v>1055</v>
      </c>
      <c r="CA327" s="55"/>
      <c r="CB327" s="54" t="s">
        <v>1056</v>
      </c>
      <c r="CC327" s="54" t="s">
        <v>1057</v>
      </c>
      <c r="CD327" s="54" t="s">
        <v>1200</v>
      </c>
      <c r="CE327" s="54" t="s">
        <v>1201</v>
      </c>
      <c r="CF327" s="54" t="s">
        <v>1202</v>
      </c>
      <c r="CG327" s="54" t="s">
        <v>1203</v>
      </c>
      <c r="CH327" s="54" t="s">
        <v>1204</v>
      </c>
      <c r="CI327" s="54" t="s">
        <v>1203</v>
      </c>
      <c r="CJ327" s="54" t="s">
        <v>1064</v>
      </c>
      <c r="CK327" s="54" t="s">
        <v>1065</v>
      </c>
      <c r="CL327" s="54" t="s">
        <v>1205</v>
      </c>
      <c r="CM327" s="54" t="s">
        <v>1206</v>
      </c>
      <c r="CN327" s="54" t="s">
        <v>1321</v>
      </c>
      <c r="CO327" s="54" t="s">
        <v>1322</v>
      </c>
      <c r="CP327" s="56">
        <v>0</v>
      </c>
      <c r="CQ327" s="56">
        <v>0</v>
      </c>
      <c r="CR327" s="56">
        <v>0</v>
      </c>
      <c r="CS327" s="56">
        <v>0</v>
      </c>
      <c r="CT327" s="56">
        <v>0</v>
      </c>
      <c r="CU327" s="56">
        <v>0</v>
      </c>
      <c r="CV327" s="56">
        <v>0</v>
      </c>
      <c r="CW327" s="56">
        <v>0</v>
      </c>
      <c r="CX327" s="56">
        <v>0</v>
      </c>
      <c r="CY327" s="56">
        <v>0</v>
      </c>
      <c r="CZ327" s="56">
        <v>0</v>
      </c>
      <c r="DA327" s="56">
        <v>0</v>
      </c>
      <c r="DB327" s="56">
        <v>0</v>
      </c>
      <c r="DC327" s="56">
        <v>0</v>
      </c>
      <c r="DD327" s="56">
        <v>0</v>
      </c>
      <c r="DE327" s="56">
        <v>0</v>
      </c>
      <c r="DF327" s="56">
        <v>0</v>
      </c>
      <c r="DG327" s="56">
        <v>0</v>
      </c>
      <c r="DH327" s="56">
        <v>0</v>
      </c>
      <c r="DI327" s="56">
        <v>0</v>
      </c>
      <c r="DJ327" s="56">
        <v>0</v>
      </c>
      <c r="DK327" s="56">
        <v>0</v>
      </c>
      <c r="DL327" s="56">
        <v>0</v>
      </c>
      <c r="DM327" s="56">
        <v>0</v>
      </c>
      <c r="DN327" s="56">
        <v>0</v>
      </c>
      <c r="DO327" s="56">
        <v>0</v>
      </c>
      <c r="DP327" s="56">
        <v>0</v>
      </c>
      <c r="DQ327" s="56">
        <v>0</v>
      </c>
      <c r="DR327" s="56">
        <v>0</v>
      </c>
      <c r="DS327" s="56">
        <v>0</v>
      </c>
      <c r="DT327" s="56">
        <v>0</v>
      </c>
      <c r="DU327" s="56">
        <v>0</v>
      </c>
      <c r="DV327" s="56">
        <v>0</v>
      </c>
      <c r="DW327" s="56">
        <v>0</v>
      </c>
      <c r="DX327" s="56">
        <v>0</v>
      </c>
      <c r="DY327" s="56">
        <v>0</v>
      </c>
      <c r="DZ327" s="56">
        <v>0</v>
      </c>
      <c r="EA327" s="56">
        <v>0</v>
      </c>
      <c r="EB327" s="56">
        <v>0</v>
      </c>
      <c r="EC327" s="56">
        <v>442.17</v>
      </c>
      <c r="ED327" s="56">
        <v>0</v>
      </c>
      <c r="EE327" s="56">
        <v>0</v>
      </c>
      <c r="EF327" s="56">
        <v>0</v>
      </c>
      <c r="EG327" s="56">
        <v>0</v>
      </c>
      <c r="EH327" s="56">
        <v>442.17</v>
      </c>
      <c r="EI327" s="56">
        <v>0</v>
      </c>
      <c r="EJ327" s="56">
        <v>0</v>
      </c>
      <c r="EK327" s="56">
        <v>0</v>
      </c>
      <c r="EL327" s="56">
        <v>0</v>
      </c>
      <c r="EM327" s="56">
        <v>0</v>
      </c>
      <c r="EN327" s="56">
        <v>0</v>
      </c>
      <c r="EO327" s="56">
        <v>0</v>
      </c>
      <c r="EP327" s="56">
        <v>0</v>
      </c>
      <c r="EQ327" s="56">
        <v>0</v>
      </c>
      <c r="ER327" s="56">
        <v>0</v>
      </c>
      <c r="ES327" s="56">
        <v>0</v>
      </c>
      <c r="ET327" s="56">
        <v>0</v>
      </c>
      <c r="EU327" s="56">
        <v>0</v>
      </c>
      <c r="EV327" s="56">
        <v>0</v>
      </c>
      <c r="EW327" s="56">
        <v>0</v>
      </c>
      <c r="EX327" s="56">
        <v>0</v>
      </c>
      <c r="EY327" s="56">
        <v>0</v>
      </c>
      <c r="EZ327" s="56">
        <v>0</v>
      </c>
      <c r="FA327" s="56">
        <v>0</v>
      </c>
      <c r="FB327" s="56">
        <v>0</v>
      </c>
      <c r="FC327" s="58">
        <v>0</v>
      </c>
      <c r="FD327" s="56">
        <v>0</v>
      </c>
      <c r="FE327" s="56">
        <v>0</v>
      </c>
      <c r="FF327" s="56">
        <v>0</v>
      </c>
      <c r="FG327" s="56">
        <v>0</v>
      </c>
      <c r="FH327" s="56">
        <v>0</v>
      </c>
      <c r="FI327" s="56">
        <v>0</v>
      </c>
      <c r="FJ327" s="56">
        <v>0</v>
      </c>
      <c r="FK327" s="56">
        <v>0</v>
      </c>
      <c r="FL327" s="56">
        <v>0</v>
      </c>
      <c r="FM327" s="56">
        <v>0</v>
      </c>
      <c r="FN327" s="56">
        <v>0</v>
      </c>
      <c r="FO327" s="56">
        <v>0</v>
      </c>
      <c r="FP327" s="56">
        <v>0</v>
      </c>
      <c r="FQ327" s="56">
        <v>0</v>
      </c>
      <c r="FR327" s="56">
        <v>0</v>
      </c>
      <c r="FS327" s="58">
        <v>0</v>
      </c>
      <c r="FT327" s="56">
        <v>0</v>
      </c>
      <c r="FU327" s="56">
        <v>0</v>
      </c>
      <c r="FV327" s="56">
        <v>0</v>
      </c>
      <c r="FW327" s="56">
        <v>0</v>
      </c>
      <c r="FX327" s="56">
        <v>0</v>
      </c>
      <c r="FY327" s="56">
        <v>0</v>
      </c>
      <c r="FZ327" s="54" t="s">
        <v>1070</v>
      </c>
      <c r="GA327" s="54" t="s">
        <v>1071</v>
      </c>
      <c r="GB327" s="54" t="s">
        <v>1311</v>
      </c>
      <c r="GC327" s="54" t="s">
        <v>1323</v>
      </c>
      <c r="GD327" s="54" t="s">
        <v>1283</v>
      </c>
      <c r="GE327" s="54" t="s">
        <v>1201</v>
      </c>
      <c r="GF327" s="54"/>
      <c r="GG327" s="55"/>
      <c r="GH327" s="54"/>
      <c r="GI327" s="54" t="s">
        <v>1329</v>
      </c>
      <c r="GJ327" s="54"/>
      <c r="GK327" s="54" t="s">
        <v>1077</v>
      </c>
      <c r="GL327" s="54"/>
      <c r="GM327" s="54"/>
      <c r="GN327" s="54" t="s">
        <v>1208</v>
      </c>
      <c r="GO327" s="54" t="s">
        <v>1209</v>
      </c>
      <c r="GP327" s="54" t="s">
        <v>1326</v>
      </c>
      <c r="GQ327" s="56">
        <v>0</v>
      </c>
      <c r="GR327" s="54"/>
      <c r="GS327" s="54"/>
    </row>
    <row r="328" spans="1:201" x14ac:dyDescent="0.25">
      <c r="A328" s="54" t="s">
        <v>1032</v>
      </c>
      <c r="B328" s="54" t="s">
        <v>1033</v>
      </c>
      <c r="C328" s="54" t="s">
        <v>1327</v>
      </c>
      <c r="D328" s="54" t="s">
        <v>1311</v>
      </c>
      <c r="E328" s="54" t="s">
        <v>1312</v>
      </c>
      <c r="F328" s="55">
        <v>46179</v>
      </c>
      <c r="G328" s="55">
        <v>46179</v>
      </c>
      <c r="H328" s="54" t="s">
        <v>1313</v>
      </c>
      <c r="I328" s="54" t="s">
        <v>1314</v>
      </c>
      <c r="J328" s="54" t="s">
        <v>1039</v>
      </c>
      <c r="K328" s="55"/>
      <c r="L328" s="54" t="s">
        <v>1315</v>
      </c>
      <c r="M328" s="54"/>
      <c r="N328" s="54" t="s">
        <v>1328</v>
      </c>
      <c r="O328" s="54" t="s">
        <v>1090</v>
      </c>
      <c r="P328" s="54" t="s">
        <v>610</v>
      </c>
      <c r="Q328" s="54" t="s">
        <v>611</v>
      </c>
      <c r="R328" s="54" t="s">
        <v>1043</v>
      </c>
      <c r="S328" s="56">
        <v>4114.5</v>
      </c>
      <c r="T328" s="56">
        <v>0</v>
      </c>
      <c r="U328" s="56">
        <v>4114.5</v>
      </c>
      <c r="V328" s="56">
        <v>0</v>
      </c>
      <c r="W328" s="56">
        <v>0</v>
      </c>
      <c r="X328" s="56">
        <v>0</v>
      </c>
      <c r="Y328" s="56">
        <v>0</v>
      </c>
      <c r="Z328" s="56">
        <v>150</v>
      </c>
      <c r="AA328" s="56">
        <v>0</v>
      </c>
      <c r="AB328" s="59">
        <v>150</v>
      </c>
      <c r="AC328" s="56">
        <v>0</v>
      </c>
      <c r="AD328" s="56">
        <v>0</v>
      </c>
      <c r="AE328" s="56">
        <v>0</v>
      </c>
      <c r="AF328" s="54" t="s">
        <v>1317</v>
      </c>
      <c r="AG328" s="57"/>
      <c r="AH328" s="54"/>
      <c r="AI328" s="54"/>
      <c r="AJ328" s="54"/>
      <c r="AK328" s="54"/>
      <c r="AL328" s="54"/>
      <c r="AM328" s="54"/>
      <c r="AN328" s="54" t="s">
        <v>1318</v>
      </c>
      <c r="AO328" s="54" t="s">
        <v>1319</v>
      </c>
      <c r="AP328" s="54"/>
      <c r="AQ328" s="54"/>
      <c r="AR328" s="54" t="s">
        <v>1045</v>
      </c>
      <c r="AS328" s="54" t="s">
        <v>1046</v>
      </c>
      <c r="AT328" s="54" t="s">
        <v>1047</v>
      </c>
      <c r="AU328" s="54" t="s">
        <v>1320</v>
      </c>
      <c r="AV328" s="54"/>
      <c r="AW328" s="55"/>
      <c r="AX328" s="55"/>
      <c r="AY328" s="55">
        <v>46179</v>
      </c>
      <c r="AZ328" s="55"/>
      <c r="BA328" s="55"/>
      <c r="BB328" s="56">
        <v>0</v>
      </c>
      <c r="BC328" s="56">
        <v>0</v>
      </c>
      <c r="BD328" s="56">
        <v>0</v>
      </c>
      <c r="BE328" s="56">
        <v>0</v>
      </c>
      <c r="BF328" s="56">
        <v>0</v>
      </c>
      <c r="BG328" s="56">
        <v>0</v>
      </c>
      <c r="BH328" s="56">
        <v>0</v>
      </c>
      <c r="BI328" s="56">
        <v>0</v>
      </c>
      <c r="BJ328" s="56">
        <v>0</v>
      </c>
      <c r="BK328" s="56">
        <v>0</v>
      </c>
      <c r="BL328" s="56">
        <v>0</v>
      </c>
      <c r="BM328" s="56">
        <v>0</v>
      </c>
      <c r="BN328" s="56">
        <v>0</v>
      </c>
      <c r="BO328" s="56">
        <v>0</v>
      </c>
      <c r="BP328" s="54" t="s">
        <v>1049</v>
      </c>
      <c r="BQ328" s="54" t="s">
        <v>1050</v>
      </c>
      <c r="BR328" s="54" t="s">
        <v>1049</v>
      </c>
      <c r="BS328" s="54" t="s">
        <v>1050</v>
      </c>
      <c r="BT328" s="54" t="s">
        <v>1051</v>
      </c>
      <c r="BU328" s="54" t="s">
        <v>1043</v>
      </c>
      <c r="BV328" s="58">
        <v>0</v>
      </c>
      <c r="BW328" s="54" t="s">
        <v>1052</v>
      </c>
      <c r="BX328" s="54" t="s">
        <v>1053</v>
      </c>
      <c r="BY328" s="54" t="s">
        <v>1054</v>
      </c>
      <c r="BZ328" s="54" t="s">
        <v>1055</v>
      </c>
      <c r="CA328" s="55"/>
      <c r="CB328" s="54" t="s">
        <v>1056</v>
      </c>
      <c r="CC328" s="54" t="s">
        <v>1057</v>
      </c>
      <c r="CD328" s="54" t="s">
        <v>1200</v>
      </c>
      <c r="CE328" s="54" t="s">
        <v>1201</v>
      </c>
      <c r="CF328" s="54" t="s">
        <v>1202</v>
      </c>
      <c r="CG328" s="54" t="s">
        <v>1203</v>
      </c>
      <c r="CH328" s="54" t="s">
        <v>1204</v>
      </c>
      <c r="CI328" s="54" t="s">
        <v>1203</v>
      </c>
      <c r="CJ328" s="54" t="s">
        <v>1064</v>
      </c>
      <c r="CK328" s="54" t="s">
        <v>1065</v>
      </c>
      <c r="CL328" s="54" t="s">
        <v>1205</v>
      </c>
      <c r="CM328" s="54" t="s">
        <v>1206</v>
      </c>
      <c r="CN328" s="54" t="s">
        <v>1321</v>
      </c>
      <c r="CO328" s="54" t="s">
        <v>1322</v>
      </c>
      <c r="CP328" s="56">
        <v>0</v>
      </c>
      <c r="CQ328" s="56">
        <v>0</v>
      </c>
      <c r="CR328" s="56">
        <v>0</v>
      </c>
      <c r="CS328" s="56">
        <v>0</v>
      </c>
      <c r="CT328" s="56">
        <v>0</v>
      </c>
      <c r="CU328" s="56">
        <v>0</v>
      </c>
      <c r="CV328" s="56">
        <v>0</v>
      </c>
      <c r="CW328" s="56">
        <v>0</v>
      </c>
      <c r="CX328" s="56">
        <v>0</v>
      </c>
      <c r="CY328" s="56">
        <v>0</v>
      </c>
      <c r="CZ328" s="56">
        <v>0</v>
      </c>
      <c r="DA328" s="56">
        <v>0</v>
      </c>
      <c r="DB328" s="56">
        <v>0</v>
      </c>
      <c r="DC328" s="56">
        <v>0</v>
      </c>
      <c r="DD328" s="56">
        <v>0</v>
      </c>
      <c r="DE328" s="56">
        <v>0</v>
      </c>
      <c r="DF328" s="56">
        <v>0</v>
      </c>
      <c r="DG328" s="56">
        <v>0</v>
      </c>
      <c r="DH328" s="56">
        <v>0</v>
      </c>
      <c r="DI328" s="56">
        <v>0</v>
      </c>
      <c r="DJ328" s="56">
        <v>0</v>
      </c>
      <c r="DK328" s="56">
        <v>0</v>
      </c>
      <c r="DL328" s="56">
        <v>0</v>
      </c>
      <c r="DM328" s="56">
        <v>0</v>
      </c>
      <c r="DN328" s="56">
        <v>0</v>
      </c>
      <c r="DO328" s="56">
        <v>0</v>
      </c>
      <c r="DP328" s="56">
        <v>0</v>
      </c>
      <c r="DQ328" s="56">
        <v>0</v>
      </c>
      <c r="DR328" s="56">
        <v>0</v>
      </c>
      <c r="DS328" s="56">
        <v>0</v>
      </c>
      <c r="DT328" s="56">
        <v>0</v>
      </c>
      <c r="DU328" s="56">
        <v>0</v>
      </c>
      <c r="DV328" s="56">
        <v>0</v>
      </c>
      <c r="DW328" s="56">
        <v>0</v>
      </c>
      <c r="DX328" s="56">
        <v>0</v>
      </c>
      <c r="DY328" s="56">
        <v>0</v>
      </c>
      <c r="DZ328" s="56">
        <v>0</v>
      </c>
      <c r="EA328" s="56">
        <v>0</v>
      </c>
      <c r="EB328" s="56">
        <v>0</v>
      </c>
      <c r="EC328" s="56">
        <v>493.74</v>
      </c>
      <c r="ED328" s="56">
        <v>0</v>
      </c>
      <c r="EE328" s="56">
        <v>0</v>
      </c>
      <c r="EF328" s="56">
        <v>0</v>
      </c>
      <c r="EG328" s="56">
        <v>0</v>
      </c>
      <c r="EH328" s="56">
        <v>493.74</v>
      </c>
      <c r="EI328" s="56">
        <v>0</v>
      </c>
      <c r="EJ328" s="56">
        <v>0</v>
      </c>
      <c r="EK328" s="56">
        <v>0</v>
      </c>
      <c r="EL328" s="56">
        <v>0</v>
      </c>
      <c r="EM328" s="56">
        <v>0</v>
      </c>
      <c r="EN328" s="56">
        <v>0</v>
      </c>
      <c r="EO328" s="56">
        <v>0</v>
      </c>
      <c r="EP328" s="56">
        <v>0</v>
      </c>
      <c r="EQ328" s="56">
        <v>0</v>
      </c>
      <c r="ER328" s="56">
        <v>0</v>
      </c>
      <c r="ES328" s="56">
        <v>0</v>
      </c>
      <c r="ET328" s="56">
        <v>0</v>
      </c>
      <c r="EU328" s="56">
        <v>0</v>
      </c>
      <c r="EV328" s="56">
        <v>0</v>
      </c>
      <c r="EW328" s="56">
        <v>0</v>
      </c>
      <c r="EX328" s="56">
        <v>0</v>
      </c>
      <c r="EY328" s="56">
        <v>0</v>
      </c>
      <c r="EZ328" s="56">
        <v>0</v>
      </c>
      <c r="FA328" s="56">
        <v>0</v>
      </c>
      <c r="FB328" s="56">
        <v>0</v>
      </c>
      <c r="FC328" s="58">
        <v>0</v>
      </c>
      <c r="FD328" s="56">
        <v>0</v>
      </c>
      <c r="FE328" s="56">
        <v>0</v>
      </c>
      <c r="FF328" s="56">
        <v>0</v>
      </c>
      <c r="FG328" s="56">
        <v>0</v>
      </c>
      <c r="FH328" s="56">
        <v>0</v>
      </c>
      <c r="FI328" s="56">
        <v>0</v>
      </c>
      <c r="FJ328" s="56">
        <v>0</v>
      </c>
      <c r="FK328" s="56">
        <v>0</v>
      </c>
      <c r="FL328" s="56">
        <v>0</v>
      </c>
      <c r="FM328" s="56">
        <v>0</v>
      </c>
      <c r="FN328" s="56">
        <v>0</v>
      </c>
      <c r="FO328" s="56">
        <v>0</v>
      </c>
      <c r="FP328" s="56">
        <v>0</v>
      </c>
      <c r="FQ328" s="56">
        <v>0</v>
      </c>
      <c r="FR328" s="56">
        <v>0</v>
      </c>
      <c r="FS328" s="58">
        <v>0</v>
      </c>
      <c r="FT328" s="56">
        <v>0</v>
      </c>
      <c r="FU328" s="56">
        <v>0</v>
      </c>
      <c r="FV328" s="56">
        <v>0</v>
      </c>
      <c r="FW328" s="56">
        <v>0</v>
      </c>
      <c r="FX328" s="56">
        <v>0</v>
      </c>
      <c r="FY328" s="56">
        <v>0</v>
      </c>
      <c r="FZ328" s="54" t="s">
        <v>1083</v>
      </c>
      <c r="GA328" s="54" t="s">
        <v>1084</v>
      </c>
      <c r="GB328" s="54" t="s">
        <v>1311</v>
      </c>
      <c r="GC328" s="54" t="s">
        <v>1323</v>
      </c>
      <c r="GD328" s="54"/>
      <c r="GE328" s="54"/>
      <c r="GF328" s="54"/>
      <c r="GG328" s="55"/>
      <c r="GH328" s="54"/>
      <c r="GI328" s="54" t="s">
        <v>1329</v>
      </c>
      <c r="GJ328" s="54"/>
      <c r="GK328" s="54" t="s">
        <v>1077</v>
      </c>
      <c r="GL328" s="54"/>
      <c r="GM328" s="54"/>
      <c r="GN328" s="54" t="s">
        <v>1208</v>
      </c>
      <c r="GO328" s="54" t="s">
        <v>1209</v>
      </c>
      <c r="GP328" s="54" t="s">
        <v>1326</v>
      </c>
      <c r="GQ328" s="56">
        <v>0</v>
      </c>
      <c r="GR328" s="54"/>
      <c r="GS328" s="54"/>
    </row>
    <row r="329" spans="1:201" x14ac:dyDescent="0.25">
      <c r="A329" s="54" t="s">
        <v>1032</v>
      </c>
      <c r="B329" s="54" t="s">
        <v>1033</v>
      </c>
      <c r="C329" s="54" t="s">
        <v>1327</v>
      </c>
      <c r="D329" s="54" t="s">
        <v>1311</v>
      </c>
      <c r="E329" s="54" t="s">
        <v>1312</v>
      </c>
      <c r="F329" s="55">
        <v>46179</v>
      </c>
      <c r="G329" s="55">
        <v>46179</v>
      </c>
      <c r="H329" s="54" t="s">
        <v>1313</v>
      </c>
      <c r="I329" s="54" t="s">
        <v>1314</v>
      </c>
      <c r="J329" s="54" t="s">
        <v>1039</v>
      </c>
      <c r="K329" s="55"/>
      <c r="L329" s="54" t="s">
        <v>1315</v>
      </c>
      <c r="M329" s="54"/>
      <c r="N329" s="54" t="s">
        <v>1328</v>
      </c>
      <c r="O329" s="54" t="s">
        <v>1081</v>
      </c>
      <c r="P329" s="54" t="s">
        <v>613</v>
      </c>
      <c r="Q329" s="54" t="s">
        <v>614</v>
      </c>
      <c r="R329" s="54" t="s">
        <v>1043</v>
      </c>
      <c r="S329" s="56">
        <v>633</v>
      </c>
      <c r="T329" s="56">
        <v>0</v>
      </c>
      <c r="U329" s="56">
        <v>633</v>
      </c>
      <c r="V329" s="56">
        <v>0</v>
      </c>
      <c r="W329" s="56">
        <v>0</v>
      </c>
      <c r="X329" s="56">
        <v>0</v>
      </c>
      <c r="Y329" s="56">
        <v>0</v>
      </c>
      <c r="Z329" s="56">
        <v>60</v>
      </c>
      <c r="AA329" s="56">
        <v>0</v>
      </c>
      <c r="AB329" s="59">
        <v>60</v>
      </c>
      <c r="AC329" s="56">
        <v>0</v>
      </c>
      <c r="AD329" s="56">
        <v>0</v>
      </c>
      <c r="AE329" s="56">
        <v>0</v>
      </c>
      <c r="AF329" s="54" t="s">
        <v>1317</v>
      </c>
      <c r="AG329" s="57"/>
      <c r="AH329" s="54"/>
      <c r="AI329" s="54"/>
      <c r="AJ329" s="54"/>
      <c r="AK329" s="54"/>
      <c r="AL329" s="54"/>
      <c r="AM329" s="54"/>
      <c r="AN329" s="54" t="s">
        <v>1318</v>
      </c>
      <c r="AO329" s="54" t="s">
        <v>1319</v>
      </c>
      <c r="AP329" s="54"/>
      <c r="AQ329" s="54"/>
      <c r="AR329" s="54" t="s">
        <v>1045</v>
      </c>
      <c r="AS329" s="54" t="s">
        <v>1046</v>
      </c>
      <c r="AT329" s="54" t="s">
        <v>1047</v>
      </c>
      <c r="AU329" s="54" t="s">
        <v>1320</v>
      </c>
      <c r="AV329" s="54"/>
      <c r="AW329" s="55"/>
      <c r="AX329" s="55"/>
      <c r="AY329" s="55">
        <v>46179</v>
      </c>
      <c r="AZ329" s="55"/>
      <c r="BA329" s="55"/>
      <c r="BB329" s="56">
        <v>0</v>
      </c>
      <c r="BC329" s="56">
        <v>0</v>
      </c>
      <c r="BD329" s="56">
        <v>0</v>
      </c>
      <c r="BE329" s="56">
        <v>0</v>
      </c>
      <c r="BF329" s="56">
        <v>0</v>
      </c>
      <c r="BG329" s="56">
        <v>0</v>
      </c>
      <c r="BH329" s="56">
        <v>0</v>
      </c>
      <c r="BI329" s="56">
        <v>0</v>
      </c>
      <c r="BJ329" s="56">
        <v>0</v>
      </c>
      <c r="BK329" s="56">
        <v>0</v>
      </c>
      <c r="BL329" s="56">
        <v>0</v>
      </c>
      <c r="BM329" s="56">
        <v>0</v>
      </c>
      <c r="BN329" s="56">
        <v>0</v>
      </c>
      <c r="BO329" s="56">
        <v>0</v>
      </c>
      <c r="BP329" s="54" t="s">
        <v>1049</v>
      </c>
      <c r="BQ329" s="54" t="s">
        <v>1050</v>
      </c>
      <c r="BR329" s="54" t="s">
        <v>1049</v>
      </c>
      <c r="BS329" s="54" t="s">
        <v>1050</v>
      </c>
      <c r="BT329" s="54" t="s">
        <v>1051</v>
      </c>
      <c r="BU329" s="54" t="s">
        <v>1043</v>
      </c>
      <c r="BV329" s="58">
        <v>0</v>
      </c>
      <c r="BW329" s="54" t="s">
        <v>1052</v>
      </c>
      <c r="BX329" s="54" t="s">
        <v>1053</v>
      </c>
      <c r="BY329" s="54" t="s">
        <v>1054</v>
      </c>
      <c r="BZ329" s="54" t="s">
        <v>1055</v>
      </c>
      <c r="CA329" s="55"/>
      <c r="CB329" s="54" t="s">
        <v>1056</v>
      </c>
      <c r="CC329" s="54" t="s">
        <v>1057</v>
      </c>
      <c r="CD329" s="54" t="s">
        <v>1200</v>
      </c>
      <c r="CE329" s="54" t="s">
        <v>1201</v>
      </c>
      <c r="CF329" s="54" t="s">
        <v>1202</v>
      </c>
      <c r="CG329" s="54" t="s">
        <v>1203</v>
      </c>
      <c r="CH329" s="54" t="s">
        <v>1204</v>
      </c>
      <c r="CI329" s="54" t="s">
        <v>1203</v>
      </c>
      <c r="CJ329" s="54" t="s">
        <v>1064</v>
      </c>
      <c r="CK329" s="54" t="s">
        <v>1065</v>
      </c>
      <c r="CL329" s="54" t="s">
        <v>1205</v>
      </c>
      <c r="CM329" s="54" t="s">
        <v>1206</v>
      </c>
      <c r="CN329" s="54" t="s">
        <v>1321</v>
      </c>
      <c r="CO329" s="54" t="s">
        <v>1322</v>
      </c>
      <c r="CP329" s="56">
        <v>0</v>
      </c>
      <c r="CQ329" s="56">
        <v>0</v>
      </c>
      <c r="CR329" s="56">
        <v>0</v>
      </c>
      <c r="CS329" s="56">
        <v>0</v>
      </c>
      <c r="CT329" s="56">
        <v>0</v>
      </c>
      <c r="CU329" s="56">
        <v>0</v>
      </c>
      <c r="CV329" s="56">
        <v>0</v>
      </c>
      <c r="CW329" s="56">
        <v>0</v>
      </c>
      <c r="CX329" s="56">
        <v>0</v>
      </c>
      <c r="CY329" s="56">
        <v>0</v>
      </c>
      <c r="CZ329" s="56">
        <v>0</v>
      </c>
      <c r="DA329" s="56">
        <v>0</v>
      </c>
      <c r="DB329" s="56">
        <v>0</v>
      </c>
      <c r="DC329" s="56">
        <v>0</v>
      </c>
      <c r="DD329" s="56">
        <v>0</v>
      </c>
      <c r="DE329" s="56">
        <v>0</v>
      </c>
      <c r="DF329" s="56">
        <v>0</v>
      </c>
      <c r="DG329" s="56">
        <v>0</v>
      </c>
      <c r="DH329" s="56">
        <v>0</v>
      </c>
      <c r="DI329" s="56">
        <v>0</v>
      </c>
      <c r="DJ329" s="56">
        <v>0</v>
      </c>
      <c r="DK329" s="56">
        <v>0</v>
      </c>
      <c r="DL329" s="56">
        <v>0</v>
      </c>
      <c r="DM329" s="56">
        <v>0</v>
      </c>
      <c r="DN329" s="56">
        <v>0</v>
      </c>
      <c r="DO329" s="56">
        <v>0</v>
      </c>
      <c r="DP329" s="56">
        <v>0</v>
      </c>
      <c r="DQ329" s="56">
        <v>0</v>
      </c>
      <c r="DR329" s="56">
        <v>0</v>
      </c>
      <c r="DS329" s="56">
        <v>0</v>
      </c>
      <c r="DT329" s="56">
        <v>0</v>
      </c>
      <c r="DU329" s="56">
        <v>0</v>
      </c>
      <c r="DV329" s="56">
        <v>0</v>
      </c>
      <c r="DW329" s="56">
        <v>0</v>
      </c>
      <c r="DX329" s="56">
        <v>0</v>
      </c>
      <c r="DY329" s="56">
        <v>0</v>
      </c>
      <c r="DZ329" s="56">
        <v>0</v>
      </c>
      <c r="EA329" s="56">
        <v>0</v>
      </c>
      <c r="EB329" s="56">
        <v>0</v>
      </c>
      <c r="EC329" s="56">
        <v>25.32</v>
      </c>
      <c r="ED329" s="56">
        <v>0</v>
      </c>
      <c r="EE329" s="56">
        <v>0</v>
      </c>
      <c r="EF329" s="56">
        <v>0</v>
      </c>
      <c r="EG329" s="56">
        <v>0</v>
      </c>
      <c r="EH329" s="56">
        <v>25.32</v>
      </c>
      <c r="EI329" s="56">
        <v>0</v>
      </c>
      <c r="EJ329" s="56">
        <v>0</v>
      </c>
      <c r="EK329" s="56">
        <v>0</v>
      </c>
      <c r="EL329" s="56">
        <v>0</v>
      </c>
      <c r="EM329" s="56">
        <v>0</v>
      </c>
      <c r="EN329" s="56">
        <v>0</v>
      </c>
      <c r="EO329" s="56">
        <v>0</v>
      </c>
      <c r="EP329" s="56">
        <v>0</v>
      </c>
      <c r="EQ329" s="56">
        <v>0</v>
      </c>
      <c r="ER329" s="56">
        <v>0</v>
      </c>
      <c r="ES329" s="56">
        <v>0</v>
      </c>
      <c r="ET329" s="56">
        <v>0</v>
      </c>
      <c r="EU329" s="56">
        <v>0</v>
      </c>
      <c r="EV329" s="56">
        <v>0</v>
      </c>
      <c r="EW329" s="56">
        <v>0</v>
      </c>
      <c r="EX329" s="56">
        <v>0</v>
      </c>
      <c r="EY329" s="56">
        <v>0</v>
      </c>
      <c r="EZ329" s="56">
        <v>0</v>
      </c>
      <c r="FA329" s="56">
        <v>0</v>
      </c>
      <c r="FB329" s="56">
        <v>0</v>
      </c>
      <c r="FC329" s="58">
        <v>0</v>
      </c>
      <c r="FD329" s="56">
        <v>0</v>
      </c>
      <c r="FE329" s="56">
        <v>0</v>
      </c>
      <c r="FF329" s="56">
        <v>0</v>
      </c>
      <c r="FG329" s="56">
        <v>0</v>
      </c>
      <c r="FH329" s="56">
        <v>0</v>
      </c>
      <c r="FI329" s="56">
        <v>0</v>
      </c>
      <c r="FJ329" s="56">
        <v>0</v>
      </c>
      <c r="FK329" s="56">
        <v>0</v>
      </c>
      <c r="FL329" s="56">
        <v>0</v>
      </c>
      <c r="FM329" s="56">
        <v>0</v>
      </c>
      <c r="FN329" s="56">
        <v>0</v>
      </c>
      <c r="FO329" s="56">
        <v>0</v>
      </c>
      <c r="FP329" s="56">
        <v>0</v>
      </c>
      <c r="FQ329" s="56">
        <v>0</v>
      </c>
      <c r="FR329" s="56">
        <v>0</v>
      </c>
      <c r="FS329" s="58">
        <v>0</v>
      </c>
      <c r="FT329" s="56">
        <v>0</v>
      </c>
      <c r="FU329" s="56">
        <v>0</v>
      </c>
      <c r="FV329" s="56">
        <v>0</v>
      </c>
      <c r="FW329" s="56">
        <v>0</v>
      </c>
      <c r="FX329" s="56">
        <v>0</v>
      </c>
      <c r="FY329" s="56">
        <v>0</v>
      </c>
      <c r="FZ329" s="54" t="s">
        <v>1070</v>
      </c>
      <c r="GA329" s="54" t="s">
        <v>1071</v>
      </c>
      <c r="GB329" s="54" t="s">
        <v>1311</v>
      </c>
      <c r="GC329" s="54" t="s">
        <v>1323</v>
      </c>
      <c r="GD329" s="54" t="s">
        <v>1300</v>
      </c>
      <c r="GE329" s="54" t="s">
        <v>1201</v>
      </c>
      <c r="GF329" s="54"/>
      <c r="GG329" s="55"/>
      <c r="GH329" s="54"/>
      <c r="GI329" s="54" t="s">
        <v>1329</v>
      </c>
      <c r="GJ329" s="54"/>
      <c r="GK329" s="54" t="s">
        <v>1077</v>
      </c>
      <c r="GL329" s="54"/>
      <c r="GM329" s="54"/>
      <c r="GN329" s="54" t="s">
        <v>1208</v>
      </c>
      <c r="GO329" s="54" t="s">
        <v>1209</v>
      </c>
      <c r="GP329" s="54" t="s">
        <v>1326</v>
      </c>
      <c r="GQ329" s="56">
        <v>0</v>
      </c>
      <c r="GR329" s="54"/>
      <c r="GS329" s="54"/>
    </row>
    <row r="330" spans="1:201" x14ac:dyDescent="0.25">
      <c r="A330" s="54" t="s">
        <v>1032</v>
      </c>
      <c r="B330" s="54" t="s">
        <v>1033</v>
      </c>
      <c r="C330" s="54" t="s">
        <v>1327</v>
      </c>
      <c r="D330" s="54" t="s">
        <v>1311</v>
      </c>
      <c r="E330" s="54" t="s">
        <v>1312</v>
      </c>
      <c r="F330" s="55">
        <v>46179</v>
      </c>
      <c r="G330" s="55">
        <v>46179</v>
      </c>
      <c r="H330" s="54" t="s">
        <v>1313</v>
      </c>
      <c r="I330" s="54" t="s">
        <v>1314</v>
      </c>
      <c r="J330" s="54" t="s">
        <v>1039</v>
      </c>
      <c r="K330" s="55"/>
      <c r="L330" s="54" t="s">
        <v>1315</v>
      </c>
      <c r="M330" s="54"/>
      <c r="N330" s="54" t="s">
        <v>1328</v>
      </c>
      <c r="O330" s="54" t="s">
        <v>1046</v>
      </c>
      <c r="P330" s="54" t="s">
        <v>617</v>
      </c>
      <c r="Q330" s="54" t="s">
        <v>618</v>
      </c>
      <c r="R330" s="54" t="s">
        <v>1043</v>
      </c>
      <c r="S330" s="56">
        <v>1442.5</v>
      </c>
      <c r="T330" s="56">
        <v>0</v>
      </c>
      <c r="U330" s="56">
        <v>1442.5</v>
      </c>
      <c r="V330" s="56">
        <v>0</v>
      </c>
      <c r="W330" s="56">
        <v>0</v>
      </c>
      <c r="X330" s="56">
        <v>0</v>
      </c>
      <c r="Y330" s="56">
        <v>0</v>
      </c>
      <c r="Z330" s="56">
        <v>50</v>
      </c>
      <c r="AA330" s="56">
        <v>0</v>
      </c>
      <c r="AB330" s="59">
        <v>50</v>
      </c>
      <c r="AC330" s="56">
        <v>0</v>
      </c>
      <c r="AD330" s="56">
        <v>0</v>
      </c>
      <c r="AE330" s="56">
        <v>0</v>
      </c>
      <c r="AF330" s="54" t="s">
        <v>1317</v>
      </c>
      <c r="AG330" s="57"/>
      <c r="AH330" s="54"/>
      <c r="AI330" s="54"/>
      <c r="AJ330" s="54"/>
      <c r="AK330" s="54"/>
      <c r="AL330" s="54"/>
      <c r="AM330" s="54"/>
      <c r="AN330" s="54" t="s">
        <v>1318</v>
      </c>
      <c r="AO330" s="54" t="s">
        <v>1319</v>
      </c>
      <c r="AP330" s="54"/>
      <c r="AQ330" s="54"/>
      <c r="AR330" s="54" t="s">
        <v>1045</v>
      </c>
      <c r="AS330" s="54" t="s">
        <v>1046</v>
      </c>
      <c r="AT330" s="54" t="s">
        <v>1047</v>
      </c>
      <c r="AU330" s="54" t="s">
        <v>1320</v>
      </c>
      <c r="AV330" s="54"/>
      <c r="AW330" s="55"/>
      <c r="AX330" s="55"/>
      <c r="AY330" s="55">
        <v>46179</v>
      </c>
      <c r="AZ330" s="55"/>
      <c r="BA330" s="55"/>
      <c r="BB330" s="56">
        <v>0</v>
      </c>
      <c r="BC330" s="56">
        <v>0</v>
      </c>
      <c r="BD330" s="56">
        <v>0</v>
      </c>
      <c r="BE330" s="56">
        <v>0</v>
      </c>
      <c r="BF330" s="56">
        <v>0</v>
      </c>
      <c r="BG330" s="56">
        <v>0</v>
      </c>
      <c r="BH330" s="56">
        <v>0</v>
      </c>
      <c r="BI330" s="56">
        <v>0</v>
      </c>
      <c r="BJ330" s="56">
        <v>0</v>
      </c>
      <c r="BK330" s="56">
        <v>0</v>
      </c>
      <c r="BL330" s="56">
        <v>0</v>
      </c>
      <c r="BM330" s="56">
        <v>0</v>
      </c>
      <c r="BN330" s="56">
        <v>0</v>
      </c>
      <c r="BO330" s="56">
        <v>0</v>
      </c>
      <c r="BP330" s="54" t="s">
        <v>1049</v>
      </c>
      <c r="BQ330" s="54" t="s">
        <v>1050</v>
      </c>
      <c r="BR330" s="54" t="s">
        <v>1049</v>
      </c>
      <c r="BS330" s="54" t="s">
        <v>1050</v>
      </c>
      <c r="BT330" s="54" t="s">
        <v>1051</v>
      </c>
      <c r="BU330" s="54" t="s">
        <v>1043</v>
      </c>
      <c r="BV330" s="58">
        <v>0</v>
      </c>
      <c r="BW330" s="54" t="s">
        <v>1052</v>
      </c>
      <c r="BX330" s="54" t="s">
        <v>1053</v>
      </c>
      <c r="BY330" s="54" t="s">
        <v>1054</v>
      </c>
      <c r="BZ330" s="54" t="s">
        <v>1055</v>
      </c>
      <c r="CA330" s="55"/>
      <c r="CB330" s="54" t="s">
        <v>1056</v>
      </c>
      <c r="CC330" s="54" t="s">
        <v>1057</v>
      </c>
      <c r="CD330" s="54" t="s">
        <v>1200</v>
      </c>
      <c r="CE330" s="54" t="s">
        <v>1201</v>
      </c>
      <c r="CF330" s="54" t="s">
        <v>1202</v>
      </c>
      <c r="CG330" s="54" t="s">
        <v>1203</v>
      </c>
      <c r="CH330" s="54" t="s">
        <v>1204</v>
      </c>
      <c r="CI330" s="54" t="s">
        <v>1203</v>
      </c>
      <c r="CJ330" s="54" t="s">
        <v>1064</v>
      </c>
      <c r="CK330" s="54" t="s">
        <v>1065</v>
      </c>
      <c r="CL330" s="54" t="s">
        <v>1205</v>
      </c>
      <c r="CM330" s="54" t="s">
        <v>1206</v>
      </c>
      <c r="CN330" s="54" t="s">
        <v>1321</v>
      </c>
      <c r="CO330" s="54" t="s">
        <v>1322</v>
      </c>
      <c r="CP330" s="56">
        <v>0</v>
      </c>
      <c r="CQ330" s="56">
        <v>0</v>
      </c>
      <c r="CR330" s="56">
        <v>0</v>
      </c>
      <c r="CS330" s="56">
        <v>0</v>
      </c>
      <c r="CT330" s="56">
        <v>0</v>
      </c>
      <c r="CU330" s="56">
        <v>0</v>
      </c>
      <c r="CV330" s="56">
        <v>0</v>
      </c>
      <c r="CW330" s="56">
        <v>0</v>
      </c>
      <c r="CX330" s="56">
        <v>0</v>
      </c>
      <c r="CY330" s="56">
        <v>0</v>
      </c>
      <c r="CZ330" s="56">
        <v>0</v>
      </c>
      <c r="DA330" s="56">
        <v>0</v>
      </c>
      <c r="DB330" s="56">
        <v>0</v>
      </c>
      <c r="DC330" s="56">
        <v>0</v>
      </c>
      <c r="DD330" s="56">
        <v>0</v>
      </c>
      <c r="DE330" s="56">
        <v>0</v>
      </c>
      <c r="DF330" s="56">
        <v>0</v>
      </c>
      <c r="DG330" s="56">
        <v>0</v>
      </c>
      <c r="DH330" s="56">
        <v>0</v>
      </c>
      <c r="DI330" s="56">
        <v>0</v>
      </c>
      <c r="DJ330" s="56">
        <v>0</v>
      </c>
      <c r="DK330" s="56">
        <v>0</v>
      </c>
      <c r="DL330" s="56">
        <v>0</v>
      </c>
      <c r="DM330" s="56">
        <v>0</v>
      </c>
      <c r="DN330" s="56">
        <v>0</v>
      </c>
      <c r="DO330" s="56">
        <v>0</v>
      </c>
      <c r="DP330" s="56">
        <v>0</v>
      </c>
      <c r="DQ330" s="56">
        <v>0</v>
      </c>
      <c r="DR330" s="56">
        <v>0</v>
      </c>
      <c r="DS330" s="56">
        <v>0</v>
      </c>
      <c r="DT330" s="56">
        <v>0</v>
      </c>
      <c r="DU330" s="56">
        <v>0</v>
      </c>
      <c r="DV330" s="56">
        <v>0</v>
      </c>
      <c r="DW330" s="56">
        <v>0</v>
      </c>
      <c r="DX330" s="56">
        <v>0</v>
      </c>
      <c r="DY330" s="56">
        <v>0</v>
      </c>
      <c r="DZ330" s="56">
        <v>0</v>
      </c>
      <c r="EA330" s="56">
        <v>0</v>
      </c>
      <c r="EB330" s="56">
        <v>0</v>
      </c>
      <c r="EC330" s="56">
        <v>57.7</v>
      </c>
      <c r="ED330" s="56">
        <v>0</v>
      </c>
      <c r="EE330" s="56">
        <v>0</v>
      </c>
      <c r="EF330" s="56">
        <v>0</v>
      </c>
      <c r="EG330" s="56">
        <v>0</v>
      </c>
      <c r="EH330" s="56">
        <v>57.7</v>
      </c>
      <c r="EI330" s="56">
        <v>0</v>
      </c>
      <c r="EJ330" s="56">
        <v>0</v>
      </c>
      <c r="EK330" s="56">
        <v>0</v>
      </c>
      <c r="EL330" s="56">
        <v>0</v>
      </c>
      <c r="EM330" s="56">
        <v>0</v>
      </c>
      <c r="EN330" s="56">
        <v>0</v>
      </c>
      <c r="EO330" s="56">
        <v>0</v>
      </c>
      <c r="EP330" s="56">
        <v>0</v>
      </c>
      <c r="EQ330" s="56">
        <v>0</v>
      </c>
      <c r="ER330" s="56">
        <v>0</v>
      </c>
      <c r="ES330" s="56">
        <v>0</v>
      </c>
      <c r="ET330" s="56">
        <v>0</v>
      </c>
      <c r="EU330" s="56">
        <v>0</v>
      </c>
      <c r="EV330" s="56">
        <v>0</v>
      </c>
      <c r="EW330" s="56">
        <v>0</v>
      </c>
      <c r="EX330" s="56">
        <v>0</v>
      </c>
      <c r="EY330" s="56">
        <v>0</v>
      </c>
      <c r="EZ330" s="56">
        <v>0</v>
      </c>
      <c r="FA330" s="56">
        <v>0</v>
      </c>
      <c r="FB330" s="56">
        <v>0</v>
      </c>
      <c r="FC330" s="58">
        <v>0</v>
      </c>
      <c r="FD330" s="56">
        <v>0</v>
      </c>
      <c r="FE330" s="56">
        <v>0</v>
      </c>
      <c r="FF330" s="56">
        <v>0</v>
      </c>
      <c r="FG330" s="56">
        <v>0</v>
      </c>
      <c r="FH330" s="56">
        <v>0</v>
      </c>
      <c r="FI330" s="56">
        <v>0</v>
      </c>
      <c r="FJ330" s="56">
        <v>0</v>
      </c>
      <c r="FK330" s="56">
        <v>0</v>
      </c>
      <c r="FL330" s="56">
        <v>0</v>
      </c>
      <c r="FM330" s="56">
        <v>0</v>
      </c>
      <c r="FN330" s="56">
        <v>0</v>
      </c>
      <c r="FO330" s="56">
        <v>0</v>
      </c>
      <c r="FP330" s="56">
        <v>0</v>
      </c>
      <c r="FQ330" s="56">
        <v>0</v>
      </c>
      <c r="FR330" s="56">
        <v>0</v>
      </c>
      <c r="FS330" s="58">
        <v>0</v>
      </c>
      <c r="FT330" s="56">
        <v>0</v>
      </c>
      <c r="FU330" s="56">
        <v>0</v>
      </c>
      <c r="FV330" s="56">
        <v>0</v>
      </c>
      <c r="FW330" s="56">
        <v>0</v>
      </c>
      <c r="FX330" s="56">
        <v>0</v>
      </c>
      <c r="FY330" s="56">
        <v>0</v>
      </c>
      <c r="FZ330" s="54" t="s">
        <v>1070</v>
      </c>
      <c r="GA330" s="54" t="s">
        <v>1071</v>
      </c>
      <c r="GB330" s="54" t="s">
        <v>1311</v>
      </c>
      <c r="GC330" s="54" t="s">
        <v>1323</v>
      </c>
      <c r="GD330" s="54" t="s">
        <v>1300</v>
      </c>
      <c r="GE330" s="54" t="s">
        <v>1201</v>
      </c>
      <c r="GF330" s="54"/>
      <c r="GG330" s="55"/>
      <c r="GH330" s="54"/>
      <c r="GI330" s="54" t="s">
        <v>1329</v>
      </c>
      <c r="GJ330" s="54"/>
      <c r="GK330" s="54" t="s">
        <v>1077</v>
      </c>
      <c r="GL330" s="54"/>
      <c r="GM330" s="54"/>
      <c r="GN330" s="54" t="s">
        <v>1208</v>
      </c>
      <c r="GO330" s="54" t="s">
        <v>1209</v>
      </c>
      <c r="GP330" s="54" t="s">
        <v>1326</v>
      </c>
      <c r="GQ330" s="56">
        <v>0</v>
      </c>
      <c r="GR330" s="54"/>
      <c r="GS330" s="54"/>
    </row>
    <row r="331" spans="1:201" x14ac:dyDescent="0.25">
      <c r="A331" s="54" t="s">
        <v>1032</v>
      </c>
      <c r="B331" s="54" t="s">
        <v>1033</v>
      </c>
      <c r="C331" s="54" t="s">
        <v>1327</v>
      </c>
      <c r="D331" s="54" t="s">
        <v>1311</v>
      </c>
      <c r="E331" s="54" t="s">
        <v>1312</v>
      </c>
      <c r="F331" s="55">
        <v>46179</v>
      </c>
      <c r="G331" s="55">
        <v>46179</v>
      </c>
      <c r="H331" s="54" t="s">
        <v>1313</v>
      </c>
      <c r="I331" s="54" t="s">
        <v>1314</v>
      </c>
      <c r="J331" s="54" t="s">
        <v>1039</v>
      </c>
      <c r="K331" s="55"/>
      <c r="L331" s="54" t="s">
        <v>1315</v>
      </c>
      <c r="M331" s="54"/>
      <c r="N331" s="54" t="s">
        <v>1328</v>
      </c>
      <c r="O331" s="54" t="s">
        <v>1091</v>
      </c>
      <c r="P331" s="54" t="s">
        <v>615</v>
      </c>
      <c r="Q331" s="54" t="s">
        <v>616</v>
      </c>
      <c r="R331" s="54" t="s">
        <v>1043</v>
      </c>
      <c r="S331" s="56">
        <v>999.5</v>
      </c>
      <c r="T331" s="56">
        <v>0</v>
      </c>
      <c r="U331" s="56">
        <v>999.5</v>
      </c>
      <c r="V331" s="56">
        <v>0</v>
      </c>
      <c r="W331" s="56">
        <v>0</v>
      </c>
      <c r="X331" s="56">
        <v>0</v>
      </c>
      <c r="Y331" s="56">
        <v>0</v>
      </c>
      <c r="Z331" s="56">
        <v>50</v>
      </c>
      <c r="AA331" s="56">
        <v>0</v>
      </c>
      <c r="AB331" s="59">
        <v>50</v>
      </c>
      <c r="AC331" s="56">
        <v>0</v>
      </c>
      <c r="AD331" s="56">
        <v>0</v>
      </c>
      <c r="AE331" s="56">
        <v>0</v>
      </c>
      <c r="AF331" s="54" t="s">
        <v>1317</v>
      </c>
      <c r="AG331" s="57"/>
      <c r="AH331" s="54"/>
      <c r="AI331" s="54"/>
      <c r="AJ331" s="54"/>
      <c r="AK331" s="54"/>
      <c r="AL331" s="54"/>
      <c r="AM331" s="54"/>
      <c r="AN331" s="54" t="s">
        <v>1318</v>
      </c>
      <c r="AO331" s="54" t="s">
        <v>1319</v>
      </c>
      <c r="AP331" s="54"/>
      <c r="AQ331" s="54"/>
      <c r="AR331" s="54" t="s">
        <v>1045</v>
      </c>
      <c r="AS331" s="54" t="s">
        <v>1046</v>
      </c>
      <c r="AT331" s="54" t="s">
        <v>1047</v>
      </c>
      <c r="AU331" s="54" t="s">
        <v>1320</v>
      </c>
      <c r="AV331" s="54"/>
      <c r="AW331" s="55"/>
      <c r="AX331" s="55"/>
      <c r="AY331" s="55">
        <v>46179</v>
      </c>
      <c r="AZ331" s="55"/>
      <c r="BA331" s="55"/>
      <c r="BB331" s="56">
        <v>0</v>
      </c>
      <c r="BC331" s="56">
        <v>0</v>
      </c>
      <c r="BD331" s="56">
        <v>0</v>
      </c>
      <c r="BE331" s="56">
        <v>0</v>
      </c>
      <c r="BF331" s="56">
        <v>0</v>
      </c>
      <c r="BG331" s="56">
        <v>0</v>
      </c>
      <c r="BH331" s="56">
        <v>0</v>
      </c>
      <c r="BI331" s="56">
        <v>0</v>
      </c>
      <c r="BJ331" s="56">
        <v>0</v>
      </c>
      <c r="BK331" s="56">
        <v>0</v>
      </c>
      <c r="BL331" s="56">
        <v>0</v>
      </c>
      <c r="BM331" s="56">
        <v>0</v>
      </c>
      <c r="BN331" s="56">
        <v>0</v>
      </c>
      <c r="BO331" s="56">
        <v>0</v>
      </c>
      <c r="BP331" s="54" t="s">
        <v>1049</v>
      </c>
      <c r="BQ331" s="54" t="s">
        <v>1050</v>
      </c>
      <c r="BR331" s="54" t="s">
        <v>1049</v>
      </c>
      <c r="BS331" s="54" t="s">
        <v>1050</v>
      </c>
      <c r="BT331" s="54" t="s">
        <v>1051</v>
      </c>
      <c r="BU331" s="54" t="s">
        <v>1043</v>
      </c>
      <c r="BV331" s="58">
        <v>0</v>
      </c>
      <c r="BW331" s="54" t="s">
        <v>1052</v>
      </c>
      <c r="BX331" s="54" t="s">
        <v>1053</v>
      </c>
      <c r="BY331" s="54" t="s">
        <v>1054</v>
      </c>
      <c r="BZ331" s="54" t="s">
        <v>1055</v>
      </c>
      <c r="CA331" s="55"/>
      <c r="CB331" s="54" t="s">
        <v>1056</v>
      </c>
      <c r="CC331" s="54" t="s">
        <v>1057</v>
      </c>
      <c r="CD331" s="54" t="s">
        <v>1200</v>
      </c>
      <c r="CE331" s="54" t="s">
        <v>1201</v>
      </c>
      <c r="CF331" s="54" t="s">
        <v>1202</v>
      </c>
      <c r="CG331" s="54" t="s">
        <v>1203</v>
      </c>
      <c r="CH331" s="54" t="s">
        <v>1204</v>
      </c>
      <c r="CI331" s="54" t="s">
        <v>1203</v>
      </c>
      <c r="CJ331" s="54" t="s">
        <v>1064</v>
      </c>
      <c r="CK331" s="54" t="s">
        <v>1065</v>
      </c>
      <c r="CL331" s="54" t="s">
        <v>1205</v>
      </c>
      <c r="CM331" s="54" t="s">
        <v>1206</v>
      </c>
      <c r="CN331" s="54" t="s">
        <v>1321</v>
      </c>
      <c r="CO331" s="54" t="s">
        <v>1322</v>
      </c>
      <c r="CP331" s="56">
        <v>0</v>
      </c>
      <c r="CQ331" s="56">
        <v>0</v>
      </c>
      <c r="CR331" s="56">
        <v>0</v>
      </c>
      <c r="CS331" s="56">
        <v>0</v>
      </c>
      <c r="CT331" s="56">
        <v>0</v>
      </c>
      <c r="CU331" s="56">
        <v>0</v>
      </c>
      <c r="CV331" s="56">
        <v>0</v>
      </c>
      <c r="CW331" s="56">
        <v>0</v>
      </c>
      <c r="CX331" s="56">
        <v>0</v>
      </c>
      <c r="CY331" s="56">
        <v>0</v>
      </c>
      <c r="CZ331" s="56">
        <v>0</v>
      </c>
      <c r="DA331" s="56">
        <v>0</v>
      </c>
      <c r="DB331" s="56">
        <v>0</v>
      </c>
      <c r="DC331" s="56">
        <v>0</v>
      </c>
      <c r="DD331" s="56">
        <v>0</v>
      </c>
      <c r="DE331" s="56">
        <v>0</v>
      </c>
      <c r="DF331" s="56">
        <v>0</v>
      </c>
      <c r="DG331" s="56">
        <v>0</v>
      </c>
      <c r="DH331" s="56">
        <v>0</v>
      </c>
      <c r="DI331" s="56">
        <v>0</v>
      </c>
      <c r="DJ331" s="56">
        <v>0</v>
      </c>
      <c r="DK331" s="56">
        <v>0</v>
      </c>
      <c r="DL331" s="56">
        <v>0</v>
      </c>
      <c r="DM331" s="56">
        <v>0</v>
      </c>
      <c r="DN331" s="56">
        <v>0</v>
      </c>
      <c r="DO331" s="56">
        <v>0</v>
      </c>
      <c r="DP331" s="56">
        <v>0</v>
      </c>
      <c r="DQ331" s="56">
        <v>0</v>
      </c>
      <c r="DR331" s="56">
        <v>0</v>
      </c>
      <c r="DS331" s="56">
        <v>0</v>
      </c>
      <c r="DT331" s="56">
        <v>0</v>
      </c>
      <c r="DU331" s="56">
        <v>0</v>
      </c>
      <c r="DV331" s="56">
        <v>0</v>
      </c>
      <c r="DW331" s="56">
        <v>0</v>
      </c>
      <c r="DX331" s="56">
        <v>0</v>
      </c>
      <c r="DY331" s="56">
        <v>0</v>
      </c>
      <c r="DZ331" s="56">
        <v>0</v>
      </c>
      <c r="EA331" s="56">
        <v>0</v>
      </c>
      <c r="EB331" s="56">
        <v>0</v>
      </c>
      <c r="EC331" s="56">
        <v>39.979999999999997</v>
      </c>
      <c r="ED331" s="56">
        <v>0</v>
      </c>
      <c r="EE331" s="56">
        <v>0</v>
      </c>
      <c r="EF331" s="56">
        <v>0</v>
      </c>
      <c r="EG331" s="56">
        <v>0</v>
      </c>
      <c r="EH331" s="56">
        <v>39.979999999999997</v>
      </c>
      <c r="EI331" s="56">
        <v>0</v>
      </c>
      <c r="EJ331" s="56">
        <v>0</v>
      </c>
      <c r="EK331" s="56">
        <v>0</v>
      </c>
      <c r="EL331" s="56">
        <v>0</v>
      </c>
      <c r="EM331" s="56">
        <v>0</v>
      </c>
      <c r="EN331" s="56">
        <v>0</v>
      </c>
      <c r="EO331" s="56">
        <v>0</v>
      </c>
      <c r="EP331" s="56">
        <v>0</v>
      </c>
      <c r="EQ331" s="56">
        <v>0</v>
      </c>
      <c r="ER331" s="56">
        <v>0</v>
      </c>
      <c r="ES331" s="56">
        <v>0</v>
      </c>
      <c r="ET331" s="56">
        <v>0</v>
      </c>
      <c r="EU331" s="56">
        <v>0</v>
      </c>
      <c r="EV331" s="56">
        <v>0</v>
      </c>
      <c r="EW331" s="56">
        <v>0</v>
      </c>
      <c r="EX331" s="56">
        <v>0</v>
      </c>
      <c r="EY331" s="56">
        <v>0</v>
      </c>
      <c r="EZ331" s="56">
        <v>0</v>
      </c>
      <c r="FA331" s="56">
        <v>0</v>
      </c>
      <c r="FB331" s="56">
        <v>0</v>
      </c>
      <c r="FC331" s="58">
        <v>0</v>
      </c>
      <c r="FD331" s="56">
        <v>0</v>
      </c>
      <c r="FE331" s="56">
        <v>0</v>
      </c>
      <c r="FF331" s="56">
        <v>0</v>
      </c>
      <c r="FG331" s="56">
        <v>0</v>
      </c>
      <c r="FH331" s="56">
        <v>0</v>
      </c>
      <c r="FI331" s="56">
        <v>0</v>
      </c>
      <c r="FJ331" s="56">
        <v>0</v>
      </c>
      <c r="FK331" s="56">
        <v>0</v>
      </c>
      <c r="FL331" s="56">
        <v>0</v>
      </c>
      <c r="FM331" s="56">
        <v>0</v>
      </c>
      <c r="FN331" s="56">
        <v>0</v>
      </c>
      <c r="FO331" s="56">
        <v>0</v>
      </c>
      <c r="FP331" s="56">
        <v>0</v>
      </c>
      <c r="FQ331" s="56">
        <v>0</v>
      </c>
      <c r="FR331" s="56">
        <v>0</v>
      </c>
      <c r="FS331" s="58">
        <v>0</v>
      </c>
      <c r="FT331" s="56">
        <v>0</v>
      </c>
      <c r="FU331" s="56">
        <v>0</v>
      </c>
      <c r="FV331" s="56">
        <v>0</v>
      </c>
      <c r="FW331" s="56">
        <v>0</v>
      </c>
      <c r="FX331" s="56">
        <v>0</v>
      </c>
      <c r="FY331" s="56">
        <v>0</v>
      </c>
      <c r="FZ331" s="54" t="s">
        <v>1070</v>
      </c>
      <c r="GA331" s="54" t="s">
        <v>1071</v>
      </c>
      <c r="GB331" s="54" t="s">
        <v>1311</v>
      </c>
      <c r="GC331" s="54" t="s">
        <v>1323</v>
      </c>
      <c r="GD331" s="54" t="s">
        <v>1300</v>
      </c>
      <c r="GE331" s="54" t="s">
        <v>1201</v>
      </c>
      <c r="GF331" s="54"/>
      <c r="GG331" s="55"/>
      <c r="GH331" s="54"/>
      <c r="GI331" s="54" t="s">
        <v>1329</v>
      </c>
      <c r="GJ331" s="54"/>
      <c r="GK331" s="54" t="s">
        <v>1077</v>
      </c>
      <c r="GL331" s="54"/>
      <c r="GM331" s="54"/>
      <c r="GN331" s="54" t="s">
        <v>1208</v>
      </c>
      <c r="GO331" s="54" t="s">
        <v>1209</v>
      </c>
      <c r="GP331" s="54" t="s">
        <v>1326</v>
      </c>
      <c r="GQ331" s="56">
        <v>0</v>
      </c>
      <c r="GR331" s="54"/>
      <c r="GS331" s="54"/>
    </row>
    <row r="332" spans="1:201" x14ac:dyDescent="0.25">
      <c r="A332" s="54" t="s">
        <v>1032</v>
      </c>
      <c r="B332" s="54" t="s">
        <v>1033</v>
      </c>
      <c r="C332" s="54" t="s">
        <v>1327</v>
      </c>
      <c r="D332" s="54" t="s">
        <v>1311</v>
      </c>
      <c r="E332" s="54" t="s">
        <v>1312</v>
      </c>
      <c r="F332" s="55">
        <v>46179</v>
      </c>
      <c r="G332" s="55">
        <v>46179</v>
      </c>
      <c r="H332" s="54" t="s">
        <v>1313</v>
      </c>
      <c r="I332" s="54" t="s">
        <v>1314</v>
      </c>
      <c r="J332" s="54" t="s">
        <v>1039</v>
      </c>
      <c r="K332" s="55"/>
      <c r="L332" s="54" t="s">
        <v>1315</v>
      </c>
      <c r="M332" s="54"/>
      <c r="N332" s="54" t="s">
        <v>1328</v>
      </c>
      <c r="O332" s="54" t="s">
        <v>1102</v>
      </c>
      <c r="P332" s="54" t="s">
        <v>273</v>
      </c>
      <c r="Q332" s="54" t="s">
        <v>114</v>
      </c>
      <c r="R332" s="54" t="s">
        <v>1043</v>
      </c>
      <c r="S332" s="56">
        <v>4151</v>
      </c>
      <c r="T332" s="56">
        <v>0</v>
      </c>
      <c r="U332" s="56">
        <v>4151</v>
      </c>
      <c r="V332" s="56">
        <v>0</v>
      </c>
      <c r="W332" s="56">
        <v>0</v>
      </c>
      <c r="X332" s="56">
        <v>0</v>
      </c>
      <c r="Y332" s="56">
        <v>0</v>
      </c>
      <c r="Z332" s="56">
        <v>700</v>
      </c>
      <c r="AA332" s="56">
        <v>0</v>
      </c>
      <c r="AB332" s="59">
        <v>700</v>
      </c>
      <c r="AC332" s="56">
        <v>0</v>
      </c>
      <c r="AD332" s="56">
        <v>0</v>
      </c>
      <c r="AE332" s="56">
        <v>0</v>
      </c>
      <c r="AF332" s="54" t="s">
        <v>1317</v>
      </c>
      <c r="AG332" s="57"/>
      <c r="AH332" s="54"/>
      <c r="AI332" s="54"/>
      <c r="AJ332" s="54"/>
      <c r="AK332" s="54"/>
      <c r="AL332" s="54"/>
      <c r="AM332" s="54"/>
      <c r="AN332" s="54" t="s">
        <v>1318</v>
      </c>
      <c r="AO332" s="54" t="s">
        <v>1319</v>
      </c>
      <c r="AP332" s="54"/>
      <c r="AQ332" s="54"/>
      <c r="AR332" s="54" t="s">
        <v>1045</v>
      </c>
      <c r="AS332" s="54" t="s">
        <v>1046</v>
      </c>
      <c r="AT332" s="54" t="s">
        <v>1047</v>
      </c>
      <c r="AU332" s="54" t="s">
        <v>1320</v>
      </c>
      <c r="AV332" s="54"/>
      <c r="AW332" s="55"/>
      <c r="AX332" s="55"/>
      <c r="AY332" s="55">
        <v>46179</v>
      </c>
      <c r="AZ332" s="55"/>
      <c r="BA332" s="55"/>
      <c r="BB332" s="56">
        <v>0</v>
      </c>
      <c r="BC332" s="56">
        <v>0</v>
      </c>
      <c r="BD332" s="56">
        <v>0</v>
      </c>
      <c r="BE332" s="56">
        <v>0</v>
      </c>
      <c r="BF332" s="56">
        <v>0</v>
      </c>
      <c r="BG332" s="56">
        <v>0</v>
      </c>
      <c r="BH332" s="56">
        <v>0</v>
      </c>
      <c r="BI332" s="56">
        <v>0</v>
      </c>
      <c r="BJ332" s="56">
        <v>0</v>
      </c>
      <c r="BK332" s="56">
        <v>0</v>
      </c>
      <c r="BL332" s="56">
        <v>0</v>
      </c>
      <c r="BM332" s="56">
        <v>0</v>
      </c>
      <c r="BN332" s="56">
        <v>0</v>
      </c>
      <c r="BO332" s="56">
        <v>0</v>
      </c>
      <c r="BP332" s="54" t="s">
        <v>1049</v>
      </c>
      <c r="BQ332" s="54" t="s">
        <v>1050</v>
      </c>
      <c r="BR332" s="54" t="s">
        <v>1049</v>
      </c>
      <c r="BS332" s="54" t="s">
        <v>1050</v>
      </c>
      <c r="BT332" s="54" t="s">
        <v>1051</v>
      </c>
      <c r="BU332" s="54" t="s">
        <v>1043</v>
      </c>
      <c r="BV332" s="58">
        <v>0</v>
      </c>
      <c r="BW332" s="54" t="s">
        <v>1052</v>
      </c>
      <c r="BX332" s="54" t="s">
        <v>1053</v>
      </c>
      <c r="BY332" s="54" t="s">
        <v>1054</v>
      </c>
      <c r="BZ332" s="54" t="s">
        <v>1055</v>
      </c>
      <c r="CA332" s="55"/>
      <c r="CB332" s="54" t="s">
        <v>1056</v>
      </c>
      <c r="CC332" s="54" t="s">
        <v>1057</v>
      </c>
      <c r="CD332" s="54" t="s">
        <v>1200</v>
      </c>
      <c r="CE332" s="54" t="s">
        <v>1201</v>
      </c>
      <c r="CF332" s="54" t="s">
        <v>1202</v>
      </c>
      <c r="CG332" s="54" t="s">
        <v>1203</v>
      </c>
      <c r="CH332" s="54" t="s">
        <v>1204</v>
      </c>
      <c r="CI332" s="54" t="s">
        <v>1203</v>
      </c>
      <c r="CJ332" s="54" t="s">
        <v>1064</v>
      </c>
      <c r="CK332" s="54" t="s">
        <v>1065</v>
      </c>
      <c r="CL332" s="54" t="s">
        <v>1205</v>
      </c>
      <c r="CM332" s="54" t="s">
        <v>1206</v>
      </c>
      <c r="CN332" s="54" t="s">
        <v>1321</v>
      </c>
      <c r="CO332" s="54" t="s">
        <v>1322</v>
      </c>
      <c r="CP332" s="56">
        <v>0</v>
      </c>
      <c r="CQ332" s="56">
        <v>0</v>
      </c>
      <c r="CR332" s="56">
        <v>0</v>
      </c>
      <c r="CS332" s="56">
        <v>0</v>
      </c>
      <c r="CT332" s="56">
        <v>0</v>
      </c>
      <c r="CU332" s="56">
        <v>0</v>
      </c>
      <c r="CV332" s="56">
        <v>0</v>
      </c>
      <c r="CW332" s="56">
        <v>0</v>
      </c>
      <c r="CX332" s="56">
        <v>0</v>
      </c>
      <c r="CY332" s="56">
        <v>0</v>
      </c>
      <c r="CZ332" s="56">
        <v>0</v>
      </c>
      <c r="DA332" s="56">
        <v>0</v>
      </c>
      <c r="DB332" s="56">
        <v>0</v>
      </c>
      <c r="DC332" s="56">
        <v>0</v>
      </c>
      <c r="DD332" s="56">
        <v>0</v>
      </c>
      <c r="DE332" s="56">
        <v>0</v>
      </c>
      <c r="DF332" s="56">
        <v>0</v>
      </c>
      <c r="DG332" s="56">
        <v>0</v>
      </c>
      <c r="DH332" s="56">
        <v>0</v>
      </c>
      <c r="DI332" s="56">
        <v>0</v>
      </c>
      <c r="DJ332" s="56">
        <v>0</v>
      </c>
      <c r="DK332" s="56">
        <v>0</v>
      </c>
      <c r="DL332" s="56">
        <v>0</v>
      </c>
      <c r="DM332" s="56">
        <v>0</v>
      </c>
      <c r="DN332" s="56">
        <v>0</v>
      </c>
      <c r="DO332" s="56">
        <v>0</v>
      </c>
      <c r="DP332" s="56">
        <v>0</v>
      </c>
      <c r="DQ332" s="56">
        <v>0</v>
      </c>
      <c r="DR332" s="56">
        <v>0</v>
      </c>
      <c r="DS332" s="56">
        <v>0</v>
      </c>
      <c r="DT332" s="56">
        <v>0</v>
      </c>
      <c r="DU332" s="56">
        <v>0</v>
      </c>
      <c r="DV332" s="56">
        <v>0</v>
      </c>
      <c r="DW332" s="56">
        <v>0</v>
      </c>
      <c r="DX332" s="56">
        <v>0</v>
      </c>
      <c r="DY332" s="56">
        <v>0</v>
      </c>
      <c r="DZ332" s="56">
        <v>0</v>
      </c>
      <c r="EA332" s="56">
        <v>0</v>
      </c>
      <c r="EB332" s="56">
        <v>0</v>
      </c>
      <c r="EC332" s="56">
        <v>498.12</v>
      </c>
      <c r="ED332" s="56">
        <v>0</v>
      </c>
      <c r="EE332" s="56">
        <v>0</v>
      </c>
      <c r="EF332" s="56">
        <v>0</v>
      </c>
      <c r="EG332" s="56">
        <v>0</v>
      </c>
      <c r="EH332" s="56">
        <v>498.12</v>
      </c>
      <c r="EI332" s="56">
        <v>0</v>
      </c>
      <c r="EJ332" s="56">
        <v>0</v>
      </c>
      <c r="EK332" s="56">
        <v>0</v>
      </c>
      <c r="EL332" s="56">
        <v>0</v>
      </c>
      <c r="EM332" s="56">
        <v>0</v>
      </c>
      <c r="EN332" s="56">
        <v>0</v>
      </c>
      <c r="EO332" s="56">
        <v>0</v>
      </c>
      <c r="EP332" s="56">
        <v>0</v>
      </c>
      <c r="EQ332" s="56">
        <v>0</v>
      </c>
      <c r="ER332" s="56">
        <v>0</v>
      </c>
      <c r="ES332" s="56">
        <v>0</v>
      </c>
      <c r="ET332" s="56">
        <v>0</v>
      </c>
      <c r="EU332" s="56">
        <v>0</v>
      </c>
      <c r="EV332" s="56">
        <v>0</v>
      </c>
      <c r="EW332" s="56">
        <v>0</v>
      </c>
      <c r="EX332" s="56">
        <v>0</v>
      </c>
      <c r="EY332" s="56">
        <v>0</v>
      </c>
      <c r="EZ332" s="56">
        <v>0</v>
      </c>
      <c r="FA332" s="56">
        <v>0</v>
      </c>
      <c r="FB332" s="56">
        <v>0</v>
      </c>
      <c r="FC332" s="58">
        <v>0</v>
      </c>
      <c r="FD332" s="56">
        <v>0</v>
      </c>
      <c r="FE332" s="56">
        <v>0</v>
      </c>
      <c r="FF332" s="56">
        <v>0</v>
      </c>
      <c r="FG332" s="56">
        <v>0</v>
      </c>
      <c r="FH332" s="56">
        <v>0</v>
      </c>
      <c r="FI332" s="56">
        <v>0</v>
      </c>
      <c r="FJ332" s="56">
        <v>0</v>
      </c>
      <c r="FK332" s="56">
        <v>0</v>
      </c>
      <c r="FL332" s="56">
        <v>0</v>
      </c>
      <c r="FM332" s="56">
        <v>0</v>
      </c>
      <c r="FN332" s="56">
        <v>0</v>
      </c>
      <c r="FO332" s="56">
        <v>0</v>
      </c>
      <c r="FP332" s="56">
        <v>0</v>
      </c>
      <c r="FQ332" s="56">
        <v>0</v>
      </c>
      <c r="FR332" s="56">
        <v>0</v>
      </c>
      <c r="FS332" s="58">
        <v>0</v>
      </c>
      <c r="FT332" s="56">
        <v>0</v>
      </c>
      <c r="FU332" s="56">
        <v>0</v>
      </c>
      <c r="FV332" s="56">
        <v>0</v>
      </c>
      <c r="FW332" s="56">
        <v>0</v>
      </c>
      <c r="FX332" s="56">
        <v>0</v>
      </c>
      <c r="FY332" s="56">
        <v>0</v>
      </c>
      <c r="FZ332" s="54" t="s">
        <v>1083</v>
      </c>
      <c r="GA332" s="54" t="s">
        <v>1084</v>
      </c>
      <c r="GB332" s="54" t="s">
        <v>1311</v>
      </c>
      <c r="GC332" s="54" t="s">
        <v>1323</v>
      </c>
      <c r="GD332" s="54" t="s">
        <v>1256</v>
      </c>
      <c r="GE332" s="54" t="s">
        <v>1201</v>
      </c>
      <c r="GF332" s="54"/>
      <c r="GG332" s="55"/>
      <c r="GH332" s="54"/>
      <c r="GI332" s="54" t="s">
        <v>1329</v>
      </c>
      <c r="GJ332" s="54"/>
      <c r="GK332" s="54" t="s">
        <v>1077</v>
      </c>
      <c r="GL332" s="54"/>
      <c r="GM332" s="54"/>
      <c r="GN332" s="54" t="s">
        <v>1208</v>
      </c>
      <c r="GO332" s="54" t="s">
        <v>1209</v>
      </c>
      <c r="GP332" s="54" t="s">
        <v>1326</v>
      </c>
      <c r="GQ332" s="56">
        <v>0</v>
      </c>
      <c r="GR332" s="54"/>
      <c r="GS332" s="54"/>
    </row>
    <row r="333" spans="1:201" x14ac:dyDescent="0.25">
      <c r="A333" s="54" t="s">
        <v>1032</v>
      </c>
      <c r="B333" s="54" t="s">
        <v>1033</v>
      </c>
      <c r="C333" s="54" t="s">
        <v>1327</v>
      </c>
      <c r="D333" s="54" t="s">
        <v>1311</v>
      </c>
      <c r="E333" s="54" t="s">
        <v>1312</v>
      </c>
      <c r="F333" s="55">
        <v>46179</v>
      </c>
      <c r="G333" s="55">
        <v>46179</v>
      </c>
      <c r="H333" s="54" t="s">
        <v>1313</v>
      </c>
      <c r="I333" s="54" t="s">
        <v>1314</v>
      </c>
      <c r="J333" s="54" t="s">
        <v>1039</v>
      </c>
      <c r="K333" s="55"/>
      <c r="L333" s="54" t="s">
        <v>1315</v>
      </c>
      <c r="M333" s="54"/>
      <c r="N333" s="54" t="s">
        <v>1328</v>
      </c>
      <c r="O333" s="54" t="s">
        <v>1107</v>
      </c>
      <c r="P333" s="54" t="s">
        <v>536</v>
      </c>
      <c r="Q333" s="54" t="s">
        <v>537</v>
      </c>
      <c r="R333" s="54" t="s">
        <v>1043</v>
      </c>
      <c r="S333" s="56">
        <v>13425</v>
      </c>
      <c r="T333" s="56">
        <v>0</v>
      </c>
      <c r="U333" s="56">
        <v>13425</v>
      </c>
      <c r="V333" s="56">
        <v>0</v>
      </c>
      <c r="W333" s="56">
        <v>0</v>
      </c>
      <c r="X333" s="56">
        <v>0</v>
      </c>
      <c r="Y333" s="56">
        <v>0</v>
      </c>
      <c r="Z333" s="56">
        <v>1500</v>
      </c>
      <c r="AA333" s="56">
        <v>0</v>
      </c>
      <c r="AB333" s="59">
        <v>1500</v>
      </c>
      <c r="AC333" s="56">
        <v>0</v>
      </c>
      <c r="AD333" s="56">
        <v>0</v>
      </c>
      <c r="AE333" s="56">
        <v>0</v>
      </c>
      <c r="AF333" s="54" t="s">
        <v>1317</v>
      </c>
      <c r="AG333" s="57"/>
      <c r="AH333" s="54"/>
      <c r="AI333" s="54"/>
      <c r="AJ333" s="54"/>
      <c r="AK333" s="54"/>
      <c r="AL333" s="54"/>
      <c r="AM333" s="54"/>
      <c r="AN333" s="54" t="s">
        <v>1318</v>
      </c>
      <c r="AO333" s="54" t="s">
        <v>1319</v>
      </c>
      <c r="AP333" s="54"/>
      <c r="AQ333" s="54"/>
      <c r="AR333" s="54" t="s">
        <v>1045</v>
      </c>
      <c r="AS333" s="54" t="s">
        <v>1081</v>
      </c>
      <c r="AT333" s="54" t="s">
        <v>1082</v>
      </c>
      <c r="AU333" s="54" t="s">
        <v>1320</v>
      </c>
      <c r="AV333" s="54"/>
      <c r="AW333" s="55"/>
      <c r="AX333" s="55"/>
      <c r="AY333" s="55">
        <v>46179</v>
      </c>
      <c r="AZ333" s="55"/>
      <c r="BA333" s="55"/>
      <c r="BB333" s="56">
        <v>0</v>
      </c>
      <c r="BC333" s="56">
        <v>0</v>
      </c>
      <c r="BD333" s="56">
        <v>0</v>
      </c>
      <c r="BE333" s="56">
        <v>0</v>
      </c>
      <c r="BF333" s="56">
        <v>0</v>
      </c>
      <c r="BG333" s="56">
        <v>0</v>
      </c>
      <c r="BH333" s="56">
        <v>0</v>
      </c>
      <c r="BI333" s="56">
        <v>0</v>
      </c>
      <c r="BJ333" s="56">
        <v>0</v>
      </c>
      <c r="BK333" s="56">
        <v>0</v>
      </c>
      <c r="BL333" s="56">
        <v>0</v>
      </c>
      <c r="BM333" s="56">
        <v>0</v>
      </c>
      <c r="BN333" s="56">
        <v>0</v>
      </c>
      <c r="BO333" s="56">
        <v>0</v>
      </c>
      <c r="BP333" s="54" t="s">
        <v>1049</v>
      </c>
      <c r="BQ333" s="54" t="s">
        <v>1050</v>
      </c>
      <c r="BR333" s="54" t="s">
        <v>1049</v>
      </c>
      <c r="BS333" s="54" t="s">
        <v>1050</v>
      </c>
      <c r="BT333" s="54" t="s">
        <v>1051</v>
      </c>
      <c r="BU333" s="54" t="s">
        <v>1043</v>
      </c>
      <c r="BV333" s="58">
        <v>0</v>
      </c>
      <c r="BW333" s="54" t="s">
        <v>1052</v>
      </c>
      <c r="BX333" s="54" t="s">
        <v>1053</v>
      </c>
      <c r="BY333" s="54" t="s">
        <v>1054</v>
      </c>
      <c r="BZ333" s="54" t="s">
        <v>1055</v>
      </c>
      <c r="CA333" s="55"/>
      <c r="CB333" s="54" t="s">
        <v>1056</v>
      </c>
      <c r="CC333" s="54" t="s">
        <v>1057</v>
      </c>
      <c r="CD333" s="54" t="s">
        <v>1200</v>
      </c>
      <c r="CE333" s="54" t="s">
        <v>1201</v>
      </c>
      <c r="CF333" s="54" t="s">
        <v>1202</v>
      </c>
      <c r="CG333" s="54" t="s">
        <v>1203</v>
      </c>
      <c r="CH333" s="54" t="s">
        <v>1204</v>
      </c>
      <c r="CI333" s="54" t="s">
        <v>1203</v>
      </c>
      <c r="CJ333" s="54" t="s">
        <v>1064</v>
      </c>
      <c r="CK333" s="54" t="s">
        <v>1065</v>
      </c>
      <c r="CL333" s="54" t="s">
        <v>1205</v>
      </c>
      <c r="CM333" s="54" t="s">
        <v>1206</v>
      </c>
      <c r="CN333" s="54" t="s">
        <v>1321</v>
      </c>
      <c r="CO333" s="54" t="s">
        <v>1322</v>
      </c>
      <c r="CP333" s="56">
        <v>0</v>
      </c>
      <c r="CQ333" s="56">
        <v>0</v>
      </c>
      <c r="CR333" s="56">
        <v>0</v>
      </c>
      <c r="CS333" s="56">
        <v>0</v>
      </c>
      <c r="CT333" s="56">
        <v>0</v>
      </c>
      <c r="CU333" s="56">
        <v>0</v>
      </c>
      <c r="CV333" s="56">
        <v>0</v>
      </c>
      <c r="CW333" s="56">
        <v>0</v>
      </c>
      <c r="CX333" s="56">
        <v>0</v>
      </c>
      <c r="CY333" s="56">
        <v>0</v>
      </c>
      <c r="CZ333" s="56">
        <v>0</v>
      </c>
      <c r="DA333" s="56">
        <v>0</v>
      </c>
      <c r="DB333" s="56">
        <v>0</v>
      </c>
      <c r="DC333" s="56">
        <v>0</v>
      </c>
      <c r="DD333" s="56">
        <v>0</v>
      </c>
      <c r="DE333" s="56">
        <v>0</v>
      </c>
      <c r="DF333" s="56">
        <v>0</v>
      </c>
      <c r="DG333" s="56">
        <v>0</v>
      </c>
      <c r="DH333" s="56">
        <v>0</v>
      </c>
      <c r="DI333" s="56">
        <v>0</v>
      </c>
      <c r="DJ333" s="56">
        <v>0</v>
      </c>
      <c r="DK333" s="56">
        <v>0</v>
      </c>
      <c r="DL333" s="56">
        <v>0</v>
      </c>
      <c r="DM333" s="56">
        <v>0</v>
      </c>
      <c r="DN333" s="56">
        <v>0</v>
      </c>
      <c r="DO333" s="56">
        <v>0</v>
      </c>
      <c r="DP333" s="56">
        <v>0</v>
      </c>
      <c r="DQ333" s="56">
        <v>0</v>
      </c>
      <c r="DR333" s="56">
        <v>0</v>
      </c>
      <c r="DS333" s="56">
        <v>0</v>
      </c>
      <c r="DT333" s="56">
        <v>0</v>
      </c>
      <c r="DU333" s="56">
        <v>0</v>
      </c>
      <c r="DV333" s="56">
        <v>0</v>
      </c>
      <c r="DW333" s="56">
        <v>0</v>
      </c>
      <c r="DX333" s="56">
        <v>0</v>
      </c>
      <c r="DY333" s="56">
        <v>0</v>
      </c>
      <c r="DZ333" s="56">
        <v>0</v>
      </c>
      <c r="EA333" s="56">
        <v>0</v>
      </c>
      <c r="EB333" s="56">
        <v>0</v>
      </c>
      <c r="EC333" s="56">
        <v>1611</v>
      </c>
      <c r="ED333" s="56">
        <v>0</v>
      </c>
      <c r="EE333" s="56">
        <v>0</v>
      </c>
      <c r="EF333" s="56">
        <v>0</v>
      </c>
      <c r="EG333" s="56">
        <v>0</v>
      </c>
      <c r="EH333" s="56">
        <v>1611</v>
      </c>
      <c r="EI333" s="56">
        <v>0</v>
      </c>
      <c r="EJ333" s="56">
        <v>0</v>
      </c>
      <c r="EK333" s="56">
        <v>0</v>
      </c>
      <c r="EL333" s="56">
        <v>0</v>
      </c>
      <c r="EM333" s="56">
        <v>0</v>
      </c>
      <c r="EN333" s="56">
        <v>0</v>
      </c>
      <c r="EO333" s="56">
        <v>0</v>
      </c>
      <c r="EP333" s="56">
        <v>0</v>
      </c>
      <c r="EQ333" s="56">
        <v>0</v>
      </c>
      <c r="ER333" s="56">
        <v>0</v>
      </c>
      <c r="ES333" s="56">
        <v>0</v>
      </c>
      <c r="ET333" s="56">
        <v>0</v>
      </c>
      <c r="EU333" s="56">
        <v>0</v>
      </c>
      <c r="EV333" s="56">
        <v>0</v>
      </c>
      <c r="EW333" s="56">
        <v>0</v>
      </c>
      <c r="EX333" s="56">
        <v>0</v>
      </c>
      <c r="EY333" s="56">
        <v>0</v>
      </c>
      <c r="EZ333" s="56">
        <v>0</v>
      </c>
      <c r="FA333" s="56">
        <v>0</v>
      </c>
      <c r="FB333" s="56">
        <v>0</v>
      </c>
      <c r="FC333" s="58">
        <v>0</v>
      </c>
      <c r="FD333" s="56">
        <v>0</v>
      </c>
      <c r="FE333" s="56">
        <v>0</v>
      </c>
      <c r="FF333" s="56">
        <v>0</v>
      </c>
      <c r="FG333" s="56">
        <v>0</v>
      </c>
      <c r="FH333" s="56">
        <v>0</v>
      </c>
      <c r="FI333" s="56">
        <v>0</v>
      </c>
      <c r="FJ333" s="56">
        <v>0</v>
      </c>
      <c r="FK333" s="56">
        <v>0</v>
      </c>
      <c r="FL333" s="56">
        <v>0</v>
      </c>
      <c r="FM333" s="56">
        <v>0</v>
      </c>
      <c r="FN333" s="56">
        <v>0</v>
      </c>
      <c r="FO333" s="56">
        <v>0</v>
      </c>
      <c r="FP333" s="56">
        <v>0</v>
      </c>
      <c r="FQ333" s="56">
        <v>0</v>
      </c>
      <c r="FR333" s="56">
        <v>0</v>
      </c>
      <c r="FS333" s="58">
        <v>0</v>
      </c>
      <c r="FT333" s="56">
        <v>0</v>
      </c>
      <c r="FU333" s="56">
        <v>0</v>
      </c>
      <c r="FV333" s="56">
        <v>0</v>
      </c>
      <c r="FW333" s="56">
        <v>0</v>
      </c>
      <c r="FX333" s="56">
        <v>0</v>
      </c>
      <c r="FY333" s="56">
        <v>0</v>
      </c>
      <c r="FZ333" s="54" t="s">
        <v>1083</v>
      </c>
      <c r="GA333" s="54" t="s">
        <v>1084</v>
      </c>
      <c r="GB333" s="54" t="s">
        <v>1311</v>
      </c>
      <c r="GC333" s="54" t="s">
        <v>1323</v>
      </c>
      <c r="GD333" s="54"/>
      <c r="GE333" s="54"/>
      <c r="GF333" s="54"/>
      <c r="GG333" s="55"/>
      <c r="GH333" s="54"/>
      <c r="GI333" s="54" t="s">
        <v>1329</v>
      </c>
      <c r="GJ333" s="54"/>
      <c r="GK333" s="54" t="s">
        <v>1077</v>
      </c>
      <c r="GL333" s="54"/>
      <c r="GM333" s="54"/>
      <c r="GN333" s="54" t="s">
        <v>1208</v>
      </c>
      <c r="GO333" s="54" t="s">
        <v>1209</v>
      </c>
      <c r="GP333" s="54" t="s">
        <v>1326</v>
      </c>
      <c r="GQ333" s="56">
        <v>0</v>
      </c>
      <c r="GR333" s="54"/>
      <c r="GS333" s="54"/>
    </row>
    <row r="334" spans="1:201" x14ac:dyDescent="0.25">
      <c r="A334" s="54" t="s">
        <v>1032</v>
      </c>
      <c r="B334" s="54" t="s">
        <v>1033</v>
      </c>
      <c r="C334" s="54" t="s">
        <v>1327</v>
      </c>
      <c r="D334" s="54" t="s">
        <v>1311</v>
      </c>
      <c r="E334" s="54" t="s">
        <v>1312</v>
      </c>
      <c r="F334" s="55">
        <v>46179</v>
      </c>
      <c r="G334" s="55">
        <v>46179</v>
      </c>
      <c r="H334" s="54" t="s">
        <v>1313</v>
      </c>
      <c r="I334" s="54" t="s">
        <v>1314</v>
      </c>
      <c r="J334" s="54" t="s">
        <v>1039</v>
      </c>
      <c r="K334" s="55"/>
      <c r="L334" s="54" t="s">
        <v>1315</v>
      </c>
      <c r="M334" s="54"/>
      <c r="N334" s="54" t="s">
        <v>1328</v>
      </c>
      <c r="O334" s="54" t="s">
        <v>1109</v>
      </c>
      <c r="P334" s="54" t="s">
        <v>683</v>
      </c>
      <c r="Q334" s="54" t="s">
        <v>570</v>
      </c>
      <c r="R334" s="54" t="s">
        <v>1043</v>
      </c>
      <c r="S334" s="56">
        <v>15135</v>
      </c>
      <c r="T334" s="56">
        <v>0</v>
      </c>
      <c r="U334" s="56">
        <v>15135</v>
      </c>
      <c r="V334" s="56">
        <v>0</v>
      </c>
      <c r="W334" s="56">
        <v>0</v>
      </c>
      <c r="X334" s="56">
        <v>0</v>
      </c>
      <c r="Y334" s="56">
        <v>0</v>
      </c>
      <c r="Z334" s="56">
        <v>1500</v>
      </c>
      <c r="AA334" s="56">
        <v>0</v>
      </c>
      <c r="AB334" s="59">
        <v>1500</v>
      </c>
      <c r="AC334" s="56">
        <v>0</v>
      </c>
      <c r="AD334" s="56">
        <v>0</v>
      </c>
      <c r="AE334" s="56">
        <v>0</v>
      </c>
      <c r="AF334" s="54" t="s">
        <v>1317</v>
      </c>
      <c r="AG334" s="57"/>
      <c r="AH334" s="54"/>
      <c r="AI334" s="54"/>
      <c r="AJ334" s="54"/>
      <c r="AK334" s="54"/>
      <c r="AL334" s="54"/>
      <c r="AM334" s="54"/>
      <c r="AN334" s="54" t="s">
        <v>1318</v>
      </c>
      <c r="AO334" s="54" t="s">
        <v>1319</v>
      </c>
      <c r="AP334" s="54"/>
      <c r="AQ334" s="54"/>
      <c r="AR334" s="54" t="s">
        <v>1045</v>
      </c>
      <c r="AS334" s="54" t="s">
        <v>1081</v>
      </c>
      <c r="AT334" s="54" t="s">
        <v>1082</v>
      </c>
      <c r="AU334" s="54" t="s">
        <v>1320</v>
      </c>
      <c r="AV334" s="54"/>
      <c r="AW334" s="55"/>
      <c r="AX334" s="55"/>
      <c r="AY334" s="55">
        <v>46179</v>
      </c>
      <c r="AZ334" s="55"/>
      <c r="BA334" s="55"/>
      <c r="BB334" s="56">
        <v>0</v>
      </c>
      <c r="BC334" s="56">
        <v>0</v>
      </c>
      <c r="BD334" s="56">
        <v>0</v>
      </c>
      <c r="BE334" s="56">
        <v>0</v>
      </c>
      <c r="BF334" s="56">
        <v>0</v>
      </c>
      <c r="BG334" s="56">
        <v>0</v>
      </c>
      <c r="BH334" s="56">
        <v>0</v>
      </c>
      <c r="BI334" s="56">
        <v>0</v>
      </c>
      <c r="BJ334" s="56">
        <v>0</v>
      </c>
      <c r="BK334" s="56">
        <v>0</v>
      </c>
      <c r="BL334" s="56">
        <v>0</v>
      </c>
      <c r="BM334" s="56">
        <v>0</v>
      </c>
      <c r="BN334" s="56">
        <v>0</v>
      </c>
      <c r="BO334" s="56">
        <v>0</v>
      </c>
      <c r="BP334" s="54" t="s">
        <v>1049</v>
      </c>
      <c r="BQ334" s="54" t="s">
        <v>1050</v>
      </c>
      <c r="BR334" s="54" t="s">
        <v>1049</v>
      </c>
      <c r="BS334" s="54" t="s">
        <v>1050</v>
      </c>
      <c r="BT334" s="54" t="s">
        <v>1051</v>
      </c>
      <c r="BU334" s="54" t="s">
        <v>1043</v>
      </c>
      <c r="BV334" s="58">
        <v>0</v>
      </c>
      <c r="BW334" s="54" t="s">
        <v>1052</v>
      </c>
      <c r="BX334" s="54" t="s">
        <v>1053</v>
      </c>
      <c r="BY334" s="54" t="s">
        <v>1054</v>
      </c>
      <c r="BZ334" s="54" t="s">
        <v>1055</v>
      </c>
      <c r="CA334" s="55"/>
      <c r="CB334" s="54" t="s">
        <v>1056</v>
      </c>
      <c r="CC334" s="54" t="s">
        <v>1057</v>
      </c>
      <c r="CD334" s="54" t="s">
        <v>1200</v>
      </c>
      <c r="CE334" s="54" t="s">
        <v>1201</v>
      </c>
      <c r="CF334" s="54" t="s">
        <v>1202</v>
      </c>
      <c r="CG334" s="54" t="s">
        <v>1203</v>
      </c>
      <c r="CH334" s="54" t="s">
        <v>1204</v>
      </c>
      <c r="CI334" s="54" t="s">
        <v>1203</v>
      </c>
      <c r="CJ334" s="54" t="s">
        <v>1064</v>
      </c>
      <c r="CK334" s="54" t="s">
        <v>1065</v>
      </c>
      <c r="CL334" s="54" t="s">
        <v>1205</v>
      </c>
      <c r="CM334" s="54" t="s">
        <v>1206</v>
      </c>
      <c r="CN334" s="54" t="s">
        <v>1321</v>
      </c>
      <c r="CO334" s="54" t="s">
        <v>1322</v>
      </c>
      <c r="CP334" s="56">
        <v>0</v>
      </c>
      <c r="CQ334" s="56">
        <v>0</v>
      </c>
      <c r="CR334" s="56">
        <v>0</v>
      </c>
      <c r="CS334" s="56">
        <v>0</v>
      </c>
      <c r="CT334" s="56">
        <v>0</v>
      </c>
      <c r="CU334" s="56">
        <v>0</v>
      </c>
      <c r="CV334" s="56">
        <v>0</v>
      </c>
      <c r="CW334" s="56">
        <v>0</v>
      </c>
      <c r="CX334" s="56">
        <v>0</v>
      </c>
      <c r="CY334" s="56">
        <v>0</v>
      </c>
      <c r="CZ334" s="56">
        <v>0</v>
      </c>
      <c r="DA334" s="56">
        <v>0</v>
      </c>
      <c r="DB334" s="56">
        <v>0</v>
      </c>
      <c r="DC334" s="56">
        <v>0</v>
      </c>
      <c r="DD334" s="56">
        <v>0</v>
      </c>
      <c r="DE334" s="56">
        <v>0</v>
      </c>
      <c r="DF334" s="56">
        <v>0</v>
      </c>
      <c r="DG334" s="56">
        <v>0</v>
      </c>
      <c r="DH334" s="56">
        <v>0</v>
      </c>
      <c r="DI334" s="56">
        <v>0</v>
      </c>
      <c r="DJ334" s="56">
        <v>0</v>
      </c>
      <c r="DK334" s="56">
        <v>0</v>
      </c>
      <c r="DL334" s="56">
        <v>0</v>
      </c>
      <c r="DM334" s="56">
        <v>0</v>
      </c>
      <c r="DN334" s="56">
        <v>0</v>
      </c>
      <c r="DO334" s="56">
        <v>0</v>
      </c>
      <c r="DP334" s="56">
        <v>0</v>
      </c>
      <c r="DQ334" s="56">
        <v>0</v>
      </c>
      <c r="DR334" s="56">
        <v>0</v>
      </c>
      <c r="DS334" s="56">
        <v>0</v>
      </c>
      <c r="DT334" s="56">
        <v>0</v>
      </c>
      <c r="DU334" s="56">
        <v>0</v>
      </c>
      <c r="DV334" s="56">
        <v>0</v>
      </c>
      <c r="DW334" s="56">
        <v>0</v>
      </c>
      <c r="DX334" s="56">
        <v>0</v>
      </c>
      <c r="DY334" s="56">
        <v>0</v>
      </c>
      <c r="DZ334" s="56">
        <v>0</v>
      </c>
      <c r="EA334" s="56">
        <v>0</v>
      </c>
      <c r="EB334" s="56">
        <v>0</v>
      </c>
      <c r="EC334" s="56">
        <v>1816.2</v>
      </c>
      <c r="ED334" s="56">
        <v>0</v>
      </c>
      <c r="EE334" s="56">
        <v>0</v>
      </c>
      <c r="EF334" s="56">
        <v>0</v>
      </c>
      <c r="EG334" s="56">
        <v>0</v>
      </c>
      <c r="EH334" s="56">
        <v>1816.2</v>
      </c>
      <c r="EI334" s="56">
        <v>0</v>
      </c>
      <c r="EJ334" s="56">
        <v>0</v>
      </c>
      <c r="EK334" s="56">
        <v>0</v>
      </c>
      <c r="EL334" s="56">
        <v>0</v>
      </c>
      <c r="EM334" s="56">
        <v>0</v>
      </c>
      <c r="EN334" s="56">
        <v>0</v>
      </c>
      <c r="EO334" s="56">
        <v>0</v>
      </c>
      <c r="EP334" s="56">
        <v>0</v>
      </c>
      <c r="EQ334" s="56">
        <v>0</v>
      </c>
      <c r="ER334" s="56">
        <v>0</v>
      </c>
      <c r="ES334" s="56">
        <v>0</v>
      </c>
      <c r="ET334" s="56">
        <v>0</v>
      </c>
      <c r="EU334" s="56">
        <v>0</v>
      </c>
      <c r="EV334" s="56">
        <v>0</v>
      </c>
      <c r="EW334" s="56">
        <v>0</v>
      </c>
      <c r="EX334" s="56">
        <v>0</v>
      </c>
      <c r="EY334" s="56">
        <v>0</v>
      </c>
      <c r="EZ334" s="56">
        <v>0</v>
      </c>
      <c r="FA334" s="56">
        <v>0</v>
      </c>
      <c r="FB334" s="56">
        <v>0</v>
      </c>
      <c r="FC334" s="58">
        <v>0</v>
      </c>
      <c r="FD334" s="56">
        <v>0</v>
      </c>
      <c r="FE334" s="56">
        <v>0</v>
      </c>
      <c r="FF334" s="56">
        <v>0</v>
      </c>
      <c r="FG334" s="56">
        <v>0</v>
      </c>
      <c r="FH334" s="56">
        <v>0</v>
      </c>
      <c r="FI334" s="56">
        <v>0</v>
      </c>
      <c r="FJ334" s="56">
        <v>0</v>
      </c>
      <c r="FK334" s="56">
        <v>0</v>
      </c>
      <c r="FL334" s="56">
        <v>0</v>
      </c>
      <c r="FM334" s="56">
        <v>0</v>
      </c>
      <c r="FN334" s="56">
        <v>0</v>
      </c>
      <c r="FO334" s="56">
        <v>0</v>
      </c>
      <c r="FP334" s="56">
        <v>0</v>
      </c>
      <c r="FQ334" s="56">
        <v>0</v>
      </c>
      <c r="FR334" s="56">
        <v>0</v>
      </c>
      <c r="FS334" s="58">
        <v>0</v>
      </c>
      <c r="FT334" s="56">
        <v>0</v>
      </c>
      <c r="FU334" s="56">
        <v>0</v>
      </c>
      <c r="FV334" s="56">
        <v>0</v>
      </c>
      <c r="FW334" s="56">
        <v>0</v>
      </c>
      <c r="FX334" s="56">
        <v>0</v>
      </c>
      <c r="FY334" s="56">
        <v>0</v>
      </c>
      <c r="FZ334" s="54" t="s">
        <v>1083</v>
      </c>
      <c r="GA334" s="54" t="s">
        <v>1084</v>
      </c>
      <c r="GB334" s="54" t="s">
        <v>1311</v>
      </c>
      <c r="GC334" s="54" t="s">
        <v>1323</v>
      </c>
      <c r="GD334" s="54"/>
      <c r="GE334" s="54"/>
      <c r="GF334" s="54"/>
      <c r="GG334" s="55"/>
      <c r="GH334" s="54"/>
      <c r="GI334" s="54" t="s">
        <v>1329</v>
      </c>
      <c r="GJ334" s="54"/>
      <c r="GK334" s="54" t="s">
        <v>1077</v>
      </c>
      <c r="GL334" s="54"/>
      <c r="GM334" s="54"/>
      <c r="GN334" s="54" t="s">
        <v>1208</v>
      </c>
      <c r="GO334" s="54" t="s">
        <v>1209</v>
      </c>
      <c r="GP334" s="54" t="s">
        <v>1326</v>
      </c>
      <c r="GQ334" s="56">
        <v>0</v>
      </c>
      <c r="GR334" s="54"/>
      <c r="GS334" s="54"/>
    </row>
    <row r="335" spans="1:201" x14ac:dyDescent="0.25">
      <c r="A335" s="54" t="s">
        <v>1032</v>
      </c>
      <c r="B335" s="54" t="s">
        <v>1033</v>
      </c>
      <c r="C335" s="54" t="s">
        <v>1327</v>
      </c>
      <c r="D335" s="54" t="s">
        <v>1311</v>
      </c>
      <c r="E335" s="54" t="s">
        <v>1312</v>
      </c>
      <c r="F335" s="55">
        <v>46179</v>
      </c>
      <c r="G335" s="55">
        <v>46179</v>
      </c>
      <c r="H335" s="54" t="s">
        <v>1313</v>
      </c>
      <c r="I335" s="54" t="s">
        <v>1314</v>
      </c>
      <c r="J335" s="54" t="s">
        <v>1039</v>
      </c>
      <c r="K335" s="55"/>
      <c r="L335" s="54" t="s">
        <v>1315</v>
      </c>
      <c r="M335" s="54"/>
      <c r="N335" s="54" t="s">
        <v>1328</v>
      </c>
      <c r="O335" s="54" t="s">
        <v>1111</v>
      </c>
      <c r="P335" s="54" t="s">
        <v>287</v>
      </c>
      <c r="Q335" s="54" t="s">
        <v>127</v>
      </c>
      <c r="R335" s="54" t="s">
        <v>1043</v>
      </c>
      <c r="S335" s="56">
        <v>732.06</v>
      </c>
      <c r="T335" s="56">
        <v>0</v>
      </c>
      <c r="U335" s="56">
        <v>732.06</v>
      </c>
      <c r="V335" s="56">
        <v>0</v>
      </c>
      <c r="W335" s="56">
        <v>0</v>
      </c>
      <c r="X335" s="56">
        <v>0</v>
      </c>
      <c r="Y335" s="56">
        <v>0</v>
      </c>
      <c r="Z335" s="56">
        <v>441</v>
      </c>
      <c r="AA335" s="56">
        <v>0</v>
      </c>
      <c r="AB335" s="59">
        <v>441</v>
      </c>
      <c r="AC335" s="56">
        <v>0</v>
      </c>
      <c r="AD335" s="56">
        <v>0</v>
      </c>
      <c r="AE335" s="56">
        <v>0</v>
      </c>
      <c r="AF335" s="54" t="s">
        <v>1317</v>
      </c>
      <c r="AG335" s="57"/>
      <c r="AH335" s="54"/>
      <c r="AI335" s="54"/>
      <c r="AJ335" s="54"/>
      <c r="AK335" s="54"/>
      <c r="AL335" s="54"/>
      <c r="AM335" s="54"/>
      <c r="AN335" s="54" t="s">
        <v>1318</v>
      </c>
      <c r="AO335" s="54" t="s">
        <v>1319</v>
      </c>
      <c r="AP335" s="54"/>
      <c r="AQ335" s="54"/>
      <c r="AR335" s="54" t="s">
        <v>1045</v>
      </c>
      <c r="AS335" s="54" t="s">
        <v>1046</v>
      </c>
      <c r="AT335" s="54" t="s">
        <v>1047</v>
      </c>
      <c r="AU335" s="54" t="s">
        <v>1320</v>
      </c>
      <c r="AV335" s="54"/>
      <c r="AW335" s="55"/>
      <c r="AX335" s="55"/>
      <c r="AY335" s="55">
        <v>46179</v>
      </c>
      <c r="AZ335" s="55"/>
      <c r="BA335" s="55"/>
      <c r="BB335" s="56">
        <v>0</v>
      </c>
      <c r="BC335" s="56">
        <v>0</v>
      </c>
      <c r="BD335" s="56">
        <v>0</v>
      </c>
      <c r="BE335" s="56">
        <v>0</v>
      </c>
      <c r="BF335" s="56">
        <v>0</v>
      </c>
      <c r="BG335" s="56">
        <v>0</v>
      </c>
      <c r="BH335" s="56">
        <v>0</v>
      </c>
      <c r="BI335" s="56">
        <v>0</v>
      </c>
      <c r="BJ335" s="56">
        <v>0</v>
      </c>
      <c r="BK335" s="56">
        <v>0</v>
      </c>
      <c r="BL335" s="56">
        <v>0</v>
      </c>
      <c r="BM335" s="56">
        <v>0</v>
      </c>
      <c r="BN335" s="56">
        <v>0</v>
      </c>
      <c r="BO335" s="56">
        <v>0</v>
      </c>
      <c r="BP335" s="54" t="s">
        <v>1049</v>
      </c>
      <c r="BQ335" s="54" t="s">
        <v>1050</v>
      </c>
      <c r="BR335" s="54" t="s">
        <v>1049</v>
      </c>
      <c r="BS335" s="54" t="s">
        <v>1050</v>
      </c>
      <c r="BT335" s="54" t="s">
        <v>1051</v>
      </c>
      <c r="BU335" s="54" t="s">
        <v>1043</v>
      </c>
      <c r="BV335" s="58">
        <v>0</v>
      </c>
      <c r="BW335" s="54" t="s">
        <v>1052</v>
      </c>
      <c r="BX335" s="54" t="s">
        <v>1053</v>
      </c>
      <c r="BY335" s="54" t="s">
        <v>1054</v>
      </c>
      <c r="BZ335" s="54" t="s">
        <v>1055</v>
      </c>
      <c r="CA335" s="55"/>
      <c r="CB335" s="54" t="s">
        <v>1056</v>
      </c>
      <c r="CC335" s="54" t="s">
        <v>1057</v>
      </c>
      <c r="CD335" s="54" t="s">
        <v>1200</v>
      </c>
      <c r="CE335" s="54" t="s">
        <v>1201</v>
      </c>
      <c r="CF335" s="54" t="s">
        <v>1202</v>
      </c>
      <c r="CG335" s="54" t="s">
        <v>1203</v>
      </c>
      <c r="CH335" s="54" t="s">
        <v>1204</v>
      </c>
      <c r="CI335" s="54" t="s">
        <v>1203</v>
      </c>
      <c r="CJ335" s="54" t="s">
        <v>1064</v>
      </c>
      <c r="CK335" s="54" t="s">
        <v>1065</v>
      </c>
      <c r="CL335" s="54" t="s">
        <v>1205</v>
      </c>
      <c r="CM335" s="54" t="s">
        <v>1206</v>
      </c>
      <c r="CN335" s="54" t="s">
        <v>1321</v>
      </c>
      <c r="CO335" s="54" t="s">
        <v>1322</v>
      </c>
      <c r="CP335" s="56">
        <v>0</v>
      </c>
      <c r="CQ335" s="56">
        <v>0</v>
      </c>
      <c r="CR335" s="56">
        <v>0</v>
      </c>
      <c r="CS335" s="56">
        <v>0</v>
      </c>
      <c r="CT335" s="56">
        <v>0</v>
      </c>
      <c r="CU335" s="56">
        <v>0</v>
      </c>
      <c r="CV335" s="56">
        <v>0</v>
      </c>
      <c r="CW335" s="56">
        <v>0</v>
      </c>
      <c r="CX335" s="56">
        <v>0</v>
      </c>
      <c r="CY335" s="56">
        <v>0</v>
      </c>
      <c r="CZ335" s="56">
        <v>0</v>
      </c>
      <c r="DA335" s="56">
        <v>0</v>
      </c>
      <c r="DB335" s="56">
        <v>0</v>
      </c>
      <c r="DC335" s="56">
        <v>0</v>
      </c>
      <c r="DD335" s="56">
        <v>0</v>
      </c>
      <c r="DE335" s="56">
        <v>0</v>
      </c>
      <c r="DF335" s="56">
        <v>0</v>
      </c>
      <c r="DG335" s="56">
        <v>0</v>
      </c>
      <c r="DH335" s="56">
        <v>0</v>
      </c>
      <c r="DI335" s="56">
        <v>0</v>
      </c>
      <c r="DJ335" s="56">
        <v>0</v>
      </c>
      <c r="DK335" s="56">
        <v>0</v>
      </c>
      <c r="DL335" s="56">
        <v>0</v>
      </c>
      <c r="DM335" s="56">
        <v>0</v>
      </c>
      <c r="DN335" s="56">
        <v>0</v>
      </c>
      <c r="DO335" s="56">
        <v>0</v>
      </c>
      <c r="DP335" s="56">
        <v>0</v>
      </c>
      <c r="DQ335" s="56">
        <v>0</v>
      </c>
      <c r="DR335" s="56">
        <v>0</v>
      </c>
      <c r="DS335" s="56">
        <v>0</v>
      </c>
      <c r="DT335" s="56">
        <v>0</v>
      </c>
      <c r="DU335" s="56">
        <v>0</v>
      </c>
      <c r="DV335" s="56">
        <v>0</v>
      </c>
      <c r="DW335" s="56">
        <v>0</v>
      </c>
      <c r="DX335" s="56">
        <v>0</v>
      </c>
      <c r="DY335" s="56">
        <v>0</v>
      </c>
      <c r="DZ335" s="56">
        <v>0</v>
      </c>
      <c r="EA335" s="56">
        <v>0</v>
      </c>
      <c r="EB335" s="56">
        <v>0</v>
      </c>
      <c r="EC335" s="56">
        <v>87.85</v>
      </c>
      <c r="ED335" s="56">
        <v>0</v>
      </c>
      <c r="EE335" s="56">
        <v>0</v>
      </c>
      <c r="EF335" s="56">
        <v>0</v>
      </c>
      <c r="EG335" s="56">
        <v>0</v>
      </c>
      <c r="EH335" s="56">
        <v>87.85</v>
      </c>
      <c r="EI335" s="56">
        <v>0</v>
      </c>
      <c r="EJ335" s="56">
        <v>0</v>
      </c>
      <c r="EK335" s="56">
        <v>0</v>
      </c>
      <c r="EL335" s="56">
        <v>0</v>
      </c>
      <c r="EM335" s="56">
        <v>0</v>
      </c>
      <c r="EN335" s="56">
        <v>0</v>
      </c>
      <c r="EO335" s="56">
        <v>0</v>
      </c>
      <c r="EP335" s="56">
        <v>0</v>
      </c>
      <c r="EQ335" s="56">
        <v>0</v>
      </c>
      <c r="ER335" s="56">
        <v>0</v>
      </c>
      <c r="ES335" s="56">
        <v>0</v>
      </c>
      <c r="ET335" s="56">
        <v>0</v>
      </c>
      <c r="EU335" s="56">
        <v>0</v>
      </c>
      <c r="EV335" s="56">
        <v>0</v>
      </c>
      <c r="EW335" s="56">
        <v>0</v>
      </c>
      <c r="EX335" s="56">
        <v>0</v>
      </c>
      <c r="EY335" s="56">
        <v>0</v>
      </c>
      <c r="EZ335" s="56">
        <v>0</v>
      </c>
      <c r="FA335" s="56">
        <v>0</v>
      </c>
      <c r="FB335" s="56">
        <v>0</v>
      </c>
      <c r="FC335" s="58">
        <v>0</v>
      </c>
      <c r="FD335" s="56">
        <v>0</v>
      </c>
      <c r="FE335" s="56">
        <v>0</v>
      </c>
      <c r="FF335" s="56">
        <v>0</v>
      </c>
      <c r="FG335" s="56">
        <v>0</v>
      </c>
      <c r="FH335" s="56">
        <v>0</v>
      </c>
      <c r="FI335" s="56">
        <v>0</v>
      </c>
      <c r="FJ335" s="56">
        <v>0</v>
      </c>
      <c r="FK335" s="56">
        <v>0</v>
      </c>
      <c r="FL335" s="56">
        <v>0</v>
      </c>
      <c r="FM335" s="56">
        <v>0</v>
      </c>
      <c r="FN335" s="56">
        <v>0</v>
      </c>
      <c r="FO335" s="56">
        <v>0</v>
      </c>
      <c r="FP335" s="56">
        <v>0</v>
      </c>
      <c r="FQ335" s="56">
        <v>0</v>
      </c>
      <c r="FR335" s="56">
        <v>0</v>
      </c>
      <c r="FS335" s="58">
        <v>0</v>
      </c>
      <c r="FT335" s="56">
        <v>0</v>
      </c>
      <c r="FU335" s="56">
        <v>0</v>
      </c>
      <c r="FV335" s="56">
        <v>0</v>
      </c>
      <c r="FW335" s="56">
        <v>0</v>
      </c>
      <c r="FX335" s="56">
        <v>0</v>
      </c>
      <c r="FY335" s="56">
        <v>0</v>
      </c>
      <c r="FZ335" s="54" t="s">
        <v>1070</v>
      </c>
      <c r="GA335" s="54" t="s">
        <v>1071</v>
      </c>
      <c r="GB335" s="54" t="s">
        <v>1311</v>
      </c>
      <c r="GC335" s="54" t="s">
        <v>1323</v>
      </c>
      <c r="GD335" s="54" t="s">
        <v>1232</v>
      </c>
      <c r="GE335" s="54" t="s">
        <v>1201</v>
      </c>
      <c r="GF335" s="54"/>
      <c r="GG335" s="55"/>
      <c r="GH335" s="54"/>
      <c r="GI335" s="54" t="s">
        <v>1329</v>
      </c>
      <c r="GJ335" s="54"/>
      <c r="GK335" s="54" t="s">
        <v>1077</v>
      </c>
      <c r="GL335" s="54"/>
      <c r="GM335" s="54"/>
      <c r="GN335" s="54" t="s">
        <v>1208</v>
      </c>
      <c r="GO335" s="54" t="s">
        <v>1209</v>
      </c>
      <c r="GP335" s="54" t="s">
        <v>1326</v>
      </c>
      <c r="GQ335" s="56">
        <v>0</v>
      </c>
      <c r="GR335" s="54"/>
      <c r="GS335" s="54"/>
    </row>
    <row r="336" spans="1:201" x14ac:dyDescent="0.25">
      <c r="A336" s="54" t="s">
        <v>1032</v>
      </c>
      <c r="B336" s="54" t="s">
        <v>1033</v>
      </c>
      <c r="C336" s="54" t="s">
        <v>1327</v>
      </c>
      <c r="D336" s="54" t="s">
        <v>1311</v>
      </c>
      <c r="E336" s="54" t="s">
        <v>1312</v>
      </c>
      <c r="F336" s="55">
        <v>46179</v>
      </c>
      <c r="G336" s="55">
        <v>46179</v>
      </c>
      <c r="H336" s="54" t="s">
        <v>1313</v>
      </c>
      <c r="I336" s="54" t="s">
        <v>1314</v>
      </c>
      <c r="J336" s="54" t="s">
        <v>1039</v>
      </c>
      <c r="K336" s="55"/>
      <c r="L336" s="54" t="s">
        <v>1315</v>
      </c>
      <c r="M336" s="54"/>
      <c r="N336" s="54" t="s">
        <v>1328</v>
      </c>
      <c r="O336" s="54" t="s">
        <v>1113</v>
      </c>
      <c r="P336" s="54" t="s">
        <v>581</v>
      </c>
      <c r="Q336" s="54" t="s">
        <v>588</v>
      </c>
      <c r="R336" s="54" t="s">
        <v>1043</v>
      </c>
      <c r="S336" s="56">
        <v>13290</v>
      </c>
      <c r="T336" s="56">
        <v>0</v>
      </c>
      <c r="U336" s="56">
        <v>13290</v>
      </c>
      <c r="V336" s="56">
        <v>0</v>
      </c>
      <c r="W336" s="56">
        <v>0</v>
      </c>
      <c r="X336" s="56">
        <v>0</v>
      </c>
      <c r="Y336" s="56">
        <v>0</v>
      </c>
      <c r="Z336" s="56">
        <v>3000</v>
      </c>
      <c r="AA336" s="56">
        <v>0</v>
      </c>
      <c r="AB336" s="59">
        <v>3000</v>
      </c>
      <c r="AC336" s="56">
        <v>0</v>
      </c>
      <c r="AD336" s="56">
        <v>0</v>
      </c>
      <c r="AE336" s="56">
        <v>0</v>
      </c>
      <c r="AF336" s="54" t="s">
        <v>1317</v>
      </c>
      <c r="AG336" s="57"/>
      <c r="AH336" s="54"/>
      <c r="AI336" s="54"/>
      <c r="AJ336" s="54"/>
      <c r="AK336" s="54"/>
      <c r="AL336" s="54"/>
      <c r="AM336" s="54"/>
      <c r="AN336" s="54" t="s">
        <v>1318</v>
      </c>
      <c r="AO336" s="54" t="s">
        <v>1319</v>
      </c>
      <c r="AP336" s="54"/>
      <c r="AQ336" s="54"/>
      <c r="AR336" s="54" t="s">
        <v>1045</v>
      </c>
      <c r="AS336" s="54" t="s">
        <v>1046</v>
      </c>
      <c r="AT336" s="54" t="s">
        <v>1047</v>
      </c>
      <c r="AU336" s="54" t="s">
        <v>1320</v>
      </c>
      <c r="AV336" s="54"/>
      <c r="AW336" s="55"/>
      <c r="AX336" s="55"/>
      <c r="AY336" s="55">
        <v>46179</v>
      </c>
      <c r="AZ336" s="55"/>
      <c r="BA336" s="55"/>
      <c r="BB336" s="56">
        <v>0</v>
      </c>
      <c r="BC336" s="56">
        <v>0</v>
      </c>
      <c r="BD336" s="56">
        <v>0</v>
      </c>
      <c r="BE336" s="56">
        <v>0</v>
      </c>
      <c r="BF336" s="56">
        <v>0</v>
      </c>
      <c r="BG336" s="56">
        <v>0</v>
      </c>
      <c r="BH336" s="56">
        <v>0</v>
      </c>
      <c r="BI336" s="56">
        <v>0</v>
      </c>
      <c r="BJ336" s="56">
        <v>0</v>
      </c>
      <c r="BK336" s="56">
        <v>0</v>
      </c>
      <c r="BL336" s="56">
        <v>0</v>
      </c>
      <c r="BM336" s="56">
        <v>0</v>
      </c>
      <c r="BN336" s="56">
        <v>0</v>
      </c>
      <c r="BO336" s="56">
        <v>0</v>
      </c>
      <c r="BP336" s="54" t="s">
        <v>1049</v>
      </c>
      <c r="BQ336" s="54" t="s">
        <v>1050</v>
      </c>
      <c r="BR336" s="54" t="s">
        <v>1049</v>
      </c>
      <c r="BS336" s="54" t="s">
        <v>1050</v>
      </c>
      <c r="BT336" s="54" t="s">
        <v>1051</v>
      </c>
      <c r="BU336" s="54" t="s">
        <v>1043</v>
      </c>
      <c r="BV336" s="58">
        <v>0</v>
      </c>
      <c r="BW336" s="54" t="s">
        <v>1052</v>
      </c>
      <c r="BX336" s="54" t="s">
        <v>1053</v>
      </c>
      <c r="BY336" s="54" t="s">
        <v>1054</v>
      </c>
      <c r="BZ336" s="54" t="s">
        <v>1055</v>
      </c>
      <c r="CA336" s="55"/>
      <c r="CB336" s="54" t="s">
        <v>1056</v>
      </c>
      <c r="CC336" s="54" t="s">
        <v>1057</v>
      </c>
      <c r="CD336" s="54" t="s">
        <v>1200</v>
      </c>
      <c r="CE336" s="54" t="s">
        <v>1201</v>
      </c>
      <c r="CF336" s="54" t="s">
        <v>1202</v>
      </c>
      <c r="CG336" s="54" t="s">
        <v>1203</v>
      </c>
      <c r="CH336" s="54" t="s">
        <v>1204</v>
      </c>
      <c r="CI336" s="54" t="s">
        <v>1203</v>
      </c>
      <c r="CJ336" s="54" t="s">
        <v>1064</v>
      </c>
      <c r="CK336" s="54" t="s">
        <v>1065</v>
      </c>
      <c r="CL336" s="54" t="s">
        <v>1205</v>
      </c>
      <c r="CM336" s="54" t="s">
        <v>1206</v>
      </c>
      <c r="CN336" s="54" t="s">
        <v>1321</v>
      </c>
      <c r="CO336" s="54" t="s">
        <v>1322</v>
      </c>
      <c r="CP336" s="56">
        <v>0</v>
      </c>
      <c r="CQ336" s="56">
        <v>0</v>
      </c>
      <c r="CR336" s="56">
        <v>0</v>
      </c>
      <c r="CS336" s="56">
        <v>0</v>
      </c>
      <c r="CT336" s="56">
        <v>0</v>
      </c>
      <c r="CU336" s="56">
        <v>0</v>
      </c>
      <c r="CV336" s="56">
        <v>0</v>
      </c>
      <c r="CW336" s="56">
        <v>0</v>
      </c>
      <c r="CX336" s="56">
        <v>0</v>
      </c>
      <c r="CY336" s="56">
        <v>0</v>
      </c>
      <c r="CZ336" s="56">
        <v>0</v>
      </c>
      <c r="DA336" s="56">
        <v>0</v>
      </c>
      <c r="DB336" s="56">
        <v>0</v>
      </c>
      <c r="DC336" s="56">
        <v>0</v>
      </c>
      <c r="DD336" s="56">
        <v>0</v>
      </c>
      <c r="DE336" s="56">
        <v>0</v>
      </c>
      <c r="DF336" s="56">
        <v>0</v>
      </c>
      <c r="DG336" s="56">
        <v>0</v>
      </c>
      <c r="DH336" s="56">
        <v>0</v>
      </c>
      <c r="DI336" s="56">
        <v>0</v>
      </c>
      <c r="DJ336" s="56">
        <v>0</v>
      </c>
      <c r="DK336" s="56">
        <v>0</v>
      </c>
      <c r="DL336" s="56">
        <v>0</v>
      </c>
      <c r="DM336" s="56">
        <v>0</v>
      </c>
      <c r="DN336" s="56">
        <v>0</v>
      </c>
      <c r="DO336" s="56">
        <v>0</v>
      </c>
      <c r="DP336" s="56">
        <v>0</v>
      </c>
      <c r="DQ336" s="56">
        <v>0</v>
      </c>
      <c r="DR336" s="56">
        <v>0</v>
      </c>
      <c r="DS336" s="56">
        <v>0</v>
      </c>
      <c r="DT336" s="56">
        <v>0</v>
      </c>
      <c r="DU336" s="56">
        <v>0</v>
      </c>
      <c r="DV336" s="56">
        <v>0</v>
      </c>
      <c r="DW336" s="56">
        <v>0</v>
      </c>
      <c r="DX336" s="56">
        <v>0</v>
      </c>
      <c r="DY336" s="56">
        <v>0</v>
      </c>
      <c r="DZ336" s="56">
        <v>0</v>
      </c>
      <c r="EA336" s="56">
        <v>0</v>
      </c>
      <c r="EB336" s="56">
        <v>0</v>
      </c>
      <c r="EC336" s="56">
        <v>1594.8</v>
      </c>
      <c r="ED336" s="56">
        <v>0</v>
      </c>
      <c r="EE336" s="56">
        <v>0</v>
      </c>
      <c r="EF336" s="56">
        <v>0</v>
      </c>
      <c r="EG336" s="56">
        <v>0</v>
      </c>
      <c r="EH336" s="56">
        <v>1594.8</v>
      </c>
      <c r="EI336" s="56">
        <v>0</v>
      </c>
      <c r="EJ336" s="56">
        <v>0</v>
      </c>
      <c r="EK336" s="56">
        <v>0</v>
      </c>
      <c r="EL336" s="56">
        <v>0</v>
      </c>
      <c r="EM336" s="56">
        <v>0</v>
      </c>
      <c r="EN336" s="56">
        <v>0</v>
      </c>
      <c r="EO336" s="56">
        <v>0</v>
      </c>
      <c r="EP336" s="56">
        <v>0</v>
      </c>
      <c r="EQ336" s="56">
        <v>0</v>
      </c>
      <c r="ER336" s="56">
        <v>0</v>
      </c>
      <c r="ES336" s="56">
        <v>0</v>
      </c>
      <c r="ET336" s="56">
        <v>0</v>
      </c>
      <c r="EU336" s="56">
        <v>0</v>
      </c>
      <c r="EV336" s="56">
        <v>0</v>
      </c>
      <c r="EW336" s="56">
        <v>0</v>
      </c>
      <c r="EX336" s="56">
        <v>0</v>
      </c>
      <c r="EY336" s="56">
        <v>0</v>
      </c>
      <c r="EZ336" s="56">
        <v>0</v>
      </c>
      <c r="FA336" s="56">
        <v>0</v>
      </c>
      <c r="FB336" s="56">
        <v>0</v>
      </c>
      <c r="FC336" s="58">
        <v>0</v>
      </c>
      <c r="FD336" s="56">
        <v>0</v>
      </c>
      <c r="FE336" s="56">
        <v>0</v>
      </c>
      <c r="FF336" s="56">
        <v>0</v>
      </c>
      <c r="FG336" s="56">
        <v>0</v>
      </c>
      <c r="FH336" s="56">
        <v>0</v>
      </c>
      <c r="FI336" s="56">
        <v>0</v>
      </c>
      <c r="FJ336" s="56">
        <v>0</v>
      </c>
      <c r="FK336" s="56">
        <v>0</v>
      </c>
      <c r="FL336" s="56">
        <v>0</v>
      </c>
      <c r="FM336" s="56">
        <v>0</v>
      </c>
      <c r="FN336" s="56">
        <v>0</v>
      </c>
      <c r="FO336" s="56">
        <v>0</v>
      </c>
      <c r="FP336" s="56">
        <v>0</v>
      </c>
      <c r="FQ336" s="56">
        <v>0</v>
      </c>
      <c r="FR336" s="56">
        <v>0</v>
      </c>
      <c r="FS336" s="58">
        <v>0</v>
      </c>
      <c r="FT336" s="56">
        <v>0</v>
      </c>
      <c r="FU336" s="56">
        <v>0</v>
      </c>
      <c r="FV336" s="56">
        <v>0</v>
      </c>
      <c r="FW336" s="56">
        <v>0</v>
      </c>
      <c r="FX336" s="56">
        <v>0</v>
      </c>
      <c r="FY336" s="56">
        <v>0</v>
      </c>
      <c r="FZ336" s="54" t="s">
        <v>1070</v>
      </c>
      <c r="GA336" s="54" t="s">
        <v>1071</v>
      </c>
      <c r="GB336" s="54" t="s">
        <v>1311</v>
      </c>
      <c r="GC336" s="54" t="s">
        <v>1323</v>
      </c>
      <c r="GD336" s="54"/>
      <c r="GE336" s="54"/>
      <c r="GF336" s="54"/>
      <c r="GG336" s="55"/>
      <c r="GH336" s="54"/>
      <c r="GI336" s="54" t="s">
        <v>1329</v>
      </c>
      <c r="GJ336" s="54"/>
      <c r="GK336" s="54" t="s">
        <v>1077</v>
      </c>
      <c r="GL336" s="54"/>
      <c r="GM336" s="54"/>
      <c r="GN336" s="54" t="s">
        <v>1208</v>
      </c>
      <c r="GO336" s="54" t="s">
        <v>1209</v>
      </c>
      <c r="GP336" s="54" t="s">
        <v>1326</v>
      </c>
      <c r="GQ336" s="56">
        <v>0</v>
      </c>
      <c r="GR336" s="54"/>
      <c r="GS336" s="54"/>
    </row>
    <row r="337" spans="1:201" x14ac:dyDescent="0.25">
      <c r="A337" s="54" t="s">
        <v>1032</v>
      </c>
      <c r="B337" s="54" t="s">
        <v>1033</v>
      </c>
      <c r="C337" s="54" t="s">
        <v>1327</v>
      </c>
      <c r="D337" s="54" t="s">
        <v>1311</v>
      </c>
      <c r="E337" s="54" t="s">
        <v>1312</v>
      </c>
      <c r="F337" s="55">
        <v>46179</v>
      </c>
      <c r="G337" s="55">
        <v>46179</v>
      </c>
      <c r="H337" s="54" t="s">
        <v>1313</v>
      </c>
      <c r="I337" s="54" t="s">
        <v>1314</v>
      </c>
      <c r="J337" s="54" t="s">
        <v>1039</v>
      </c>
      <c r="K337" s="55"/>
      <c r="L337" s="54" t="s">
        <v>1315</v>
      </c>
      <c r="M337" s="54"/>
      <c r="N337" s="54" t="s">
        <v>1328</v>
      </c>
      <c r="O337" s="54" t="s">
        <v>1114</v>
      </c>
      <c r="P337" s="54" t="s">
        <v>802</v>
      </c>
      <c r="Q337" s="54" t="s">
        <v>804</v>
      </c>
      <c r="R337" s="54" t="s">
        <v>1043</v>
      </c>
      <c r="S337" s="56">
        <v>1664.88</v>
      </c>
      <c r="T337" s="56">
        <v>0</v>
      </c>
      <c r="U337" s="56">
        <v>1664.88</v>
      </c>
      <c r="V337" s="56">
        <v>0</v>
      </c>
      <c r="W337" s="56">
        <v>0</v>
      </c>
      <c r="X337" s="56">
        <v>0</v>
      </c>
      <c r="Y337" s="56">
        <v>0</v>
      </c>
      <c r="Z337" s="56">
        <v>168</v>
      </c>
      <c r="AA337" s="56">
        <v>0</v>
      </c>
      <c r="AB337" s="59">
        <v>168</v>
      </c>
      <c r="AC337" s="56">
        <v>0</v>
      </c>
      <c r="AD337" s="56">
        <v>0</v>
      </c>
      <c r="AE337" s="56">
        <v>0</v>
      </c>
      <c r="AF337" s="54" t="s">
        <v>1317</v>
      </c>
      <c r="AG337" s="57"/>
      <c r="AH337" s="54"/>
      <c r="AI337" s="54"/>
      <c r="AJ337" s="54"/>
      <c r="AK337" s="54"/>
      <c r="AL337" s="54"/>
      <c r="AM337" s="54"/>
      <c r="AN337" s="54" t="s">
        <v>1318</v>
      </c>
      <c r="AO337" s="54" t="s">
        <v>1319</v>
      </c>
      <c r="AP337" s="54"/>
      <c r="AQ337" s="54"/>
      <c r="AR337" s="54" t="s">
        <v>1045</v>
      </c>
      <c r="AS337" s="54" t="s">
        <v>1103</v>
      </c>
      <c r="AT337" s="54" t="s">
        <v>1104</v>
      </c>
      <c r="AU337" s="54" t="s">
        <v>1320</v>
      </c>
      <c r="AV337" s="54"/>
      <c r="AW337" s="55"/>
      <c r="AX337" s="55"/>
      <c r="AY337" s="55">
        <v>46179</v>
      </c>
      <c r="AZ337" s="55"/>
      <c r="BA337" s="55"/>
      <c r="BB337" s="56">
        <v>0</v>
      </c>
      <c r="BC337" s="56">
        <v>0</v>
      </c>
      <c r="BD337" s="56">
        <v>0</v>
      </c>
      <c r="BE337" s="56">
        <v>0</v>
      </c>
      <c r="BF337" s="56">
        <v>0</v>
      </c>
      <c r="BG337" s="56">
        <v>0</v>
      </c>
      <c r="BH337" s="56">
        <v>0</v>
      </c>
      <c r="BI337" s="56">
        <v>0</v>
      </c>
      <c r="BJ337" s="56">
        <v>0</v>
      </c>
      <c r="BK337" s="56">
        <v>0</v>
      </c>
      <c r="BL337" s="56">
        <v>0</v>
      </c>
      <c r="BM337" s="56">
        <v>0</v>
      </c>
      <c r="BN337" s="56">
        <v>0</v>
      </c>
      <c r="BO337" s="56">
        <v>0</v>
      </c>
      <c r="BP337" s="54" t="s">
        <v>1049</v>
      </c>
      <c r="BQ337" s="54" t="s">
        <v>1050</v>
      </c>
      <c r="BR337" s="54" t="s">
        <v>1049</v>
      </c>
      <c r="BS337" s="54" t="s">
        <v>1050</v>
      </c>
      <c r="BT337" s="54" t="s">
        <v>1051</v>
      </c>
      <c r="BU337" s="54" t="s">
        <v>1043</v>
      </c>
      <c r="BV337" s="58">
        <v>0</v>
      </c>
      <c r="BW337" s="54" t="s">
        <v>1052</v>
      </c>
      <c r="BX337" s="54" t="s">
        <v>1053</v>
      </c>
      <c r="BY337" s="54" t="s">
        <v>1054</v>
      </c>
      <c r="BZ337" s="54" t="s">
        <v>1055</v>
      </c>
      <c r="CA337" s="55"/>
      <c r="CB337" s="54" t="s">
        <v>1056</v>
      </c>
      <c r="CC337" s="54" t="s">
        <v>1057</v>
      </c>
      <c r="CD337" s="54" t="s">
        <v>1200</v>
      </c>
      <c r="CE337" s="54" t="s">
        <v>1201</v>
      </c>
      <c r="CF337" s="54" t="s">
        <v>1202</v>
      </c>
      <c r="CG337" s="54" t="s">
        <v>1203</v>
      </c>
      <c r="CH337" s="54" t="s">
        <v>1204</v>
      </c>
      <c r="CI337" s="54" t="s">
        <v>1203</v>
      </c>
      <c r="CJ337" s="54" t="s">
        <v>1064</v>
      </c>
      <c r="CK337" s="54" t="s">
        <v>1065</v>
      </c>
      <c r="CL337" s="54" t="s">
        <v>1205</v>
      </c>
      <c r="CM337" s="54" t="s">
        <v>1206</v>
      </c>
      <c r="CN337" s="54" t="s">
        <v>1321</v>
      </c>
      <c r="CO337" s="54" t="s">
        <v>1322</v>
      </c>
      <c r="CP337" s="56">
        <v>0</v>
      </c>
      <c r="CQ337" s="56">
        <v>0</v>
      </c>
      <c r="CR337" s="56">
        <v>0</v>
      </c>
      <c r="CS337" s="56">
        <v>0</v>
      </c>
      <c r="CT337" s="56">
        <v>0</v>
      </c>
      <c r="CU337" s="56">
        <v>0</v>
      </c>
      <c r="CV337" s="56">
        <v>0</v>
      </c>
      <c r="CW337" s="56">
        <v>0</v>
      </c>
      <c r="CX337" s="56">
        <v>0</v>
      </c>
      <c r="CY337" s="56">
        <v>0</v>
      </c>
      <c r="CZ337" s="56">
        <v>0</v>
      </c>
      <c r="DA337" s="56">
        <v>0</v>
      </c>
      <c r="DB337" s="56">
        <v>0</v>
      </c>
      <c r="DC337" s="56">
        <v>0</v>
      </c>
      <c r="DD337" s="56">
        <v>0</v>
      </c>
      <c r="DE337" s="56">
        <v>0</v>
      </c>
      <c r="DF337" s="56">
        <v>0</v>
      </c>
      <c r="DG337" s="56">
        <v>0</v>
      </c>
      <c r="DH337" s="56">
        <v>0</v>
      </c>
      <c r="DI337" s="56">
        <v>0</v>
      </c>
      <c r="DJ337" s="56">
        <v>0</v>
      </c>
      <c r="DK337" s="56">
        <v>0</v>
      </c>
      <c r="DL337" s="56">
        <v>0</v>
      </c>
      <c r="DM337" s="56">
        <v>0</v>
      </c>
      <c r="DN337" s="56">
        <v>0</v>
      </c>
      <c r="DO337" s="56">
        <v>0</v>
      </c>
      <c r="DP337" s="56">
        <v>0</v>
      </c>
      <c r="DQ337" s="56">
        <v>0</v>
      </c>
      <c r="DR337" s="56">
        <v>0</v>
      </c>
      <c r="DS337" s="56">
        <v>0</v>
      </c>
      <c r="DT337" s="56">
        <v>0</v>
      </c>
      <c r="DU337" s="56">
        <v>0</v>
      </c>
      <c r="DV337" s="56">
        <v>0</v>
      </c>
      <c r="DW337" s="56">
        <v>0</v>
      </c>
      <c r="DX337" s="56">
        <v>0</v>
      </c>
      <c r="DY337" s="56">
        <v>0</v>
      </c>
      <c r="DZ337" s="56">
        <v>0</v>
      </c>
      <c r="EA337" s="56">
        <v>0</v>
      </c>
      <c r="EB337" s="56">
        <v>101.05</v>
      </c>
      <c r="EC337" s="56">
        <v>199.79</v>
      </c>
      <c r="ED337" s="56">
        <v>0</v>
      </c>
      <c r="EE337" s="56">
        <v>0</v>
      </c>
      <c r="EF337" s="56">
        <v>101.05</v>
      </c>
      <c r="EG337" s="56">
        <v>21.94</v>
      </c>
      <c r="EH337" s="56">
        <v>199.79</v>
      </c>
      <c r="EI337" s="56">
        <v>0</v>
      </c>
      <c r="EJ337" s="56">
        <v>0</v>
      </c>
      <c r="EK337" s="56">
        <v>0</v>
      </c>
      <c r="EL337" s="56">
        <v>0</v>
      </c>
      <c r="EM337" s="56">
        <v>0</v>
      </c>
      <c r="EN337" s="56">
        <v>0</v>
      </c>
      <c r="EO337" s="56">
        <v>0</v>
      </c>
      <c r="EP337" s="56">
        <v>0</v>
      </c>
      <c r="EQ337" s="56">
        <v>0</v>
      </c>
      <c r="ER337" s="56">
        <v>0</v>
      </c>
      <c r="ES337" s="56">
        <v>0</v>
      </c>
      <c r="ET337" s="56">
        <v>0</v>
      </c>
      <c r="EU337" s="56">
        <v>0</v>
      </c>
      <c r="EV337" s="56">
        <v>0</v>
      </c>
      <c r="EW337" s="56">
        <v>0</v>
      </c>
      <c r="EX337" s="56">
        <v>0</v>
      </c>
      <c r="EY337" s="56">
        <v>0</v>
      </c>
      <c r="EZ337" s="56">
        <v>0</v>
      </c>
      <c r="FA337" s="56">
        <v>0</v>
      </c>
      <c r="FB337" s="56">
        <v>0</v>
      </c>
      <c r="FC337" s="58">
        <v>0</v>
      </c>
      <c r="FD337" s="56">
        <v>0</v>
      </c>
      <c r="FE337" s="56">
        <v>0</v>
      </c>
      <c r="FF337" s="56">
        <v>0</v>
      </c>
      <c r="FG337" s="56">
        <v>0</v>
      </c>
      <c r="FH337" s="56">
        <v>0</v>
      </c>
      <c r="FI337" s="56">
        <v>0</v>
      </c>
      <c r="FJ337" s="56">
        <v>0</v>
      </c>
      <c r="FK337" s="56">
        <v>0</v>
      </c>
      <c r="FL337" s="56">
        <v>0</v>
      </c>
      <c r="FM337" s="56">
        <v>0</v>
      </c>
      <c r="FN337" s="56">
        <v>0</v>
      </c>
      <c r="FO337" s="56">
        <v>0</v>
      </c>
      <c r="FP337" s="56">
        <v>0</v>
      </c>
      <c r="FQ337" s="56">
        <v>0</v>
      </c>
      <c r="FR337" s="56">
        <v>0</v>
      </c>
      <c r="FS337" s="58">
        <v>0</v>
      </c>
      <c r="FT337" s="56">
        <v>0</v>
      </c>
      <c r="FU337" s="56">
        <v>0</v>
      </c>
      <c r="FV337" s="56">
        <v>0</v>
      </c>
      <c r="FW337" s="56">
        <v>0</v>
      </c>
      <c r="FX337" s="56">
        <v>0</v>
      </c>
      <c r="FY337" s="56">
        <v>0</v>
      </c>
      <c r="FZ337" s="54" t="s">
        <v>1105</v>
      </c>
      <c r="GA337" s="54" t="s">
        <v>1106</v>
      </c>
      <c r="GB337" s="54" t="s">
        <v>1311</v>
      </c>
      <c r="GC337" s="54" t="s">
        <v>1323</v>
      </c>
      <c r="GD337" s="54"/>
      <c r="GE337" s="54"/>
      <c r="GF337" s="54"/>
      <c r="GG337" s="55"/>
      <c r="GH337" s="54"/>
      <c r="GI337" s="54" t="s">
        <v>1329</v>
      </c>
      <c r="GJ337" s="54"/>
      <c r="GK337" s="54" t="s">
        <v>1077</v>
      </c>
      <c r="GL337" s="54"/>
      <c r="GM337" s="54"/>
      <c r="GN337" s="54" t="s">
        <v>1208</v>
      </c>
      <c r="GO337" s="54" t="s">
        <v>1209</v>
      </c>
      <c r="GP337" s="54" t="s">
        <v>1326</v>
      </c>
      <c r="GQ337" s="56">
        <v>0</v>
      </c>
      <c r="GR337" s="54"/>
      <c r="GS337" s="54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5B9F52F567B44AA2DB833100019F87" ma:contentTypeVersion="8" ma:contentTypeDescription="Crie um novo documento." ma:contentTypeScope="" ma:versionID="d8b139bbf773e581e274ff6ec5f47f03">
  <xsd:schema xmlns:xsd="http://www.w3.org/2001/XMLSchema" xmlns:xs="http://www.w3.org/2001/XMLSchema" xmlns:p="http://schemas.microsoft.com/office/2006/metadata/properties" xmlns:ns3="2628264b-a769-4681-a8ca-a81af0b32b0f" targetNamespace="http://schemas.microsoft.com/office/2006/metadata/properties" ma:root="true" ma:fieldsID="99be2291a7956b2ae7cb41b3d2512d25" ns3:_="">
    <xsd:import namespace="2628264b-a769-4681-a8ca-a81af0b32b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8264b-a769-4681-a8ca-a81af0b32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81F076-C7A9-4F27-A379-5DC507F871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28264b-a769-4681-a8ca-a81af0b32b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CE1A92-BBF9-4C98-B5CC-C18230EAF231}">
  <ds:schemaRefs>
    <ds:schemaRef ds:uri="http://purl.org/dc/terms/"/>
    <ds:schemaRef ds:uri="2628264b-a769-4681-a8ca-a81af0b32b0f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B5A5E93-7308-4263-98BF-ADE7AA7332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POLITICA</vt:lpstr>
      <vt:lpstr>PENDENCIAS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Augusto Ferreira</dc:creator>
  <cp:lastModifiedBy>USER</cp:lastModifiedBy>
  <dcterms:created xsi:type="dcterms:W3CDTF">2020-06-04T14:52:35Z</dcterms:created>
  <dcterms:modified xsi:type="dcterms:W3CDTF">2026-07-09T20:10:02Z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0x010100A55B9F52F567B44AA2DB833100019F87</vt:lpwstr>
  </property>
</Properties>
</file>