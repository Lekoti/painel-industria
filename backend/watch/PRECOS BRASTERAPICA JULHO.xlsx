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ulabgrupo-my.sharepoint.com/personal/djouhanysacal_natulab_com_br/Documents/Área de Trabalho/"/>
    </mc:Choice>
  </mc:AlternateContent>
  <xr:revisionPtr revIDLastSave="0" documentId="8_{D74C82D4-1A05-4395-AD2F-D1E68D70C96A}" xr6:coauthVersionLast="47" xr6:coauthVersionMax="47" xr10:uidLastSave="{00000000-0000-0000-0000-000000000000}"/>
  <bookViews>
    <workbookView xWindow="-108" yWindow="-108" windowWidth="23256" windowHeight="12456" xr2:uid="{90AE11A3-E432-4282-B329-81D4B1A333F8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P5" i="1" l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" i="1"/>
  <c r="BP2" i="1" l="1"/>
</calcChain>
</file>

<file path=xl/sharedStrings.xml><?xml version="1.0" encoding="utf-8"?>
<sst xmlns="http://schemas.openxmlformats.org/spreadsheetml/2006/main" count="310" uniqueCount="179">
  <si>
    <t>LISTA DE PREÇO: Nº 012026 - Vigência: 01/07/2026</t>
  </si>
  <si>
    <t>LISTA DE PREÇO FABRICA E PREÇO MÁXIMO CONSUMIDOR</t>
  </si>
  <si>
    <t>ICMS 0%</t>
  </si>
  <si>
    <t>ICMS 12%</t>
  </si>
  <si>
    <t>ICMS 17%</t>
  </si>
  <si>
    <t>ICMS 17,5%</t>
  </si>
  <si>
    <t>ICMS 18%</t>
  </si>
  <si>
    <t>ICMS 19%</t>
  </si>
  <si>
    <t>ICMS 19,5%</t>
  </si>
  <si>
    <t>ICMS 20%</t>
  </si>
  <si>
    <t>ICMS 20,5%</t>
  </si>
  <si>
    <t>ICMS 21%</t>
  </si>
  <si>
    <t>ICMS 22%</t>
  </si>
  <si>
    <t>ICMS 22,5%</t>
  </si>
  <si>
    <t>ICMS 23%</t>
  </si>
  <si>
    <t>ICMS 12% ALC</t>
  </si>
  <si>
    <t>ICMS 17% ALC</t>
  </si>
  <si>
    <t>ICMS 17,5% ALC</t>
  </si>
  <si>
    <t>ICMS 18% ALC</t>
  </si>
  <si>
    <t>ICMS 19% ALC</t>
  </si>
  <si>
    <t>ICMS 19,5% ALC</t>
  </si>
  <si>
    <t>ICMS 20% ALC</t>
  </si>
  <si>
    <t>ICMS 20,5% ALC</t>
  </si>
  <si>
    <t>ICMS 21% ALC</t>
  </si>
  <si>
    <t>ICMS 22% ALC</t>
  </si>
  <si>
    <t>ICMS 22,5% ALC</t>
  </si>
  <si>
    <t>ICMS 23% ALC</t>
  </si>
  <si>
    <t>Empresa</t>
  </si>
  <si>
    <t>Canal</t>
  </si>
  <si>
    <t>EAN</t>
  </si>
  <si>
    <t>Código
SAP</t>
  </si>
  <si>
    <t>Descrição</t>
  </si>
  <si>
    <t>Status</t>
  </si>
  <si>
    <t>UN/CX</t>
  </si>
  <si>
    <t>DPB</t>
  </si>
  <si>
    <t>PRIME</t>
  </si>
  <si>
    <t>NACIONAL</t>
  </si>
  <si>
    <t>DPB REDES</t>
  </si>
  <si>
    <t>ESPECIAL</t>
  </si>
  <si>
    <t>PREÇO SUGERIDO</t>
  </si>
  <si>
    <t>PF</t>
  </si>
  <si>
    <t>PMC</t>
  </si>
  <si>
    <t>Lista PIS/COFINS</t>
  </si>
  <si>
    <t>Categoria de Grupo CMED</t>
  </si>
  <si>
    <t>Base</t>
  </si>
  <si>
    <t>BRASTERAPICA</t>
  </si>
  <si>
    <t>7898100243150</t>
  </si>
  <si>
    <t>01.0002.05</t>
  </si>
  <si>
    <t>AMBROL AD 30MG/5ML PET 100ML</t>
  </si>
  <si>
    <t>Negativa</t>
  </si>
  <si>
    <t>7898100243143</t>
  </si>
  <si>
    <t>01.0002.06</t>
  </si>
  <si>
    <t>AMBROL PED 15MG/5ML PET 100ML</t>
  </si>
  <si>
    <t>7898100241279</t>
  </si>
  <si>
    <t>01.0032.03</t>
  </si>
  <si>
    <t>CONAZOL 20MG/G CREME C/20G</t>
  </si>
  <si>
    <t>7898100244324</t>
  </si>
  <si>
    <t>01.0075.03</t>
  </si>
  <si>
    <t>DEFULL 10000 UI COMP REV C/04</t>
  </si>
  <si>
    <t>7898100244355</t>
  </si>
  <si>
    <t>01.0075.04</t>
  </si>
  <si>
    <t>DEFULL 10000 UI COMP REV C/12</t>
  </si>
  <si>
    <t>7898100244379</t>
  </si>
  <si>
    <t>01.0075.05</t>
  </si>
  <si>
    <t>DEFULL 50000 UI COMP REV C/04</t>
  </si>
  <si>
    <t>7898100244317</t>
  </si>
  <si>
    <t>01.0075.02</t>
  </si>
  <si>
    <t>DEFULL 7000 UI COMP REV C/30</t>
  </si>
  <si>
    <t>7898100245543</t>
  </si>
  <si>
    <t>01.0084.02</t>
  </si>
  <si>
    <t>GASTROMAG TABS (20 BL C/6)</t>
  </si>
  <si>
    <t/>
  </si>
  <si>
    <t>7898100242955</t>
  </si>
  <si>
    <t>01.0043.04</t>
  </si>
  <si>
    <t>GLICEL ADULTO 2,5 G SUP C/6</t>
  </si>
  <si>
    <t>7898100242948</t>
  </si>
  <si>
    <t>01.0043.05</t>
  </si>
  <si>
    <t>GLICEL LACTENTE 1,0 G SUP C/6</t>
  </si>
  <si>
    <t>7898100243808</t>
  </si>
  <si>
    <t>01.0043.06</t>
  </si>
  <si>
    <t>GLICEL PEDIATRICO 1,5G SUP C/6</t>
  </si>
  <si>
    <t>7898100245239</t>
  </si>
  <si>
    <t>01.0015.10</t>
  </si>
  <si>
    <t>GRIPALCE ACETIL XPE 100ML</t>
  </si>
  <si>
    <t>7898100242962</t>
  </si>
  <si>
    <t>01.0015.03</t>
  </si>
  <si>
    <t>GRIPALCE CAP (20BL C/10)</t>
  </si>
  <si>
    <t>7898100244447</t>
  </si>
  <si>
    <t>01.0015.06</t>
  </si>
  <si>
    <t>GRIPALCE CAP C/10</t>
  </si>
  <si>
    <t>7898100242900</t>
  </si>
  <si>
    <t>01.0015.04</t>
  </si>
  <si>
    <t>GRIPALCE CAP C/20</t>
  </si>
  <si>
    <t>7898100243921</t>
  </si>
  <si>
    <t>01.0065.01</t>
  </si>
  <si>
    <t>MALACAL COMP REV C/ 30</t>
  </si>
  <si>
    <t>7898100244478</t>
  </si>
  <si>
    <t>01.0065.03</t>
  </si>
  <si>
    <t>MALACAL MDK COMP REV C/30</t>
  </si>
  <si>
    <t>7898100244461</t>
  </si>
  <si>
    <t>01.0065.02</t>
  </si>
  <si>
    <t>MALACAL SPORT COMP REV C/30</t>
  </si>
  <si>
    <t>7898100244096</t>
  </si>
  <si>
    <t>01.0071.01</t>
  </si>
  <si>
    <t>MULTIVIT KIDS CEREJA SUP 240ML</t>
  </si>
  <si>
    <t>7898100244485</t>
  </si>
  <si>
    <t>01.0019.02</t>
  </si>
  <si>
    <t>PETIVIT BC XPE PET C/240ML</t>
  </si>
  <si>
    <t>7898100243112</t>
  </si>
  <si>
    <t>01.0074.01</t>
  </si>
  <si>
    <t>PHITOSS 7MG/ML XPE PET C/100ML</t>
  </si>
  <si>
    <t>7898100244669</t>
  </si>
  <si>
    <t>01.0074.03</t>
  </si>
  <si>
    <t>PHITOSS KIDS XPE PET C/100ML</t>
  </si>
  <si>
    <t>7898100245390</t>
  </si>
  <si>
    <t>01.0074.05</t>
  </si>
  <si>
    <t>PHITOSS PAST MAST LIMAO/MENTOL</t>
  </si>
  <si>
    <t>7898100245116</t>
  </si>
  <si>
    <t>01.0074.04</t>
  </si>
  <si>
    <t>PHITOSS SPRAY (12FR C/ 30ML)</t>
  </si>
  <si>
    <t>7898100242757</t>
  </si>
  <si>
    <t>01.0030.02</t>
  </si>
  <si>
    <t>SALICETIL 100MG COMP C/200</t>
  </si>
  <si>
    <t>7898100241897</t>
  </si>
  <si>
    <t>01.0030.01</t>
  </si>
  <si>
    <t>SALICETIL 100MG COMP C/500</t>
  </si>
  <si>
    <t>7898100244614</t>
  </si>
  <si>
    <t>01.0080.02</t>
  </si>
  <si>
    <t>SONIN MLT 0,21MG SPRAY C/30ML</t>
  </si>
  <si>
    <t>7898100241590</t>
  </si>
  <si>
    <t>01.0025.08</t>
  </si>
  <si>
    <t>TYFLEN 500MG COMP (20BL C/10)</t>
  </si>
  <si>
    <t>7898100241606</t>
  </si>
  <si>
    <t>01.0025.07</t>
  </si>
  <si>
    <t>TYFLEN 500MG COMP C/20</t>
  </si>
  <si>
    <t>7898100242870</t>
  </si>
  <si>
    <t>01.0025.09</t>
  </si>
  <si>
    <t>TYFLEN 750MG COMP (20BL C/10)</t>
  </si>
  <si>
    <t>7898100240791</t>
  </si>
  <si>
    <t>01.0025.03</t>
  </si>
  <si>
    <t>TYFLEN 750MG COMP (50BL C/4)</t>
  </si>
  <si>
    <t>7898100241583</t>
  </si>
  <si>
    <t>01.0025.06</t>
  </si>
  <si>
    <t>TYFLEN 750MG COMP C/20</t>
  </si>
  <si>
    <t>7898100242719</t>
  </si>
  <si>
    <t>01.0025.04</t>
  </si>
  <si>
    <t>TYFLEN BEBE 100MG/ML C/15ML</t>
  </si>
  <si>
    <t>7898100242726</t>
  </si>
  <si>
    <t>01.0025.05</t>
  </si>
  <si>
    <t>TYFLEN CRIAN 32MG/ML C/60ML</t>
  </si>
  <si>
    <t>7898100245444</t>
  </si>
  <si>
    <t>01.0015.15</t>
  </si>
  <si>
    <t>GRIPALCE FAST VIT C EFERV. C/ 10</t>
  </si>
  <si>
    <t>7898100245499</t>
  </si>
  <si>
    <t>01.0041.03</t>
  </si>
  <si>
    <t>SINDRAT AGUA DE COCO</t>
  </si>
  <si>
    <t>7898100245482</t>
  </si>
  <si>
    <t>01.0041.04</t>
  </si>
  <si>
    <t>SINDRAT UVA</t>
  </si>
  <si>
    <t>7898100245642</t>
  </si>
  <si>
    <t>01.0041.05</t>
  </si>
  <si>
    <t>SINDRAT LARANJA</t>
  </si>
  <si>
    <t>7898100245635</t>
  </si>
  <si>
    <t>01.0093.01</t>
  </si>
  <si>
    <t>MALACAL CREATINA</t>
  </si>
  <si>
    <t>7898100240777</t>
  </si>
  <si>
    <t>01.0025.10</t>
  </si>
  <si>
    <t>TYFLEN GOTAS</t>
  </si>
  <si>
    <t>7898100245352</t>
  </si>
  <si>
    <t>01.0015.11</t>
  </si>
  <si>
    <t>GRIPALCE FITO XPE</t>
  </si>
  <si>
    <t>7898100244393</t>
  </si>
  <si>
    <t>01.0075.06</t>
  </si>
  <si>
    <t>DEFULL 50000 UI COMP REV C/12</t>
  </si>
  <si>
    <t>7898100245406</t>
  </si>
  <si>
    <t>01.0015.12</t>
  </si>
  <si>
    <t>GRIPALCE FITO PAST MAST MELC15</t>
  </si>
  <si>
    <t xml:space="preserve">Quantidade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</si>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</sst>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_-;\-* #,##0.00000_-;_-* &quot;-&quot;??_-;_-@_-"/>
    <numFmt numFmtId="165" formatCode="_-* #,##0_-;\-* #,##0_-;_-* &quot;-&quot;??_-;_-@_-"/>
    <numFmt numFmtId="166" formatCode="0.00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theme="9"/>
      </patternFill>
    </fill>
    <fill>
      <patternFill patternType="solid">
        <fgColor theme="9" tint="0.79995117038483843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59996337778862885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59996337778862885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59996337778862885"/>
      </right>
      <top style="thin">
        <color theme="9" tint="0.39994506668294322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39994506668294322"/>
      </top>
      <bottom/>
      <diagonal/>
    </border>
    <border>
      <left style="thin">
        <color theme="9" tint="0.59996337778862885"/>
      </left>
      <right/>
      <top style="thin">
        <color theme="9" tint="0.39994506668294322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5999633777886288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3" applyFont="1" applyAlignment="1">
      <alignment vertical="center"/>
    </xf>
    <xf numFmtId="0" fontId="0" fillId="0" borderId="0" xfId="0" applyAlignment="1">
      <alignment horizontal="center"/>
    </xf>
    <xf numFmtId="9" fontId="0" fillId="0" borderId="0" xfId="2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 vertical="center"/>
    </xf>
    <xf numFmtId="164" fontId="2" fillId="2" borderId="1" xfId="1" applyNumberFormat="1" applyFont="1" applyFill="1" applyBorder="1" applyAlignment="1">
      <alignment horizontal="centerContinuous" vertical="center" wrapText="1"/>
    </xf>
    <xf numFmtId="164" fontId="2" fillId="2" borderId="2" xfId="1" applyNumberFormat="1" applyFont="1" applyFill="1" applyBorder="1" applyAlignment="1">
      <alignment horizontal="centerContinuous" vertical="center" wrapText="1"/>
    </xf>
    <xf numFmtId="164" fontId="2" fillId="2" borderId="3" xfId="1" applyNumberFormat="1" applyFont="1" applyFill="1" applyBorder="1" applyAlignment="1">
      <alignment horizontal="centerContinuous" vertical="center" wrapText="1"/>
    </xf>
    <xf numFmtId="164" fontId="2" fillId="2" borderId="3" xfId="4" applyNumberFormat="1" applyFont="1" applyFill="1" applyBorder="1" applyAlignment="1">
      <alignment horizontal="centerContinuous" vertical="center" wrapText="1"/>
    </xf>
    <xf numFmtId="164" fontId="2" fillId="2" borderId="2" xfId="4" applyNumberFormat="1" applyFont="1" applyFill="1" applyBorder="1" applyAlignment="1">
      <alignment horizontal="centerContinuous" vertical="center" wrapText="1"/>
    </xf>
    <xf numFmtId="164" fontId="2" fillId="2" borderId="4" xfId="4" applyNumberFormat="1" applyFont="1" applyFill="1" applyBorder="1" applyAlignment="1">
      <alignment horizontal="centerContinuous" vertical="center" wrapText="1"/>
    </xf>
    <xf numFmtId="164" fontId="2" fillId="2" borderId="5" xfId="1" applyNumberFormat="1" applyFont="1" applyFill="1" applyBorder="1" applyAlignment="1">
      <alignment horizontal="centerContinuous" vertical="center" wrapText="1"/>
    </xf>
    <xf numFmtId="164" fontId="2" fillId="2" borderId="4" xfId="1" applyNumberFormat="1" applyFont="1" applyFill="1" applyBorder="1" applyAlignment="1">
      <alignment horizontal="centerContinuous" vertical="center" wrapText="1"/>
    </xf>
    <xf numFmtId="164" fontId="2" fillId="2" borderId="0" xfId="1" applyNumberFormat="1" applyFont="1" applyFill="1" applyBorder="1" applyAlignment="1">
      <alignment horizontal="centerContinuous" vertical="center" wrapText="1"/>
    </xf>
    <xf numFmtId="0" fontId="7" fillId="0" borderId="0" xfId="0" applyFont="1"/>
    <xf numFmtId="17" fontId="2" fillId="2" borderId="6" xfId="0" applyNumberFormat="1" applyFont="1" applyFill="1" applyBorder="1" applyAlignment="1">
      <alignment horizontal="center" vertical="center" wrapText="1"/>
    </xf>
    <xf numFmtId="17" fontId="2" fillId="2" borderId="7" xfId="0" applyNumberFormat="1" applyFont="1" applyFill="1" applyBorder="1" applyAlignment="1">
      <alignment horizontal="center" vertical="center" wrapText="1"/>
    </xf>
    <xf numFmtId="165" fontId="2" fillId="2" borderId="7" xfId="1" applyNumberFormat="1" applyFont="1" applyFill="1" applyBorder="1" applyAlignment="1">
      <alignment horizontal="center" vertical="center" wrapText="1"/>
    </xf>
    <xf numFmtId="165" fontId="2" fillId="2" borderId="7" xfId="1" applyNumberFormat="1" applyFont="1" applyFill="1" applyBorder="1" applyAlignment="1">
      <alignment horizontal="center" vertic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3" fillId="2" borderId="7" xfId="4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" fontId="8" fillId="0" borderId="9" xfId="1" applyNumberFormat="1" applyFont="1" applyFill="1" applyBorder="1" applyAlignment="1">
      <alignment horizontal="center"/>
    </xf>
    <xf numFmtId="0" fontId="8" fillId="0" borderId="10" xfId="1" applyNumberFormat="1" applyFont="1" applyFill="1" applyBorder="1" applyAlignment="1">
      <alignment horizontal="center"/>
    </xf>
    <xf numFmtId="166" fontId="8" fillId="0" borderId="11" xfId="2" applyNumberFormat="1" applyFont="1" applyFill="1" applyBorder="1"/>
    <xf numFmtId="43" fontId="8" fillId="3" borderId="9" xfId="1" applyFont="1" applyFill="1" applyBorder="1"/>
    <xf numFmtId="43" fontId="8" fillId="0" borderId="9" xfId="1" applyFont="1" applyBorder="1"/>
    <xf numFmtId="0" fontId="8" fillId="0" borderId="9" xfId="0" applyFont="1" applyBorder="1" applyAlignment="1">
      <alignment horizontal="center"/>
    </xf>
    <xf numFmtId="0" fontId="8" fillId="0" borderId="10" xfId="4" applyNumberFormat="1" applyFont="1" applyFill="1" applyBorder="1" applyAlignment="1">
      <alignment horizontal="center"/>
    </xf>
    <xf numFmtId="166" fontId="8" fillId="0" borderId="11" xfId="5" applyNumberFormat="1" applyFont="1" applyFill="1" applyBorder="1"/>
    <xf numFmtId="164" fontId="3" fillId="2" borderId="12" xfId="1" applyNumberFormat="1" applyFont="1" applyFill="1" applyBorder="1" applyAlignment="1">
      <alignment horizontal="center" vertical="center" wrapText="1"/>
    </xf>
    <xf numFmtId="43" fontId="0" fillId="0" borderId="0" xfId="0" applyNumberFormat="1"/>
    <xf numFmtId="0" fontId="8" fillId="0" borderId="10" xfId="0" applyFont="1" applyBorder="1" applyAlignment="1">
      <alignment horizontal="center"/>
    </xf>
    <xf numFmtId="0" fontId="0" fillId="0" borderId="13" xfId="0" applyBorder="1"/>
    <xf numFmtId="43" fontId="0" fillId="0" borderId="13" xfId="0" applyNumberFormat="1" applyBorder="1"/>
  </cellXfs>
  <cellStyles count="6">
    <cellStyle name="Comma 2" xfId="4" xr:uid="{BFBA80FA-DA7D-448F-A751-A9A524451D03}"/>
    <cellStyle name="Normal" xfId="0" builtinId="0"/>
    <cellStyle name="Normal 3" xfId="3" xr:uid="{22DB4C6C-5AA5-420A-86DA-EAB382EFB8ED}"/>
    <cellStyle name="Percent 2" xfId="5" xr:uid="{B7D771B0-8BD4-46F7-899C-3C3588055139}"/>
    <cellStyle name="Porcentagem" xfId="2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96EE-E6A7-4635-959A-A93A2152B205}">
  <dimension ref="A1:BP46"/>
  <sheetViews>
    <sheetView tabSelected="1" workbookViewId="0">
      <selection activeCell="BR40" sqref="BR40"/>
    </sheetView>
  </sheetViews>
  <sheetFormatPr defaultColWidth="15" defaultRowHeight="14.4" x14ac:dyDescent="0.3"/>
  <cols>
    <col min="2" max="2" width="0" hidden="1" customWidth="1"/>
    <col min="9" max="17" width="0" hidden="1" customWidth="1"/>
    <col min="20" max="66" width="0" hidden="1" customWidth="1"/>
  </cols>
  <sheetData>
    <row r="1" spans="1:68" ht="18" x14ac:dyDescent="0.3">
      <c r="A1" s="1" t="s">
        <v>0</v>
      </c>
      <c r="F1" s="2"/>
      <c r="G1" s="2"/>
      <c r="H1" s="3"/>
      <c r="I1" s="3"/>
      <c r="J1" s="3"/>
      <c r="K1" s="3"/>
      <c r="L1" s="3"/>
      <c r="M1" s="4"/>
      <c r="N1" s="4" t="b">
        <v>1</v>
      </c>
      <c r="O1" s="4" t="b">
        <v>1</v>
      </c>
      <c r="P1" s="4" t="b">
        <v>1</v>
      </c>
      <c r="Q1" s="4" t="b">
        <v>1</v>
      </c>
      <c r="R1" s="4" t="b">
        <v>1</v>
      </c>
      <c r="S1" s="4" t="b">
        <v>1</v>
      </c>
      <c r="T1" s="4" t="b">
        <v>1</v>
      </c>
      <c r="U1" s="4" t="b">
        <v>1</v>
      </c>
      <c r="V1" s="4" t="b">
        <v>1</v>
      </c>
      <c r="W1" s="4" t="b">
        <v>1</v>
      </c>
      <c r="X1" s="4" t="b">
        <v>1</v>
      </c>
      <c r="Y1" s="4" t="b">
        <v>1</v>
      </c>
      <c r="Z1" s="4" t="b">
        <v>1</v>
      </c>
      <c r="AA1" s="4" t="b">
        <v>1</v>
      </c>
      <c r="AB1" s="4" t="b">
        <v>1</v>
      </c>
      <c r="AC1" s="4" t="b">
        <v>1</v>
      </c>
      <c r="AD1" s="4" t="b">
        <v>1</v>
      </c>
      <c r="AE1" s="4" t="b">
        <v>1</v>
      </c>
      <c r="AF1" s="4" t="b">
        <v>1</v>
      </c>
      <c r="AG1" s="4" t="b">
        <v>1</v>
      </c>
      <c r="AH1" s="4" t="b">
        <v>1</v>
      </c>
      <c r="AI1" s="4" t="b">
        <v>1</v>
      </c>
      <c r="AJ1" s="4" t="b">
        <v>1</v>
      </c>
      <c r="AK1" s="4" t="b">
        <v>1</v>
      </c>
      <c r="AL1" s="4" t="b">
        <v>1</v>
      </c>
      <c r="AM1" s="4" t="b">
        <v>1</v>
      </c>
      <c r="AN1" s="4" t="b">
        <v>1</v>
      </c>
      <c r="AO1" s="4" t="b">
        <v>1</v>
      </c>
      <c r="AP1" s="4" t="b">
        <v>1</v>
      </c>
      <c r="AQ1" s="4" t="b">
        <v>1</v>
      </c>
      <c r="AR1" s="4" t="b">
        <v>1</v>
      </c>
      <c r="AS1" s="4" t="b">
        <v>1</v>
      </c>
      <c r="AT1" s="4" t="b">
        <v>1</v>
      </c>
      <c r="AU1" s="4" t="b">
        <v>1</v>
      </c>
      <c r="AV1" s="4" t="b">
        <v>1</v>
      </c>
      <c r="AW1" s="4" t="b">
        <v>1</v>
      </c>
      <c r="AX1" s="4" t="b">
        <v>1</v>
      </c>
      <c r="AY1" s="4" t="b">
        <v>1</v>
      </c>
      <c r="AZ1" s="4" t="b">
        <v>1</v>
      </c>
      <c r="BA1" s="4" t="b">
        <v>1</v>
      </c>
      <c r="BB1" s="4" t="b">
        <v>1</v>
      </c>
      <c r="BC1" s="4" t="b">
        <v>1</v>
      </c>
      <c r="BD1" s="4" t="b">
        <v>1</v>
      </c>
      <c r="BE1" s="4" t="b">
        <v>1</v>
      </c>
      <c r="BF1" s="4" t="b">
        <v>1</v>
      </c>
      <c r="BG1" s="4" t="b">
        <v>1</v>
      </c>
      <c r="BH1" s="4" t="b">
        <v>1</v>
      </c>
      <c r="BI1" s="4" t="b">
        <v>1</v>
      </c>
      <c r="BJ1" s="4" t="b">
        <v>1</v>
      </c>
      <c r="BK1" s="4" t="b">
        <v>1</v>
      </c>
      <c r="BM1" s="5"/>
      <c r="BN1" s="5"/>
    </row>
    <row r="2" spans="1:68" ht="21" x14ac:dyDescent="0.3">
      <c r="A2" s="6" t="s">
        <v>1</v>
      </c>
      <c r="F2" s="2"/>
      <c r="G2" s="2"/>
      <c r="N2" s="7" t="s">
        <v>2</v>
      </c>
      <c r="O2" s="8"/>
      <c r="P2" s="7" t="s">
        <v>3</v>
      </c>
      <c r="Q2" s="8"/>
      <c r="R2" s="9" t="s">
        <v>4</v>
      </c>
      <c r="S2" s="8"/>
      <c r="T2" s="9" t="s">
        <v>5</v>
      </c>
      <c r="U2" s="8"/>
      <c r="V2" s="9" t="s">
        <v>6</v>
      </c>
      <c r="W2" s="8"/>
      <c r="X2" s="9" t="s">
        <v>7</v>
      </c>
      <c r="Y2" s="8"/>
      <c r="Z2" s="9" t="s">
        <v>8</v>
      </c>
      <c r="AA2" s="8"/>
      <c r="AB2" s="9" t="s">
        <v>9</v>
      </c>
      <c r="AC2" s="8"/>
      <c r="AD2" s="9" t="s">
        <v>10</v>
      </c>
      <c r="AE2" s="8"/>
      <c r="AF2" s="10" t="s">
        <v>11</v>
      </c>
      <c r="AG2" s="11"/>
      <c r="AH2" s="10" t="s">
        <v>12</v>
      </c>
      <c r="AI2" s="11"/>
      <c r="AJ2" s="12" t="s">
        <v>13</v>
      </c>
      <c r="AK2" s="12"/>
      <c r="AL2" s="12" t="s">
        <v>14</v>
      </c>
      <c r="AM2" s="12"/>
      <c r="AN2" s="10" t="s">
        <v>15</v>
      </c>
      <c r="AO2" s="11"/>
      <c r="AP2" s="9" t="s">
        <v>16</v>
      </c>
      <c r="AQ2" s="13"/>
      <c r="AR2" s="9" t="s">
        <v>17</v>
      </c>
      <c r="AS2" s="13"/>
      <c r="AT2" s="9" t="s">
        <v>18</v>
      </c>
      <c r="AU2" s="13"/>
      <c r="AV2" s="9" t="s">
        <v>19</v>
      </c>
      <c r="AW2" s="13"/>
      <c r="AX2" s="9" t="s">
        <v>20</v>
      </c>
      <c r="AY2" s="13"/>
      <c r="AZ2" s="9" t="s">
        <v>21</v>
      </c>
      <c r="BA2" s="13"/>
      <c r="BB2" s="14" t="s">
        <v>22</v>
      </c>
      <c r="BC2" s="14"/>
      <c r="BD2" s="9" t="s">
        <v>23</v>
      </c>
      <c r="BE2" s="13"/>
      <c r="BF2" s="9" t="s">
        <v>24</v>
      </c>
      <c r="BG2" s="13"/>
      <c r="BH2" s="15" t="s">
        <v>25</v>
      </c>
      <c r="BI2" s="15"/>
      <c r="BJ2" s="15" t="s">
        <v>26</v>
      </c>
      <c r="BK2" s="15"/>
      <c r="BM2" s="16"/>
      <c r="BN2" s="16"/>
      <c r="BP2" s="33">
        <f>SUM(BP4:BP46)</f>
        <v>0</v>
      </c>
    </row>
    <row r="3" spans="1:68" ht="28.8" x14ac:dyDescent="0.3">
      <c r="A3" s="17" t="s">
        <v>27</v>
      </c>
      <c r="B3" s="18" t="s">
        <v>28</v>
      </c>
      <c r="C3" s="19" t="s">
        <v>29</v>
      </c>
      <c r="D3" s="19" t="s">
        <v>30</v>
      </c>
      <c r="E3" s="18" t="s">
        <v>31</v>
      </c>
      <c r="F3" s="19" t="s">
        <v>32</v>
      </c>
      <c r="G3" s="18" t="s">
        <v>33</v>
      </c>
      <c r="H3" s="20" t="s">
        <v>34</v>
      </c>
      <c r="I3" s="20" t="s">
        <v>35</v>
      </c>
      <c r="J3" s="20" t="s">
        <v>36</v>
      </c>
      <c r="K3" s="20" t="s">
        <v>37</v>
      </c>
      <c r="L3" s="20" t="s">
        <v>38</v>
      </c>
      <c r="M3" s="21" t="s">
        <v>39</v>
      </c>
      <c r="N3" s="21" t="s">
        <v>40</v>
      </c>
      <c r="O3" s="21" t="s">
        <v>41</v>
      </c>
      <c r="P3" s="21" t="s">
        <v>40</v>
      </c>
      <c r="Q3" s="21" t="s">
        <v>41</v>
      </c>
      <c r="R3" s="21" t="s">
        <v>40</v>
      </c>
      <c r="S3" s="21" t="s">
        <v>41</v>
      </c>
      <c r="T3" s="21" t="s">
        <v>40</v>
      </c>
      <c r="U3" s="21" t="s">
        <v>41</v>
      </c>
      <c r="V3" s="21" t="s">
        <v>40</v>
      </c>
      <c r="W3" s="21" t="s">
        <v>41</v>
      </c>
      <c r="X3" s="21" t="s">
        <v>40</v>
      </c>
      <c r="Y3" s="21" t="s">
        <v>41</v>
      </c>
      <c r="Z3" s="21" t="s">
        <v>40</v>
      </c>
      <c r="AA3" s="21" t="s">
        <v>41</v>
      </c>
      <c r="AB3" s="21" t="s">
        <v>40</v>
      </c>
      <c r="AC3" s="21" t="s">
        <v>41</v>
      </c>
      <c r="AD3" s="21" t="s">
        <v>40</v>
      </c>
      <c r="AE3" s="21" t="s">
        <v>41</v>
      </c>
      <c r="AF3" s="22" t="s">
        <v>40</v>
      </c>
      <c r="AG3" s="22" t="s">
        <v>41</v>
      </c>
      <c r="AH3" s="22" t="s">
        <v>40</v>
      </c>
      <c r="AI3" s="22" t="s">
        <v>41</v>
      </c>
      <c r="AJ3" s="22" t="s">
        <v>40</v>
      </c>
      <c r="AK3" s="22" t="s">
        <v>41</v>
      </c>
      <c r="AL3" s="22" t="s">
        <v>40</v>
      </c>
      <c r="AM3" s="22" t="s">
        <v>41</v>
      </c>
      <c r="AN3" s="22" t="s">
        <v>40</v>
      </c>
      <c r="AO3" s="22" t="s">
        <v>41</v>
      </c>
      <c r="AP3" s="21" t="s">
        <v>40</v>
      </c>
      <c r="AQ3" s="21" t="s">
        <v>41</v>
      </c>
      <c r="AR3" s="21" t="s">
        <v>40</v>
      </c>
      <c r="AS3" s="21" t="s">
        <v>41</v>
      </c>
      <c r="AT3" s="21" t="s">
        <v>40</v>
      </c>
      <c r="AU3" s="21" t="s">
        <v>41</v>
      </c>
      <c r="AV3" s="21" t="s">
        <v>40</v>
      </c>
      <c r="AW3" s="21" t="s">
        <v>41</v>
      </c>
      <c r="AX3" s="21" t="s">
        <v>40</v>
      </c>
      <c r="AY3" s="21" t="s">
        <v>41</v>
      </c>
      <c r="AZ3" s="21" t="s">
        <v>40</v>
      </c>
      <c r="BA3" s="21" t="s">
        <v>41</v>
      </c>
      <c r="BB3" s="21" t="s">
        <v>40</v>
      </c>
      <c r="BC3" s="21" t="s">
        <v>41</v>
      </c>
      <c r="BD3" s="21" t="s">
        <v>40</v>
      </c>
      <c r="BE3" s="21" t="s">
        <v>41</v>
      </c>
      <c r="BF3" s="21" t="s">
        <v>40</v>
      </c>
      <c r="BG3" s="21" t="s">
        <v>41</v>
      </c>
      <c r="BH3" s="21" t="s">
        <v>40</v>
      </c>
      <c r="BI3" s="21" t="s">
        <v>41</v>
      </c>
      <c r="BJ3" s="21" t="s">
        <v>40</v>
      </c>
      <c r="BK3" s="21" t="s">
        <v>41</v>
      </c>
      <c r="BL3" s="21" t="s">
        <v>42</v>
      </c>
      <c r="BM3" s="23" t="s">
        <v>43</v>
      </c>
      <c r="BN3" s="23" t="s">
        <v>44</v>
      </c>
      <c r="BO3" s="32" t="s">
        <v>177</v>
      </c>
      <c r="BP3" s="32" t="s">
        <v>178</v>
      </c>
    </row>
    <row r="4" spans="1:68" x14ac:dyDescent="0.3">
      <c r="A4" s="24" t="s">
        <v>45</v>
      </c>
      <c r="B4" s="24"/>
      <c r="C4" s="24" t="s">
        <v>46</v>
      </c>
      <c r="D4" s="25" t="s">
        <v>47</v>
      </c>
      <c r="E4" s="26" t="s">
        <v>48</v>
      </c>
      <c r="F4" s="24"/>
      <c r="G4" s="24">
        <v>30</v>
      </c>
      <c r="H4" s="27">
        <v>3.6838888888888888</v>
      </c>
      <c r="I4" s="27">
        <v>4.0932098765432094</v>
      </c>
      <c r="J4" s="27">
        <v>4.6048611111111111</v>
      </c>
      <c r="K4" s="27">
        <v>3.6838888888888888</v>
      </c>
      <c r="L4" s="27">
        <v>4.8472222222222223</v>
      </c>
      <c r="M4" s="28">
        <v>0</v>
      </c>
      <c r="N4" s="28">
        <v>20.68</v>
      </c>
      <c r="O4" s="28">
        <v>27.74</v>
      </c>
      <c r="P4" s="28">
        <v>23.5</v>
      </c>
      <c r="Q4" s="28">
        <v>31.52</v>
      </c>
      <c r="R4" s="28">
        <v>24.92</v>
      </c>
      <c r="S4" s="28">
        <v>33.43</v>
      </c>
      <c r="T4" s="28">
        <v>25.07</v>
      </c>
      <c r="U4" s="28">
        <v>33.630000000000003</v>
      </c>
      <c r="V4" s="28">
        <v>25.22</v>
      </c>
      <c r="W4" s="28">
        <v>33.83</v>
      </c>
      <c r="X4" s="28">
        <v>25.53</v>
      </c>
      <c r="Y4" s="28">
        <v>34.25</v>
      </c>
      <c r="Z4" s="28">
        <v>25.69</v>
      </c>
      <c r="AA4" s="28">
        <v>34.46</v>
      </c>
      <c r="AB4" s="28">
        <v>25.85</v>
      </c>
      <c r="AC4" s="28">
        <v>34.68</v>
      </c>
      <c r="AD4" s="28">
        <v>26.01</v>
      </c>
      <c r="AE4" s="28">
        <v>34.89</v>
      </c>
      <c r="AF4" s="28">
        <v>26.18</v>
      </c>
      <c r="AG4" s="28">
        <v>35.119999999999997</v>
      </c>
      <c r="AH4" s="28">
        <v>26.51</v>
      </c>
      <c r="AI4" s="28">
        <v>35.56</v>
      </c>
      <c r="AJ4" s="28">
        <v>26.68</v>
      </c>
      <c r="AK4" s="28">
        <v>35.79</v>
      </c>
      <c r="AL4" s="28">
        <v>26.86</v>
      </c>
      <c r="AM4" s="28">
        <v>36.03</v>
      </c>
      <c r="AN4" s="28">
        <v>20.98</v>
      </c>
      <c r="AO4" s="28">
        <v>29</v>
      </c>
      <c r="AP4" s="28">
        <v>22.25</v>
      </c>
      <c r="AQ4" s="28">
        <v>30.76</v>
      </c>
      <c r="AR4" s="28">
        <v>22.38</v>
      </c>
      <c r="AS4" s="28">
        <v>30.94</v>
      </c>
      <c r="AT4" s="28">
        <v>22.52</v>
      </c>
      <c r="AU4" s="28">
        <v>31.13</v>
      </c>
      <c r="AV4" s="28">
        <v>22.8</v>
      </c>
      <c r="AW4" s="28">
        <v>31.52</v>
      </c>
      <c r="AX4" s="28">
        <v>22.94</v>
      </c>
      <c r="AY4" s="28">
        <v>31.71</v>
      </c>
      <c r="AZ4" s="28">
        <v>23.08</v>
      </c>
      <c r="BA4" s="28">
        <v>31.91</v>
      </c>
      <c r="BB4" s="28">
        <v>23.23</v>
      </c>
      <c r="BC4" s="28">
        <v>32.11</v>
      </c>
      <c r="BD4" s="28">
        <v>23.37</v>
      </c>
      <c r="BE4" s="28">
        <v>32.31</v>
      </c>
      <c r="BF4" s="28">
        <v>23.67</v>
      </c>
      <c r="BG4" s="28">
        <v>32.72</v>
      </c>
      <c r="BH4" s="28">
        <v>23.82</v>
      </c>
      <c r="BI4" s="28">
        <v>32.93</v>
      </c>
      <c r="BJ4" s="28">
        <v>23.98</v>
      </c>
      <c r="BK4" s="28">
        <v>33.15</v>
      </c>
      <c r="BL4" s="29" t="s">
        <v>49</v>
      </c>
      <c r="BM4" s="29"/>
      <c r="BN4" s="34"/>
      <c r="BO4" s="35"/>
      <c r="BP4" s="36">
        <f>BO4*H4</f>
        <v>0</v>
      </c>
    </row>
    <row r="5" spans="1:68" x14ac:dyDescent="0.3">
      <c r="A5" s="24" t="s">
        <v>45</v>
      </c>
      <c r="B5" s="24"/>
      <c r="C5" s="24" t="s">
        <v>50</v>
      </c>
      <c r="D5" s="25" t="s">
        <v>51</v>
      </c>
      <c r="E5" s="26" t="s">
        <v>52</v>
      </c>
      <c r="F5" s="24"/>
      <c r="G5" s="24">
        <v>30</v>
      </c>
      <c r="H5" s="27">
        <v>3.6838888888888888</v>
      </c>
      <c r="I5" s="27">
        <v>4.0932098765432094</v>
      </c>
      <c r="J5" s="27">
        <v>4.6048611111111111</v>
      </c>
      <c r="K5" s="27">
        <v>3.6838888888888888</v>
      </c>
      <c r="L5" s="27">
        <v>4.8472222222222223</v>
      </c>
      <c r="M5" s="28">
        <v>0</v>
      </c>
      <c r="N5" s="28">
        <v>14.16</v>
      </c>
      <c r="O5" s="28">
        <v>19</v>
      </c>
      <c r="P5" s="28">
        <v>16.09</v>
      </c>
      <c r="Q5" s="28">
        <v>21.58</v>
      </c>
      <c r="R5" s="28">
        <v>17.059999999999999</v>
      </c>
      <c r="S5" s="28">
        <v>22.89</v>
      </c>
      <c r="T5" s="28">
        <v>17.16</v>
      </c>
      <c r="U5" s="28">
        <v>23.02</v>
      </c>
      <c r="V5" s="28">
        <v>17.27</v>
      </c>
      <c r="W5" s="28">
        <v>23.17</v>
      </c>
      <c r="X5" s="28">
        <v>17.48</v>
      </c>
      <c r="Y5" s="28">
        <v>23.45</v>
      </c>
      <c r="Z5" s="28">
        <v>17.59</v>
      </c>
      <c r="AA5" s="28">
        <v>23.6</v>
      </c>
      <c r="AB5" s="28">
        <v>17.7</v>
      </c>
      <c r="AC5" s="28">
        <v>23.74</v>
      </c>
      <c r="AD5" s="28">
        <v>17.809999999999999</v>
      </c>
      <c r="AE5" s="28">
        <v>23.89</v>
      </c>
      <c r="AF5" s="28">
        <v>17.920000000000002</v>
      </c>
      <c r="AG5" s="28">
        <v>24.04</v>
      </c>
      <c r="AH5" s="28">
        <v>18.149999999999999</v>
      </c>
      <c r="AI5" s="28">
        <v>24.35</v>
      </c>
      <c r="AJ5" s="28">
        <v>18.27</v>
      </c>
      <c r="AK5" s="28">
        <v>24.51</v>
      </c>
      <c r="AL5" s="28">
        <v>18.39</v>
      </c>
      <c r="AM5" s="28">
        <v>24.67</v>
      </c>
      <c r="AN5" s="28">
        <v>14.37</v>
      </c>
      <c r="AO5" s="28">
        <v>19.87</v>
      </c>
      <c r="AP5" s="28">
        <v>15.23</v>
      </c>
      <c r="AQ5" s="28">
        <v>21.05</v>
      </c>
      <c r="AR5" s="28">
        <v>15.32</v>
      </c>
      <c r="AS5" s="28">
        <v>21.18</v>
      </c>
      <c r="AT5" s="28">
        <v>15.42</v>
      </c>
      <c r="AU5" s="28">
        <v>21.32</v>
      </c>
      <c r="AV5" s="28">
        <v>15.61</v>
      </c>
      <c r="AW5" s="28">
        <v>21.58</v>
      </c>
      <c r="AX5" s="28">
        <v>15.71</v>
      </c>
      <c r="AY5" s="28">
        <v>21.72</v>
      </c>
      <c r="AZ5" s="28">
        <v>15.8</v>
      </c>
      <c r="BA5" s="28">
        <v>21.84</v>
      </c>
      <c r="BB5" s="28">
        <v>15.9</v>
      </c>
      <c r="BC5" s="28">
        <v>21.98</v>
      </c>
      <c r="BD5" s="28">
        <v>16</v>
      </c>
      <c r="BE5" s="28">
        <v>22.12</v>
      </c>
      <c r="BF5" s="28">
        <v>16.21</v>
      </c>
      <c r="BG5" s="28">
        <v>22.41</v>
      </c>
      <c r="BH5" s="28">
        <v>16.309999999999999</v>
      </c>
      <c r="BI5" s="28">
        <v>22.55</v>
      </c>
      <c r="BJ5" s="28">
        <v>16.420000000000002</v>
      </c>
      <c r="BK5" s="28">
        <v>22.7</v>
      </c>
      <c r="BL5" s="29" t="s">
        <v>49</v>
      </c>
      <c r="BM5" s="29"/>
      <c r="BN5" s="34"/>
      <c r="BO5" s="35"/>
      <c r="BP5" s="36">
        <f t="shared" ref="BP5:BP46" si="0">BO5*H5</f>
        <v>0</v>
      </c>
    </row>
    <row r="6" spans="1:68" x14ac:dyDescent="0.3">
      <c r="A6" s="24" t="s">
        <v>45</v>
      </c>
      <c r="B6" s="24"/>
      <c r="C6" s="24" t="s">
        <v>53</v>
      </c>
      <c r="D6" s="25" t="s">
        <v>54</v>
      </c>
      <c r="E6" s="26" t="s">
        <v>55</v>
      </c>
      <c r="F6" s="24"/>
      <c r="G6" s="24">
        <v>100</v>
      </c>
      <c r="H6" s="27">
        <v>3.3222222222222224</v>
      </c>
      <c r="I6" s="27">
        <v>3.691358024691358</v>
      </c>
      <c r="J6" s="27">
        <v>4.1527777777777777</v>
      </c>
      <c r="K6" s="27">
        <v>3.3222222222222224</v>
      </c>
      <c r="L6" s="27">
        <v>4.371345029239766</v>
      </c>
      <c r="M6" s="28">
        <v>0</v>
      </c>
      <c r="N6" s="28">
        <v>13.21</v>
      </c>
      <c r="O6" s="28">
        <v>17.72</v>
      </c>
      <c r="P6" s="28">
        <v>15.01</v>
      </c>
      <c r="Q6" s="28">
        <v>20.14</v>
      </c>
      <c r="R6" s="28">
        <v>15.92</v>
      </c>
      <c r="S6" s="28">
        <v>21.36</v>
      </c>
      <c r="T6" s="28">
        <v>16.010000000000002</v>
      </c>
      <c r="U6" s="28">
        <v>21.48</v>
      </c>
      <c r="V6" s="28">
        <v>16.11</v>
      </c>
      <c r="W6" s="28">
        <v>21.61</v>
      </c>
      <c r="X6" s="28">
        <v>16.309999999999999</v>
      </c>
      <c r="Y6" s="28">
        <v>21.88</v>
      </c>
      <c r="Z6" s="28">
        <v>16.41</v>
      </c>
      <c r="AA6" s="28">
        <v>22.01</v>
      </c>
      <c r="AB6" s="28">
        <v>16.510000000000002</v>
      </c>
      <c r="AC6" s="28">
        <v>22.15</v>
      </c>
      <c r="AD6" s="28">
        <v>16.62</v>
      </c>
      <c r="AE6" s="28">
        <v>22.3</v>
      </c>
      <c r="AF6" s="28">
        <v>16.72</v>
      </c>
      <c r="AG6" s="28">
        <v>22.43</v>
      </c>
      <c r="AH6" s="28">
        <v>16.940000000000001</v>
      </c>
      <c r="AI6" s="28">
        <v>22.72</v>
      </c>
      <c r="AJ6" s="28">
        <v>17.05</v>
      </c>
      <c r="AK6" s="28">
        <v>22.87</v>
      </c>
      <c r="AL6" s="28">
        <v>17.16</v>
      </c>
      <c r="AM6" s="28">
        <v>23.02</v>
      </c>
      <c r="AN6" s="28">
        <v>13.4</v>
      </c>
      <c r="AO6" s="28">
        <v>18.52</v>
      </c>
      <c r="AP6" s="28">
        <v>14.21</v>
      </c>
      <c r="AQ6" s="28">
        <v>19.64</v>
      </c>
      <c r="AR6" s="28">
        <v>14.3</v>
      </c>
      <c r="AS6" s="28">
        <v>19.77</v>
      </c>
      <c r="AT6" s="28">
        <v>14.38</v>
      </c>
      <c r="AU6" s="28">
        <v>19.88</v>
      </c>
      <c r="AV6" s="28">
        <v>14.56</v>
      </c>
      <c r="AW6" s="28">
        <v>20.13</v>
      </c>
      <c r="AX6" s="28">
        <v>14.65</v>
      </c>
      <c r="AY6" s="28">
        <v>20.25</v>
      </c>
      <c r="AZ6" s="28">
        <v>14.74</v>
      </c>
      <c r="BA6" s="28">
        <v>20.38</v>
      </c>
      <c r="BB6" s="28">
        <v>14.84</v>
      </c>
      <c r="BC6" s="28">
        <v>20.52</v>
      </c>
      <c r="BD6" s="28">
        <v>14.93</v>
      </c>
      <c r="BE6" s="28">
        <v>20.64</v>
      </c>
      <c r="BF6" s="28">
        <v>15.12</v>
      </c>
      <c r="BG6" s="28">
        <v>20.9</v>
      </c>
      <c r="BH6" s="28">
        <v>15.22</v>
      </c>
      <c r="BI6" s="28">
        <v>21.04</v>
      </c>
      <c r="BJ6" s="28">
        <v>15.32</v>
      </c>
      <c r="BK6" s="28">
        <v>21.18</v>
      </c>
      <c r="BL6" s="29" t="s">
        <v>49</v>
      </c>
      <c r="BM6" s="29"/>
      <c r="BN6" s="34"/>
      <c r="BO6" s="35"/>
      <c r="BP6" s="36">
        <f t="shared" si="0"/>
        <v>0</v>
      </c>
    </row>
    <row r="7" spans="1:68" x14ac:dyDescent="0.3">
      <c r="A7" s="24" t="s">
        <v>45</v>
      </c>
      <c r="B7" s="24"/>
      <c r="C7" s="24" t="s">
        <v>56</v>
      </c>
      <c r="D7" s="25" t="s">
        <v>57</v>
      </c>
      <c r="E7" s="26" t="s">
        <v>58</v>
      </c>
      <c r="F7" s="24"/>
      <c r="G7" s="24">
        <v>126</v>
      </c>
      <c r="H7" s="27">
        <v>3.8888888888888888</v>
      </c>
      <c r="I7" s="27">
        <v>4.3209876543209873</v>
      </c>
      <c r="J7" s="27">
        <v>4.8611111111111107</v>
      </c>
      <c r="K7" s="27">
        <v>3.8888888888888888</v>
      </c>
      <c r="L7" s="27">
        <v>5.1169590643274852</v>
      </c>
      <c r="M7" s="28">
        <v>0</v>
      </c>
      <c r="N7" s="28">
        <v>18.77</v>
      </c>
      <c r="O7" s="28">
        <v>25.18</v>
      </c>
      <c r="P7" s="28">
        <v>21.33</v>
      </c>
      <c r="Q7" s="28">
        <v>28.61</v>
      </c>
      <c r="R7" s="28">
        <v>22.61</v>
      </c>
      <c r="S7" s="28">
        <v>30.33</v>
      </c>
      <c r="T7" s="28">
        <v>22.75</v>
      </c>
      <c r="U7" s="28">
        <v>30.52</v>
      </c>
      <c r="V7" s="28">
        <v>22.89</v>
      </c>
      <c r="W7" s="28">
        <v>30.71</v>
      </c>
      <c r="X7" s="28">
        <v>23.17</v>
      </c>
      <c r="Y7" s="28">
        <v>31.08</v>
      </c>
      <c r="Z7" s="28">
        <v>23.32</v>
      </c>
      <c r="AA7" s="28">
        <v>31.28</v>
      </c>
      <c r="AB7" s="28">
        <v>23.46</v>
      </c>
      <c r="AC7" s="28">
        <v>31.47</v>
      </c>
      <c r="AD7" s="28">
        <v>23.61</v>
      </c>
      <c r="AE7" s="28">
        <v>31.67</v>
      </c>
      <c r="AF7" s="28">
        <v>23.76</v>
      </c>
      <c r="AG7" s="28">
        <v>31.87</v>
      </c>
      <c r="AH7" s="28">
        <v>24.06</v>
      </c>
      <c r="AI7" s="28">
        <v>32.28</v>
      </c>
      <c r="AJ7" s="28">
        <v>24.22</v>
      </c>
      <c r="AK7" s="28">
        <v>32.49</v>
      </c>
      <c r="AL7" s="28">
        <v>24.38</v>
      </c>
      <c r="AM7" s="28">
        <v>32.700000000000003</v>
      </c>
      <c r="AN7" s="28">
        <v>19.04</v>
      </c>
      <c r="AO7" s="28">
        <v>26.32</v>
      </c>
      <c r="AP7" s="28">
        <v>20.190000000000001</v>
      </c>
      <c r="AQ7" s="28">
        <v>27.91</v>
      </c>
      <c r="AR7" s="28">
        <v>20.309999999999999</v>
      </c>
      <c r="AS7" s="28">
        <v>28.08</v>
      </c>
      <c r="AT7" s="28">
        <v>20.440000000000001</v>
      </c>
      <c r="AU7" s="28">
        <v>28.26</v>
      </c>
      <c r="AV7" s="28">
        <v>20.69</v>
      </c>
      <c r="AW7" s="28">
        <v>28.6</v>
      </c>
      <c r="AX7" s="28">
        <v>20.82</v>
      </c>
      <c r="AY7" s="28">
        <v>28.78</v>
      </c>
      <c r="AZ7" s="28">
        <v>20.95</v>
      </c>
      <c r="BA7" s="28">
        <v>28.96</v>
      </c>
      <c r="BB7" s="28">
        <v>21.08</v>
      </c>
      <c r="BC7" s="28">
        <v>29.14</v>
      </c>
      <c r="BD7" s="28">
        <v>21.21</v>
      </c>
      <c r="BE7" s="28">
        <v>29.32</v>
      </c>
      <c r="BF7" s="28">
        <v>21.49</v>
      </c>
      <c r="BG7" s="28">
        <v>29.71</v>
      </c>
      <c r="BH7" s="28">
        <v>21.62</v>
      </c>
      <c r="BI7" s="28">
        <v>29.89</v>
      </c>
      <c r="BJ7" s="28">
        <v>21.76</v>
      </c>
      <c r="BK7" s="28">
        <v>30.08</v>
      </c>
      <c r="BL7" s="29" t="s">
        <v>49</v>
      </c>
      <c r="BM7" s="29"/>
      <c r="BN7" s="34"/>
      <c r="BO7" s="35"/>
      <c r="BP7" s="36">
        <f t="shared" si="0"/>
        <v>0</v>
      </c>
    </row>
    <row r="8" spans="1:68" x14ac:dyDescent="0.3">
      <c r="A8" s="24" t="s">
        <v>45</v>
      </c>
      <c r="B8" s="24"/>
      <c r="C8" s="24" t="s">
        <v>59</v>
      </c>
      <c r="D8" s="25" t="s">
        <v>60</v>
      </c>
      <c r="E8" s="26" t="s">
        <v>61</v>
      </c>
      <c r="F8" s="24"/>
      <c r="G8" s="24">
        <v>80</v>
      </c>
      <c r="H8" s="27">
        <v>7.0470588235294125</v>
      </c>
      <c r="I8" s="27">
        <v>7.8300653594771248</v>
      </c>
      <c r="J8" s="27">
        <v>8.8088235294117645</v>
      </c>
      <c r="K8" s="27">
        <v>7.0470588235294125</v>
      </c>
      <c r="L8" s="27">
        <v>9.2724458204334361</v>
      </c>
      <c r="M8" s="28">
        <v>0</v>
      </c>
      <c r="N8" s="28">
        <v>39.93</v>
      </c>
      <c r="O8" s="28">
        <v>53.56</v>
      </c>
      <c r="P8" s="28">
        <v>45.38</v>
      </c>
      <c r="Q8" s="28">
        <v>60.88</v>
      </c>
      <c r="R8" s="28">
        <v>48.11</v>
      </c>
      <c r="S8" s="28">
        <v>64.540000000000006</v>
      </c>
      <c r="T8" s="28">
        <v>48.4</v>
      </c>
      <c r="U8" s="28">
        <v>64.930000000000007</v>
      </c>
      <c r="V8" s="28">
        <v>48.7</v>
      </c>
      <c r="W8" s="28">
        <v>65.33</v>
      </c>
      <c r="X8" s="28">
        <v>49.3</v>
      </c>
      <c r="Y8" s="28">
        <v>66.13</v>
      </c>
      <c r="Z8" s="28">
        <v>49.6</v>
      </c>
      <c r="AA8" s="28">
        <v>66.540000000000006</v>
      </c>
      <c r="AB8" s="28">
        <v>49.91</v>
      </c>
      <c r="AC8" s="28">
        <v>66.95</v>
      </c>
      <c r="AD8" s="28">
        <v>50.23</v>
      </c>
      <c r="AE8" s="28">
        <v>67.38</v>
      </c>
      <c r="AF8" s="28">
        <v>50.54</v>
      </c>
      <c r="AG8" s="28">
        <v>67.8</v>
      </c>
      <c r="AH8" s="28">
        <v>51.19</v>
      </c>
      <c r="AI8" s="28">
        <v>68.67</v>
      </c>
      <c r="AJ8" s="28">
        <v>51.52</v>
      </c>
      <c r="AK8" s="28">
        <v>69.11</v>
      </c>
      <c r="AL8" s="28">
        <v>51.86</v>
      </c>
      <c r="AM8" s="28">
        <v>69.569999999999993</v>
      </c>
      <c r="AN8" s="28">
        <v>40.51</v>
      </c>
      <c r="AO8" s="28">
        <v>56</v>
      </c>
      <c r="AP8" s="28">
        <v>42.95</v>
      </c>
      <c r="AQ8" s="28">
        <v>59.38</v>
      </c>
      <c r="AR8" s="28">
        <v>43.21</v>
      </c>
      <c r="AS8" s="28">
        <v>59.74</v>
      </c>
      <c r="AT8" s="28">
        <v>43.48</v>
      </c>
      <c r="AU8" s="28">
        <v>60.11</v>
      </c>
      <c r="AV8" s="28">
        <v>44.01</v>
      </c>
      <c r="AW8" s="28">
        <v>60.84</v>
      </c>
      <c r="AX8" s="28">
        <v>44.29</v>
      </c>
      <c r="AY8" s="28">
        <v>61.23</v>
      </c>
      <c r="AZ8" s="28">
        <v>44.56</v>
      </c>
      <c r="BA8" s="28">
        <v>61.6</v>
      </c>
      <c r="BB8" s="28">
        <v>44.84</v>
      </c>
      <c r="BC8" s="28">
        <v>61.99</v>
      </c>
      <c r="BD8" s="28">
        <v>45.13</v>
      </c>
      <c r="BE8" s="28">
        <v>62.39</v>
      </c>
      <c r="BF8" s="28">
        <v>45.71</v>
      </c>
      <c r="BG8" s="28">
        <v>63.19</v>
      </c>
      <c r="BH8" s="28">
        <v>46</v>
      </c>
      <c r="BI8" s="28">
        <v>63.59</v>
      </c>
      <c r="BJ8" s="28">
        <v>46.3</v>
      </c>
      <c r="BK8" s="28">
        <v>64.010000000000005</v>
      </c>
      <c r="BL8" s="29" t="s">
        <v>49</v>
      </c>
      <c r="BM8" s="29"/>
      <c r="BN8" s="34"/>
      <c r="BO8" s="35"/>
      <c r="BP8" s="36">
        <f t="shared" si="0"/>
        <v>0</v>
      </c>
    </row>
    <row r="9" spans="1:68" x14ac:dyDescent="0.3">
      <c r="A9" s="24" t="s">
        <v>45</v>
      </c>
      <c r="B9" s="24"/>
      <c r="C9" s="24" t="s">
        <v>62</v>
      </c>
      <c r="D9" s="25" t="s">
        <v>63</v>
      </c>
      <c r="E9" s="26" t="s">
        <v>64</v>
      </c>
      <c r="F9" s="24"/>
      <c r="G9" s="24">
        <v>126</v>
      </c>
      <c r="H9" s="27">
        <v>5.4736842105263159</v>
      </c>
      <c r="I9" s="27">
        <v>6.0818713450292394</v>
      </c>
      <c r="J9" s="27">
        <v>6.8421052631578947</v>
      </c>
      <c r="K9" s="27">
        <v>5.4736842105263159</v>
      </c>
      <c r="L9" s="27">
        <v>7.202216066481995</v>
      </c>
      <c r="M9" s="28">
        <v>0</v>
      </c>
      <c r="N9" s="28">
        <v>73.36</v>
      </c>
      <c r="O9" s="28">
        <v>98.41</v>
      </c>
      <c r="P9" s="28">
        <v>83.36</v>
      </c>
      <c r="Q9" s="28">
        <v>111.82</v>
      </c>
      <c r="R9" s="28">
        <v>88.39</v>
      </c>
      <c r="S9" s="28">
        <v>118.57</v>
      </c>
      <c r="T9" s="28">
        <v>88.92</v>
      </c>
      <c r="U9" s="28">
        <v>119.28</v>
      </c>
      <c r="V9" s="28">
        <v>89.46</v>
      </c>
      <c r="W9" s="28">
        <v>120.01</v>
      </c>
      <c r="X9" s="28">
        <v>90.57</v>
      </c>
      <c r="Y9" s="28">
        <v>121.5</v>
      </c>
      <c r="Z9" s="28">
        <v>91.13</v>
      </c>
      <c r="AA9" s="28">
        <v>122.25</v>
      </c>
      <c r="AB9" s="28">
        <v>91.7</v>
      </c>
      <c r="AC9" s="28">
        <v>123.01</v>
      </c>
      <c r="AD9" s="28">
        <v>92.28</v>
      </c>
      <c r="AE9" s="28">
        <v>123.79</v>
      </c>
      <c r="AF9" s="28">
        <v>92.86</v>
      </c>
      <c r="AG9" s="28">
        <v>124.57</v>
      </c>
      <c r="AH9" s="28">
        <v>94.05</v>
      </c>
      <c r="AI9" s="28">
        <v>126.16</v>
      </c>
      <c r="AJ9" s="28">
        <v>94.66</v>
      </c>
      <c r="AK9" s="28">
        <v>126.98</v>
      </c>
      <c r="AL9" s="28">
        <v>95.27</v>
      </c>
      <c r="AM9" s="28">
        <v>127.8</v>
      </c>
      <c r="AN9" s="28">
        <v>74.430000000000007</v>
      </c>
      <c r="AO9" s="28">
        <v>102.9</v>
      </c>
      <c r="AP9" s="28">
        <v>78.92</v>
      </c>
      <c r="AQ9" s="28">
        <v>109.1</v>
      </c>
      <c r="AR9" s="28">
        <v>79.39</v>
      </c>
      <c r="AS9" s="28">
        <v>109.75</v>
      </c>
      <c r="AT9" s="28">
        <v>79.88</v>
      </c>
      <c r="AU9" s="28">
        <v>110.43</v>
      </c>
      <c r="AV9" s="28">
        <v>80.86</v>
      </c>
      <c r="AW9" s="28">
        <v>111.78</v>
      </c>
      <c r="AX9" s="28">
        <v>81.37</v>
      </c>
      <c r="AY9" s="28">
        <v>112.49</v>
      </c>
      <c r="AZ9" s="28">
        <v>81.87</v>
      </c>
      <c r="BA9" s="28">
        <v>113.18</v>
      </c>
      <c r="BB9" s="28">
        <v>82.39</v>
      </c>
      <c r="BC9" s="28">
        <v>113.9</v>
      </c>
      <c r="BD9" s="28">
        <v>82.91</v>
      </c>
      <c r="BE9" s="28">
        <v>114.62</v>
      </c>
      <c r="BF9" s="28">
        <v>83.97</v>
      </c>
      <c r="BG9" s="28">
        <v>116.08</v>
      </c>
      <c r="BH9" s="28">
        <v>84.52</v>
      </c>
      <c r="BI9" s="28">
        <v>116.84</v>
      </c>
      <c r="BJ9" s="28">
        <v>85.06</v>
      </c>
      <c r="BK9" s="28">
        <v>117.59</v>
      </c>
      <c r="BL9" s="29" t="s">
        <v>49</v>
      </c>
      <c r="BM9" s="29"/>
      <c r="BN9" s="34"/>
      <c r="BO9" s="35"/>
      <c r="BP9" s="36">
        <f t="shared" si="0"/>
        <v>0</v>
      </c>
    </row>
    <row r="10" spans="1:68" x14ac:dyDescent="0.3">
      <c r="A10" s="24" t="s">
        <v>45</v>
      </c>
      <c r="B10" s="24"/>
      <c r="C10" s="24" t="s">
        <v>171</v>
      </c>
      <c r="D10" s="30" t="s">
        <v>172</v>
      </c>
      <c r="E10" s="31" t="s">
        <v>173</v>
      </c>
      <c r="F10" s="24"/>
      <c r="G10" s="24">
        <v>80</v>
      </c>
      <c r="H10" s="27">
        <v>15.641470588235293</v>
      </c>
      <c r="I10" s="27">
        <v>17.379411764705882</v>
      </c>
      <c r="J10" s="27">
        <v>19.551838235294117</v>
      </c>
      <c r="K10" s="27">
        <v>15.641470588235293</v>
      </c>
      <c r="L10" s="27">
        <v>20.580882352941178</v>
      </c>
      <c r="M10" s="28">
        <v>0</v>
      </c>
      <c r="N10" s="28">
        <v>98.76</v>
      </c>
      <c r="O10" s="28">
        <v>132.47999999999999</v>
      </c>
      <c r="P10" s="28">
        <v>112.23</v>
      </c>
      <c r="Q10" s="28">
        <v>150.55000000000001</v>
      </c>
      <c r="R10" s="28">
        <v>118.99</v>
      </c>
      <c r="S10" s="28">
        <v>159.62</v>
      </c>
      <c r="T10" s="28">
        <v>54.01</v>
      </c>
      <c r="U10" s="28">
        <v>72.45</v>
      </c>
      <c r="V10" s="28">
        <v>54.34</v>
      </c>
      <c r="W10" s="28">
        <v>72.900000000000006</v>
      </c>
      <c r="X10" s="28">
        <v>55.01</v>
      </c>
      <c r="Y10" s="28">
        <v>73.790000000000006</v>
      </c>
      <c r="Z10" s="28">
        <v>55.35</v>
      </c>
      <c r="AA10" s="28">
        <v>74.25</v>
      </c>
      <c r="AB10" s="28">
        <v>55.7</v>
      </c>
      <c r="AC10" s="28">
        <v>74.72</v>
      </c>
      <c r="AD10" s="28">
        <v>56.05</v>
      </c>
      <c r="AE10" s="28">
        <v>75.19</v>
      </c>
      <c r="AF10" s="28">
        <v>56.41</v>
      </c>
      <c r="AG10" s="28">
        <v>75.67</v>
      </c>
      <c r="AH10" s="28">
        <v>57.13</v>
      </c>
      <c r="AI10" s="28">
        <v>76.64</v>
      </c>
      <c r="AJ10" s="28">
        <v>57.5</v>
      </c>
      <c r="AK10" s="28">
        <v>77.13</v>
      </c>
      <c r="AL10" s="28">
        <v>57.87</v>
      </c>
      <c r="AM10" s="28">
        <v>77.63</v>
      </c>
      <c r="AN10" s="28">
        <v>45.21</v>
      </c>
      <c r="AO10" s="28">
        <v>62.5</v>
      </c>
      <c r="AP10" s="28">
        <v>47.93</v>
      </c>
      <c r="AQ10" s="28">
        <v>66.260000000000005</v>
      </c>
      <c r="AR10" s="28">
        <v>48.23</v>
      </c>
      <c r="AS10" s="28">
        <v>66.680000000000007</v>
      </c>
      <c r="AT10" s="28">
        <v>48.52</v>
      </c>
      <c r="AU10" s="28">
        <v>67.08</v>
      </c>
      <c r="AV10" s="28">
        <v>49.12</v>
      </c>
      <c r="AW10" s="28">
        <v>67.91</v>
      </c>
      <c r="AX10" s="28">
        <v>49.42</v>
      </c>
      <c r="AY10" s="28">
        <v>68.319999999999993</v>
      </c>
      <c r="AZ10" s="28">
        <v>49.73</v>
      </c>
      <c r="BA10" s="28">
        <v>68.75</v>
      </c>
      <c r="BB10" s="28">
        <v>50.04</v>
      </c>
      <c r="BC10" s="28">
        <v>69.180000000000007</v>
      </c>
      <c r="BD10" s="28">
        <v>50.36</v>
      </c>
      <c r="BE10" s="28">
        <v>69.62</v>
      </c>
      <c r="BF10" s="28">
        <v>51.01</v>
      </c>
      <c r="BG10" s="28">
        <v>70.52</v>
      </c>
      <c r="BH10" s="28">
        <v>51.34</v>
      </c>
      <c r="BI10" s="28">
        <v>70.97</v>
      </c>
      <c r="BJ10" s="28">
        <v>51.67</v>
      </c>
      <c r="BK10" s="28">
        <v>71.430000000000007</v>
      </c>
      <c r="BL10" s="29" t="s">
        <v>49</v>
      </c>
      <c r="BM10" s="29"/>
      <c r="BN10" s="34"/>
      <c r="BO10" s="35"/>
      <c r="BP10" s="36">
        <f t="shared" si="0"/>
        <v>0</v>
      </c>
    </row>
    <row r="11" spans="1:68" x14ac:dyDescent="0.3">
      <c r="A11" s="24" t="s">
        <v>45</v>
      </c>
      <c r="B11" s="24"/>
      <c r="C11" s="24" t="s">
        <v>65</v>
      </c>
      <c r="D11" s="25" t="s">
        <v>66</v>
      </c>
      <c r="E11" s="26" t="s">
        <v>67</v>
      </c>
      <c r="F11" s="24"/>
      <c r="G11" s="24">
        <v>126</v>
      </c>
      <c r="H11" s="27">
        <v>6.052631578947369</v>
      </c>
      <c r="I11" s="27">
        <v>6.7251461988304095</v>
      </c>
      <c r="J11" s="27">
        <v>7.5657894736842106</v>
      </c>
      <c r="K11" s="27">
        <v>6.052631578947369</v>
      </c>
      <c r="L11" s="27">
        <v>7.9639889196675906</v>
      </c>
      <c r="M11" s="28">
        <v>0</v>
      </c>
      <c r="N11" s="28">
        <v>44.56</v>
      </c>
      <c r="O11" s="28">
        <v>59.78</v>
      </c>
      <c r="P11" s="28">
        <v>50.64</v>
      </c>
      <c r="Q11" s="28">
        <v>67.930000000000007</v>
      </c>
      <c r="R11" s="28">
        <v>53.69</v>
      </c>
      <c r="S11" s="28">
        <v>72.02</v>
      </c>
      <c r="T11" s="28">
        <v>64.5</v>
      </c>
      <c r="U11" s="28">
        <v>0</v>
      </c>
      <c r="V11" s="28">
        <v>64.5</v>
      </c>
      <c r="W11" s="28">
        <v>0</v>
      </c>
      <c r="X11" s="28">
        <v>64.5</v>
      </c>
      <c r="Y11" s="28">
        <v>0</v>
      </c>
      <c r="Z11" s="28">
        <v>64.5</v>
      </c>
      <c r="AA11" s="28">
        <v>0</v>
      </c>
      <c r="AB11" s="28">
        <v>64.5</v>
      </c>
      <c r="AC11" s="28">
        <v>0</v>
      </c>
      <c r="AD11" s="28">
        <v>64.5</v>
      </c>
      <c r="AE11" s="28">
        <v>0</v>
      </c>
      <c r="AF11" s="28">
        <v>64.5</v>
      </c>
      <c r="AG11" s="28">
        <v>0</v>
      </c>
      <c r="AH11" s="28">
        <v>64.5</v>
      </c>
      <c r="AI11" s="28">
        <v>0</v>
      </c>
      <c r="AJ11" s="28">
        <v>64.5</v>
      </c>
      <c r="AK11" s="28">
        <v>0</v>
      </c>
      <c r="AL11" s="28">
        <v>64.5</v>
      </c>
      <c r="AM11" s="28">
        <v>0</v>
      </c>
      <c r="AN11" s="28">
        <v>64.5</v>
      </c>
      <c r="AO11" s="28">
        <v>0</v>
      </c>
      <c r="AP11" s="28">
        <v>64.5</v>
      </c>
      <c r="AQ11" s="28">
        <v>0</v>
      </c>
      <c r="AR11" s="28">
        <v>64.5</v>
      </c>
      <c r="AS11" s="28">
        <v>0</v>
      </c>
      <c r="AT11" s="28">
        <v>64.5</v>
      </c>
      <c r="AU11" s="28">
        <v>0</v>
      </c>
      <c r="AV11" s="28">
        <v>64.5</v>
      </c>
      <c r="AW11" s="28">
        <v>0</v>
      </c>
      <c r="AX11" s="28">
        <v>64.5</v>
      </c>
      <c r="AY11" s="28">
        <v>0</v>
      </c>
      <c r="AZ11" s="28">
        <v>64.5</v>
      </c>
      <c r="BA11" s="28">
        <v>0</v>
      </c>
      <c r="BB11" s="28">
        <v>64.5</v>
      </c>
      <c r="BC11" s="28">
        <v>0</v>
      </c>
      <c r="BD11" s="28">
        <v>64.5</v>
      </c>
      <c r="BE11" s="28">
        <v>0</v>
      </c>
      <c r="BF11" s="28">
        <v>64.5</v>
      </c>
      <c r="BG11" s="28">
        <v>0</v>
      </c>
      <c r="BH11" s="28">
        <v>64.5</v>
      </c>
      <c r="BI11" s="28">
        <v>0</v>
      </c>
      <c r="BJ11" s="28">
        <v>64.5</v>
      </c>
      <c r="BK11" s="28">
        <v>0</v>
      </c>
      <c r="BL11" s="29" t="s">
        <v>71</v>
      </c>
      <c r="BM11" s="29"/>
      <c r="BN11" s="34"/>
      <c r="BO11" s="35"/>
      <c r="BP11" s="36">
        <f t="shared" si="0"/>
        <v>0</v>
      </c>
    </row>
    <row r="12" spans="1:68" x14ac:dyDescent="0.3">
      <c r="A12" s="24" t="s">
        <v>45</v>
      </c>
      <c r="B12" s="24"/>
      <c r="C12" s="24" t="s">
        <v>68</v>
      </c>
      <c r="D12" s="25" t="s">
        <v>69</v>
      </c>
      <c r="E12" s="26" t="s">
        <v>70</v>
      </c>
      <c r="F12" s="24"/>
      <c r="G12" s="24">
        <v>50</v>
      </c>
      <c r="H12" s="27">
        <v>23.888888888888889</v>
      </c>
      <c r="I12" s="27">
        <v>26.543209876543209</v>
      </c>
      <c r="J12" s="27">
        <v>29.861111111111111</v>
      </c>
      <c r="K12" s="27">
        <v>23.888888888888889</v>
      </c>
      <c r="L12" s="27">
        <v>31.432748538011698</v>
      </c>
      <c r="M12" s="28">
        <v>64.5</v>
      </c>
      <c r="N12" s="28">
        <v>64.5</v>
      </c>
      <c r="O12" s="28">
        <v>0</v>
      </c>
      <c r="P12" s="28">
        <v>64.5</v>
      </c>
      <c r="Q12" s="28">
        <v>0</v>
      </c>
      <c r="R12" s="28">
        <v>64.5</v>
      </c>
      <c r="S12" s="28">
        <v>0</v>
      </c>
      <c r="T12" s="28">
        <v>14.221499999999999</v>
      </c>
      <c r="U12" s="28">
        <v>0</v>
      </c>
      <c r="V12" s="28">
        <v>14.221499999999999</v>
      </c>
      <c r="W12" s="28">
        <v>0</v>
      </c>
      <c r="X12" s="28">
        <v>14.221499999999999</v>
      </c>
      <c r="Y12" s="28">
        <v>0</v>
      </c>
      <c r="Z12" s="28">
        <v>14.221499999999999</v>
      </c>
      <c r="AA12" s="28">
        <v>0</v>
      </c>
      <c r="AB12" s="28">
        <v>14.221499999999999</v>
      </c>
      <c r="AC12" s="28">
        <v>0</v>
      </c>
      <c r="AD12" s="28">
        <v>14.221499999999999</v>
      </c>
      <c r="AE12" s="28">
        <v>0</v>
      </c>
      <c r="AF12" s="28">
        <v>14.221499999999999</v>
      </c>
      <c r="AG12" s="28">
        <v>0</v>
      </c>
      <c r="AH12" s="28">
        <v>14.221499999999999</v>
      </c>
      <c r="AI12" s="28">
        <v>0</v>
      </c>
      <c r="AJ12" s="28">
        <v>14.221499999999999</v>
      </c>
      <c r="AK12" s="28">
        <v>0</v>
      </c>
      <c r="AL12" s="28">
        <v>14.221499999999999</v>
      </c>
      <c r="AM12" s="28">
        <v>0</v>
      </c>
      <c r="AN12" s="28">
        <v>14.221499999999999</v>
      </c>
      <c r="AO12" s="28">
        <v>0</v>
      </c>
      <c r="AP12" s="28">
        <v>14.221499999999999</v>
      </c>
      <c r="AQ12" s="28">
        <v>0</v>
      </c>
      <c r="AR12" s="28">
        <v>14.221499999999999</v>
      </c>
      <c r="AS12" s="28">
        <v>0</v>
      </c>
      <c r="AT12" s="28">
        <v>14.221499999999999</v>
      </c>
      <c r="AU12" s="28">
        <v>0</v>
      </c>
      <c r="AV12" s="28">
        <v>14.221499999999999</v>
      </c>
      <c r="AW12" s="28">
        <v>0</v>
      </c>
      <c r="AX12" s="28">
        <v>14.221499999999999</v>
      </c>
      <c r="AY12" s="28">
        <v>0</v>
      </c>
      <c r="AZ12" s="28">
        <v>14.221499999999999</v>
      </c>
      <c r="BA12" s="28">
        <v>0</v>
      </c>
      <c r="BB12" s="28">
        <v>14.221499999999999</v>
      </c>
      <c r="BC12" s="28">
        <v>0</v>
      </c>
      <c r="BD12" s="28">
        <v>14.221499999999999</v>
      </c>
      <c r="BE12" s="28">
        <v>0</v>
      </c>
      <c r="BF12" s="28">
        <v>14.221499999999999</v>
      </c>
      <c r="BG12" s="28">
        <v>0</v>
      </c>
      <c r="BH12" s="28">
        <v>14.221499999999999</v>
      </c>
      <c r="BI12" s="28">
        <v>0</v>
      </c>
      <c r="BJ12" s="28">
        <v>14.221499999999999</v>
      </c>
      <c r="BK12" s="28">
        <v>0</v>
      </c>
      <c r="BL12" s="29" t="s">
        <v>71</v>
      </c>
      <c r="BM12" s="29"/>
      <c r="BN12" s="34"/>
      <c r="BO12" s="35"/>
      <c r="BP12" s="36">
        <f t="shared" si="0"/>
        <v>0</v>
      </c>
    </row>
    <row r="13" spans="1:68" x14ac:dyDescent="0.3">
      <c r="A13" s="24" t="s">
        <v>45</v>
      </c>
      <c r="B13" s="24"/>
      <c r="C13" s="24" t="s">
        <v>72</v>
      </c>
      <c r="D13" s="25" t="s">
        <v>73</v>
      </c>
      <c r="E13" s="26" t="s">
        <v>74</v>
      </c>
      <c r="F13" s="24"/>
      <c r="G13" s="24">
        <v>48</v>
      </c>
      <c r="H13" s="27">
        <v>5.2672222222222222</v>
      </c>
      <c r="I13" s="27">
        <v>5.852469135802469</v>
      </c>
      <c r="J13" s="27">
        <v>6.5840277777777771</v>
      </c>
      <c r="K13" s="27">
        <v>5.2672222222222222</v>
      </c>
      <c r="L13" s="27">
        <v>6.9305555555555554</v>
      </c>
      <c r="M13" s="28">
        <v>14.221499999999999</v>
      </c>
      <c r="N13" s="28">
        <v>14.221499999999999</v>
      </c>
      <c r="O13" s="28">
        <v>0</v>
      </c>
      <c r="P13" s="28">
        <v>14.221499999999999</v>
      </c>
      <c r="Q13" s="28">
        <v>0</v>
      </c>
      <c r="R13" s="28">
        <v>14.221499999999999</v>
      </c>
      <c r="S13" s="28">
        <v>0</v>
      </c>
      <c r="T13" s="28">
        <v>14.221499999999999</v>
      </c>
      <c r="U13" s="28">
        <v>0</v>
      </c>
      <c r="V13" s="28">
        <v>14.221499999999999</v>
      </c>
      <c r="W13" s="28">
        <v>0</v>
      </c>
      <c r="X13" s="28">
        <v>14.221499999999999</v>
      </c>
      <c r="Y13" s="28">
        <v>0</v>
      </c>
      <c r="Z13" s="28">
        <v>14.221499999999999</v>
      </c>
      <c r="AA13" s="28">
        <v>0</v>
      </c>
      <c r="AB13" s="28">
        <v>14.221499999999999</v>
      </c>
      <c r="AC13" s="28">
        <v>0</v>
      </c>
      <c r="AD13" s="28">
        <v>14.221499999999999</v>
      </c>
      <c r="AE13" s="28">
        <v>0</v>
      </c>
      <c r="AF13" s="28">
        <v>14.221499999999999</v>
      </c>
      <c r="AG13" s="28">
        <v>0</v>
      </c>
      <c r="AH13" s="28">
        <v>14.221499999999999</v>
      </c>
      <c r="AI13" s="28">
        <v>0</v>
      </c>
      <c r="AJ13" s="28">
        <v>14.221499999999999</v>
      </c>
      <c r="AK13" s="28">
        <v>0</v>
      </c>
      <c r="AL13" s="28">
        <v>14.221499999999999</v>
      </c>
      <c r="AM13" s="28">
        <v>0</v>
      </c>
      <c r="AN13" s="28">
        <v>14.221499999999999</v>
      </c>
      <c r="AO13" s="28">
        <v>0</v>
      </c>
      <c r="AP13" s="28">
        <v>14.221499999999999</v>
      </c>
      <c r="AQ13" s="28">
        <v>0</v>
      </c>
      <c r="AR13" s="28">
        <v>14.221499999999999</v>
      </c>
      <c r="AS13" s="28">
        <v>0</v>
      </c>
      <c r="AT13" s="28">
        <v>14.221499999999999</v>
      </c>
      <c r="AU13" s="28">
        <v>0</v>
      </c>
      <c r="AV13" s="28">
        <v>14.221499999999999</v>
      </c>
      <c r="AW13" s="28">
        <v>0</v>
      </c>
      <c r="AX13" s="28">
        <v>14.221499999999999</v>
      </c>
      <c r="AY13" s="28">
        <v>0</v>
      </c>
      <c r="AZ13" s="28">
        <v>14.221499999999999</v>
      </c>
      <c r="BA13" s="28">
        <v>0</v>
      </c>
      <c r="BB13" s="28">
        <v>14.221499999999999</v>
      </c>
      <c r="BC13" s="28">
        <v>0</v>
      </c>
      <c r="BD13" s="28">
        <v>14.221499999999999</v>
      </c>
      <c r="BE13" s="28">
        <v>0</v>
      </c>
      <c r="BF13" s="28">
        <v>14.221499999999999</v>
      </c>
      <c r="BG13" s="28">
        <v>0</v>
      </c>
      <c r="BH13" s="28">
        <v>14.221499999999999</v>
      </c>
      <c r="BI13" s="28">
        <v>0</v>
      </c>
      <c r="BJ13" s="28">
        <v>14.221499999999999</v>
      </c>
      <c r="BK13" s="28">
        <v>0</v>
      </c>
      <c r="BL13" s="29" t="s">
        <v>71</v>
      </c>
      <c r="BM13" s="29"/>
      <c r="BN13" s="34"/>
      <c r="BO13" s="35"/>
      <c r="BP13" s="36">
        <f t="shared" si="0"/>
        <v>0</v>
      </c>
    </row>
    <row r="14" spans="1:68" x14ac:dyDescent="0.3">
      <c r="A14" s="24" t="s">
        <v>45</v>
      </c>
      <c r="B14" s="24"/>
      <c r="C14" s="24" t="s">
        <v>75</v>
      </c>
      <c r="D14" s="25" t="s">
        <v>76</v>
      </c>
      <c r="E14" s="26" t="s">
        <v>77</v>
      </c>
      <c r="F14" s="24"/>
      <c r="G14" s="24">
        <v>48</v>
      </c>
      <c r="H14" s="27">
        <v>5.2672222222222222</v>
      </c>
      <c r="I14" s="27">
        <v>5.852469135802469</v>
      </c>
      <c r="J14" s="27">
        <v>6.5840277777777771</v>
      </c>
      <c r="K14" s="27">
        <v>5.2672222222222222</v>
      </c>
      <c r="L14" s="27">
        <v>6.9305555555555554</v>
      </c>
      <c r="M14" s="28">
        <v>14.221499999999999</v>
      </c>
      <c r="N14" s="28">
        <v>14.221499999999999</v>
      </c>
      <c r="O14" s="28">
        <v>0</v>
      </c>
      <c r="P14" s="28">
        <v>14.221499999999999</v>
      </c>
      <c r="Q14" s="28">
        <v>0</v>
      </c>
      <c r="R14" s="28">
        <v>14.221499999999999</v>
      </c>
      <c r="S14" s="28">
        <v>0</v>
      </c>
      <c r="T14" s="28">
        <v>14.221499999999999</v>
      </c>
      <c r="U14" s="28">
        <v>0</v>
      </c>
      <c r="V14" s="28">
        <v>14.221499999999999</v>
      </c>
      <c r="W14" s="28">
        <v>0</v>
      </c>
      <c r="X14" s="28">
        <v>14.221499999999999</v>
      </c>
      <c r="Y14" s="28">
        <v>0</v>
      </c>
      <c r="Z14" s="28">
        <v>14.221499999999999</v>
      </c>
      <c r="AA14" s="28">
        <v>0</v>
      </c>
      <c r="AB14" s="28">
        <v>14.221499999999999</v>
      </c>
      <c r="AC14" s="28">
        <v>0</v>
      </c>
      <c r="AD14" s="28">
        <v>14.221499999999999</v>
      </c>
      <c r="AE14" s="28">
        <v>0</v>
      </c>
      <c r="AF14" s="28">
        <v>14.221499999999999</v>
      </c>
      <c r="AG14" s="28">
        <v>0</v>
      </c>
      <c r="AH14" s="28">
        <v>14.221499999999999</v>
      </c>
      <c r="AI14" s="28">
        <v>0</v>
      </c>
      <c r="AJ14" s="28">
        <v>14.221499999999999</v>
      </c>
      <c r="AK14" s="28">
        <v>0</v>
      </c>
      <c r="AL14" s="28">
        <v>14.221499999999999</v>
      </c>
      <c r="AM14" s="28">
        <v>0</v>
      </c>
      <c r="AN14" s="28">
        <v>14.221499999999999</v>
      </c>
      <c r="AO14" s="28">
        <v>0</v>
      </c>
      <c r="AP14" s="28">
        <v>14.221499999999999</v>
      </c>
      <c r="AQ14" s="28">
        <v>0</v>
      </c>
      <c r="AR14" s="28">
        <v>14.221499999999999</v>
      </c>
      <c r="AS14" s="28">
        <v>0</v>
      </c>
      <c r="AT14" s="28">
        <v>14.221499999999999</v>
      </c>
      <c r="AU14" s="28">
        <v>0</v>
      </c>
      <c r="AV14" s="28">
        <v>14.221499999999999</v>
      </c>
      <c r="AW14" s="28">
        <v>0</v>
      </c>
      <c r="AX14" s="28">
        <v>14.221499999999999</v>
      </c>
      <c r="AY14" s="28">
        <v>0</v>
      </c>
      <c r="AZ14" s="28">
        <v>14.221499999999999</v>
      </c>
      <c r="BA14" s="28">
        <v>0</v>
      </c>
      <c r="BB14" s="28">
        <v>14.221499999999999</v>
      </c>
      <c r="BC14" s="28">
        <v>0</v>
      </c>
      <c r="BD14" s="28">
        <v>14.221499999999999</v>
      </c>
      <c r="BE14" s="28">
        <v>0</v>
      </c>
      <c r="BF14" s="28">
        <v>14.221499999999999</v>
      </c>
      <c r="BG14" s="28">
        <v>0</v>
      </c>
      <c r="BH14" s="28">
        <v>14.221499999999999</v>
      </c>
      <c r="BI14" s="28">
        <v>0</v>
      </c>
      <c r="BJ14" s="28">
        <v>14.221499999999999</v>
      </c>
      <c r="BK14" s="28">
        <v>0</v>
      </c>
      <c r="BL14" s="29" t="s">
        <v>71</v>
      </c>
      <c r="BM14" s="29"/>
      <c r="BN14" s="34"/>
      <c r="BO14" s="35"/>
      <c r="BP14" s="36">
        <f t="shared" si="0"/>
        <v>0</v>
      </c>
    </row>
    <row r="15" spans="1:68" x14ac:dyDescent="0.3">
      <c r="A15" s="24" t="s">
        <v>45</v>
      </c>
      <c r="B15" s="24"/>
      <c r="C15" s="24" t="s">
        <v>78</v>
      </c>
      <c r="D15" s="25" t="s">
        <v>79</v>
      </c>
      <c r="E15" s="26" t="s">
        <v>80</v>
      </c>
      <c r="F15" s="24"/>
      <c r="G15" s="24">
        <v>48</v>
      </c>
      <c r="H15" s="27">
        <v>5.2672222222222222</v>
      </c>
      <c r="I15" s="27">
        <v>5.852469135802469</v>
      </c>
      <c r="J15" s="27">
        <v>6.5840277777777771</v>
      </c>
      <c r="K15" s="27">
        <v>5.2672222222222222</v>
      </c>
      <c r="L15" s="27">
        <v>6.9305555555555554</v>
      </c>
      <c r="M15" s="28">
        <v>14.221499999999999</v>
      </c>
      <c r="N15" s="28">
        <v>14.221499999999999</v>
      </c>
      <c r="O15" s="28">
        <v>0</v>
      </c>
      <c r="P15" s="28">
        <v>14.221499999999999</v>
      </c>
      <c r="Q15" s="28">
        <v>0</v>
      </c>
      <c r="R15" s="28">
        <v>14.221499999999999</v>
      </c>
      <c r="S15" s="28">
        <v>0</v>
      </c>
      <c r="T15" s="28">
        <v>13.47</v>
      </c>
      <c r="U15" s="28">
        <v>0</v>
      </c>
      <c r="V15" s="28">
        <v>13.47</v>
      </c>
      <c r="W15" s="28">
        <v>0</v>
      </c>
      <c r="X15" s="28">
        <v>13.47</v>
      </c>
      <c r="Y15" s="28">
        <v>0</v>
      </c>
      <c r="Z15" s="28">
        <v>13.47</v>
      </c>
      <c r="AA15" s="28">
        <v>0</v>
      </c>
      <c r="AB15" s="28">
        <v>13.47</v>
      </c>
      <c r="AC15" s="28">
        <v>0</v>
      </c>
      <c r="AD15" s="28">
        <v>13.47</v>
      </c>
      <c r="AE15" s="28">
        <v>0</v>
      </c>
      <c r="AF15" s="28">
        <v>13.47</v>
      </c>
      <c r="AG15" s="28">
        <v>0</v>
      </c>
      <c r="AH15" s="28">
        <v>13.47</v>
      </c>
      <c r="AI15" s="28">
        <v>0</v>
      </c>
      <c r="AJ15" s="28">
        <v>13.47</v>
      </c>
      <c r="AK15" s="28">
        <v>0</v>
      </c>
      <c r="AL15" s="28">
        <v>13.47</v>
      </c>
      <c r="AM15" s="28">
        <v>0</v>
      </c>
      <c r="AN15" s="28">
        <v>13.47</v>
      </c>
      <c r="AO15" s="28">
        <v>0</v>
      </c>
      <c r="AP15" s="28">
        <v>13.47</v>
      </c>
      <c r="AQ15" s="28">
        <v>0</v>
      </c>
      <c r="AR15" s="28">
        <v>13.47</v>
      </c>
      <c r="AS15" s="28">
        <v>0</v>
      </c>
      <c r="AT15" s="28">
        <v>13.47</v>
      </c>
      <c r="AU15" s="28">
        <v>0</v>
      </c>
      <c r="AV15" s="28">
        <v>13.47</v>
      </c>
      <c r="AW15" s="28">
        <v>0</v>
      </c>
      <c r="AX15" s="28">
        <v>13.47</v>
      </c>
      <c r="AY15" s="28">
        <v>0</v>
      </c>
      <c r="AZ15" s="28">
        <v>13.47</v>
      </c>
      <c r="BA15" s="28">
        <v>0</v>
      </c>
      <c r="BB15" s="28">
        <v>13.47</v>
      </c>
      <c r="BC15" s="28">
        <v>0</v>
      </c>
      <c r="BD15" s="28">
        <v>13.47</v>
      </c>
      <c r="BE15" s="28">
        <v>0</v>
      </c>
      <c r="BF15" s="28">
        <v>13.47</v>
      </c>
      <c r="BG15" s="28">
        <v>0</v>
      </c>
      <c r="BH15" s="28">
        <v>13.47</v>
      </c>
      <c r="BI15" s="28">
        <v>0</v>
      </c>
      <c r="BJ15" s="28">
        <v>13.47</v>
      </c>
      <c r="BK15" s="28">
        <v>0</v>
      </c>
      <c r="BL15" s="29" t="s">
        <v>71</v>
      </c>
      <c r="BM15" s="29"/>
      <c r="BN15" s="34"/>
      <c r="BO15" s="35"/>
      <c r="BP15" s="36">
        <f t="shared" si="0"/>
        <v>0</v>
      </c>
    </row>
    <row r="16" spans="1:68" x14ac:dyDescent="0.3">
      <c r="A16" s="24" t="s">
        <v>45</v>
      </c>
      <c r="B16" s="24"/>
      <c r="C16" s="24" t="s">
        <v>81</v>
      </c>
      <c r="D16" s="25" t="s">
        <v>82</v>
      </c>
      <c r="E16" s="26" t="s">
        <v>83</v>
      </c>
      <c r="F16" s="24"/>
      <c r="G16" s="24">
        <v>30</v>
      </c>
      <c r="H16" s="27">
        <v>4.49</v>
      </c>
      <c r="I16" s="27">
        <v>4.9888888888888889</v>
      </c>
      <c r="J16" s="27">
        <v>5.6124999999999998</v>
      </c>
      <c r="K16" s="27">
        <v>4.49</v>
      </c>
      <c r="L16" s="27">
        <v>5.9078947368421053</v>
      </c>
      <c r="M16" s="28">
        <v>13.47</v>
      </c>
      <c r="N16" s="28">
        <v>13.47</v>
      </c>
      <c r="O16" s="28">
        <v>0</v>
      </c>
      <c r="P16" s="28">
        <v>13.47</v>
      </c>
      <c r="Q16" s="28">
        <v>0</v>
      </c>
      <c r="R16" s="28">
        <v>13.47</v>
      </c>
      <c r="S16" s="28">
        <v>0</v>
      </c>
      <c r="T16" s="28">
        <v>102.5679375</v>
      </c>
      <c r="U16" s="28">
        <v>0</v>
      </c>
      <c r="V16" s="28">
        <v>102.5679375</v>
      </c>
      <c r="W16" s="28">
        <v>0</v>
      </c>
      <c r="X16" s="28">
        <v>102.5679375</v>
      </c>
      <c r="Y16" s="28">
        <v>0</v>
      </c>
      <c r="Z16" s="28">
        <v>102.5679375</v>
      </c>
      <c r="AA16" s="28">
        <v>0</v>
      </c>
      <c r="AB16" s="28">
        <v>102.5679375</v>
      </c>
      <c r="AC16" s="28">
        <v>0</v>
      </c>
      <c r="AD16" s="28">
        <v>102.5679375</v>
      </c>
      <c r="AE16" s="28">
        <v>0</v>
      </c>
      <c r="AF16" s="28">
        <v>102.5679375</v>
      </c>
      <c r="AG16" s="28">
        <v>0</v>
      </c>
      <c r="AH16" s="28">
        <v>102.5679375</v>
      </c>
      <c r="AI16" s="28">
        <v>0</v>
      </c>
      <c r="AJ16" s="28">
        <v>102.5679375</v>
      </c>
      <c r="AK16" s="28">
        <v>0</v>
      </c>
      <c r="AL16" s="28">
        <v>102.5679375</v>
      </c>
      <c r="AM16" s="28">
        <v>0</v>
      </c>
      <c r="AN16" s="28">
        <v>102.5679375</v>
      </c>
      <c r="AO16" s="28">
        <v>0</v>
      </c>
      <c r="AP16" s="28">
        <v>102.5679375</v>
      </c>
      <c r="AQ16" s="28">
        <v>0</v>
      </c>
      <c r="AR16" s="28">
        <v>102.5679375</v>
      </c>
      <c r="AS16" s="28">
        <v>0</v>
      </c>
      <c r="AT16" s="28">
        <v>102.5679375</v>
      </c>
      <c r="AU16" s="28">
        <v>0</v>
      </c>
      <c r="AV16" s="28">
        <v>102.5679375</v>
      </c>
      <c r="AW16" s="28">
        <v>0</v>
      </c>
      <c r="AX16" s="28">
        <v>102.5679375</v>
      </c>
      <c r="AY16" s="28">
        <v>0</v>
      </c>
      <c r="AZ16" s="28">
        <v>102.5679375</v>
      </c>
      <c r="BA16" s="28">
        <v>0</v>
      </c>
      <c r="BB16" s="28">
        <v>102.5679375</v>
      </c>
      <c r="BC16" s="28">
        <v>0</v>
      </c>
      <c r="BD16" s="28">
        <v>102.5679375</v>
      </c>
      <c r="BE16" s="28">
        <v>0</v>
      </c>
      <c r="BF16" s="28">
        <v>102.5679375</v>
      </c>
      <c r="BG16" s="28">
        <v>0</v>
      </c>
      <c r="BH16" s="28">
        <v>102.5679375</v>
      </c>
      <c r="BI16" s="28">
        <v>0</v>
      </c>
      <c r="BJ16" s="28">
        <v>102.5679375</v>
      </c>
      <c r="BK16" s="28">
        <v>0</v>
      </c>
      <c r="BL16" s="29" t="s">
        <v>71</v>
      </c>
      <c r="BM16" s="29"/>
      <c r="BN16" s="34"/>
      <c r="BO16" s="35"/>
      <c r="BP16" s="36">
        <f t="shared" si="0"/>
        <v>0</v>
      </c>
    </row>
    <row r="17" spans="1:68" x14ac:dyDescent="0.3">
      <c r="A17" s="24" t="s">
        <v>45</v>
      </c>
      <c r="B17" s="24"/>
      <c r="C17" s="24" t="s">
        <v>84</v>
      </c>
      <c r="D17" s="25" t="s">
        <v>85</v>
      </c>
      <c r="E17" s="26" t="s">
        <v>86</v>
      </c>
      <c r="F17" s="24"/>
      <c r="G17" s="24">
        <v>24</v>
      </c>
      <c r="H17" s="27">
        <v>37.988124999999997</v>
      </c>
      <c r="I17" s="27">
        <v>42.20902777777777</v>
      </c>
      <c r="J17" s="27">
        <v>47.485156249999996</v>
      </c>
      <c r="K17" s="27">
        <v>37.988124999999997</v>
      </c>
      <c r="L17" s="27">
        <v>49.984375</v>
      </c>
      <c r="M17" s="28">
        <v>102.5679375</v>
      </c>
      <c r="N17" s="28">
        <v>102.5679375</v>
      </c>
      <c r="O17" s="28">
        <v>0</v>
      </c>
      <c r="P17" s="28">
        <v>102.5679375</v>
      </c>
      <c r="Q17" s="28">
        <v>0</v>
      </c>
      <c r="R17" s="28">
        <v>102.5679375</v>
      </c>
      <c r="S17" s="28">
        <v>0</v>
      </c>
      <c r="T17" s="28">
        <v>9.84</v>
      </c>
      <c r="U17" s="28">
        <v>13.2</v>
      </c>
      <c r="V17" s="28">
        <v>9.9</v>
      </c>
      <c r="W17" s="28">
        <v>13.28</v>
      </c>
      <c r="X17" s="28">
        <v>10.02</v>
      </c>
      <c r="Y17" s="28">
        <v>13.44</v>
      </c>
      <c r="Z17" s="28">
        <v>10.09</v>
      </c>
      <c r="AA17" s="28">
        <v>13.54</v>
      </c>
      <c r="AB17" s="28">
        <v>10.15</v>
      </c>
      <c r="AC17" s="28">
        <v>13.62</v>
      </c>
      <c r="AD17" s="28">
        <v>10.210000000000001</v>
      </c>
      <c r="AE17" s="28">
        <v>13.7</v>
      </c>
      <c r="AF17" s="28">
        <v>10.28</v>
      </c>
      <c r="AG17" s="28">
        <v>13.79</v>
      </c>
      <c r="AH17" s="28">
        <v>10.41</v>
      </c>
      <c r="AI17" s="28">
        <v>13.96</v>
      </c>
      <c r="AJ17" s="28">
        <v>10.48</v>
      </c>
      <c r="AK17" s="28">
        <v>14.06</v>
      </c>
      <c r="AL17" s="28">
        <v>10.55</v>
      </c>
      <c r="AM17" s="28">
        <v>14.15</v>
      </c>
      <c r="AN17" s="28">
        <v>8.24</v>
      </c>
      <c r="AO17" s="28">
        <v>11.39</v>
      </c>
      <c r="AP17" s="28">
        <v>8.73</v>
      </c>
      <c r="AQ17" s="28">
        <v>12.07</v>
      </c>
      <c r="AR17" s="28">
        <v>8.7899999999999991</v>
      </c>
      <c r="AS17" s="28">
        <v>12.15</v>
      </c>
      <c r="AT17" s="28">
        <v>8.84</v>
      </c>
      <c r="AU17" s="28">
        <v>12.22</v>
      </c>
      <c r="AV17" s="28">
        <v>8.9499999999999993</v>
      </c>
      <c r="AW17" s="28">
        <v>12.37</v>
      </c>
      <c r="AX17" s="28">
        <v>9.01</v>
      </c>
      <c r="AY17" s="28">
        <v>12.46</v>
      </c>
      <c r="AZ17" s="28">
        <v>9.06</v>
      </c>
      <c r="BA17" s="28">
        <v>12.52</v>
      </c>
      <c r="BB17" s="28">
        <v>9.1199999999999992</v>
      </c>
      <c r="BC17" s="28">
        <v>12.61</v>
      </c>
      <c r="BD17" s="28">
        <v>9.18</v>
      </c>
      <c r="BE17" s="28">
        <v>12.69</v>
      </c>
      <c r="BF17" s="28">
        <v>9.2899999999999991</v>
      </c>
      <c r="BG17" s="28">
        <v>12.84</v>
      </c>
      <c r="BH17" s="28">
        <v>9.35</v>
      </c>
      <c r="BI17" s="28">
        <v>12.93</v>
      </c>
      <c r="BJ17" s="28">
        <v>9.42</v>
      </c>
      <c r="BK17" s="28">
        <v>13.02</v>
      </c>
      <c r="BL17" s="29" t="s">
        <v>49</v>
      </c>
      <c r="BM17" s="29"/>
      <c r="BN17" s="34"/>
      <c r="BO17" s="35"/>
      <c r="BP17" s="36">
        <f t="shared" si="0"/>
        <v>0</v>
      </c>
    </row>
    <row r="18" spans="1:68" x14ac:dyDescent="0.3">
      <c r="A18" s="24" t="s">
        <v>45</v>
      </c>
      <c r="B18" s="24"/>
      <c r="C18" s="24" t="s">
        <v>87</v>
      </c>
      <c r="D18" s="25" t="s">
        <v>88</v>
      </c>
      <c r="E18" s="26" t="s">
        <v>89</v>
      </c>
      <c r="F18" s="24"/>
      <c r="G18" s="24">
        <v>126</v>
      </c>
      <c r="H18" s="27">
        <v>2.1005555555555557</v>
      </c>
      <c r="I18" s="27">
        <v>2.3339506172839508</v>
      </c>
      <c r="J18" s="27">
        <v>2.6256944444444446</v>
      </c>
      <c r="K18" s="27">
        <v>2.1005555555555557</v>
      </c>
      <c r="L18" s="27">
        <v>2.6256944444444446</v>
      </c>
      <c r="M18" s="28">
        <v>0</v>
      </c>
      <c r="N18" s="28">
        <v>8.1199999999999992</v>
      </c>
      <c r="O18" s="28">
        <v>10.89</v>
      </c>
      <c r="P18" s="28">
        <v>9.23</v>
      </c>
      <c r="Q18" s="28">
        <v>12.38</v>
      </c>
      <c r="R18" s="28">
        <v>9.7799999999999994</v>
      </c>
      <c r="S18" s="28">
        <v>13.12</v>
      </c>
      <c r="T18" s="28">
        <v>18.98</v>
      </c>
      <c r="U18" s="28">
        <v>25.46</v>
      </c>
      <c r="V18" s="28">
        <v>19.100000000000001</v>
      </c>
      <c r="W18" s="28">
        <v>25.62</v>
      </c>
      <c r="X18" s="28">
        <v>19.329999999999998</v>
      </c>
      <c r="Y18" s="28">
        <v>25.93</v>
      </c>
      <c r="Z18" s="28">
        <v>19.45</v>
      </c>
      <c r="AA18" s="28">
        <v>26.09</v>
      </c>
      <c r="AB18" s="28">
        <v>19.579999999999998</v>
      </c>
      <c r="AC18" s="28">
        <v>26.27</v>
      </c>
      <c r="AD18" s="28">
        <v>19.7</v>
      </c>
      <c r="AE18" s="28">
        <v>26.43</v>
      </c>
      <c r="AF18" s="28">
        <v>19.82</v>
      </c>
      <c r="AG18" s="28">
        <v>26.59</v>
      </c>
      <c r="AH18" s="28">
        <v>20.079999999999998</v>
      </c>
      <c r="AI18" s="28">
        <v>26.94</v>
      </c>
      <c r="AJ18" s="28">
        <v>20.21</v>
      </c>
      <c r="AK18" s="28">
        <v>27.11</v>
      </c>
      <c r="AL18" s="28">
        <v>20.34</v>
      </c>
      <c r="AM18" s="28">
        <v>27.29</v>
      </c>
      <c r="AN18" s="28">
        <v>15.89</v>
      </c>
      <c r="AO18" s="28">
        <v>21.97</v>
      </c>
      <c r="AP18" s="28">
        <v>16.850000000000001</v>
      </c>
      <c r="AQ18" s="28">
        <v>23.29</v>
      </c>
      <c r="AR18" s="28">
        <v>16.95</v>
      </c>
      <c r="AS18" s="28">
        <v>23.43</v>
      </c>
      <c r="AT18" s="28">
        <v>17.05</v>
      </c>
      <c r="AU18" s="28">
        <v>23.57</v>
      </c>
      <c r="AV18" s="28">
        <v>17.260000000000002</v>
      </c>
      <c r="AW18" s="28">
        <v>23.86</v>
      </c>
      <c r="AX18" s="28">
        <v>17.37</v>
      </c>
      <c r="AY18" s="28">
        <v>24.01</v>
      </c>
      <c r="AZ18" s="28">
        <v>17.48</v>
      </c>
      <c r="BA18" s="28">
        <v>24.17</v>
      </c>
      <c r="BB18" s="28">
        <v>17.59</v>
      </c>
      <c r="BC18" s="28">
        <v>24.32</v>
      </c>
      <c r="BD18" s="28">
        <v>17.7</v>
      </c>
      <c r="BE18" s="28">
        <v>24.47</v>
      </c>
      <c r="BF18" s="28">
        <v>17.93</v>
      </c>
      <c r="BG18" s="28">
        <v>24.79</v>
      </c>
      <c r="BH18" s="28">
        <v>18.04</v>
      </c>
      <c r="BI18" s="28">
        <v>24.94</v>
      </c>
      <c r="BJ18" s="28">
        <v>18.16</v>
      </c>
      <c r="BK18" s="28">
        <v>25.11</v>
      </c>
      <c r="BL18" s="29" t="s">
        <v>49</v>
      </c>
      <c r="BM18" s="29"/>
      <c r="BN18" s="34"/>
      <c r="BO18" s="35"/>
      <c r="BP18" s="36">
        <f t="shared" si="0"/>
        <v>0</v>
      </c>
    </row>
    <row r="19" spans="1:68" x14ac:dyDescent="0.3">
      <c r="A19" s="24" t="s">
        <v>45</v>
      </c>
      <c r="B19" s="24"/>
      <c r="C19" s="24" t="s">
        <v>90</v>
      </c>
      <c r="D19" s="25" t="s">
        <v>91</v>
      </c>
      <c r="E19" s="26" t="s">
        <v>92</v>
      </c>
      <c r="F19" s="24"/>
      <c r="G19" s="24">
        <v>48</v>
      </c>
      <c r="H19" s="27">
        <v>3.3222222222222224</v>
      </c>
      <c r="I19" s="27">
        <v>3.691358024691358</v>
      </c>
      <c r="J19" s="27">
        <v>4.1527777777777777</v>
      </c>
      <c r="K19" s="27">
        <v>3.3222222222222224</v>
      </c>
      <c r="L19" s="27">
        <v>4.1527777777777777</v>
      </c>
      <c r="M19" s="28">
        <v>0</v>
      </c>
      <c r="N19" s="28">
        <v>15.66</v>
      </c>
      <c r="O19" s="28">
        <v>21.01</v>
      </c>
      <c r="P19" s="28">
        <v>17.8</v>
      </c>
      <c r="Q19" s="28">
        <v>23.88</v>
      </c>
      <c r="R19" s="28">
        <v>18.87</v>
      </c>
      <c r="S19" s="28">
        <v>25.31</v>
      </c>
      <c r="T19" s="28">
        <v>54.121499999999997</v>
      </c>
      <c r="U19" s="28">
        <v>0</v>
      </c>
      <c r="V19" s="28">
        <v>54.121499999999997</v>
      </c>
      <c r="W19" s="28">
        <v>0</v>
      </c>
      <c r="X19" s="28">
        <v>54.121499999999997</v>
      </c>
      <c r="Y19" s="28">
        <v>0</v>
      </c>
      <c r="Z19" s="28">
        <v>54.121499999999997</v>
      </c>
      <c r="AA19" s="28">
        <v>0</v>
      </c>
      <c r="AB19" s="28">
        <v>54.121499999999997</v>
      </c>
      <c r="AC19" s="28">
        <v>0</v>
      </c>
      <c r="AD19" s="28">
        <v>54.121499999999997</v>
      </c>
      <c r="AE19" s="28">
        <v>0</v>
      </c>
      <c r="AF19" s="28">
        <v>54.121499999999997</v>
      </c>
      <c r="AG19" s="28">
        <v>0</v>
      </c>
      <c r="AH19" s="28">
        <v>54.121499999999997</v>
      </c>
      <c r="AI19" s="28">
        <v>0</v>
      </c>
      <c r="AJ19" s="28">
        <v>54.121499999999997</v>
      </c>
      <c r="AK19" s="28">
        <v>0</v>
      </c>
      <c r="AL19" s="28">
        <v>54.121499999999997</v>
      </c>
      <c r="AM19" s="28">
        <v>0</v>
      </c>
      <c r="AN19" s="28">
        <v>54.121499999999997</v>
      </c>
      <c r="AO19" s="28">
        <v>0</v>
      </c>
      <c r="AP19" s="28">
        <v>54.121499999999997</v>
      </c>
      <c r="AQ19" s="28">
        <v>0</v>
      </c>
      <c r="AR19" s="28">
        <v>54.121499999999997</v>
      </c>
      <c r="AS19" s="28">
        <v>0</v>
      </c>
      <c r="AT19" s="28">
        <v>54.121499999999997</v>
      </c>
      <c r="AU19" s="28">
        <v>0</v>
      </c>
      <c r="AV19" s="28">
        <v>54.121499999999997</v>
      </c>
      <c r="AW19" s="28">
        <v>0</v>
      </c>
      <c r="AX19" s="28">
        <v>54.121499999999997</v>
      </c>
      <c r="AY19" s="28">
        <v>0</v>
      </c>
      <c r="AZ19" s="28">
        <v>54.121499999999997</v>
      </c>
      <c r="BA19" s="28">
        <v>0</v>
      </c>
      <c r="BB19" s="28">
        <v>54.121499999999997</v>
      </c>
      <c r="BC19" s="28">
        <v>0</v>
      </c>
      <c r="BD19" s="28">
        <v>54.121499999999997</v>
      </c>
      <c r="BE19" s="28">
        <v>0</v>
      </c>
      <c r="BF19" s="28">
        <v>54.121499999999997</v>
      </c>
      <c r="BG19" s="28">
        <v>0</v>
      </c>
      <c r="BH19" s="28">
        <v>54.121499999999997</v>
      </c>
      <c r="BI19" s="28">
        <v>0</v>
      </c>
      <c r="BJ19" s="28">
        <v>54.121499999999997</v>
      </c>
      <c r="BK19" s="28">
        <v>0</v>
      </c>
      <c r="BL19" s="29" t="s">
        <v>71</v>
      </c>
      <c r="BM19" s="29"/>
      <c r="BN19" s="34"/>
      <c r="BO19" s="35"/>
      <c r="BP19" s="36">
        <f t="shared" si="0"/>
        <v>0</v>
      </c>
    </row>
    <row r="20" spans="1:68" x14ac:dyDescent="0.3">
      <c r="A20" s="24" t="s">
        <v>45</v>
      </c>
      <c r="B20" s="24"/>
      <c r="C20" s="24" t="s">
        <v>150</v>
      </c>
      <c r="D20" s="25" t="s">
        <v>151</v>
      </c>
      <c r="E20" s="26" t="s">
        <v>152</v>
      </c>
      <c r="F20" s="24"/>
      <c r="G20" s="24">
        <v>100</v>
      </c>
      <c r="H20" s="27">
        <v>2.99</v>
      </c>
      <c r="I20" s="27">
        <v>3.3222222222222224</v>
      </c>
      <c r="J20" s="27">
        <v>3.7375000000000003</v>
      </c>
      <c r="K20" s="27">
        <v>2.99</v>
      </c>
      <c r="L20" s="27">
        <v>3.9342105263157898</v>
      </c>
      <c r="M20" s="28">
        <v>8.9700000000000006</v>
      </c>
      <c r="N20" s="28">
        <v>8.9700000000000006</v>
      </c>
      <c r="O20" s="28">
        <v>0</v>
      </c>
      <c r="P20" s="28">
        <v>8.9700000000000006</v>
      </c>
      <c r="Q20" s="28">
        <v>0</v>
      </c>
      <c r="R20" s="28">
        <v>8.9700000000000006</v>
      </c>
      <c r="S20" s="28">
        <v>0</v>
      </c>
      <c r="T20" s="28">
        <v>60.886687499999994</v>
      </c>
      <c r="U20" s="28">
        <v>0</v>
      </c>
      <c r="V20" s="28">
        <v>60.886687499999994</v>
      </c>
      <c r="W20" s="28">
        <v>0</v>
      </c>
      <c r="X20" s="28">
        <v>60.886687499999994</v>
      </c>
      <c r="Y20" s="28">
        <v>0</v>
      </c>
      <c r="Z20" s="28">
        <v>60.886687499999994</v>
      </c>
      <c r="AA20" s="28">
        <v>0</v>
      </c>
      <c r="AB20" s="28">
        <v>60.886687499999994</v>
      </c>
      <c r="AC20" s="28">
        <v>0</v>
      </c>
      <c r="AD20" s="28">
        <v>60.886687499999994</v>
      </c>
      <c r="AE20" s="28">
        <v>0</v>
      </c>
      <c r="AF20" s="28">
        <v>60.886687499999994</v>
      </c>
      <c r="AG20" s="28">
        <v>0</v>
      </c>
      <c r="AH20" s="28">
        <v>60.886687499999994</v>
      </c>
      <c r="AI20" s="28">
        <v>0</v>
      </c>
      <c r="AJ20" s="28">
        <v>60.886687499999994</v>
      </c>
      <c r="AK20" s="28">
        <v>0</v>
      </c>
      <c r="AL20" s="28">
        <v>60.886687499999994</v>
      </c>
      <c r="AM20" s="28">
        <v>0</v>
      </c>
      <c r="AN20" s="28">
        <v>60.886687499999994</v>
      </c>
      <c r="AO20" s="28">
        <v>0</v>
      </c>
      <c r="AP20" s="28">
        <v>60.886687499999994</v>
      </c>
      <c r="AQ20" s="28">
        <v>0</v>
      </c>
      <c r="AR20" s="28">
        <v>60.886687499999994</v>
      </c>
      <c r="AS20" s="28">
        <v>0</v>
      </c>
      <c r="AT20" s="28">
        <v>60.886687499999994</v>
      </c>
      <c r="AU20" s="28">
        <v>0</v>
      </c>
      <c r="AV20" s="28">
        <v>60.886687499999994</v>
      </c>
      <c r="AW20" s="28">
        <v>0</v>
      </c>
      <c r="AX20" s="28">
        <v>60.886687499999994</v>
      </c>
      <c r="AY20" s="28">
        <v>0</v>
      </c>
      <c r="AZ20" s="28">
        <v>60.886687499999994</v>
      </c>
      <c r="BA20" s="28">
        <v>0</v>
      </c>
      <c r="BB20" s="28">
        <v>60.886687499999994</v>
      </c>
      <c r="BC20" s="28">
        <v>0</v>
      </c>
      <c r="BD20" s="28">
        <v>60.886687499999994</v>
      </c>
      <c r="BE20" s="28">
        <v>0</v>
      </c>
      <c r="BF20" s="28">
        <v>60.886687499999994</v>
      </c>
      <c r="BG20" s="28">
        <v>0</v>
      </c>
      <c r="BH20" s="28">
        <v>60.886687499999994</v>
      </c>
      <c r="BI20" s="28">
        <v>0</v>
      </c>
      <c r="BJ20" s="28">
        <v>60.886687499999994</v>
      </c>
      <c r="BK20" s="28">
        <v>0</v>
      </c>
      <c r="BL20" s="29" t="s">
        <v>71</v>
      </c>
      <c r="BM20" s="29"/>
      <c r="BN20" s="34"/>
      <c r="BO20" s="35"/>
      <c r="BP20" s="36">
        <f t="shared" si="0"/>
        <v>0</v>
      </c>
    </row>
    <row r="21" spans="1:68" x14ac:dyDescent="0.3">
      <c r="A21" s="24" t="s">
        <v>45</v>
      </c>
      <c r="B21" s="24"/>
      <c r="C21" s="24" t="s">
        <v>174</v>
      </c>
      <c r="D21" s="30" t="s">
        <v>175</v>
      </c>
      <c r="E21" s="31" t="s">
        <v>176</v>
      </c>
      <c r="F21" s="24"/>
      <c r="G21" s="24">
        <v>50</v>
      </c>
      <c r="H21" s="27">
        <v>5.34375</v>
      </c>
      <c r="I21" s="27">
        <v>5.9375</v>
      </c>
      <c r="J21" s="27">
        <v>6.6796875</v>
      </c>
      <c r="K21" s="27">
        <v>5.34375</v>
      </c>
      <c r="L21" s="27">
        <v>7.03125</v>
      </c>
      <c r="M21" s="28">
        <v>14.428125000000001</v>
      </c>
      <c r="N21" s="28">
        <v>14.428125000000001</v>
      </c>
      <c r="O21" s="28">
        <v>0</v>
      </c>
      <c r="P21" s="28">
        <v>14.428125000000001</v>
      </c>
      <c r="Q21" s="28">
        <v>0</v>
      </c>
      <c r="R21" s="28">
        <v>14.428125000000001</v>
      </c>
      <c r="S21" s="28">
        <v>0</v>
      </c>
      <c r="T21" s="28">
        <v>72.600000000000009</v>
      </c>
      <c r="U21" s="28">
        <v>0</v>
      </c>
      <c r="V21" s="28">
        <v>72.600000000000009</v>
      </c>
      <c r="W21" s="28">
        <v>0</v>
      </c>
      <c r="X21" s="28">
        <v>72.600000000000009</v>
      </c>
      <c r="Y21" s="28">
        <v>0</v>
      </c>
      <c r="Z21" s="28">
        <v>72.600000000000009</v>
      </c>
      <c r="AA21" s="28">
        <v>0</v>
      </c>
      <c r="AB21" s="28">
        <v>72.600000000000009</v>
      </c>
      <c r="AC21" s="28">
        <v>0</v>
      </c>
      <c r="AD21" s="28">
        <v>72.600000000000009</v>
      </c>
      <c r="AE21" s="28">
        <v>0</v>
      </c>
      <c r="AF21" s="28">
        <v>72.600000000000009</v>
      </c>
      <c r="AG21" s="28">
        <v>0</v>
      </c>
      <c r="AH21" s="28">
        <v>72.600000000000009</v>
      </c>
      <c r="AI21" s="28">
        <v>0</v>
      </c>
      <c r="AJ21" s="28">
        <v>72.600000000000009</v>
      </c>
      <c r="AK21" s="28">
        <v>0</v>
      </c>
      <c r="AL21" s="28">
        <v>72.600000000000009</v>
      </c>
      <c r="AM21" s="28">
        <v>0</v>
      </c>
      <c r="AN21" s="28">
        <v>72.600000000000009</v>
      </c>
      <c r="AO21" s="28">
        <v>0</v>
      </c>
      <c r="AP21" s="28">
        <v>72.600000000000009</v>
      </c>
      <c r="AQ21" s="28">
        <v>0</v>
      </c>
      <c r="AR21" s="28">
        <v>72.600000000000009</v>
      </c>
      <c r="AS21" s="28">
        <v>0</v>
      </c>
      <c r="AT21" s="28">
        <v>72.600000000000009</v>
      </c>
      <c r="AU21" s="28">
        <v>0</v>
      </c>
      <c r="AV21" s="28">
        <v>72.600000000000009</v>
      </c>
      <c r="AW21" s="28">
        <v>0</v>
      </c>
      <c r="AX21" s="28">
        <v>72.600000000000009</v>
      </c>
      <c r="AY21" s="28">
        <v>0</v>
      </c>
      <c r="AZ21" s="28">
        <v>72.600000000000009</v>
      </c>
      <c r="BA21" s="28">
        <v>0</v>
      </c>
      <c r="BB21" s="28">
        <v>72.600000000000009</v>
      </c>
      <c r="BC21" s="28">
        <v>0</v>
      </c>
      <c r="BD21" s="28">
        <v>72.600000000000009</v>
      </c>
      <c r="BE21" s="28">
        <v>0</v>
      </c>
      <c r="BF21" s="28">
        <v>72.600000000000009</v>
      </c>
      <c r="BG21" s="28">
        <v>0</v>
      </c>
      <c r="BH21" s="28">
        <v>72.600000000000009</v>
      </c>
      <c r="BI21" s="28">
        <v>0</v>
      </c>
      <c r="BJ21" s="28">
        <v>72.600000000000009</v>
      </c>
      <c r="BK21" s="28">
        <v>0</v>
      </c>
      <c r="BL21" s="29" t="s">
        <v>71</v>
      </c>
      <c r="BM21" s="29"/>
      <c r="BN21" s="34"/>
      <c r="BO21" s="35"/>
      <c r="BP21" s="36">
        <f t="shared" si="0"/>
        <v>0</v>
      </c>
    </row>
    <row r="22" spans="1:68" x14ac:dyDescent="0.3">
      <c r="A22" s="24" t="s">
        <v>45</v>
      </c>
      <c r="B22" s="24"/>
      <c r="C22" s="24" t="s">
        <v>168</v>
      </c>
      <c r="D22" s="25" t="s">
        <v>169</v>
      </c>
      <c r="E22" s="26" t="s">
        <v>170</v>
      </c>
      <c r="F22" s="24"/>
      <c r="G22" s="24">
        <v>30</v>
      </c>
      <c r="H22" s="27">
        <v>3.6944444444444446</v>
      </c>
      <c r="I22" s="27">
        <v>4.1049382716049383</v>
      </c>
      <c r="J22" s="27">
        <v>4.6180555555555554</v>
      </c>
      <c r="K22" s="27">
        <v>3.6944444444444446</v>
      </c>
      <c r="L22" s="27">
        <v>4.8611111111111107</v>
      </c>
      <c r="M22" s="28">
        <v>0</v>
      </c>
      <c r="N22" s="28">
        <v>19.25</v>
      </c>
      <c r="O22" s="28">
        <v>25.82</v>
      </c>
      <c r="P22" s="28">
        <v>21.88</v>
      </c>
      <c r="Q22" s="28">
        <v>29.35</v>
      </c>
      <c r="R22" s="28">
        <v>23.19</v>
      </c>
      <c r="S22" s="28">
        <v>31.11</v>
      </c>
      <c r="T22" s="28">
        <v>13.645800000000001</v>
      </c>
      <c r="U22" s="28">
        <v>0</v>
      </c>
      <c r="V22" s="28">
        <v>13.645800000000001</v>
      </c>
      <c r="W22" s="28">
        <v>0</v>
      </c>
      <c r="X22" s="28">
        <v>13.645800000000001</v>
      </c>
      <c r="Y22" s="28">
        <v>0</v>
      </c>
      <c r="Z22" s="28">
        <v>13.645800000000001</v>
      </c>
      <c r="AA22" s="28">
        <v>0</v>
      </c>
      <c r="AB22" s="28">
        <v>13.645800000000001</v>
      </c>
      <c r="AC22" s="28">
        <v>0</v>
      </c>
      <c r="AD22" s="28">
        <v>13.645800000000001</v>
      </c>
      <c r="AE22" s="28">
        <v>0</v>
      </c>
      <c r="AF22" s="28">
        <v>13.645800000000001</v>
      </c>
      <c r="AG22" s="28">
        <v>0</v>
      </c>
      <c r="AH22" s="28">
        <v>13.645800000000001</v>
      </c>
      <c r="AI22" s="28">
        <v>0</v>
      </c>
      <c r="AJ22" s="28">
        <v>13.645800000000001</v>
      </c>
      <c r="AK22" s="28">
        <v>0</v>
      </c>
      <c r="AL22" s="28">
        <v>13.645800000000001</v>
      </c>
      <c r="AM22" s="28">
        <v>0</v>
      </c>
      <c r="AN22" s="28">
        <v>13.645800000000001</v>
      </c>
      <c r="AO22" s="28">
        <v>0</v>
      </c>
      <c r="AP22" s="28">
        <v>13.645800000000001</v>
      </c>
      <c r="AQ22" s="28">
        <v>0</v>
      </c>
      <c r="AR22" s="28">
        <v>13.645800000000001</v>
      </c>
      <c r="AS22" s="28">
        <v>0</v>
      </c>
      <c r="AT22" s="28">
        <v>13.645800000000001</v>
      </c>
      <c r="AU22" s="28">
        <v>0</v>
      </c>
      <c r="AV22" s="28">
        <v>13.645800000000001</v>
      </c>
      <c r="AW22" s="28">
        <v>0</v>
      </c>
      <c r="AX22" s="28">
        <v>13.645800000000001</v>
      </c>
      <c r="AY22" s="28">
        <v>0</v>
      </c>
      <c r="AZ22" s="28">
        <v>13.645800000000001</v>
      </c>
      <c r="BA22" s="28">
        <v>0</v>
      </c>
      <c r="BB22" s="28">
        <v>13.645800000000001</v>
      </c>
      <c r="BC22" s="28">
        <v>0</v>
      </c>
      <c r="BD22" s="28">
        <v>13.645800000000001</v>
      </c>
      <c r="BE22" s="28">
        <v>0</v>
      </c>
      <c r="BF22" s="28">
        <v>13.645800000000001</v>
      </c>
      <c r="BG22" s="28">
        <v>0</v>
      </c>
      <c r="BH22" s="28">
        <v>13.645800000000001</v>
      </c>
      <c r="BI22" s="28">
        <v>0</v>
      </c>
      <c r="BJ22" s="28">
        <v>13.645800000000001</v>
      </c>
      <c r="BK22" s="28">
        <v>0</v>
      </c>
      <c r="BL22" s="29" t="s">
        <v>71</v>
      </c>
      <c r="BM22" s="29"/>
      <c r="BN22" s="34"/>
      <c r="BO22" s="35"/>
      <c r="BP22" s="36">
        <f t="shared" si="0"/>
        <v>0</v>
      </c>
    </row>
    <row r="23" spans="1:68" x14ac:dyDescent="0.3">
      <c r="A23" s="24" t="s">
        <v>45</v>
      </c>
      <c r="B23" s="24"/>
      <c r="C23" s="24" t="s">
        <v>93</v>
      </c>
      <c r="D23" s="25" t="s">
        <v>94</v>
      </c>
      <c r="E23" s="26" t="s">
        <v>95</v>
      </c>
      <c r="F23" s="24"/>
      <c r="G23" s="24">
        <v>80</v>
      </c>
      <c r="H23" s="27">
        <v>20.044999999999998</v>
      </c>
      <c r="I23" s="27">
        <v>22.272222222222219</v>
      </c>
      <c r="J23" s="27">
        <v>25.056249999999995</v>
      </c>
      <c r="K23" s="27">
        <v>20.044999999999998</v>
      </c>
      <c r="L23" s="27">
        <v>26.374999999999996</v>
      </c>
      <c r="M23" s="28">
        <v>54.121499999999997</v>
      </c>
      <c r="N23" s="28">
        <v>54.121499999999997</v>
      </c>
      <c r="O23" s="28">
        <v>0</v>
      </c>
      <c r="P23" s="28">
        <v>54.121499999999997</v>
      </c>
      <c r="Q23" s="28">
        <v>0</v>
      </c>
      <c r="R23" s="28">
        <v>54.121499999999997</v>
      </c>
      <c r="S23" s="28">
        <v>0</v>
      </c>
      <c r="T23" s="28">
        <v>37.76</v>
      </c>
      <c r="U23" s="28">
        <v>50.65</v>
      </c>
      <c r="V23" s="28">
        <v>37.99</v>
      </c>
      <c r="W23" s="28">
        <v>50.96</v>
      </c>
      <c r="X23" s="28">
        <v>38.46</v>
      </c>
      <c r="Y23" s="28">
        <v>51.59</v>
      </c>
      <c r="Z23" s="28">
        <v>38.700000000000003</v>
      </c>
      <c r="AA23" s="28">
        <v>51.91</v>
      </c>
      <c r="AB23" s="28">
        <v>38.94</v>
      </c>
      <c r="AC23" s="28">
        <v>52.24</v>
      </c>
      <c r="AD23" s="28">
        <v>39.18</v>
      </c>
      <c r="AE23" s="28">
        <v>52.56</v>
      </c>
      <c r="AF23" s="28">
        <v>39.43</v>
      </c>
      <c r="AG23" s="28">
        <v>52.89</v>
      </c>
      <c r="AH23" s="28">
        <v>39.94</v>
      </c>
      <c r="AI23" s="28">
        <v>53.58</v>
      </c>
      <c r="AJ23" s="28">
        <v>40.19</v>
      </c>
      <c r="AK23" s="28">
        <v>53.91</v>
      </c>
      <c r="AL23" s="28">
        <v>40.450000000000003</v>
      </c>
      <c r="AM23" s="28">
        <v>54.26</v>
      </c>
      <c r="AN23" s="28">
        <v>31.61</v>
      </c>
      <c r="AO23" s="28">
        <v>43.7</v>
      </c>
      <c r="AP23" s="28">
        <v>33.51</v>
      </c>
      <c r="AQ23" s="28">
        <v>46.33</v>
      </c>
      <c r="AR23" s="28">
        <v>33.71</v>
      </c>
      <c r="AS23" s="28">
        <v>46.6</v>
      </c>
      <c r="AT23" s="28">
        <v>33.92</v>
      </c>
      <c r="AU23" s="28">
        <v>46.89</v>
      </c>
      <c r="AV23" s="28">
        <v>34.340000000000003</v>
      </c>
      <c r="AW23" s="28">
        <v>47.47</v>
      </c>
      <c r="AX23" s="28">
        <v>34.549999999999997</v>
      </c>
      <c r="AY23" s="28">
        <v>47.76</v>
      </c>
      <c r="AZ23" s="28">
        <v>34.770000000000003</v>
      </c>
      <c r="BA23" s="28">
        <v>48.07</v>
      </c>
      <c r="BB23" s="28">
        <v>34.979999999999997</v>
      </c>
      <c r="BC23" s="28">
        <v>48.36</v>
      </c>
      <c r="BD23" s="28">
        <v>35.21</v>
      </c>
      <c r="BE23" s="28">
        <v>48.68</v>
      </c>
      <c r="BF23" s="28">
        <v>35.659999999999997</v>
      </c>
      <c r="BG23" s="28">
        <v>49.3</v>
      </c>
      <c r="BH23" s="28">
        <v>35.89</v>
      </c>
      <c r="BI23" s="28">
        <v>49.62</v>
      </c>
      <c r="BJ23" s="28">
        <v>36.119999999999997</v>
      </c>
      <c r="BK23" s="28">
        <v>49.93</v>
      </c>
      <c r="BL23" s="29" t="s">
        <v>49</v>
      </c>
      <c r="BM23" s="29"/>
      <c r="BN23" s="34"/>
      <c r="BO23" s="35"/>
      <c r="BP23" s="36">
        <f t="shared" si="0"/>
        <v>0</v>
      </c>
    </row>
    <row r="24" spans="1:68" x14ac:dyDescent="0.3">
      <c r="A24" s="24" t="s">
        <v>45</v>
      </c>
      <c r="B24" s="24"/>
      <c r="C24" s="24" t="s">
        <v>162</v>
      </c>
      <c r="D24" s="25" t="s">
        <v>163</v>
      </c>
      <c r="E24" s="26" t="s">
        <v>164</v>
      </c>
      <c r="F24" s="24"/>
      <c r="G24" s="24">
        <v>18</v>
      </c>
      <c r="H24" s="27">
        <v>26.666666666666664</v>
      </c>
      <c r="I24" s="27">
        <v>29.629629629629626</v>
      </c>
      <c r="J24" s="27">
        <v>33.333333333333329</v>
      </c>
      <c r="K24" s="27">
        <v>26.666666666666664</v>
      </c>
      <c r="L24" s="27">
        <v>35.087719298245609</v>
      </c>
      <c r="M24" s="28">
        <v>72</v>
      </c>
      <c r="N24" s="28">
        <v>72</v>
      </c>
      <c r="O24" s="28">
        <v>0</v>
      </c>
      <c r="P24" s="28">
        <v>72</v>
      </c>
      <c r="Q24" s="28">
        <v>0</v>
      </c>
      <c r="R24" s="28">
        <v>72</v>
      </c>
      <c r="S24" s="28">
        <v>0</v>
      </c>
      <c r="T24" s="28">
        <v>27.88</v>
      </c>
      <c r="U24" s="28">
        <v>37.4</v>
      </c>
      <c r="V24" s="28">
        <v>28.05</v>
      </c>
      <c r="W24" s="28">
        <v>37.630000000000003</v>
      </c>
      <c r="X24" s="28">
        <v>28.4</v>
      </c>
      <c r="Y24" s="28">
        <v>38.1</v>
      </c>
      <c r="Z24" s="28">
        <v>28.57</v>
      </c>
      <c r="AA24" s="28">
        <v>38.33</v>
      </c>
      <c r="AB24" s="28">
        <v>28.75</v>
      </c>
      <c r="AC24" s="28">
        <v>38.57</v>
      </c>
      <c r="AD24" s="28">
        <v>28.93</v>
      </c>
      <c r="AE24" s="28">
        <v>38.81</v>
      </c>
      <c r="AF24" s="28">
        <v>29.11</v>
      </c>
      <c r="AG24" s="28">
        <v>39.049999999999997</v>
      </c>
      <c r="AH24" s="28">
        <v>29.49</v>
      </c>
      <c r="AI24" s="28">
        <v>39.56</v>
      </c>
      <c r="AJ24" s="28">
        <v>29.68</v>
      </c>
      <c r="AK24" s="28">
        <v>39.81</v>
      </c>
      <c r="AL24" s="28">
        <v>29.87</v>
      </c>
      <c r="AM24" s="28">
        <v>40.07</v>
      </c>
      <c r="AN24" s="28">
        <v>23.34</v>
      </c>
      <c r="AO24" s="28">
        <v>32.270000000000003</v>
      </c>
      <c r="AP24" s="28">
        <v>24.74</v>
      </c>
      <c r="AQ24" s="28">
        <v>34.200000000000003</v>
      </c>
      <c r="AR24" s="28">
        <v>24.89</v>
      </c>
      <c r="AS24" s="28">
        <v>34.409999999999997</v>
      </c>
      <c r="AT24" s="28">
        <v>25.04</v>
      </c>
      <c r="AU24" s="28">
        <v>34.619999999999997</v>
      </c>
      <c r="AV24" s="28">
        <v>25.35</v>
      </c>
      <c r="AW24" s="28">
        <v>35.04</v>
      </c>
      <c r="AX24" s="28">
        <v>25.51</v>
      </c>
      <c r="AY24" s="28">
        <v>35.270000000000003</v>
      </c>
      <c r="AZ24" s="28">
        <v>25.67</v>
      </c>
      <c r="BA24" s="28">
        <v>35.49</v>
      </c>
      <c r="BB24" s="28">
        <v>25.83</v>
      </c>
      <c r="BC24" s="28">
        <v>35.71</v>
      </c>
      <c r="BD24" s="28">
        <v>25.99</v>
      </c>
      <c r="BE24" s="28">
        <v>35.93</v>
      </c>
      <c r="BF24" s="28">
        <v>26.33</v>
      </c>
      <c r="BG24" s="28">
        <v>36.4</v>
      </c>
      <c r="BH24" s="28">
        <v>26.5</v>
      </c>
      <c r="BI24" s="28">
        <v>36.630000000000003</v>
      </c>
      <c r="BJ24" s="28">
        <v>26.67</v>
      </c>
      <c r="BK24" s="28">
        <v>36.869999999999997</v>
      </c>
      <c r="BL24" s="29" t="s">
        <v>49</v>
      </c>
      <c r="BM24" s="29"/>
      <c r="BN24" s="34"/>
      <c r="BO24" s="35"/>
      <c r="BP24" s="36">
        <f t="shared" si="0"/>
        <v>0</v>
      </c>
    </row>
    <row r="25" spans="1:68" x14ac:dyDescent="0.3">
      <c r="A25" s="24" t="s">
        <v>45</v>
      </c>
      <c r="B25" s="24"/>
      <c r="C25" s="24" t="s">
        <v>96</v>
      </c>
      <c r="D25" s="25" t="s">
        <v>97</v>
      </c>
      <c r="E25" s="26" t="s">
        <v>98</v>
      </c>
      <c r="F25" s="24"/>
      <c r="G25" s="24">
        <v>80</v>
      </c>
      <c r="H25" s="27">
        <v>22.550624999999997</v>
      </c>
      <c r="I25" s="27">
        <v>25.056249999999995</v>
      </c>
      <c r="J25" s="27">
        <v>28.188281249999996</v>
      </c>
      <c r="K25" s="27">
        <v>22.550624999999997</v>
      </c>
      <c r="L25" s="27">
        <v>29.671874999999996</v>
      </c>
      <c r="M25" s="28">
        <v>60.886687499999994</v>
      </c>
      <c r="N25" s="28">
        <v>60.886687499999994</v>
      </c>
      <c r="O25" s="28">
        <v>0</v>
      </c>
      <c r="P25" s="28">
        <v>60.886687499999994</v>
      </c>
      <c r="Q25" s="28">
        <v>0</v>
      </c>
      <c r="R25" s="28">
        <v>60.886687499999994</v>
      </c>
      <c r="S25" s="28">
        <v>0</v>
      </c>
      <c r="T25" s="28">
        <v>24.62</v>
      </c>
      <c r="U25" s="28">
        <v>33.03</v>
      </c>
      <c r="V25" s="28">
        <v>24.77</v>
      </c>
      <c r="W25" s="28">
        <v>33.229999999999997</v>
      </c>
      <c r="X25" s="28">
        <v>25.07</v>
      </c>
      <c r="Y25" s="28">
        <v>33.630000000000003</v>
      </c>
      <c r="Z25" s="28">
        <v>25.23</v>
      </c>
      <c r="AA25" s="28">
        <v>33.85</v>
      </c>
      <c r="AB25" s="28">
        <v>25.39</v>
      </c>
      <c r="AC25" s="28">
        <v>34.06</v>
      </c>
      <c r="AD25" s="28">
        <v>25.55</v>
      </c>
      <c r="AE25" s="28">
        <v>34.270000000000003</v>
      </c>
      <c r="AF25" s="28">
        <v>25.71</v>
      </c>
      <c r="AG25" s="28">
        <v>34.49</v>
      </c>
      <c r="AH25" s="28">
        <v>26.04</v>
      </c>
      <c r="AI25" s="28">
        <v>34.93</v>
      </c>
      <c r="AJ25" s="28">
        <v>26.21</v>
      </c>
      <c r="AK25" s="28">
        <v>35.159999999999997</v>
      </c>
      <c r="AL25" s="28">
        <v>26.38</v>
      </c>
      <c r="AM25" s="28">
        <v>35.39</v>
      </c>
      <c r="AN25" s="28">
        <v>20.61</v>
      </c>
      <c r="AO25" s="28">
        <v>28.49</v>
      </c>
      <c r="AP25" s="28">
        <v>21.85</v>
      </c>
      <c r="AQ25" s="28">
        <v>30.21</v>
      </c>
      <c r="AR25" s="28">
        <v>21.98</v>
      </c>
      <c r="AS25" s="28">
        <v>30.39</v>
      </c>
      <c r="AT25" s="28">
        <v>22.11</v>
      </c>
      <c r="AU25" s="28">
        <v>30.57</v>
      </c>
      <c r="AV25" s="28">
        <v>22.39</v>
      </c>
      <c r="AW25" s="28">
        <v>30.95</v>
      </c>
      <c r="AX25" s="28">
        <v>22.53</v>
      </c>
      <c r="AY25" s="28">
        <v>31.15</v>
      </c>
      <c r="AZ25" s="28">
        <v>22.67</v>
      </c>
      <c r="BA25" s="28">
        <v>31.34</v>
      </c>
      <c r="BB25" s="28">
        <v>22.81</v>
      </c>
      <c r="BC25" s="28">
        <v>31.53</v>
      </c>
      <c r="BD25" s="28">
        <v>22.95</v>
      </c>
      <c r="BE25" s="28">
        <v>31.73</v>
      </c>
      <c r="BF25" s="28">
        <v>23.25</v>
      </c>
      <c r="BG25" s="28">
        <v>32.14</v>
      </c>
      <c r="BH25" s="28">
        <v>23.4</v>
      </c>
      <c r="BI25" s="28">
        <v>32.35</v>
      </c>
      <c r="BJ25" s="28">
        <v>23.55</v>
      </c>
      <c r="BK25" s="28">
        <v>32.56</v>
      </c>
      <c r="BL25" s="29" t="s">
        <v>49</v>
      </c>
      <c r="BM25" s="29"/>
      <c r="BN25" s="34"/>
      <c r="BO25" s="35"/>
      <c r="BP25" s="36">
        <f t="shared" si="0"/>
        <v>0</v>
      </c>
    </row>
    <row r="26" spans="1:68" x14ac:dyDescent="0.3">
      <c r="A26" s="24" t="s">
        <v>45</v>
      </c>
      <c r="B26" s="24"/>
      <c r="C26" s="24" t="s">
        <v>99</v>
      </c>
      <c r="D26" s="25" t="s">
        <v>100</v>
      </c>
      <c r="E26" s="26" t="s">
        <v>101</v>
      </c>
      <c r="F26" s="24"/>
      <c r="G26" s="24">
        <v>80</v>
      </c>
      <c r="H26" s="27">
        <v>24.200000000000003</v>
      </c>
      <c r="I26" s="27">
        <v>26.888888888888893</v>
      </c>
      <c r="J26" s="27">
        <v>30.250000000000004</v>
      </c>
      <c r="K26" s="27">
        <v>24.200000000000003</v>
      </c>
      <c r="L26" s="27">
        <v>31.842105263157901</v>
      </c>
      <c r="M26" s="28">
        <v>72.600000000000009</v>
      </c>
      <c r="N26" s="28">
        <v>72.600000000000009</v>
      </c>
      <c r="O26" s="28">
        <v>0</v>
      </c>
      <c r="P26" s="28">
        <v>72.600000000000009</v>
      </c>
      <c r="Q26" s="28">
        <v>0</v>
      </c>
      <c r="R26" s="28">
        <v>72.600000000000009</v>
      </c>
      <c r="S26" s="28">
        <v>0</v>
      </c>
      <c r="T26" s="28">
        <v>15.675000000000001</v>
      </c>
      <c r="U26" s="28">
        <v>0</v>
      </c>
      <c r="V26" s="28">
        <v>15.675000000000001</v>
      </c>
      <c r="W26" s="28">
        <v>0</v>
      </c>
      <c r="X26" s="28">
        <v>15.675000000000001</v>
      </c>
      <c r="Y26" s="28">
        <v>0</v>
      </c>
      <c r="Z26" s="28">
        <v>15.675000000000001</v>
      </c>
      <c r="AA26" s="28">
        <v>0</v>
      </c>
      <c r="AB26" s="28">
        <v>15.675000000000001</v>
      </c>
      <c r="AC26" s="28">
        <v>0</v>
      </c>
      <c r="AD26" s="28">
        <v>15.675000000000001</v>
      </c>
      <c r="AE26" s="28">
        <v>0</v>
      </c>
      <c r="AF26" s="28">
        <v>15.675000000000001</v>
      </c>
      <c r="AG26" s="28">
        <v>0</v>
      </c>
      <c r="AH26" s="28">
        <v>15.675000000000001</v>
      </c>
      <c r="AI26" s="28">
        <v>0</v>
      </c>
      <c r="AJ26" s="28">
        <v>15.675000000000001</v>
      </c>
      <c r="AK26" s="28">
        <v>0</v>
      </c>
      <c r="AL26" s="28">
        <v>15.675000000000001</v>
      </c>
      <c r="AM26" s="28">
        <v>0</v>
      </c>
      <c r="AN26" s="28">
        <v>15.675000000000001</v>
      </c>
      <c r="AO26" s="28">
        <v>0</v>
      </c>
      <c r="AP26" s="28">
        <v>15.675000000000001</v>
      </c>
      <c r="AQ26" s="28">
        <v>0</v>
      </c>
      <c r="AR26" s="28">
        <v>15.675000000000001</v>
      </c>
      <c r="AS26" s="28">
        <v>0</v>
      </c>
      <c r="AT26" s="28">
        <v>15.675000000000001</v>
      </c>
      <c r="AU26" s="28">
        <v>0</v>
      </c>
      <c r="AV26" s="28">
        <v>15.675000000000001</v>
      </c>
      <c r="AW26" s="28">
        <v>0</v>
      </c>
      <c r="AX26" s="28">
        <v>15.675000000000001</v>
      </c>
      <c r="AY26" s="28">
        <v>0</v>
      </c>
      <c r="AZ26" s="28">
        <v>15.675000000000001</v>
      </c>
      <c r="BA26" s="28">
        <v>0</v>
      </c>
      <c r="BB26" s="28">
        <v>15.675000000000001</v>
      </c>
      <c r="BC26" s="28">
        <v>0</v>
      </c>
      <c r="BD26" s="28">
        <v>15.675000000000001</v>
      </c>
      <c r="BE26" s="28">
        <v>0</v>
      </c>
      <c r="BF26" s="28">
        <v>15.675000000000001</v>
      </c>
      <c r="BG26" s="28">
        <v>0</v>
      </c>
      <c r="BH26" s="28">
        <v>15.675000000000001</v>
      </c>
      <c r="BI26" s="28">
        <v>0</v>
      </c>
      <c r="BJ26" s="28">
        <v>15.675000000000001</v>
      </c>
      <c r="BK26" s="28">
        <v>0</v>
      </c>
      <c r="BL26" s="29" t="s">
        <v>71</v>
      </c>
      <c r="BM26" s="29"/>
      <c r="BN26" s="34"/>
      <c r="BO26" s="35"/>
      <c r="BP26" s="36">
        <f t="shared" si="0"/>
        <v>0</v>
      </c>
    </row>
    <row r="27" spans="1:68" x14ac:dyDescent="0.3">
      <c r="A27" s="24" t="s">
        <v>45</v>
      </c>
      <c r="B27" s="24"/>
      <c r="C27" s="24" t="s">
        <v>102</v>
      </c>
      <c r="D27" s="25" t="s">
        <v>103</v>
      </c>
      <c r="E27" s="26" t="s">
        <v>104</v>
      </c>
      <c r="F27" s="24"/>
      <c r="G27" s="24">
        <v>30</v>
      </c>
      <c r="H27" s="27">
        <v>5.0540000000000003</v>
      </c>
      <c r="I27" s="27">
        <v>5.6155555555555559</v>
      </c>
      <c r="J27" s="27">
        <v>6.3174999999999999</v>
      </c>
      <c r="K27" s="27">
        <v>5.0540000000000003</v>
      </c>
      <c r="L27" s="27">
        <v>6.65</v>
      </c>
      <c r="M27" s="28">
        <v>13.645800000000001</v>
      </c>
      <c r="N27" s="28">
        <v>13.645800000000001</v>
      </c>
      <c r="O27" s="28">
        <v>0</v>
      </c>
      <c r="P27" s="28">
        <v>13.645800000000001</v>
      </c>
      <c r="Q27" s="28">
        <v>0</v>
      </c>
      <c r="R27" s="28">
        <v>13.645800000000001</v>
      </c>
      <c r="S27" s="28">
        <v>0</v>
      </c>
      <c r="T27" s="28">
        <v>257.76666666666671</v>
      </c>
      <c r="U27" s="28">
        <v>0</v>
      </c>
      <c r="V27" s="28">
        <v>257.76666666666671</v>
      </c>
      <c r="W27" s="28">
        <v>0</v>
      </c>
      <c r="X27" s="28">
        <v>257.76666666666671</v>
      </c>
      <c r="Y27" s="28">
        <v>0</v>
      </c>
      <c r="Z27" s="28">
        <v>257.76666666666671</v>
      </c>
      <c r="AA27" s="28">
        <v>0</v>
      </c>
      <c r="AB27" s="28">
        <v>257.76666666666671</v>
      </c>
      <c r="AC27" s="28">
        <v>0</v>
      </c>
      <c r="AD27" s="28">
        <v>257.76666666666671</v>
      </c>
      <c r="AE27" s="28">
        <v>0</v>
      </c>
      <c r="AF27" s="28">
        <v>257.76666666666671</v>
      </c>
      <c r="AG27" s="28">
        <v>0</v>
      </c>
      <c r="AH27" s="28">
        <v>257.76666666666671</v>
      </c>
      <c r="AI27" s="28">
        <v>0</v>
      </c>
      <c r="AJ27" s="28">
        <v>257.76666666666671</v>
      </c>
      <c r="AK27" s="28">
        <v>0</v>
      </c>
      <c r="AL27" s="28">
        <v>257.76666666666671</v>
      </c>
      <c r="AM27" s="28">
        <v>0</v>
      </c>
      <c r="AN27" s="28">
        <v>257.76666666666671</v>
      </c>
      <c r="AO27" s="28">
        <v>0</v>
      </c>
      <c r="AP27" s="28">
        <v>257.76666666666671</v>
      </c>
      <c r="AQ27" s="28">
        <v>0</v>
      </c>
      <c r="AR27" s="28">
        <v>257.76666666666671</v>
      </c>
      <c r="AS27" s="28">
        <v>0</v>
      </c>
      <c r="AT27" s="28">
        <v>257.76666666666671</v>
      </c>
      <c r="AU27" s="28">
        <v>0</v>
      </c>
      <c r="AV27" s="28">
        <v>257.76666666666671</v>
      </c>
      <c r="AW27" s="28">
        <v>0</v>
      </c>
      <c r="AX27" s="28">
        <v>257.76666666666671</v>
      </c>
      <c r="AY27" s="28">
        <v>0</v>
      </c>
      <c r="AZ27" s="28">
        <v>257.76666666666671</v>
      </c>
      <c r="BA27" s="28">
        <v>0</v>
      </c>
      <c r="BB27" s="28">
        <v>257.76666666666671</v>
      </c>
      <c r="BC27" s="28">
        <v>0</v>
      </c>
      <c r="BD27" s="28">
        <v>257.76666666666671</v>
      </c>
      <c r="BE27" s="28">
        <v>0</v>
      </c>
      <c r="BF27" s="28">
        <v>257.76666666666671</v>
      </c>
      <c r="BG27" s="28">
        <v>0</v>
      </c>
      <c r="BH27" s="28">
        <v>257.76666666666671</v>
      </c>
      <c r="BI27" s="28">
        <v>0</v>
      </c>
      <c r="BJ27" s="28">
        <v>257.76666666666671</v>
      </c>
      <c r="BK27" s="28">
        <v>0</v>
      </c>
      <c r="BL27" s="29" t="s">
        <v>71</v>
      </c>
      <c r="BM27" s="29"/>
      <c r="BN27" s="34"/>
      <c r="BO27" s="35"/>
      <c r="BP27" s="36">
        <f t="shared" si="0"/>
        <v>0</v>
      </c>
    </row>
    <row r="28" spans="1:68" x14ac:dyDescent="0.3">
      <c r="A28" s="24" t="s">
        <v>45</v>
      </c>
      <c r="B28" s="24"/>
      <c r="C28" s="24" t="s">
        <v>105</v>
      </c>
      <c r="D28" s="25" t="s">
        <v>106</v>
      </c>
      <c r="E28" s="26" t="s">
        <v>107</v>
      </c>
      <c r="F28" s="24"/>
      <c r="G28" s="24">
        <v>30</v>
      </c>
      <c r="H28" s="27">
        <v>7.2535294117647062</v>
      </c>
      <c r="I28" s="27">
        <v>8.0594771241830063</v>
      </c>
      <c r="J28" s="27">
        <v>9.0669117647058819</v>
      </c>
      <c r="K28" s="27">
        <v>7.2535294117647062</v>
      </c>
      <c r="L28" s="27">
        <v>9.5441176470588243</v>
      </c>
      <c r="M28" s="28">
        <v>0</v>
      </c>
      <c r="N28" s="28">
        <v>31.15</v>
      </c>
      <c r="O28" s="28">
        <v>41.79</v>
      </c>
      <c r="P28" s="28">
        <v>35.4</v>
      </c>
      <c r="Q28" s="28">
        <v>47.49</v>
      </c>
      <c r="R28" s="28">
        <v>37.53</v>
      </c>
      <c r="S28" s="28">
        <v>50.35</v>
      </c>
      <c r="T28" s="28">
        <v>38.75</v>
      </c>
      <c r="U28" s="28">
        <v>51.98</v>
      </c>
      <c r="V28" s="28">
        <v>38.99</v>
      </c>
      <c r="W28" s="28">
        <v>52.3</v>
      </c>
      <c r="X28" s="28">
        <v>39.47</v>
      </c>
      <c r="Y28" s="28">
        <v>52.95</v>
      </c>
      <c r="Z28" s="28">
        <v>39.71</v>
      </c>
      <c r="AA28" s="28">
        <v>53.27</v>
      </c>
      <c r="AB28" s="28">
        <v>39.96</v>
      </c>
      <c r="AC28" s="28">
        <v>53.6</v>
      </c>
      <c r="AD28" s="28">
        <v>40.21</v>
      </c>
      <c r="AE28" s="28">
        <v>53.94</v>
      </c>
      <c r="AF28" s="28">
        <v>40.47</v>
      </c>
      <c r="AG28" s="28">
        <v>54.29</v>
      </c>
      <c r="AH28" s="28">
        <v>40.99</v>
      </c>
      <c r="AI28" s="28">
        <v>54.99</v>
      </c>
      <c r="AJ28" s="28">
        <v>41.25</v>
      </c>
      <c r="AK28" s="28">
        <v>55.34</v>
      </c>
      <c r="AL28" s="28">
        <v>41.52</v>
      </c>
      <c r="AM28" s="28">
        <v>55.7</v>
      </c>
      <c r="AN28" s="28">
        <v>32.44</v>
      </c>
      <c r="AO28" s="28">
        <v>44.85</v>
      </c>
      <c r="AP28" s="28">
        <v>34.39</v>
      </c>
      <c r="AQ28" s="28">
        <v>47.54</v>
      </c>
      <c r="AR28" s="28">
        <v>34.6</v>
      </c>
      <c r="AS28" s="28">
        <v>47.83</v>
      </c>
      <c r="AT28" s="28">
        <v>34.81</v>
      </c>
      <c r="AU28" s="28">
        <v>48.12</v>
      </c>
      <c r="AV28" s="28">
        <v>35.24</v>
      </c>
      <c r="AW28" s="28">
        <v>48.72</v>
      </c>
      <c r="AX28" s="28">
        <v>35.46</v>
      </c>
      <c r="AY28" s="28">
        <v>49.02</v>
      </c>
      <c r="AZ28" s="28">
        <v>35.68</v>
      </c>
      <c r="BA28" s="28">
        <v>49.33</v>
      </c>
      <c r="BB28" s="28">
        <v>35.909999999999997</v>
      </c>
      <c r="BC28" s="28">
        <v>49.64</v>
      </c>
      <c r="BD28" s="28">
        <v>36.130000000000003</v>
      </c>
      <c r="BE28" s="28">
        <v>49.95</v>
      </c>
      <c r="BF28" s="28">
        <v>36.6</v>
      </c>
      <c r="BG28" s="28">
        <v>50.6</v>
      </c>
      <c r="BH28" s="28">
        <v>36.83</v>
      </c>
      <c r="BI28" s="28">
        <v>50.92</v>
      </c>
      <c r="BJ28" s="28">
        <v>37.07</v>
      </c>
      <c r="BK28" s="28">
        <v>51.25</v>
      </c>
      <c r="BL28" s="29" t="s">
        <v>49</v>
      </c>
      <c r="BM28" s="29"/>
      <c r="BN28" s="34"/>
      <c r="BO28" s="35"/>
      <c r="BP28" s="36">
        <f t="shared" si="0"/>
        <v>0</v>
      </c>
    </row>
    <row r="29" spans="1:68" x14ac:dyDescent="0.3">
      <c r="A29" s="24" t="s">
        <v>45</v>
      </c>
      <c r="B29" s="24"/>
      <c r="C29" s="24" t="s">
        <v>108</v>
      </c>
      <c r="D29" s="25" t="s">
        <v>109</v>
      </c>
      <c r="E29" s="26" t="s">
        <v>110</v>
      </c>
      <c r="F29" s="24"/>
      <c r="G29" s="24">
        <v>30</v>
      </c>
      <c r="H29" s="27">
        <v>5.0294117647058831</v>
      </c>
      <c r="I29" s="27">
        <v>5.5882352941176476</v>
      </c>
      <c r="J29" s="27">
        <v>6.2867647058823533</v>
      </c>
      <c r="K29" s="27">
        <v>5.0294117647058831</v>
      </c>
      <c r="L29" s="27">
        <v>6.6176470588235299</v>
      </c>
      <c r="M29" s="28">
        <v>0</v>
      </c>
      <c r="N29" s="28">
        <v>23</v>
      </c>
      <c r="O29" s="28">
        <v>30.85</v>
      </c>
      <c r="P29" s="28">
        <v>26.14</v>
      </c>
      <c r="Q29" s="28">
        <v>35.07</v>
      </c>
      <c r="R29" s="28">
        <v>27.71</v>
      </c>
      <c r="S29" s="28">
        <v>37.17</v>
      </c>
      <c r="T29" s="28">
        <v>89.22</v>
      </c>
      <c r="U29" s="28">
        <v>119.69</v>
      </c>
      <c r="V29" s="28">
        <v>89.77</v>
      </c>
      <c r="W29" s="28">
        <v>120.42</v>
      </c>
      <c r="X29" s="28">
        <v>90.88</v>
      </c>
      <c r="Y29" s="28">
        <v>121.91</v>
      </c>
      <c r="Z29" s="28">
        <v>91.44</v>
      </c>
      <c r="AA29" s="28">
        <v>122.66</v>
      </c>
      <c r="AB29" s="28">
        <v>92.01</v>
      </c>
      <c r="AC29" s="28">
        <v>123.43</v>
      </c>
      <c r="AD29" s="28">
        <v>92.59</v>
      </c>
      <c r="AE29" s="28">
        <v>124.21</v>
      </c>
      <c r="AF29" s="28">
        <v>93.18</v>
      </c>
      <c r="AG29" s="28">
        <v>125</v>
      </c>
      <c r="AH29" s="28">
        <v>94.37</v>
      </c>
      <c r="AI29" s="28">
        <v>126.59</v>
      </c>
      <c r="AJ29" s="28">
        <v>94.98</v>
      </c>
      <c r="AK29" s="28">
        <v>127.41</v>
      </c>
      <c r="AL29" s="28">
        <v>95.6</v>
      </c>
      <c r="AM29" s="28">
        <v>128.24</v>
      </c>
      <c r="AN29" s="28">
        <v>74.69</v>
      </c>
      <c r="AO29" s="28">
        <v>103.25</v>
      </c>
      <c r="AP29" s="28">
        <v>79.180000000000007</v>
      </c>
      <c r="AQ29" s="28">
        <v>109.46</v>
      </c>
      <c r="AR29" s="28">
        <v>79.66</v>
      </c>
      <c r="AS29" s="28">
        <v>110.13</v>
      </c>
      <c r="AT29" s="28">
        <v>80.150000000000006</v>
      </c>
      <c r="AU29" s="28">
        <v>110.8</v>
      </c>
      <c r="AV29" s="28">
        <v>81.14</v>
      </c>
      <c r="AW29" s="28">
        <v>112.17</v>
      </c>
      <c r="AX29" s="28">
        <v>81.64</v>
      </c>
      <c r="AY29" s="28">
        <v>112.86</v>
      </c>
      <c r="AZ29" s="28">
        <v>82.15</v>
      </c>
      <c r="BA29" s="28">
        <v>113.57</v>
      </c>
      <c r="BB29" s="28">
        <v>82.67</v>
      </c>
      <c r="BC29" s="28">
        <v>114.29</v>
      </c>
      <c r="BD29" s="28">
        <v>83.19</v>
      </c>
      <c r="BE29" s="28">
        <v>115.01</v>
      </c>
      <c r="BF29" s="28">
        <v>84.26</v>
      </c>
      <c r="BG29" s="28">
        <v>116.48</v>
      </c>
      <c r="BH29" s="28">
        <v>84.8</v>
      </c>
      <c r="BI29" s="28">
        <v>117.23</v>
      </c>
      <c r="BJ29" s="28">
        <v>85.35</v>
      </c>
      <c r="BK29" s="28">
        <v>117.99</v>
      </c>
      <c r="BL29" s="29" t="s">
        <v>49</v>
      </c>
      <c r="BM29" s="29"/>
      <c r="BN29" s="34"/>
      <c r="BO29" s="35"/>
      <c r="BP29" s="36">
        <f t="shared" si="0"/>
        <v>0</v>
      </c>
    </row>
    <row r="30" spans="1:68" x14ac:dyDescent="0.3">
      <c r="A30" s="24" t="s">
        <v>45</v>
      </c>
      <c r="B30" s="24"/>
      <c r="C30" s="24" t="s">
        <v>111</v>
      </c>
      <c r="D30" s="25" t="s">
        <v>112</v>
      </c>
      <c r="E30" s="26" t="s">
        <v>113</v>
      </c>
      <c r="F30" s="24"/>
      <c r="G30" s="24">
        <v>30</v>
      </c>
      <c r="H30" s="27">
        <v>5.4783333333333335</v>
      </c>
      <c r="I30" s="27">
        <v>6.087037037037037</v>
      </c>
      <c r="J30" s="27">
        <v>6.8479166666666664</v>
      </c>
      <c r="K30" s="27">
        <v>5.4783333333333335</v>
      </c>
      <c r="L30" s="27">
        <v>7.208333333333333</v>
      </c>
      <c r="M30" s="28">
        <v>0</v>
      </c>
      <c r="N30" s="28">
        <v>20.309999999999999</v>
      </c>
      <c r="O30" s="28">
        <v>27.25</v>
      </c>
      <c r="P30" s="28">
        <v>23.08</v>
      </c>
      <c r="Q30" s="28">
        <v>30.96</v>
      </c>
      <c r="R30" s="28">
        <v>24.47</v>
      </c>
      <c r="S30" s="28">
        <v>32.83</v>
      </c>
      <c r="T30" s="28">
        <v>20.25</v>
      </c>
      <c r="U30" s="28">
        <v>0</v>
      </c>
      <c r="V30" s="28">
        <v>20.25</v>
      </c>
      <c r="W30" s="28">
        <v>0</v>
      </c>
      <c r="X30" s="28">
        <v>20.25</v>
      </c>
      <c r="Y30" s="28">
        <v>0</v>
      </c>
      <c r="Z30" s="28">
        <v>20.25</v>
      </c>
      <c r="AA30" s="28">
        <v>0</v>
      </c>
      <c r="AB30" s="28">
        <v>20.25</v>
      </c>
      <c r="AC30" s="28">
        <v>0</v>
      </c>
      <c r="AD30" s="28">
        <v>20.25</v>
      </c>
      <c r="AE30" s="28">
        <v>0</v>
      </c>
      <c r="AF30" s="28">
        <v>20.25</v>
      </c>
      <c r="AG30" s="28">
        <v>0</v>
      </c>
      <c r="AH30" s="28">
        <v>20.25</v>
      </c>
      <c r="AI30" s="28">
        <v>0</v>
      </c>
      <c r="AJ30" s="28">
        <v>20.25</v>
      </c>
      <c r="AK30" s="28">
        <v>0</v>
      </c>
      <c r="AL30" s="28">
        <v>20.25</v>
      </c>
      <c r="AM30" s="28">
        <v>0</v>
      </c>
      <c r="AN30" s="28">
        <v>20.25</v>
      </c>
      <c r="AO30" s="28">
        <v>0</v>
      </c>
      <c r="AP30" s="28">
        <v>20.25</v>
      </c>
      <c r="AQ30" s="28">
        <v>0</v>
      </c>
      <c r="AR30" s="28">
        <v>20.25</v>
      </c>
      <c r="AS30" s="28">
        <v>0</v>
      </c>
      <c r="AT30" s="28">
        <v>20.25</v>
      </c>
      <c r="AU30" s="28">
        <v>0</v>
      </c>
      <c r="AV30" s="28">
        <v>20.25</v>
      </c>
      <c r="AW30" s="28">
        <v>0</v>
      </c>
      <c r="AX30" s="28">
        <v>20.25</v>
      </c>
      <c r="AY30" s="28">
        <v>0</v>
      </c>
      <c r="AZ30" s="28">
        <v>20.25</v>
      </c>
      <c r="BA30" s="28">
        <v>0</v>
      </c>
      <c r="BB30" s="28">
        <v>20.25</v>
      </c>
      <c r="BC30" s="28">
        <v>0</v>
      </c>
      <c r="BD30" s="28">
        <v>20.25</v>
      </c>
      <c r="BE30" s="28">
        <v>0</v>
      </c>
      <c r="BF30" s="28">
        <v>20.25</v>
      </c>
      <c r="BG30" s="28">
        <v>0</v>
      </c>
      <c r="BH30" s="28">
        <v>20.25</v>
      </c>
      <c r="BI30" s="28">
        <v>0</v>
      </c>
      <c r="BJ30" s="28">
        <v>20.25</v>
      </c>
      <c r="BK30" s="28">
        <v>0</v>
      </c>
      <c r="BL30" s="29" t="s">
        <v>71</v>
      </c>
      <c r="BM30" s="29"/>
      <c r="BN30" s="34"/>
      <c r="BO30" s="35"/>
      <c r="BP30" s="36">
        <f t="shared" si="0"/>
        <v>0</v>
      </c>
    </row>
    <row r="31" spans="1:68" x14ac:dyDescent="0.3">
      <c r="A31" s="24" t="s">
        <v>45</v>
      </c>
      <c r="B31" s="24"/>
      <c r="C31" s="24" t="s">
        <v>114</v>
      </c>
      <c r="D31" s="25" t="s">
        <v>115</v>
      </c>
      <c r="E31" s="26" t="s">
        <v>116</v>
      </c>
      <c r="F31" s="24"/>
      <c r="G31" s="24">
        <v>50</v>
      </c>
      <c r="H31" s="27">
        <v>5.2250000000000005</v>
      </c>
      <c r="I31" s="27">
        <v>5.8055555555555562</v>
      </c>
      <c r="J31" s="27">
        <v>6.53125</v>
      </c>
      <c r="K31" s="27">
        <v>5.2250000000000005</v>
      </c>
      <c r="L31" s="27">
        <v>6.875</v>
      </c>
      <c r="M31" s="28">
        <v>15.675000000000001</v>
      </c>
      <c r="N31" s="28">
        <v>15.675000000000001</v>
      </c>
      <c r="O31" s="28">
        <v>0</v>
      </c>
      <c r="P31" s="28">
        <v>15.675000000000001</v>
      </c>
      <c r="Q31" s="28">
        <v>0</v>
      </c>
      <c r="R31" s="28">
        <v>15.675000000000001</v>
      </c>
      <c r="S31" s="28">
        <v>0</v>
      </c>
      <c r="T31" s="28">
        <v>53.730000000000004</v>
      </c>
      <c r="U31" s="28">
        <v>0</v>
      </c>
      <c r="V31" s="28">
        <v>53.730000000000004</v>
      </c>
      <c r="W31" s="28">
        <v>0</v>
      </c>
      <c r="X31" s="28">
        <v>53.730000000000004</v>
      </c>
      <c r="Y31" s="28">
        <v>0</v>
      </c>
      <c r="Z31" s="28">
        <v>53.730000000000004</v>
      </c>
      <c r="AA31" s="28">
        <v>0</v>
      </c>
      <c r="AB31" s="28">
        <v>53.730000000000004</v>
      </c>
      <c r="AC31" s="28">
        <v>0</v>
      </c>
      <c r="AD31" s="28">
        <v>53.730000000000004</v>
      </c>
      <c r="AE31" s="28">
        <v>0</v>
      </c>
      <c r="AF31" s="28">
        <v>53.730000000000004</v>
      </c>
      <c r="AG31" s="28">
        <v>0</v>
      </c>
      <c r="AH31" s="28">
        <v>53.730000000000004</v>
      </c>
      <c r="AI31" s="28">
        <v>0</v>
      </c>
      <c r="AJ31" s="28">
        <v>53.730000000000004</v>
      </c>
      <c r="AK31" s="28">
        <v>0</v>
      </c>
      <c r="AL31" s="28">
        <v>53.730000000000004</v>
      </c>
      <c r="AM31" s="28">
        <v>0</v>
      </c>
      <c r="AN31" s="28">
        <v>53.730000000000004</v>
      </c>
      <c r="AO31" s="28">
        <v>0</v>
      </c>
      <c r="AP31" s="28">
        <v>53.730000000000004</v>
      </c>
      <c r="AQ31" s="28">
        <v>0</v>
      </c>
      <c r="AR31" s="28">
        <v>53.730000000000004</v>
      </c>
      <c r="AS31" s="28">
        <v>0</v>
      </c>
      <c r="AT31" s="28">
        <v>53.730000000000004</v>
      </c>
      <c r="AU31" s="28">
        <v>0</v>
      </c>
      <c r="AV31" s="28">
        <v>53.730000000000004</v>
      </c>
      <c r="AW31" s="28">
        <v>0</v>
      </c>
      <c r="AX31" s="28">
        <v>53.730000000000004</v>
      </c>
      <c r="AY31" s="28">
        <v>0</v>
      </c>
      <c r="AZ31" s="28">
        <v>53.730000000000004</v>
      </c>
      <c r="BA31" s="28">
        <v>0</v>
      </c>
      <c r="BB31" s="28">
        <v>53.730000000000004</v>
      </c>
      <c r="BC31" s="28">
        <v>0</v>
      </c>
      <c r="BD31" s="28">
        <v>53.730000000000004</v>
      </c>
      <c r="BE31" s="28">
        <v>0</v>
      </c>
      <c r="BF31" s="28">
        <v>53.730000000000004</v>
      </c>
      <c r="BG31" s="28">
        <v>0</v>
      </c>
      <c r="BH31" s="28">
        <v>53.730000000000004</v>
      </c>
      <c r="BI31" s="28">
        <v>0</v>
      </c>
      <c r="BJ31" s="28">
        <v>53.730000000000004</v>
      </c>
      <c r="BK31" s="28">
        <v>0</v>
      </c>
      <c r="BL31" s="29" t="s">
        <v>71</v>
      </c>
      <c r="BM31" s="29"/>
      <c r="BN31" s="34"/>
      <c r="BO31" s="35"/>
      <c r="BP31" s="36">
        <f t="shared" si="0"/>
        <v>0</v>
      </c>
    </row>
    <row r="32" spans="1:68" x14ac:dyDescent="0.3">
      <c r="A32" s="24" t="s">
        <v>45</v>
      </c>
      <c r="B32" s="24"/>
      <c r="C32" s="24" t="s">
        <v>117</v>
      </c>
      <c r="D32" s="25" t="s">
        <v>118</v>
      </c>
      <c r="E32" s="26" t="s">
        <v>119</v>
      </c>
      <c r="F32" s="24"/>
      <c r="G32" s="24">
        <v>6</v>
      </c>
      <c r="H32" s="27">
        <v>85.922222222222231</v>
      </c>
      <c r="I32" s="27">
        <v>95.46913580246914</v>
      </c>
      <c r="J32" s="27">
        <v>107.40277777777779</v>
      </c>
      <c r="K32" s="27">
        <v>85.922222222222231</v>
      </c>
      <c r="L32" s="27">
        <v>113.05555555555557</v>
      </c>
      <c r="M32" s="28">
        <v>257.76666666666671</v>
      </c>
      <c r="N32" s="28">
        <v>257.76666666666671</v>
      </c>
      <c r="O32" s="28">
        <v>0</v>
      </c>
      <c r="P32" s="28">
        <v>257.76666666666671</v>
      </c>
      <c r="Q32" s="28">
        <v>0</v>
      </c>
      <c r="R32" s="28">
        <v>257.76666666666671</v>
      </c>
      <c r="S32" s="28">
        <v>0</v>
      </c>
      <c r="T32" s="28">
        <v>6.5835000000000008</v>
      </c>
      <c r="U32" s="28">
        <v>0</v>
      </c>
      <c r="V32" s="28">
        <v>6.5835000000000008</v>
      </c>
      <c r="W32" s="28">
        <v>0</v>
      </c>
      <c r="X32" s="28">
        <v>6.5835000000000008</v>
      </c>
      <c r="Y32" s="28">
        <v>0</v>
      </c>
      <c r="Z32" s="28">
        <v>6.5835000000000008</v>
      </c>
      <c r="AA32" s="28">
        <v>0</v>
      </c>
      <c r="AB32" s="28">
        <v>6.5835000000000008</v>
      </c>
      <c r="AC32" s="28">
        <v>0</v>
      </c>
      <c r="AD32" s="28">
        <v>6.5835000000000008</v>
      </c>
      <c r="AE32" s="28">
        <v>0</v>
      </c>
      <c r="AF32" s="28">
        <v>6.5835000000000008</v>
      </c>
      <c r="AG32" s="28">
        <v>0</v>
      </c>
      <c r="AH32" s="28">
        <v>6.5835000000000008</v>
      </c>
      <c r="AI32" s="28">
        <v>0</v>
      </c>
      <c r="AJ32" s="28">
        <v>6.5835000000000008</v>
      </c>
      <c r="AK32" s="28">
        <v>0</v>
      </c>
      <c r="AL32" s="28">
        <v>6.5835000000000008</v>
      </c>
      <c r="AM32" s="28">
        <v>0</v>
      </c>
      <c r="AN32" s="28">
        <v>6.5835000000000008</v>
      </c>
      <c r="AO32" s="28">
        <v>0</v>
      </c>
      <c r="AP32" s="28">
        <v>6.5835000000000008</v>
      </c>
      <c r="AQ32" s="28">
        <v>0</v>
      </c>
      <c r="AR32" s="28">
        <v>6.5835000000000008</v>
      </c>
      <c r="AS32" s="28">
        <v>0</v>
      </c>
      <c r="AT32" s="28">
        <v>6.5835000000000008</v>
      </c>
      <c r="AU32" s="28">
        <v>0</v>
      </c>
      <c r="AV32" s="28">
        <v>6.5835000000000008</v>
      </c>
      <c r="AW32" s="28">
        <v>0</v>
      </c>
      <c r="AX32" s="28">
        <v>6.5835000000000008</v>
      </c>
      <c r="AY32" s="28">
        <v>0</v>
      </c>
      <c r="AZ32" s="28">
        <v>6.5835000000000008</v>
      </c>
      <c r="BA32" s="28">
        <v>0</v>
      </c>
      <c r="BB32" s="28">
        <v>6.5835000000000008</v>
      </c>
      <c r="BC32" s="28">
        <v>0</v>
      </c>
      <c r="BD32" s="28">
        <v>6.5835000000000008</v>
      </c>
      <c r="BE32" s="28">
        <v>0</v>
      </c>
      <c r="BF32" s="28">
        <v>6.5835000000000008</v>
      </c>
      <c r="BG32" s="28">
        <v>0</v>
      </c>
      <c r="BH32" s="28">
        <v>6.5835000000000008</v>
      </c>
      <c r="BI32" s="28">
        <v>0</v>
      </c>
      <c r="BJ32" s="28">
        <v>6.5835000000000008</v>
      </c>
      <c r="BK32" s="28">
        <v>0</v>
      </c>
      <c r="BL32" s="29" t="s">
        <v>71</v>
      </c>
      <c r="BM32" s="29"/>
      <c r="BN32" s="34"/>
      <c r="BO32" s="35"/>
      <c r="BP32" s="36">
        <f t="shared" si="0"/>
        <v>0</v>
      </c>
    </row>
    <row r="33" spans="1:68" x14ac:dyDescent="0.3">
      <c r="A33" s="24" t="s">
        <v>45</v>
      </c>
      <c r="B33" s="24"/>
      <c r="C33" s="24" t="s">
        <v>120</v>
      </c>
      <c r="D33" s="25" t="s">
        <v>121</v>
      </c>
      <c r="E33" s="26" t="s">
        <v>122</v>
      </c>
      <c r="F33" s="24"/>
      <c r="G33" s="24">
        <v>75</v>
      </c>
      <c r="H33" s="27">
        <v>7.9900000000000011</v>
      </c>
      <c r="I33" s="27">
        <v>8.8777777777777782</v>
      </c>
      <c r="J33" s="27">
        <v>9.9875000000000007</v>
      </c>
      <c r="K33" s="27">
        <v>7.9900000000000011</v>
      </c>
      <c r="L33" s="27">
        <v>10.513157894736842</v>
      </c>
      <c r="M33" s="28">
        <v>0</v>
      </c>
      <c r="N33" s="28">
        <v>31.97</v>
      </c>
      <c r="O33" s="28">
        <v>42.89</v>
      </c>
      <c r="P33" s="28">
        <v>36.33</v>
      </c>
      <c r="Q33" s="28">
        <v>48.74</v>
      </c>
      <c r="R33" s="28">
        <v>38.520000000000003</v>
      </c>
      <c r="S33" s="28">
        <v>51.67</v>
      </c>
      <c r="T33" s="28">
        <v>69.318333333333328</v>
      </c>
      <c r="U33" s="28">
        <v>0</v>
      </c>
      <c r="V33" s="28">
        <v>69.318333333333328</v>
      </c>
      <c r="W33" s="28">
        <v>0</v>
      </c>
      <c r="X33" s="28">
        <v>69.318333333333328</v>
      </c>
      <c r="Y33" s="28">
        <v>0</v>
      </c>
      <c r="Z33" s="28">
        <v>69.318333333333328</v>
      </c>
      <c r="AA33" s="28">
        <v>0</v>
      </c>
      <c r="AB33" s="28">
        <v>69.318333333333328</v>
      </c>
      <c r="AC33" s="28">
        <v>0</v>
      </c>
      <c r="AD33" s="28">
        <v>69.318333333333328</v>
      </c>
      <c r="AE33" s="28">
        <v>0</v>
      </c>
      <c r="AF33" s="28">
        <v>69.318333333333328</v>
      </c>
      <c r="AG33" s="28">
        <v>0</v>
      </c>
      <c r="AH33" s="28">
        <v>69.318333333333328</v>
      </c>
      <c r="AI33" s="28">
        <v>0</v>
      </c>
      <c r="AJ33" s="28">
        <v>69.318333333333328</v>
      </c>
      <c r="AK33" s="28">
        <v>0</v>
      </c>
      <c r="AL33" s="28">
        <v>69.318333333333328</v>
      </c>
      <c r="AM33" s="28">
        <v>0</v>
      </c>
      <c r="AN33" s="28">
        <v>69.318333333333328</v>
      </c>
      <c r="AO33" s="28">
        <v>0</v>
      </c>
      <c r="AP33" s="28">
        <v>69.318333333333328</v>
      </c>
      <c r="AQ33" s="28">
        <v>0</v>
      </c>
      <c r="AR33" s="28">
        <v>69.318333333333328</v>
      </c>
      <c r="AS33" s="28">
        <v>0</v>
      </c>
      <c r="AT33" s="28">
        <v>69.318333333333328</v>
      </c>
      <c r="AU33" s="28">
        <v>0</v>
      </c>
      <c r="AV33" s="28">
        <v>69.318333333333328</v>
      </c>
      <c r="AW33" s="28">
        <v>0</v>
      </c>
      <c r="AX33" s="28">
        <v>69.318333333333328</v>
      </c>
      <c r="AY33" s="28">
        <v>0</v>
      </c>
      <c r="AZ33" s="28">
        <v>69.318333333333328</v>
      </c>
      <c r="BA33" s="28">
        <v>0</v>
      </c>
      <c r="BB33" s="28">
        <v>69.318333333333328</v>
      </c>
      <c r="BC33" s="28">
        <v>0</v>
      </c>
      <c r="BD33" s="28">
        <v>69.318333333333328</v>
      </c>
      <c r="BE33" s="28">
        <v>0</v>
      </c>
      <c r="BF33" s="28">
        <v>69.318333333333328</v>
      </c>
      <c r="BG33" s="28">
        <v>0</v>
      </c>
      <c r="BH33" s="28">
        <v>69.318333333333328</v>
      </c>
      <c r="BI33" s="28">
        <v>0</v>
      </c>
      <c r="BJ33" s="28">
        <v>69.318333333333328</v>
      </c>
      <c r="BK33" s="28">
        <v>0</v>
      </c>
      <c r="BL33" s="29" t="s">
        <v>71</v>
      </c>
      <c r="BM33" s="29"/>
      <c r="BN33" s="34"/>
      <c r="BO33" s="35"/>
      <c r="BP33" s="36">
        <f t="shared" si="0"/>
        <v>0</v>
      </c>
    </row>
    <row r="34" spans="1:68" x14ac:dyDescent="0.3">
      <c r="A34" s="24" t="s">
        <v>45</v>
      </c>
      <c r="B34" s="24"/>
      <c r="C34" s="24" t="s">
        <v>123</v>
      </c>
      <c r="D34" s="25" t="s">
        <v>124</v>
      </c>
      <c r="E34" s="26" t="s">
        <v>125</v>
      </c>
      <c r="F34" s="24"/>
      <c r="G34" s="24">
        <v>36</v>
      </c>
      <c r="H34" s="27">
        <v>19.989999999999998</v>
      </c>
      <c r="I34" s="27">
        <v>22.211111111111109</v>
      </c>
      <c r="J34" s="27">
        <v>24.987499999999997</v>
      </c>
      <c r="K34" s="27">
        <v>19.989999999999998</v>
      </c>
      <c r="L34" s="27">
        <v>26.302631578947366</v>
      </c>
      <c r="M34" s="28">
        <v>0</v>
      </c>
      <c r="N34" s="28">
        <v>73.61</v>
      </c>
      <c r="O34" s="28">
        <v>98.75</v>
      </c>
      <c r="P34" s="28">
        <v>83.65</v>
      </c>
      <c r="Q34" s="28">
        <v>112.21</v>
      </c>
      <c r="R34" s="28">
        <v>88.69</v>
      </c>
      <c r="S34" s="28">
        <v>118.97</v>
      </c>
      <c r="T34" s="28">
        <v>72.140625</v>
      </c>
      <c r="U34" s="28">
        <v>0</v>
      </c>
      <c r="V34" s="28">
        <v>72.140625</v>
      </c>
      <c r="W34" s="28">
        <v>0</v>
      </c>
      <c r="X34" s="28">
        <v>72.140625</v>
      </c>
      <c r="Y34" s="28">
        <v>0</v>
      </c>
      <c r="Z34" s="28">
        <v>72.140625</v>
      </c>
      <c r="AA34" s="28">
        <v>0</v>
      </c>
      <c r="AB34" s="28">
        <v>72.140625</v>
      </c>
      <c r="AC34" s="28">
        <v>0</v>
      </c>
      <c r="AD34" s="28">
        <v>72.140625</v>
      </c>
      <c r="AE34" s="28">
        <v>0</v>
      </c>
      <c r="AF34" s="28">
        <v>72.140625</v>
      </c>
      <c r="AG34" s="28">
        <v>0</v>
      </c>
      <c r="AH34" s="28">
        <v>72.140625</v>
      </c>
      <c r="AI34" s="28">
        <v>0</v>
      </c>
      <c r="AJ34" s="28">
        <v>72.140625</v>
      </c>
      <c r="AK34" s="28">
        <v>0</v>
      </c>
      <c r="AL34" s="28">
        <v>72.140625</v>
      </c>
      <c r="AM34" s="28">
        <v>0</v>
      </c>
      <c r="AN34" s="28">
        <v>72.140625</v>
      </c>
      <c r="AO34" s="28">
        <v>0</v>
      </c>
      <c r="AP34" s="28">
        <v>72.140625</v>
      </c>
      <c r="AQ34" s="28">
        <v>0</v>
      </c>
      <c r="AR34" s="28">
        <v>72.140625</v>
      </c>
      <c r="AS34" s="28">
        <v>0</v>
      </c>
      <c r="AT34" s="28">
        <v>72.140625</v>
      </c>
      <c r="AU34" s="28">
        <v>0</v>
      </c>
      <c r="AV34" s="28">
        <v>72.140625</v>
      </c>
      <c r="AW34" s="28">
        <v>0</v>
      </c>
      <c r="AX34" s="28">
        <v>72.140625</v>
      </c>
      <c r="AY34" s="28">
        <v>0</v>
      </c>
      <c r="AZ34" s="28">
        <v>72.140625</v>
      </c>
      <c r="BA34" s="28">
        <v>0</v>
      </c>
      <c r="BB34" s="28">
        <v>72.140625</v>
      </c>
      <c r="BC34" s="28">
        <v>0</v>
      </c>
      <c r="BD34" s="28">
        <v>72.140625</v>
      </c>
      <c r="BE34" s="28">
        <v>0</v>
      </c>
      <c r="BF34" s="28">
        <v>72.140625</v>
      </c>
      <c r="BG34" s="28">
        <v>0</v>
      </c>
      <c r="BH34" s="28">
        <v>72.140625</v>
      </c>
      <c r="BI34" s="28">
        <v>0</v>
      </c>
      <c r="BJ34" s="28">
        <v>72.140625</v>
      </c>
      <c r="BK34" s="28">
        <v>0</v>
      </c>
      <c r="BL34" s="29" t="s">
        <v>71</v>
      </c>
      <c r="BM34" s="29"/>
      <c r="BN34" s="34"/>
      <c r="BO34" s="35"/>
      <c r="BP34" s="36">
        <f t="shared" si="0"/>
        <v>0</v>
      </c>
    </row>
    <row r="35" spans="1:68" x14ac:dyDescent="0.3">
      <c r="A35" s="24" t="s">
        <v>45</v>
      </c>
      <c r="B35" s="24"/>
      <c r="C35" s="24" t="s">
        <v>153</v>
      </c>
      <c r="D35" s="25" t="s">
        <v>154</v>
      </c>
      <c r="E35" s="26" t="s">
        <v>155</v>
      </c>
      <c r="F35" s="24"/>
      <c r="G35" s="24">
        <v>24</v>
      </c>
      <c r="H35" s="27">
        <v>5.6</v>
      </c>
      <c r="I35" s="27">
        <v>6.2222222222222214</v>
      </c>
      <c r="J35" s="27">
        <v>6.9999999999999991</v>
      </c>
      <c r="K35" s="27">
        <v>5.6</v>
      </c>
      <c r="L35" s="27">
        <v>7.3684210526315788</v>
      </c>
      <c r="M35" s="28">
        <v>15.120000000000001</v>
      </c>
      <c r="N35" s="28">
        <v>15.120000000000001</v>
      </c>
      <c r="O35" s="28">
        <v>0</v>
      </c>
      <c r="P35" s="28">
        <v>15.120000000000001</v>
      </c>
      <c r="Q35" s="28">
        <v>0</v>
      </c>
      <c r="R35" s="28">
        <v>15.120000000000001</v>
      </c>
      <c r="S35" s="28">
        <v>0</v>
      </c>
      <c r="T35" s="28">
        <v>6.9318333333333335</v>
      </c>
      <c r="U35" s="28">
        <v>0</v>
      </c>
      <c r="V35" s="28">
        <v>6.9318333333333335</v>
      </c>
      <c r="W35" s="28">
        <v>0</v>
      </c>
      <c r="X35" s="28">
        <v>6.9318333333333335</v>
      </c>
      <c r="Y35" s="28">
        <v>0</v>
      </c>
      <c r="Z35" s="28">
        <v>6.9318333333333335</v>
      </c>
      <c r="AA35" s="28">
        <v>0</v>
      </c>
      <c r="AB35" s="28">
        <v>6.9318333333333335</v>
      </c>
      <c r="AC35" s="28">
        <v>0</v>
      </c>
      <c r="AD35" s="28">
        <v>6.9318333333333335</v>
      </c>
      <c r="AE35" s="28">
        <v>0</v>
      </c>
      <c r="AF35" s="28">
        <v>6.9318333333333335</v>
      </c>
      <c r="AG35" s="28">
        <v>0</v>
      </c>
      <c r="AH35" s="28">
        <v>6.9318333333333335</v>
      </c>
      <c r="AI35" s="28">
        <v>0</v>
      </c>
      <c r="AJ35" s="28">
        <v>6.9318333333333335</v>
      </c>
      <c r="AK35" s="28">
        <v>0</v>
      </c>
      <c r="AL35" s="28">
        <v>6.9318333333333335</v>
      </c>
      <c r="AM35" s="28">
        <v>0</v>
      </c>
      <c r="AN35" s="28">
        <v>6.9318333333333335</v>
      </c>
      <c r="AO35" s="28">
        <v>0</v>
      </c>
      <c r="AP35" s="28">
        <v>6.9318333333333335</v>
      </c>
      <c r="AQ35" s="28">
        <v>0</v>
      </c>
      <c r="AR35" s="28">
        <v>6.9318333333333335</v>
      </c>
      <c r="AS35" s="28">
        <v>0</v>
      </c>
      <c r="AT35" s="28">
        <v>6.9318333333333335</v>
      </c>
      <c r="AU35" s="28">
        <v>0</v>
      </c>
      <c r="AV35" s="28">
        <v>6.9318333333333335</v>
      </c>
      <c r="AW35" s="28">
        <v>0</v>
      </c>
      <c r="AX35" s="28">
        <v>6.9318333333333335</v>
      </c>
      <c r="AY35" s="28">
        <v>0</v>
      </c>
      <c r="AZ35" s="28">
        <v>6.9318333333333335</v>
      </c>
      <c r="BA35" s="28">
        <v>0</v>
      </c>
      <c r="BB35" s="28">
        <v>6.9318333333333335</v>
      </c>
      <c r="BC35" s="28">
        <v>0</v>
      </c>
      <c r="BD35" s="28">
        <v>6.9318333333333335</v>
      </c>
      <c r="BE35" s="28">
        <v>0</v>
      </c>
      <c r="BF35" s="28">
        <v>6.9318333333333335</v>
      </c>
      <c r="BG35" s="28">
        <v>0</v>
      </c>
      <c r="BH35" s="28">
        <v>6.9318333333333335</v>
      </c>
      <c r="BI35" s="28">
        <v>0</v>
      </c>
      <c r="BJ35" s="28">
        <v>6.9318333333333335</v>
      </c>
      <c r="BK35" s="28">
        <v>0</v>
      </c>
      <c r="BL35" s="29" t="s">
        <v>71</v>
      </c>
      <c r="BM35" s="29"/>
      <c r="BN35" s="34"/>
      <c r="BO35" s="35"/>
      <c r="BP35" s="36">
        <f t="shared" si="0"/>
        <v>0</v>
      </c>
    </row>
    <row r="36" spans="1:68" x14ac:dyDescent="0.3">
      <c r="A36" s="24" t="s">
        <v>45</v>
      </c>
      <c r="B36" s="24"/>
      <c r="C36" s="24" t="s">
        <v>159</v>
      </c>
      <c r="D36" s="25" t="s">
        <v>160</v>
      </c>
      <c r="E36" s="26" t="s">
        <v>161</v>
      </c>
      <c r="F36" s="24"/>
      <c r="G36" s="24">
        <v>24</v>
      </c>
      <c r="H36" s="27">
        <v>5.6</v>
      </c>
      <c r="I36" s="27">
        <v>6.2222222222222214</v>
      </c>
      <c r="J36" s="27">
        <v>6.9999999999999991</v>
      </c>
      <c r="K36" s="27">
        <v>5.6</v>
      </c>
      <c r="L36" s="27">
        <v>7.3684210526315788</v>
      </c>
      <c r="M36" s="28">
        <v>15.120000000000001</v>
      </c>
      <c r="N36" s="28">
        <v>15.120000000000001</v>
      </c>
      <c r="O36" s="28">
        <v>0</v>
      </c>
      <c r="P36" s="28">
        <v>15.120000000000001</v>
      </c>
      <c r="Q36" s="28">
        <v>0</v>
      </c>
      <c r="R36" s="28">
        <v>15.120000000000001</v>
      </c>
      <c r="S36" s="28">
        <v>0</v>
      </c>
      <c r="T36" s="28">
        <v>10.561764705882354</v>
      </c>
      <c r="U36" s="28">
        <v>0</v>
      </c>
      <c r="V36" s="28">
        <v>10.561764705882354</v>
      </c>
      <c r="W36" s="28">
        <v>0</v>
      </c>
      <c r="X36" s="28">
        <v>10.561764705882354</v>
      </c>
      <c r="Y36" s="28">
        <v>0</v>
      </c>
      <c r="Z36" s="28">
        <v>10.561764705882354</v>
      </c>
      <c r="AA36" s="28">
        <v>0</v>
      </c>
      <c r="AB36" s="28">
        <v>10.561764705882354</v>
      </c>
      <c r="AC36" s="28">
        <v>0</v>
      </c>
      <c r="AD36" s="28">
        <v>10.561764705882354</v>
      </c>
      <c r="AE36" s="28">
        <v>0</v>
      </c>
      <c r="AF36" s="28">
        <v>10.561764705882354</v>
      </c>
      <c r="AG36" s="28">
        <v>0</v>
      </c>
      <c r="AH36" s="28">
        <v>10.561764705882354</v>
      </c>
      <c r="AI36" s="28">
        <v>0</v>
      </c>
      <c r="AJ36" s="28">
        <v>10.561764705882354</v>
      </c>
      <c r="AK36" s="28">
        <v>0</v>
      </c>
      <c r="AL36" s="28">
        <v>10.561764705882354</v>
      </c>
      <c r="AM36" s="28">
        <v>0</v>
      </c>
      <c r="AN36" s="28">
        <v>10.561764705882354</v>
      </c>
      <c r="AO36" s="28">
        <v>0</v>
      </c>
      <c r="AP36" s="28">
        <v>10.561764705882354</v>
      </c>
      <c r="AQ36" s="28">
        <v>0</v>
      </c>
      <c r="AR36" s="28">
        <v>10.561764705882354</v>
      </c>
      <c r="AS36" s="28">
        <v>0</v>
      </c>
      <c r="AT36" s="28">
        <v>10.561764705882354</v>
      </c>
      <c r="AU36" s="28">
        <v>0</v>
      </c>
      <c r="AV36" s="28">
        <v>10.561764705882354</v>
      </c>
      <c r="AW36" s="28">
        <v>0</v>
      </c>
      <c r="AX36" s="28">
        <v>10.561764705882354</v>
      </c>
      <c r="AY36" s="28">
        <v>0</v>
      </c>
      <c r="AZ36" s="28">
        <v>10.561764705882354</v>
      </c>
      <c r="BA36" s="28">
        <v>0</v>
      </c>
      <c r="BB36" s="28">
        <v>10.561764705882354</v>
      </c>
      <c r="BC36" s="28">
        <v>0</v>
      </c>
      <c r="BD36" s="28">
        <v>10.561764705882354</v>
      </c>
      <c r="BE36" s="28">
        <v>0</v>
      </c>
      <c r="BF36" s="28">
        <v>10.561764705882354</v>
      </c>
      <c r="BG36" s="28">
        <v>0</v>
      </c>
      <c r="BH36" s="28">
        <v>10.561764705882354</v>
      </c>
      <c r="BI36" s="28">
        <v>0</v>
      </c>
      <c r="BJ36" s="28">
        <v>10.561764705882354</v>
      </c>
      <c r="BK36" s="28">
        <v>0</v>
      </c>
      <c r="BL36" s="29" t="s">
        <v>71</v>
      </c>
      <c r="BM36" s="29"/>
      <c r="BN36" s="34"/>
      <c r="BO36" s="35"/>
      <c r="BP36" s="36">
        <f t="shared" si="0"/>
        <v>0</v>
      </c>
    </row>
    <row r="37" spans="1:68" x14ac:dyDescent="0.3">
      <c r="A37" s="24" t="s">
        <v>45</v>
      </c>
      <c r="B37" s="24"/>
      <c r="C37" s="24" t="s">
        <v>156</v>
      </c>
      <c r="D37" s="25" t="s">
        <v>157</v>
      </c>
      <c r="E37" s="26" t="s">
        <v>158</v>
      </c>
      <c r="F37" s="24"/>
      <c r="G37" s="24">
        <v>24</v>
      </c>
      <c r="H37" s="27">
        <v>5.6</v>
      </c>
      <c r="I37" s="27">
        <v>6.2222222222222214</v>
      </c>
      <c r="J37" s="27">
        <v>6.9999999999999991</v>
      </c>
      <c r="K37" s="27">
        <v>5.6</v>
      </c>
      <c r="L37" s="27">
        <v>7.3684210526315788</v>
      </c>
      <c r="M37" s="28">
        <v>15.120000000000001</v>
      </c>
      <c r="N37" s="28">
        <v>15.120000000000001</v>
      </c>
      <c r="O37" s="28">
        <v>0</v>
      </c>
      <c r="P37" s="28">
        <v>15.120000000000001</v>
      </c>
      <c r="Q37" s="28">
        <v>0</v>
      </c>
      <c r="R37" s="28">
        <v>15.120000000000001</v>
      </c>
      <c r="S37" s="28">
        <v>0</v>
      </c>
      <c r="T37" s="28">
        <v>12.177</v>
      </c>
      <c r="U37" s="28">
        <v>0</v>
      </c>
      <c r="V37" s="28">
        <v>12.177</v>
      </c>
      <c r="W37" s="28">
        <v>0</v>
      </c>
      <c r="X37" s="28">
        <v>12.177</v>
      </c>
      <c r="Y37" s="28">
        <v>0</v>
      </c>
      <c r="Z37" s="28">
        <v>12.177</v>
      </c>
      <c r="AA37" s="28">
        <v>0</v>
      </c>
      <c r="AB37" s="28">
        <v>12.177</v>
      </c>
      <c r="AC37" s="28">
        <v>0</v>
      </c>
      <c r="AD37" s="28">
        <v>12.177</v>
      </c>
      <c r="AE37" s="28">
        <v>0</v>
      </c>
      <c r="AF37" s="28">
        <v>12.177</v>
      </c>
      <c r="AG37" s="28">
        <v>0</v>
      </c>
      <c r="AH37" s="28">
        <v>12.177</v>
      </c>
      <c r="AI37" s="28">
        <v>0</v>
      </c>
      <c r="AJ37" s="28">
        <v>12.177</v>
      </c>
      <c r="AK37" s="28">
        <v>0</v>
      </c>
      <c r="AL37" s="28">
        <v>12.177</v>
      </c>
      <c r="AM37" s="28">
        <v>0</v>
      </c>
      <c r="AN37" s="28">
        <v>12.177</v>
      </c>
      <c r="AO37" s="28">
        <v>0</v>
      </c>
      <c r="AP37" s="28">
        <v>12.177</v>
      </c>
      <c r="AQ37" s="28">
        <v>0</v>
      </c>
      <c r="AR37" s="28">
        <v>12.177</v>
      </c>
      <c r="AS37" s="28">
        <v>0</v>
      </c>
      <c r="AT37" s="28">
        <v>12.177</v>
      </c>
      <c r="AU37" s="28">
        <v>0</v>
      </c>
      <c r="AV37" s="28">
        <v>12.177</v>
      </c>
      <c r="AW37" s="28">
        <v>0</v>
      </c>
      <c r="AX37" s="28">
        <v>12.177</v>
      </c>
      <c r="AY37" s="28">
        <v>0</v>
      </c>
      <c r="AZ37" s="28">
        <v>12.177</v>
      </c>
      <c r="BA37" s="28">
        <v>0</v>
      </c>
      <c r="BB37" s="28">
        <v>12.177</v>
      </c>
      <c r="BC37" s="28">
        <v>0</v>
      </c>
      <c r="BD37" s="28">
        <v>12.177</v>
      </c>
      <c r="BE37" s="28">
        <v>0</v>
      </c>
      <c r="BF37" s="28">
        <v>12.177</v>
      </c>
      <c r="BG37" s="28">
        <v>0</v>
      </c>
      <c r="BH37" s="28">
        <v>12.177</v>
      </c>
      <c r="BI37" s="28">
        <v>0</v>
      </c>
      <c r="BJ37" s="28">
        <v>12.177</v>
      </c>
      <c r="BK37" s="28">
        <v>0</v>
      </c>
      <c r="BL37" s="29" t="s">
        <v>71</v>
      </c>
      <c r="BM37" s="29"/>
      <c r="BN37" s="34"/>
      <c r="BO37" s="35"/>
      <c r="BP37" s="36">
        <f t="shared" si="0"/>
        <v>0</v>
      </c>
    </row>
    <row r="38" spans="1:68" x14ac:dyDescent="0.3">
      <c r="A38" s="24" t="s">
        <v>45</v>
      </c>
      <c r="B38" s="24"/>
      <c r="C38" s="24" t="s">
        <v>126</v>
      </c>
      <c r="D38" s="25" t="s">
        <v>127</v>
      </c>
      <c r="E38" s="26" t="s">
        <v>128</v>
      </c>
      <c r="F38" s="24"/>
      <c r="G38" s="24">
        <v>60</v>
      </c>
      <c r="H38" s="27">
        <v>7.5</v>
      </c>
      <c r="I38" s="27">
        <v>8.3333333333333339</v>
      </c>
      <c r="J38" s="27">
        <v>9.375</v>
      </c>
      <c r="K38" s="27">
        <v>7.5</v>
      </c>
      <c r="L38" s="27">
        <v>9.8684210526315788</v>
      </c>
      <c r="M38" s="28">
        <v>20.25</v>
      </c>
      <c r="N38" s="28">
        <v>20.25</v>
      </c>
      <c r="O38" s="28">
        <v>0</v>
      </c>
      <c r="P38" s="28">
        <v>20.25</v>
      </c>
      <c r="Q38" s="28">
        <v>0</v>
      </c>
      <c r="R38" s="28">
        <v>20.25</v>
      </c>
      <c r="S38" s="28">
        <v>0</v>
      </c>
      <c r="T38" s="28">
        <v>8.9700000000000006</v>
      </c>
      <c r="U38" s="28">
        <v>0</v>
      </c>
      <c r="V38" s="28">
        <v>8.9700000000000006</v>
      </c>
      <c r="W38" s="28">
        <v>0</v>
      </c>
      <c r="X38" s="28">
        <v>8.9700000000000006</v>
      </c>
      <c r="Y38" s="28">
        <v>0</v>
      </c>
      <c r="Z38" s="28">
        <v>8.9700000000000006</v>
      </c>
      <c r="AA38" s="28">
        <v>0</v>
      </c>
      <c r="AB38" s="28">
        <v>8.9700000000000006</v>
      </c>
      <c r="AC38" s="28">
        <v>0</v>
      </c>
      <c r="AD38" s="28">
        <v>8.9700000000000006</v>
      </c>
      <c r="AE38" s="28">
        <v>0</v>
      </c>
      <c r="AF38" s="28">
        <v>8.9700000000000006</v>
      </c>
      <c r="AG38" s="28">
        <v>0</v>
      </c>
      <c r="AH38" s="28">
        <v>8.9700000000000006</v>
      </c>
      <c r="AI38" s="28">
        <v>0</v>
      </c>
      <c r="AJ38" s="28">
        <v>8.9700000000000006</v>
      </c>
      <c r="AK38" s="28">
        <v>0</v>
      </c>
      <c r="AL38" s="28">
        <v>8.9700000000000006</v>
      </c>
      <c r="AM38" s="28">
        <v>0</v>
      </c>
      <c r="AN38" s="28">
        <v>8.9700000000000006</v>
      </c>
      <c r="AO38" s="28">
        <v>0</v>
      </c>
      <c r="AP38" s="28">
        <v>8.9700000000000006</v>
      </c>
      <c r="AQ38" s="28">
        <v>0</v>
      </c>
      <c r="AR38" s="28">
        <v>8.9700000000000006</v>
      </c>
      <c r="AS38" s="28">
        <v>0</v>
      </c>
      <c r="AT38" s="28">
        <v>8.9700000000000006</v>
      </c>
      <c r="AU38" s="28">
        <v>0</v>
      </c>
      <c r="AV38" s="28">
        <v>8.9700000000000006</v>
      </c>
      <c r="AW38" s="28">
        <v>0</v>
      </c>
      <c r="AX38" s="28">
        <v>8.9700000000000006</v>
      </c>
      <c r="AY38" s="28">
        <v>0</v>
      </c>
      <c r="AZ38" s="28">
        <v>8.9700000000000006</v>
      </c>
      <c r="BA38" s="28">
        <v>0</v>
      </c>
      <c r="BB38" s="28">
        <v>8.9700000000000006</v>
      </c>
      <c r="BC38" s="28">
        <v>0</v>
      </c>
      <c r="BD38" s="28">
        <v>8.9700000000000006</v>
      </c>
      <c r="BE38" s="28">
        <v>0</v>
      </c>
      <c r="BF38" s="28">
        <v>8.9700000000000006</v>
      </c>
      <c r="BG38" s="28">
        <v>0</v>
      </c>
      <c r="BH38" s="28">
        <v>8.9700000000000006</v>
      </c>
      <c r="BI38" s="28">
        <v>0</v>
      </c>
      <c r="BJ38" s="28">
        <v>8.9700000000000006</v>
      </c>
      <c r="BK38" s="28">
        <v>0</v>
      </c>
      <c r="BL38" s="29" t="s">
        <v>71</v>
      </c>
      <c r="BM38" s="29"/>
      <c r="BN38" s="34"/>
      <c r="BO38" s="35"/>
      <c r="BP38" s="36">
        <f t="shared" si="0"/>
        <v>0</v>
      </c>
    </row>
    <row r="39" spans="1:68" x14ac:dyDescent="0.3">
      <c r="A39" s="24" t="s">
        <v>45</v>
      </c>
      <c r="B39" s="24"/>
      <c r="C39" s="24" t="s">
        <v>129</v>
      </c>
      <c r="D39" s="25" t="s">
        <v>130</v>
      </c>
      <c r="E39" s="26" t="s">
        <v>131</v>
      </c>
      <c r="F39" s="24"/>
      <c r="G39" s="24">
        <v>16</v>
      </c>
      <c r="H39" s="27">
        <v>19.899999999999999</v>
      </c>
      <c r="I39" s="27">
        <v>22.111111111111111</v>
      </c>
      <c r="J39" s="27">
        <v>24.874999999999996</v>
      </c>
      <c r="K39" s="27">
        <v>19.899999999999999</v>
      </c>
      <c r="L39" s="27">
        <v>26.184210526315788</v>
      </c>
      <c r="M39" s="28">
        <v>53.730000000000004</v>
      </c>
      <c r="N39" s="28">
        <v>53.730000000000004</v>
      </c>
      <c r="O39" s="28">
        <v>0</v>
      </c>
      <c r="P39" s="28">
        <v>53.730000000000004</v>
      </c>
      <c r="Q39" s="28">
        <v>0</v>
      </c>
      <c r="R39" s="28">
        <v>53.730000000000004</v>
      </c>
      <c r="S39" s="28">
        <v>0</v>
      </c>
      <c r="T39" s="28">
        <v>15.120000000000001</v>
      </c>
      <c r="U39" s="28">
        <v>0</v>
      </c>
      <c r="V39" s="28">
        <v>15.120000000000001</v>
      </c>
      <c r="W39" s="28">
        <v>0</v>
      </c>
      <c r="X39" s="28">
        <v>15.120000000000001</v>
      </c>
      <c r="Y39" s="28">
        <v>0</v>
      </c>
      <c r="Z39" s="28">
        <v>15.120000000000001</v>
      </c>
      <c r="AA39" s="28">
        <v>0</v>
      </c>
      <c r="AB39" s="28">
        <v>15.120000000000001</v>
      </c>
      <c r="AC39" s="28">
        <v>0</v>
      </c>
      <c r="AD39" s="28">
        <v>15.120000000000001</v>
      </c>
      <c r="AE39" s="28">
        <v>0</v>
      </c>
      <c r="AF39" s="28">
        <v>15.120000000000001</v>
      </c>
      <c r="AG39" s="28">
        <v>0</v>
      </c>
      <c r="AH39" s="28">
        <v>15.120000000000001</v>
      </c>
      <c r="AI39" s="28">
        <v>0</v>
      </c>
      <c r="AJ39" s="28">
        <v>15.120000000000001</v>
      </c>
      <c r="AK39" s="28">
        <v>0</v>
      </c>
      <c r="AL39" s="28">
        <v>15.120000000000001</v>
      </c>
      <c r="AM39" s="28">
        <v>0</v>
      </c>
      <c r="AN39" s="28">
        <v>15.120000000000001</v>
      </c>
      <c r="AO39" s="28">
        <v>0</v>
      </c>
      <c r="AP39" s="28">
        <v>15.120000000000001</v>
      </c>
      <c r="AQ39" s="28">
        <v>0</v>
      </c>
      <c r="AR39" s="28">
        <v>15.120000000000001</v>
      </c>
      <c r="AS39" s="28">
        <v>0</v>
      </c>
      <c r="AT39" s="28">
        <v>15.120000000000001</v>
      </c>
      <c r="AU39" s="28">
        <v>0</v>
      </c>
      <c r="AV39" s="28">
        <v>15.120000000000001</v>
      </c>
      <c r="AW39" s="28">
        <v>0</v>
      </c>
      <c r="AX39" s="28">
        <v>15.120000000000001</v>
      </c>
      <c r="AY39" s="28">
        <v>0</v>
      </c>
      <c r="AZ39" s="28">
        <v>15.120000000000001</v>
      </c>
      <c r="BA39" s="28">
        <v>0</v>
      </c>
      <c r="BB39" s="28">
        <v>15.120000000000001</v>
      </c>
      <c r="BC39" s="28">
        <v>0</v>
      </c>
      <c r="BD39" s="28">
        <v>15.120000000000001</v>
      </c>
      <c r="BE39" s="28">
        <v>0</v>
      </c>
      <c r="BF39" s="28">
        <v>15.120000000000001</v>
      </c>
      <c r="BG39" s="28">
        <v>0</v>
      </c>
      <c r="BH39" s="28">
        <v>15.120000000000001</v>
      </c>
      <c r="BI39" s="28">
        <v>0</v>
      </c>
      <c r="BJ39" s="28">
        <v>15.120000000000001</v>
      </c>
      <c r="BK39" s="28">
        <v>0</v>
      </c>
      <c r="BL39" s="29" t="s">
        <v>71</v>
      </c>
      <c r="BM39" s="29"/>
      <c r="BN39" s="34"/>
      <c r="BO39" s="35"/>
      <c r="BP39" s="36">
        <f t="shared" si="0"/>
        <v>0</v>
      </c>
    </row>
    <row r="40" spans="1:68" x14ac:dyDescent="0.3">
      <c r="A40" s="24" t="s">
        <v>45</v>
      </c>
      <c r="B40" s="24"/>
      <c r="C40" s="24" t="s">
        <v>132</v>
      </c>
      <c r="D40" s="25" t="s">
        <v>133</v>
      </c>
      <c r="E40" s="26" t="s">
        <v>134</v>
      </c>
      <c r="F40" s="24"/>
      <c r="G40" s="24">
        <v>126</v>
      </c>
      <c r="H40" s="27">
        <v>2.1945000000000001</v>
      </c>
      <c r="I40" s="27">
        <v>2.4383333333333335</v>
      </c>
      <c r="J40" s="27">
        <v>2.743125</v>
      </c>
      <c r="K40" s="27">
        <v>2.1945000000000001</v>
      </c>
      <c r="L40" s="27">
        <v>2.8875000000000002</v>
      </c>
      <c r="M40" s="28">
        <v>6.5835000000000008</v>
      </c>
      <c r="N40" s="28">
        <v>6.5835000000000008</v>
      </c>
      <c r="O40" s="28">
        <v>0</v>
      </c>
      <c r="P40" s="28">
        <v>6.5835000000000008</v>
      </c>
      <c r="Q40" s="28">
        <v>0</v>
      </c>
      <c r="R40" s="28">
        <v>6.5835000000000008</v>
      </c>
      <c r="S40" s="28">
        <v>0</v>
      </c>
      <c r="T40" s="28">
        <v>15.120000000000001</v>
      </c>
      <c r="U40" s="28">
        <v>0</v>
      </c>
      <c r="V40" s="28">
        <v>15.120000000000001</v>
      </c>
      <c r="W40" s="28">
        <v>0</v>
      </c>
      <c r="X40" s="28">
        <v>15.120000000000001</v>
      </c>
      <c r="Y40" s="28">
        <v>0</v>
      </c>
      <c r="Z40" s="28">
        <v>15.120000000000001</v>
      </c>
      <c r="AA40" s="28">
        <v>0</v>
      </c>
      <c r="AB40" s="28">
        <v>15.120000000000001</v>
      </c>
      <c r="AC40" s="28">
        <v>0</v>
      </c>
      <c r="AD40" s="28">
        <v>15.120000000000001</v>
      </c>
      <c r="AE40" s="28">
        <v>0</v>
      </c>
      <c r="AF40" s="28">
        <v>15.120000000000001</v>
      </c>
      <c r="AG40" s="28">
        <v>0</v>
      </c>
      <c r="AH40" s="28">
        <v>15.120000000000001</v>
      </c>
      <c r="AI40" s="28">
        <v>0</v>
      </c>
      <c r="AJ40" s="28">
        <v>15.120000000000001</v>
      </c>
      <c r="AK40" s="28">
        <v>0</v>
      </c>
      <c r="AL40" s="28">
        <v>15.120000000000001</v>
      </c>
      <c r="AM40" s="28">
        <v>0</v>
      </c>
      <c r="AN40" s="28">
        <v>15.120000000000001</v>
      </c>
      <c r="AO40" s="28">
        <v>0</v>
      </c>
      <c r="AP40" s="28">
        <v>15.120000000000001</v>
      </c>
      <c r="AQ40" s="28">
        <v>0</v>
      </c>
      <c r="AR40" s="28">
        <v>15.120000000000001</v>
      </c>
      <c r="AS40" s="28">
        <v>0</v>
      </c>
      <c r="AT40" s="28">
        <v>15.120000000000001</v>
      </c>
      <c r="AU40" s="28">
        <v>0</v>
      </c>
      <c r="AV40" s="28">
        <v>15.120000000000001</v>
      </c>
      <c r="AW40" s="28">
        <v>0</v>
      </c>
      <c r="AX40" s="28">
        <v>15.120000000000001</v>
      </c>
      <c r="AY40" s="28">
        <v>0</v>
      </c>
      <c r="AZ40" s="28">
        <v>15.120000000000001</v>
      </c>
      <c r="BA40" s="28">
        <v>0</v>
      </c>
      <c r="BB40" s="28">
        <v>15.120000000000001</v>
      </c>
      <c r="BC40" s="28">
        <v>0</v>
      </c>
      <c r="BD40" s="28">
        <v>15.120000000000001</v>
      </c>
      <c r="BE40" s="28">
        <v>0</v>
      </c>
      <c r="BF40" s="28">
        <v>15.120000000000001</v>
      </c>
      <c r="BG40" s="28">
        <v>0</v>
      </c>
      <c r="BH40" s="28">
        <v>15.120000000000001</v>
      </c>
      <c r="BI40" s="28">
        <v>0</v>
      </c>
      <c r="BJ40" s="28">
        <v>15.120000000000001</v>
      </c>
      <c r="BK40" s="28">
        <v>0</v>
      </c>
      <c r="BL40" s="29" t="s">
        <v>71</v>
      </c>
      <c r="BM40" s="29"/>
      <c r="BN40" s="34"/>
      <c r="BO40" s="35"/>
      <c r="BP40" s="36">
        <f t="shared" si="0"/>
        <v>0</v>
      </c>
    </row>
    <row r="41" spans="1:68" x14ac:dyDescent="0.3">
      <c r="A41" s="24" t="s">
        <v>45</v>
      </c>
      <c r="B41" s="24"/>
      <c r="C41" s="24" t="s">
        <v>135</v>
      </c>
      <c r="D41" s="25" t="s">
        <v>136</v>
      </c>
      <c r="E41" s="26" t="s">
        <v>137</v>
      </c>
      <c r="F41" s="24"/>
      <c r="G41" s="24">
        <v>24</v>
      </c>
      <c r="H41" s="27">
        <v>23.106111111111112</v>
      </c>
      <c r="I41" s="27">
        <v>25.673456790123456</v>
      </c>
      <c r="J41" s="27">
        <v>28.882638888888888</v>
      </c>
      <c r="K41" s="27">
        <v>23.106111111111112</v>
      </c>
      <c r="L41" s="27">
        <v>30.402777777777779</v>
      </c>
      <c r="M41" s="28">
        <v>69.318333333333328</v>
      </c>
      <c r="N41" s="28">
        <v>69.318333333333328</v>
      </c>
      <c r="O41" s="28">
        <v>0</v>
      </c>
      <c r="P41" s="28">
        <v>69.318333333333328</v>
      </c>
      <c r="Q41" s="28">
        <v>0</v>
      </c>
      <c r="R41" s="28">
        <v>69.318333333333328</v>
      </c>
      <c r="S41" s="28">
        <v>0</v>
      </c>
      <c r="T41" s="28">
        <v>15.120000000000001</v>
      </c>
      <c r="U41" s="28">
        <v>0</v>
      </c>
      <c r="V41" s="28">
        <v>15.120000000000001</v>
      </c>
      <c r="W41" s="28">
        <v>0</v>
      </c>
      <c r="X41" s="28">
        <v>15.120000000000001</v>
      </c>
      <c r="Y41" s="28">
        <v>0</v>
      </c>
      <c r="Z41" s="28">
        <v>15.120000000000001</v>
      </c>
      <c r="AA41" s="28">
        <v>0</v>
      </c>
      <c r="AB41" s="28">
        <v>15.120000000000001</v>
      </c>
      <c r="AC41" s="28">
        <v>0</v>
      </c>
      <c r="AD41" s="28">
        <v>15.120000000000001</v>
      </c>
      <c r="AE41" s="28">
        <v>0</v>
      </c>
      <c r="AF41" s="28">
        <v>15.120000000000001</v>
      </c>
      <c r="AG41" s="28">
        <v>0</v>
      </c>
      <c r="AH41" s="28">
        <v>15.120000000000001</v>
      </c>
      <c r="AI41" s="28">
        <v>0</v>
      </c>
      <c r="AJ41" s="28">
        <v>15.120000000000001</v>
      </c>
      <c r="AK41" s="28">
        <v>0</v>
      </c>
      <c r="AL41" s="28">
        <v>15.120000000000001</v>
      </c>
      <c r="AM41" s="28">
        <v>0</v>
      </c>
      <c r="AN41" s="28">
        <v>15.120000000000001</v>
      </c>
      <c r="AO41" s="28">
        <v>0</v>
      </c>
      <c r="AP41" s="28">
        <v>15.120000000000001</v>
      </c>
      <c r="AQ41" s="28">
        <v>0</v>
      </c>
      <c r="AR41" s="28">
        <v>15.120000000000001</v>
      </c>
      <c r="AS41" s="28">
        <v>0</v>
      </c>
      <c r="AT41" s="28">
        <v>15.120000000000001</v>
      </c>
      <c r="AU41" s="28">
        <v>0</v>
      </c>
      <c r="AV41" s="28">
        <v>15.120000000000001</v>
      </c>
      <c r="AW41" s="28">
        <v>0</v>
      </c>
      <c r="AX41" s="28">
        <v>15.120000000000001</v>
      </c>
      <c r="AY41" s="28">
        <v>0</v>
      </c>
      <c r="AZ41" s="28">
        <v>15.120000000000001</v>
      </c>
      <c r="BA41" s="28">
        <v>0</v>
      </c>
      <c r="BB41" s="28">
        <v>15.120000000000001</v>
      </c>
      <c r="BC41" s="28">
        <v>0</v>
      </c>
      <c r="BD41" s="28">
        <v>15.120000000000001</v>
      </c>
      <c r="BE41" s="28">
        <v>0</v>
      </c>
      <c r="BF41" s="28">
        <v>15.120000000000001</v>
      </c>
      <c r="BG41" s="28">
        <v>0</v>
      </c>
      <c r="BH41" s="28">
        <v>15.120000000000001</v>
      </c>
      <c r="BI41" s="28">
        <v>0</v>
      </c>
      <c r="BJ41" s="28">
        <v>15.120000000000001</v>
      </c>
      <c r="BK41" s="28">
        <v>0</v>
      </c>
      <c r="BL41" s="29" t="s">
        <v>71</v>
      </c>
      <c r="BM41" s="29"/>
      <c r="BN41" s="34"/>
      <c r="BO41" s="35"/>
      <c r="BP41" s="36">
        <f t="shared" si="0"/>
        <v>0</v>
      </c>
    </row>
    <row r="42" spans="1:68" x14ac:dyDescent="0.3">
      <c r="A42" s="24" t="s">
        <v>45</v>
      </c>
      <c r="B42" s="24"/>
      <c r="C42" s="24" t="s">
        <v>138</v>
      </c>
      <c r="D42" s="25" t="s">
        <v>139</v>
      </c>
      <c r="E42" s="26" t="s">
        <v>140</v>
      </c>
      <c r="F42" s="24"/>
      <c r="G42" s="24">
        <v>16</v>
      </c>
      <c r="H42" s="27">
        <v>26.71875</v>
      </c>
      <c r="I42" s="27">
        <v>29.6875</v>
      </c>
      <c r="J42" s="27">
        <v>33.3984375</v>
      </c>
      <c r="K42" s="27">
        <v>26.71875</v>
      </c>
      <c r="L42" s="27">
        <v>35.15625</v>
      </c>
      <c r="M42" s="28">
        <v>72.140625</v>
      </c>
      <c r="N42" s="28">
        <v>72.140625</v>
      </c>
      <c r="O42" s="28">
        <v>0</v>
      </c>
      <c r="P42" s="28">
        <v>72.140625</v>
      </c>
      <c r="Q42" s="28">
        <v>0</v>
      </c>
      <c r="R42" s="28">
        <v>72.140625</v>
      </c>
      <c r="S42" s="28">
        <v>0</v>
      </c>
      <c r="T42" s="28">
        <v>72</v>
      </c>
      <c r="U42" s="28">
        <v>0</v>
      </c>
      <c r="V42" s="28">
        <v>72</v>
      </c>
      <c r="W42" s="28">
        <v>0</v>
      </c>
      <c r="X42" s="28">
        <v>72</v>
      </c>
      <c r="Y42" s="28">
        <v>0</v>
      </c>
      <c r="Z42" s="28">
        <v>72</v>
      </c>
      <c r="AA42" s="28">
        <v>0</v>
      </c>
      <c r="AB42" s="28">
        <v>72</v>
      </c>
      <c r="AC42" s="28">
        <v>0</v>
      </c>
      <c r="AD42" s="28">
        <v>72</v>
      </c>
      <c r="AE42" s="28">
        <v>0</v>
      </c>
      <c r="AF42" s="28">
        <v>72</v>
      </c>
      <c r="AG42" s="28">
        <v>0</v>
      </c>
      <c r="AH42" s="28">
        <v>72</v>
      </c>
      <c r="AI42" s="28">
        <v>0</v>
      </c>
      <c r="AJ42" s="28">
        <v>72</v>
      </c>
      <c r="AK42" s="28">
        <v>0</v>
      </c>
      <c r="AL42" s="28">
        <v>72</v>
      </c>
      <c r="AM42" s="28">
        <v>0</v>
      </c>
      <c r="AN42" s="28">
        <v>72</v>
      </c>
      <c r="AO42" s="28">
        <v>0</v>
      </c>
      <c r="AP42" s="28">
        <v>72</v>
      </c>
      <c r="AQ42" s="28">
        <v>0</v>
      </c>
      <c r="AR42" s="28">
        <v>72</v>
      </c>
      <c r="AS42" s="28">
        <v>0</v>
      </c>
      <c r="AT42" s="28">
        <v>72</v>
      </c>
      <c r="AU42" s="28">
        <v>0</v>
      </c>
      <c r="AV42" s="28">
        <v>72</v>
      </c>
      <c r="AW42" s="28">
        <v>0</v>
      </c>
      <c r="AX42" s="28">
        <v>72</v>
      </c>
      <c r="AY42" s="28">
        <v>0</v>
      </c>
      <c r="AZ42" s="28">
        <v>72</v>
      </c>
      <c r="BA42" s="28">
        <v>0</v>
      </c>
      <c r="BB42" s="28">
        <v>72</v>
      </c>
      <c r="BC42" s="28">
        <v>0</v>
      </c>
      <c r="BD42" s="28">
        <v>72</v>
      </c>
      <c r="BE42" s="28">
        <v>0</v>
      </c>
      <c r="BF42" s="28">
        <v>72</v>
      </c>
      <c r="BG42" s="28">
        <v>0</v>
      </c>
      <c r="BH42" s="28">
        <v>72</v>
      </c>
      <c r="BI42" s="28">
        <v>0</v>
      </c>
      <c r="BJ42" s="28">
        <v>72</v>
      </c>
      <c r="BK42" s="28">
        <v>0</v>
      </c>
      <c r="BL42" s="29" t="s">
        <v>71</v>
      </c>
      <c r="BM42" s="29"/>
      <c r="BN42" s="34"/>
      <c r="BO42" s="35"/>
      <c r="BP42" s="36">
        <f t="shared" si="0"/>
        <v>0</v>
      </c>
    </row>
    <row r="43" spans="1:68" x14ac:dyDescent="0.3">
      <c r="A43" s="24" t="s">
        <v>45</v>
      </c>
      <c r="B43" s="24"/>
      <c r="C43" s="24" t="s">
        <v>141</v>
      </c>
      <c r="D43" s="25" t="s">
        <v>142</v>
      </c>
      <c r="E43" s="26" t="s">
        <v>143</v>
      </c>
      <c r="F43" s="24"/>
      <c r="G43" s="24">
        <v>126</v>
      </c>
      <c r="H43" s="27">
        <v>2.3106111111111112</v>
      </c>
      <c r="I43" s="27">
        <v>2.5673456790123459</v>
      </c>
      <c r="J43" s="27">
        <v>2.888263888888889</v>
      </c>
      <c r="K43" s="27">
        <v>2.3106111111111112</v>
      </c>
      <c r="L43" s="27">
        <v>3.0402777777777779</v>
      </c>
      <c r="M43" s="28">
        <v>6.9318333333333335</v>
      </c>
      <c r="N43" s="28">
        <v>6.9318333333333335</v>
      </c>
      <c r="O43" s="28">
        <v>0</v>
      </c>
      <c r="P43" s="28">
        <v>6.9318333333333335</v>
      </c>
      <c r="Q43" s="28">
        <v>0</v>
      </c>
      <c r="R43" s="28">
        <v>6.9318333333333335</v>
      </c>
      <c r="S43" s="28">
        <v>0</v>
      </c>
      <c r="T43" s="28">
        <v>5.4</v>
      </c>
      <c r="U43" s="28">
        <v>0</v>
      </c>
      <c r="V43" s="28">
        <v>5.4</v>
      </c>
      <c r="W43" s="28">
        <v>0</v>
      </c>
      <c r="X43" s="28">
        <v>5.4</v>
      </c>
      <c r="Y43" s="28">
        <v>0</v>
      </c>
      <c r="Z43" s="28">
        <v>5.4</v>
      </c>
      <c r="AA43" s="28">
        <v>0</v>
      </c>
      <c r="AB43" s="28">
        <v>5.4</v>
      </c>
      <c r="AC43" s="28">
        <v>0</v>
      </c>
      <c r="AD43" s="28">
        <v>5.4</v>
      </c>
      <c r="AE43" s="28">
        <v>0</v>
      </c>
      <c r="AF43" s="28">
        <v>5.4</v>
      </c>
      <c r="AG43" s="28">
        <v>0</v>
      </c>
      <c r="AH43" s="28">
        <v>5.4</v>
      </c>
      <c r="AI43" s="28">
        <v>0</v>
      </c>
      <c r="AJ43" s="28">
        <v>5.4</v>
      </c>
      <c r="AK43" s="28">
        <v>0</v>
      </c>
      <c r="AL43" s="28">
        <v>5.4</v>
      </c>
      <c r="AM43" s="28">
        <v>0</v>
      </c>
      <c r="AN43" s="28">
        <v>5.4</v>
      </c>
      <c r="AO43" s="28">
        <v>0</v>
      </c>
      <c r="AP43" s="28">
        <v>5.4</v>
      </c>
      <c r="AQ43" s="28">
        <v>0</v>
      </c>
      <c r="AR43" s="28">
        <v>5.4</v>
      </c>
      <c r="AS43" s="28">
        <v>0</v>
      </c>
      <c r="AT43" s="28">
        <v>5.4</v>
      </c>
      <c r="AU43" s="28">
        <v>0</v>
      </c>
      <c r="AV43" s="28">
        <v>5.4</v>
      </c>
      <c r="AW43" s="28">
        <v>0</v>
      </c>
      <c r="AX43" s="28">
        <v>5.4</v>
      </c>
      <c r="AY43" s="28">
        <v>0</v>
      </c>
      <c r="AZ43" s="28">
        <v>5.4</v>
      </c>
      <c r="BA43" s="28">
        <v>0</v>
      </c>
      <c r="BB43" s="28">
        <v>5.4</v>
      </c>
      <c r="BC43" s="28">
        <v>0</v>
      </c>
      <c r="BD43" s="28">
        <v>5.4</v>
      </c>
      <c r="BE43" s="28">
        <v>0</v>
      </c>
      <c r="BF43" s="28">
        <v>5.4</v>
      </c>
      <c r="BG43" s="28">
        <v>0</v>
      </c>
      <c r="BH43" s="28">
        <v>5.4</v>
      </c>
      <c r="BI43" s="28">
        <v>0</v>
      </c>
      <c r="BJ43" s="28">
        <v>5.4</v>
      </c>
      <c r="BK43" s="28">
        <v>0</v>
      </c>
      <c r="BL43" s="29" t="s">
        <v>71</v>
      </c>
      <c r="BM43" s="29"/>
      <c r="BN43" s="34"/>
      <c r="BO43" s="35"/>
      <c r="BP43" s="36">
        <f t="shared" si="0"/>
        <v>0</v>
      </c>
    </row>
    <row r="44" spans="1:68" x14ac:dyDescent="0.3">
      <c r="A44" s="24" t="s">
        <v>45</v>
      </c>
      <c r="B44" s="24"/>
      <c r="C44" s="24" t="s">
        <v>144</v>
      </c>
      <c r="D44" s="25" t="s">
        <v>145</v>
      </c>
      <c r="E44" s="26" t="s">
        <v>146</v>
      </c>
      <c r="F44" s="24"/>
      <c r="G44" s="24">
        <v>0</v>
      </c>
      <c r="H44" s="27">
        <v>3.9117647058823533</v>
      </c>
      <c r="I44" s="27">
        <v>4.3464052287581705</v>
      </c>
      <c r="J44" s="27">
        <v>4.8897058823529411</v>
      </c>
      <c r="K44" s="27">
        <v>3.9117647058823533</v>
      </c>
      <c r="L44" s="27">
        <v>5.1470588235294121</v>
      </c>
      <c r="M44" s="28">
        <v>10.561764705882354</v>
      </c>
      <c r="N44" s="28">
        <v>10.561764705882354</v>
      </c>
      <c r="O44" s="28">
        <v>0</v>
      </c>
      <c r="P44" s="28">
        <v>10.561764705882354</v>
      </c>
      <c r="Q44" s="28">
        <v>0</v>
      </c>
      <c r="R44" s="28">
        <v>10.561764705882354</v>
      </c>
      <c r="S44" s="28">
        <v>0</v>
      </c>
      <c r="T44" s="28">
        <v>23.33</v>
      </c>
      <c r="U44" s="28">
        <v>31.3</v>
      </c>
      <c r="V44" s="28">
        <v>23.48</v>
      </c>
      <c r="W44" s="28">
        <v>31.5</v>
      </c>
      <c r="X44" s="28">
        <v>23.77</v>
      </c>
      <c r="Y44" s="28">
        <v>31.89</v>
      </c>
      <c r="Z44" s="28">
        <v>23.91</v>
      </c>
      <c r="AA44" s="28">
        <v>32.07</v>
      </c>
      <c r="AB44" s="28">
        <v>24.06</v>
      </c>
      <c r="AC44" s="28">
        <v>32.28</v>
      </c>
      <c r="AD44" s="28">
        <v>24.21</v>
      </c>
      <c r="AE44" s="28">
        <v>32.479999999999997</v>
      </c>
      <c r="AF44" s="28">
        <v>24.37</v>
      </c>
      <c r="AG44" s="28">
        <v>32.69</v>
      </c>
      <c r="AH44" s="28">
        <v>24.68</v>
      </c>
      <c r="AI44" s="28">
        <v>33.11</v>
      </c>
      <c r="AJ44" s="28">
        <v>24.84</v>
      </c>
      <c r="AK44" s="28">
        <v>33.32</v>
      </c>
      <c r="AL44" s="28">
        <v>25</v>
      </c>
      <c r="AM44" s="28">
        <v>33.54</v>
      </c>
      <c r="AN44" s="28">
        <v>19.53</v>
      </c>
      <c r="AO44" s="28">
        <v>27</v>
      </c>
      <c r="AP44" s="28">
        <v>20.71</v>
      </c>
      <c r="AQ44" s="28">
        <v>28.63</v>
      </c>
      <c r="AR44" s="28">
        <v>20.83</v>
      </c>
      <c r="AS44" s="28">
        <v>28.8</v>
      </c>
      <c r="AT44" s="28">
        <v>20.96</v>
      </c>
      <c r="AU44" s="28">
        <v>28.98</v>
      </c>
      <c r="AV44" s="28">
        <v>21.22</v>
      </c>
      <c r="AW44" s="28">
        <v>29.34</v>
      </c>
      <c r="AX44" s="28">
        <v>21.35</v>
      </c>
      <c r="AY44" s="28">
        <v>29.52</v>
      </c>
      <c r="AZ44" s="28">
        <v>21.48</v>
      </c>
      <c r="BA44" s="28">
        <v>29.69</v>
      </c>
      <c r="BB44" s="28">
        <v>21.62</v>
      </c>
      <c r="BC44" s="28">
        <v>29.89</v>
      </c>
      <c r="BD44" s="28">
        <v>21.76</v>
      </c>
      <c r="BE44" s="28">
        <v>30.08</v>
      </c>
      <c r="BF44" s="28">
        <v>22.04</v>
      </c>
      <c r="BG44" s="28">
        <v>30.47</v>
      </c>
      <c r="BH44" s="28">
        <v>22.18</v>
      </c>
      <c r="BI44" s="28">
        <v>30.66</v>
      </c>
      <c r="BJ44" s="28">
        <v>22.32</v>
      </c>
      <c r="BK44" s="28">
        <v>30.86</v>
      </c>
      <c r="BL44" s="29" t="s">
        <v>49</v>
      </c>
      <c r="BM44" s="29"/>
      <c r="BN44" s="34"/>
      <c r="BO44" s="35"/>
      <c r="BP44" s="36">
        <f t="shared" si="0"/>
        <v>0</v>
      </c>
    </row>
    <row r="45" spans="1:68" x14ac:dyDescent="0.3">
      <c r="A45" s="24" t="s">
        <v>45</v>
      </c>
      <c r="B45" s="24"/>
      <c r="C45" s="24" t="s">
        <v>147</v>
      </c>
      <c r="D45" s="25" t="s">
        <v>148</v>
      </c>
      <c r="E45" s="26" t="s">
        <v>149</v>
      </c>
      <c r="F45" s="24"/>
      <c r="G45" s="24">
        <v>0</v>
      </c>
      <c r="H45" s="27">
        <v>4.0590000000000002</v>
      </c>
      <c r="I45" s="27">
        <v>4.51</v>
      </c>
      <c r="J45" s="27">
        <v>5.0737499999999995</v>
      </c>
      <c r="K45" s="27">
        <v>4.0590000000000002</v>
      </c>
      <c r="L45" s="27">
        <v>5.3407894736842101</v>
      </c>
      <c r="M45" s="28">
        <v>12.177</v>
      </c>
      <c r="N45" s="28">
        <v>12.177</v>
      </c>
      <c r="O45" s="28">
        <v>0</v>
      </c>
      <c r="P45" s="28">
        <v>12.177</v>
      </c>
      <c r="Q45" s="28">
        <v>0</v>
      </c>
      <c r="R45" s="28">
        <v>12.177</v>
      </c>
      <c r="S45" s="28">
        <v>0</v>
      </c>
      <c r="T45" s="28">
        <v>119.71</v>
      </c>
      <c r="U45" s="28">
        <v>160.59</v>
      </c>
      <c r="V45" s="28">
        <v>120.44</v>
      </c>
      <c r="W45" s="28">
        <v>161.57</v>
      </c>
      <c r="X45" s="28">
        <v>121.93</v>
      </c>
      <c r="Y45" s="28">
        <v>163.56</v>
      </c>
      <c r="Z45" s="28">
        <v>122.68</v>
      </c>
      <c r="AA45" s="28">
        <v>164.57</v>
      </c>
      <c r="AB45" s="28">
        <v>123.45</v>
      </c>
      <c r="AC45" s="28">
        <v>165.6</v>
      </c>
      <c r="AD45" s="28">
        <v>124.23</v>
      </c>
      <c r="AE45" s="28">
        <v>166.65</v>
      </c>
      <c r="AF45" s="28">
        <v>125.01</v>
      </c>
      <c r="AG45" s="28">
        <v>167.7</v>
      </c>
      <c r="AH45" s="28">
        <v>126.62</v>
      </c>
      <c r="AI45" s="28">
        <v>169.86</v>
      </c>
      <c r="AJ45" s="28">
        <v>127.43</v>
      </c>
      <c r="AK45" s="28">
        <v>170.94</v>
      </c>
      <c r="AL45" s="28">
        <v>128.26</v>
      </c>
      <c r="AM45" s="28">
        <v>172.06</v>
      </c>
      <c r="AN45" s="28">
        <v>100.2</v>
      </c>
      <c r="AO45" s="28">
        <v>138.52000000000001</v>
      </c>
      <c r="AP45" s="28">
        <v>106.24</v>
      </c>
      <c r="AQ45" s="28">
        <v>146.87</v>
      </c>
      <c r="AR45" s="28">
        <v>106.88</v>
      </c>
      <c r="AS45" s="28">
        <v>147.76</v>
      </c>
      <c r="AT45" s="28">
        <v>107.53</v>
      </c>
      <c r="AU45" s="28">
        <v>148.65</v>
      </c>
      <c r="AV45" s="28">
        <v>108.86</v>
      </c>
      <c r="AW45" s="28">
        <v>150.49</v>
      </c>
      <c r="AX45" s="28">
        <v>109.54</v>
      </c>
      <c r="AY45" s="28">
        <v>151.43</v>
      </c>
      <c r="AZ45" s="28">
        <v>110.22</v>
      </c>
      <c r="BA45" s="28">
        <v>152.37</v>
      </c>
      <c r="BB45" s="28">
        <v>110.92</v>
      </c>
      <c r="BC45" s="28">
        <v>153.34</v>
      </c>
      <c r="BD45" s="28">
        <v>111.62</v>
      </c>
      <c r="BE45" s="28">
        <v>154.31</v>
      </c>
      <c r="BF45" s="28">
        <v>113.05</v>
      </c>
      <c r="BG45" s="28">
        <v>156.28</v>
      </c>
      <c r="BH45" s="28">
        <v>113.78</v>
      </c>
      <c r="BI45" s="28">
        <v>157.29</v>
      </c>
      <c r="BJ45" s="28">
        <v>114.52</v>
      </c>
      <c r="BK45" s="28">
        <v>158.32</v>
      </c>
      <c r="BL45" s="29" t="s">
        <v>49</v>
      </c>
      <c r="BM45" s="29"/>
      <c r="BN45" s="34"/>
      <c r="BO45" s="35"/>
      <c r="BP45" s="36">
        <f t="shared" si="0"/>
        <v>0</v>
      </c>
    </row>
    <row r="46" spans="1:68" x14ac:dyDescent="0.3">
      <c r="A46" s="24" t="s">
        <v>45</v>
      </c>
      <c r="B46" s="24"/>
      <c r="C46" s="24" t="s">
        <v>165</v>
      </c>
      <c r="D46" s="25" t="s">
        <v>166</v>
      </c>
      <c r="E46" s="26" t="s">
        <v>167</v>
      </c>
      <c r="F46" s="24"/>
      <c r="G46" s="24">
        <v>200</v>
      </c>
      <c r="H46" s="27">
        <v>2</v>
      </c>
      <c r="I46" s="27">
        <v>2.2222222222222223</v>
      </c>
      <c r="J46" s="27">
        <v>2.5</v>
      </c>
      <c r="K46" s="27">
        <v>2</v>
      </c>
      <c r="L46" s="27">
        <v>2.6315789473684212</v>
      </c>
      <c r="M46" s="28">
        <v>5.4</v>
      </c>
      <c r="N46" s="28">
        <v>5.4</v>
      </c>
      <c r="O46" s="28">
        <v>0</v>
      </c>
      <c r="P46" s="28">
        <v>5.4</v>
      </c>
      <c r="Q46" s="28">
        <v>0</v>
      </c>
      <c r="R46" s="28">
        <v>5.4</v>
      </c>
      <c r="S46" s="28">
        <v>0</v>
      </c>
      <c r="T46" s="28">
        <v>14.428125000000001</v>
      </c>
      <c r="U46" s="28">
        <v>0</v>
      </c>
      <c r="V46" s="28">
        <v>14.428125000000001</v>
      </c>
      <c r="W46" s="28">
        <v>0</v>
      </c>
      <c r="X46" s="28">
        <v>14.428125000000001</v>
      </c>
      <c r="Y46" s="28">
        <v>0</v>
      </c>
      <c r="Z46" s="28">
        <v>14.428125000000001</v>
      </c>
      <c r="AA46" s="28">
        <v>0</v>
      </c>
      <c r="AB46" s="28">
        <v>14.428125000000001</v>
      </c>
      <c r="AC46" s="28">
        <v>0</v>
      </c>
      <c r="AD46" s="28">
        <v>14.428125000000001</v>
      </c>
      <c r="AE46" s="28">
        <v>0</v>
      </c>
      <c r="AF46" s="28">
        <v>14.428125000000001</v>
      </c>
      <c r="AG46" s="28">
        <v>0</v>
      </c>
      <c r="AH46" s="28">
        <v>14.428125000000001</v>
      </c>
      <c r="AI46" s="28">
        <v>0</v>
      </c>
      <c r="AJ46" s="28">
        <v>14.428125000000001</v>
      </c>
      <c r="AK46" s="28">
        <v>0</v>
      </c>
      <c r="AL46" s="28">
        <v>14.428125000000001</v>
      </c>
      <c r="AM46" s="28">
        <v>0</v>
      </c>
      <c r="AN46" s="28">
        <v>14.428125000000001</v>
      </c>
      <c r="AO46" s="28">
        <v>0</v>
      </c>
      <c r="AP46" s="28">
        <v>14.428125000000001</v>
      </c>
      <c r="AQ46" s="28">
        <v>0</v>
      </c>
      <c r="AR46" s="28">
        <v>14.428125000000001</v>
      </c>
      <c r="AS46" s="28">
        <v>0</v>
      </c>
      <c r="AT46" s="28">
        <v>14.428125000000001</v>
      </c>
      <c r="AU46" s="28">
        <v>0</v>
      </c>
      <c r="AV46" s="28">
        <v>14.428125000000001</v>
      </c>
      <c r="AW46" s="28">
        <v>0</v>
      </c>
      <c r="AX46" s="28">
        <v>14.428125000000001</v>
      </c>
      <c r="AY46" s="28">
        <v>0</v>
      </c>
      <c r="AZ46" s="28">
        <v>14.428125000000001</v>
      </c>
      <c r="BA46" s="28">
        <v>0</v>
      </c>
      <c r="BB46" s="28">
        <v>14.428125000000001</v>
      </c>
      <c r="BC46" s="28">
        <v>0</v>
      </c>
      <c r="BD46" s="28">
        <v>14.428125000000001</v>
      </c>
      <c r="BE46" s="28">
        <v>0</v>
      </c>
      <c r="BF46" s="28">
        <v>14.428125000000001</v>
      </c>
      <c r="BG46" s="28">
        <v>0</v>
      </c>
      <c r="BH46" s="28">
        <v>14.428125000000001</v>
      </c>
      <c r="BI46" s="28">
        <v>0</v>
      </c>
      <c r="BJ46" s="28">
        <v>14.428125000000001</v>
      </c>
      <c r="BK46" s="28">
        <v>0</v>
      </c>
      <c r="BL46" s="29" t="s">
        <v>71</v>
      </c>
      <c r="BM46" s="29"/>
      <c r="BN46" s="34"/>
      <c r="BO46" s="35"/>
      <c r="BP46" s="36">
        <f t="shared" si="0"/>
        <v>0</v>
      </c>
    </row>
  </sheetData>
  <autoFilter ref="A3:S3" xr:uid="{50E696EE-E6A7-4635-959A-A93A2152B205}">
    <sortState xmlns:xlrd2="http://schemas.microsoft.com/office/spreadsheetml/2017/richdata2" ref="A4:S46">
      <sortCondition ref="E3"/>
    </sortState>
  </autoFilter>
  <conditionalFormatting sqref="D1:D4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Djouhany Sacal</dc:creator>
  <cp:lastModifiedBy>Djouhany Sacal</cp:lastModifiedBy>
  <dcterms:created xsi:type="dcterms:W3CDTF">2026-07-06T20:11:57Z</dcterms:created>
  <dcterms:modified xsi:type="dcterms:W3CDTF">2026-07-06T23:12:01Z</dcterms:modified>
</cp:coreProperties>
</file>