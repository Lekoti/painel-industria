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hospitalar-my.sharepoint.com/personal/juliana_peres_cremer_com_br/Documents/Área de Trabalho/Carteira - CURITIBA/DIMEBRAS25/LISTA DE PREÇO26/"/>
    </mc:Choice>
  </mc:AlternateContent>
  <xr:revisionPtr revIDLastSave="3" documentId="8_{A74F941E-43BD-4D5E-8ACB-E8D7772AFA13}" xr6:coauthVersionLast="47" xr6:coauthVersionMax="47" xr10:uidLastSave="{AEFCC9C5-3D94-472F-A672-4D42CB05D17E}"/>
  <bookViews>
    <workbookView xWindow="0" yWindow="390" windowWidth="20490" windowHeight="10800" xr2:uid="{E84D3D44-F496-4952-8D61-4952052BD876}"/>
  </bookViews>
  <sheets>
    <sheet name="Preço Lista - MIX CREMER" sheetId="4" r:id="rId1"/>
    <sheet name="MARCA NEVE" sheetId="5" r:id="rId2"/>
  </sheets>
  <externalReferences>
    <externalReference r:id="rId3"/>
  </externalReferences>
  <definedNames>
    <definedName name="_xlnm._FilterDatabase" localSheetId="0" hidden="1">'Preço Lista - MIX CREMER'!$E$8:$P$329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4" l="1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9" i="4"/>
  <c r="L318" i="4" l="1"/>
  <c r="L313" i="4" l="1"/>
  <c r="L314" i="4"/>
  <c r="L315" i="4"/>
  <c r="L316" i="4"/>
  <c r="L317" i="4"/>
</calcChain>
</file>

<file path=xl/sharedStrings.xml><?xml version="1.0" encoding="utf-8"?>
<sst xmlns="http://schemas.openxmlformats.org/spreadsheetml/2006/main" count="720" uniqueCount="426">
  <si>
    <t>Linha</t>
  </si>
  <si>
    <t>Cód. Item</t>
  </si>
  <si>
    <t>DESCRIÇÃO DO PRODUTO</t>
  </si>
  <si>
    <t>Qtde/ cx</t>
  </si>
  <si>
    <t>EAN (UND)</t>
  </si>
  <si>
    <t>DUN (CX)</t>
  </si>
  <si>
    <t>CREMER- NOVOS CURATIVOS</t>
  </si>
  <si>
    <t>CURATIVO SILICONE CICATRIZACAO 4 UNIDADES CREMER CX10</t>
  </si>
  <si>
    <t>CURATIVO MICROPOROSO 10 UNIDADES CREMER CX56</t>
  </si>
  <si>
    <t xml:space="preserve">CURATIVO FILME PROVA DAGUA 4 UNIDADES CREMER CX24   </t>
  </si>
  <si>
    <t>CURATIVO TECNOLOGICO</t>
  </si>
  <si>
    <t>GEL ADESIVO ALIVIO DE FEBRE 4 UNIDADES CREMER CX20</t>
  </si>
  <si>
    <t>ATADURAS ORTOPEDICA</t>
  </si>
  <si>
    <t>ATADURA ORTOPEDICA 10CMX1M CREMER CX 24PC/12UN</t>
  </si>
  <si>
    <t>ATADURA ORTOPEDICA 15CMX1M CREMER CX 16PC/12UN</t>
  </si>
  <si>
    <t>ATADURA ORTOPEDICA 20CMX1M CREMER CX 12PC/12UN</t>
  </si>
  <si>
    <t>ATADURA ORTOPEDICA 10CMX1,8M CREMER CX 24PC/12UN</t>
  </si>
  <si>
    <t>ATADURA ORTOPEDICA 15CMX1,8M CREMER CX 16PC/12UN</t>
  </si>
  <si>
    <t>ATADURA ORTOPEDICA 20CMX1,8M CREMER CX 12PC/12UN</t>
  </si>
  <si>
    <t>ATADURA ORTOPEDICA 6CMX1,8M CREMER CX 40PC/12UN</t>
  </si>
  <si>
    <t>ATADURA ORTOPEDICA 8CMX1,8M CREMER CX 30PC/12UN</t>
  </si>
  <si>
    <t>ALGODAO ROLO</t>
  </si>
  <si>
    <t>ALGODAO 250G CREMER CX 24UN</t>
  </si>
  <si>
    <t>ALGODAO 500G CREMER CX 16UN</t>
  </si>
  <si>
    <t>ALGODAO DELICATO 250G CREMER CX 24UN</t>
  </si>
  <si>
    <t>ALGODAO 25G CREMER CX 120UN - 6PCT X 20UN</t>
  </si>
  <si>
    <t>ALGODAO 50G CREMER CX 80UN</t>
  </si>
  <si>
    <t>ATADURAS CREPOM</t>
  </si>
  <si>
    <t>ATADURA CREP CYSNE 20CMX1,80M CREMER CX 12PC/06UN ENV</t>
  </si>
  <si>
    <t>ATADURA CREP CYSNE 25CMX1,80M CREMER CX 12PC/06UN ENV</t>
  </si>
  <si>
    <t>ATADURA CREP CYSNE 30CMX1,80M CREMER CX 12PC/06UN ENV</t>
  </si>
  <si>
    <t>ATADURA CREP CYSNE 10CMX1,80M CREMER CX 12PC/12UN</t>
  </si>
  <si>
    <t>ATADURA CREP CYSNE 15CMX1,80M CREMER CX 12PC/12UN</t>
  </si>
  <si>
    <t>ATADURA CREP CYSNE 20CMX1,80M CREMER CX 6PC/12UN</t>
  </si>
  <si>
    <t>ATADURA CREP CYSNE 30CMX1,80M CREMER CX 6PC/12UN</t>
  </si>
  <si>
    <t>ATADURA CREP CYSNE 10CMX1,25M CREMER CX 12PC/12UN</t>
  </si>
  <si>
    <t>ATADURA CREP CYSNE 15CMX1,25M CREMER CX 12PC/12UN</t>
  </si>
  <si>
    <t>ATADURA CREP CYSNE 20CMX1,25M CREMER CX 12PC/12UN</t>
  </si>
  <si>
    <t>ATADURA CREP CREMER 10CMX1,8M CREMER CX 12PC/06UN ENV</t>
  </si>
  <si>
    <t>ATADURA CREP CREMER 12CMX1,8M CREMER CX 12PC/06UN ENV</t>
  </si>
  <si>
    <t>ATADURA CREP CREMER 15CMX1,8M CREMER CX 12PC/06UN ENV</t>
  </si>
  <si>
    <t>ATADURA CREP CREMER 20CMX1,8M CREMER CX 12PC/06UN ENV</t>
  </si>
  <si>
    <t>ATADURA CREP CREMER 8CMX1,8M CREMER CX 12PC/06UN ENV</t>
  </si>
  <si>
    <t>ATADURAS ELASTICA</t>
  </si>
  <si>
    <t>BANDAGEM ELASTICA BEGE 7,6CMX4,5M CX C/ 12UND</t>
  </si>
  <si>
    <t>OUTROS</t>
  </si>
  <si>
    <t>COMPRESSA NÃO ESTERIL</t>
  </si>
  <si>
    <t>COMPRESSA ESTRELA 10X10 CREMER CX 08PC/500UN</t>
  </si>
  <si>
    <t>COMPRESSA ESTERIL</t>
  </si>
  <si>
    <t>COMPRESSA EST ETO 11F CREMER 7,5X7,5 CX 240PC/10UN</t>
  </si>
  <si>
    <t>COMPRESSA EST ETO 11F CREMER 7,5X7,5 CX 500PC/5UN</t>
  </si>
  <si>
    <t>COMPRESSA EST ETO 13F CREMER 7,5X7,5 CX 240PC/10UN</t>
  </si>
  <si>
    <t>COMPRESSA EST ETO 13F RX CREMER 10X10 CX144/PC10UN</t>
  </si>
  <si>
    <t>COMPRESSA EST ETO 13F RX PC10UN CREMER 7,5X7,5 CX240/PC10UN</t>
  </si>
  <si>
    <t>COMPRESSA ESTER 13FIOS 10X10CM ETO CX C 144X10UN</t>
  </si>
  <si>
    <t>GAZE DOBRADA HIDROFILA EST 60CMX91CM- 13FIOS ETO CX 180UN</t>
  </si>
  <si>
    <t>COMPRESSA DE GAZE ALGODONADA</t>
  </si>
  <si>
    <t>COMP ALGOD 10X15 15X60 EST ETO CREMER CX 144UN</t>
  </si>
  <si>
    <t>COMP ALGOD 15X30 30X60 EST ETO CREMER CX 48UN</t>
  </si>
  <si>
    <t>GAZE ESTRELA BOBINA 91CMX91M CREMER CX 05UN</t>
  </si>
  <si>
    <t>GAZE IRIS BOBINA 91CMX91M CREMER CX 12UN</t>
  </si>
  <si>
    <t>CURATIVOS OUTROS</t>
  </si>
  <si>
    <t>CURATIVO CIRUR.ESTER10X15CMETO  CX C/144 UN</t>
  </si>
  <si>
    <t>CURATIVO CIRUR.ESTER15X30CMETO  CX C/48 UN</t>
  </si>
  <si>
    <t>COMPRESSA EST ETO 11F CREMER 7,5X7,5CM CX 100PC/05UN</t>
  </si>
  <si>
    <t>COMPRESSA EST ETO 11F CREMER 7,5X7,5CM CX 50PC/10UN</t>
  </si>
  <si>
    <t>COMPRESSA EST ETO 13F CREMER 7,5X7,5CM CX 100PC/05UN</t>
  </si>
  <si>
    <t>COMPRESSA EST ETO 13F CREMER 7,5X7,5CM CX 50PC/10UN</t>
  </si>
  <si>
    <t>COMPRESSA 11F 7,5X7,5CM CREMER CX 02DISPLAY/25PC/10UN</t>
  </si>
  <si>
    <t>COMPRESSA 11F 7,5X7,5CM CREMER CX 02DISPLAY/40PC/05UN</t>
  </si>
  <si>
    <t>CURATIVOS TRADICIONAL</t>
  </si>
  <si>
    <t>CURATIVO CREMERCARE BEGE CREMER 10 CURATIVOS CX C/110UN</t>
  </si>
  <si>
    <t>CURATIVO CREMERCARE BEGE CREMER 40 CURATIVOS CX C/32UN</t>
  </si>
  <si>
    <t>CURATIVO REDONDO</t>
  </si>
  <si>
    <t>CURATIVO CREMERCARE REDONDO CREMER TRANS 16 CURATIVOS</t>
  </si>
  <si>
    <t>CURATIVO TRANSPARENTE</t>
  </si>
  <si>
    <t>CURATIVO CREMERCARE TRANSPAREN CREMER 10 CURATIVOS</t>
  </si>
  <si>
    <t>CURATIVO CREMERCARE TRANSPAREN CREMER 40 CURATIVOS</t>
  </si>
  <si>
    <t>CURATIVO INFANTIL</t>
  </si>
  <si>
    <t>CURATIVO MINIONS 10UNX110UN CAIXA C/110 CART C/10 CURATIVO</t>
  </si>
  <si>
    <t>CURATIVO MINIONS 25UNX32UN CX C/32 CARTUCHO C/25 CURATIVOS</t>
  </si>
  <si>
    <t>CURATIVO HIDROCOLOIDE</t>
  </si>
  <si>
    <t>CURAT. HIDROC.P/ACNES E ESPINH CREMER ADVANCED C/32CART C/24U</t>
  </si>
  <si>
    <t>CURATIVO A PROVA D AGUA</t>
  </si>
  <si>
    <t>CURATIVO A PROVA DA AGUA CREMER CX C/32 CART C/15 UN</t>
  </si>
  <si>
    <t>ESPARADRAPO BRANCO</t>
  </si>
  <si>
    <t>ESPARADRAPO 10CMX4,5M CREMER IMPERMEAVEL CX 72UN</t>
  </si>
  <si>
    <t>ESPARADRAPO 10CMX50M CREMER IMPERMEAVEL CX 06UN</t>
  </si>
  <si>
    <t>FITA HIPOALERGICA 10CMX4,5M CREMER CX 72UN</t>
  </si>
  <si>
    <t>FITA HIPOALERGICA 5CMX4,5M CREMER CX 144UN</t>
  </si>
  <si>
    <t>ESPARADRAPO 1,2CMX4,5M CREMER IMPERMEAVEL CX 72UN</t>
  </si>
  <si>
    <t>ESPARADRAPO 10CMX4,5M C/LACRE CREMER IMPERMEAVEL CX 24UN</t>
  </si>
  <si>
    <t>ESPARADRAPO 2,5CMX4,5M CREMER IMPERMEAVEL CX 48UN</t>
  </si>
  <si>
    <t>ESPARADRAPO 2,5CMX90CM CREMER IMPERMEAVEL CX 96UN</t>
  </si>
  <si>
    <t>FITA AUTOCLAVE 19MMX30M CREMER CX 48UN</t>
  </si>
  <si>
    <t>FITA FRALDA AZUL 19MMX20M CREMER CX 20UN</t>
  </si>
  <si>
    <t>FITA FRALDA BRANCA  19MMX20M CREMER CX 20UN</t>
  </si>
  <si>
    <t>FITA FRALDA ROSA 19MMX20M CREMER CX 20UN</t>
  </si>
  <si>
    <t>FITA HOSPITALAR 16MMX50M CREMER CX 56UN</t>
  </si>
  <si>
    <t>FITA HOSPITALAR BRANCA 16MMX50M CREMER CX56  </t>
  </si>
  <si>
    <t>FITA HOSPITALAR 19MMX50M CREMER CX 48UN</t>
  </si>
  <si>
    <t>FITA HOSPITALAR BRANCA 19MMX50M CREMER CX48</t>
  </si>
  <si>
    <t>CURATIVO PARA PES</t>
  </si>
  <si>
    <t>FITA PROTETORA P/ PES CREMER CX C/32 CARTUCHO C/1UN 2,5CMX3M</t>
  </si>
  <si>
    <t>FRALDAS CUEIRO</t>
  </si>
  <si>
    <t>CUEIRO LUXO MENINA CX C/12 CREMER 1 UNID</t>
  </si>
  <si>
    <t>CUEIRO LUXO MENINO CX C/12 CREMER 1 UNID</t>
  </si>
  <si>
    <t>CUEIRO LUXO NEUTRO BR CX C/12 CREMER 1 UNID</t>
  </si>
  <si>
    <t>FRALDAS DE PANO</t>
  </si>
  <si>
    <t>FRALDA LUXO BR CX C/12 70X70CM  PCT C/5</t>
  </si>
  <si>
    <t>FRALDA LUXO C/BAINHA CX C/12 PCT C/5 70X68CM</t>
  </si>
  <si>
    <t>FRALDA LUXO EST MASC CX C/12 70X70CM PCTC/5UN</t>
  </si>
  <si>
    <t>FRALDA LUXO ESTAMP FEM CX C/12 70X70CM PCT C/5UN</t>
  </si>
  <si>
    <t>FRALDA PINTE&amp;BORDE BR CX C/12 70X70CM  PCT C/5</t>
  </si>
  <si>
    <t>FRALDAS PANO BOCA</t>
  </si>
  <si>
    <t>PANO BOCA 35X35 MENINA CX C/12 CREMER 3UNDS</t>
  </si>
  <si>
    <t>PANO BOCA 35X35 MENINO CX C/12 CREMER 3UNDS</t>
  </si>
  <si>
    <t>PANO BOCA 35X35 NEUTRO CX C/12 CREMER 3UNDS</t>
  </si>
  <si>
    <t>FRALDAS TOALHA</t>
  </si>
  <si>
    <t>TOALHA LUXO BR CX/ 12 70X120CM PC 3UN</t>
  </si>
  <si>
    <t>TOALHA LUXO ESTAMP FEM CREMER PC 3UN CX C/12 NOVA</t>
  </si>
  <si>
    <t>TOALHA LUXO ESTAMP MASC CREMER PC 3UN CX C/12  NOVA</t>
  </si>
  <si>
    <t>ATADURAS GESSADA</t>
  </si>
  <si>
    <t>ATADURA GESSADA 10CMX3M CREMER CX 20UN</t>
  </si>
  <si>
    <t>ATADURA GESSADA 15CMX3M CREMER CX 20UN</t>
  </si>
  <si>
    <t>ATADURA GESSADA 20CMX4M CREMER CX 20UN</t>
  </si>
  <si>
    <t>ATADURA GESSADA 8CMX2M CREMER CX 20UN</t>
  </si>
  <si>
    <t>ATADURA GESSADA CYSNE 10CMX3M CREMER CX 20UN</t>
  </si>
  <si>
    <t>ATADURA GESSADA CYSNE 15CMX3M CREMER CX 20UN</t>
  </si>
  <si>
    <t>ATADURA GESSADA CYSNE 20CMX4M CREMER CX 20UN</t>
  </si>
  <si>
    <t>HASTES CARTUCHO</t>
  </si>
  <si>
    <t>HASTES FLEXIVEIS CART 75UN CREMER 6PCT C/ 12 CARTUCHOS CADA</t>
  </si>
  <si>
    <t>HASTES CARTUCHO INFANTIL</t>
  </si>
  <si>
    <t>HASTE CREMER MINIONS CART. 75 UN CAIXA C/60</t>
  </si>
  <si>
    <t>HASTE POTE INFANTIL</t>
  </si>
  <si>
    <t>HASTES CREMER MINIONS POTE 150UN CAIXA C/36</t>
  </si>
  <si>
    <t>ESPARADRAPO TRANSPARENTE</t>
  </si>
  <si>
    <t>ESPARADRAPO TRANSPA 1,2CMX4,5M CREMER CX 72UN</t>
  </si>
  <si>
    <t>ESPARADRAPO TRANSPA 2,5CMX4,5M CREMER CX 48UN</t>
  </si>
  <si>
    <t>ESPARADRAPO TRANSPAR 10CMX4,5M CREMER CX 24UN</t>
  </si>
  <si>
    <t>ESPARADRAPO TRANSPARE 5CMX4,5M CREMER CX 36UN</t>
  </si>
  <si>
    <t>BASTONETES TOPZ 150UN-(8X4) CONTEM 32 CARTUCHOS</t>
  </si>
  <si>
    <t>BASTONETES 150UN TOPZ - 32 CAIXA C/32 (41004)</t>
  </si>
  <si>
    <t>BASTONETES TOPZ 75UN-(10X6) CONTEM 60 CARTUCHOS ATC 10PC</t>
  </si>
  <si>
    <t>BASTONETES TOPZ 75UN CONTEM 60 CARTUCHOS</t>
  </si>
  <si>
    <t>BASTONETES CARTUCHO TOPZ 300 CAIXA C/36 CART.</t>
  </si>
  <si>
    <t>HASTE POTE</t>
  </si>
  <si>
    <t>BASTONETES POTE 150UN TOPZ-36 CAIXA C/36 (41070)</t>
  </si>
  <si>
    <t>SABONETE INTIMO</t>
  </si>
  <si>
    <t>SABONETE INTIMO SUAVE TOPZ 200ML  -CX/12</t>
  </si>
  <si>
    <t>SABONETE INTIMO NATURAL FRESH TOPZ 200ML  -CX/12</t>
  </si>
  <si>
    <t>SABONETE INTIMO PROMO NATURAL FRESH TOPZ 200ML  -CX/12 (12X2)</t>
  </si>
  <si>
    <t>SABONETE INTIMO PROMO SUAVE TOPZ 200ML  -CX/12 (12X2)</t>
  </si>
  <si>
    <t>SABONETE INTIMO HIDRATA TOPZ 200ML  -CX/12</t>
  </si>
  <si>
    <t>SABONETE INTIMO PROMO HIDRATA TOPZ 200ML  -CX/12 (12X2)</t>
  </si>
  <si>
    <t>CURATIVO SALVELOX TRANSP.C/35 CAIXA C/48 (45045)</t>
  </si>
  <si>
    <t>SALVELOX TRADIC 10UN (8X12) CAIXA C/96 (45009)</t>
  </si>
  <si>
    <t>SALVELOX TRADIC 35UN (8X6) CAIXA C/48 (45010)</t>
  </si>
  <si>
    <t>SALVELOX TRADICIONAL 10UN CAIXA C/96 (45032)</t>
  </si>
  <si>
    <t>SALVELOX TRADICIONAL 35UN CAIXA C/48 (45033)</t>
  </si>
  <si>
    <t>ALGODAO DISCO</t>
  </si>
  <si>
    <t>ALGODAO FACE LISA 50UN CREMER CX C/24 SACOS</t>
  </si>
  <si>
    <t>ALGODAO FACE LISA 100UN CREMER CX C/24 SACOS</t>
  </si>
  <si>
    <t>TOALHA BR TOPZ BABY C/3 CREMER PC 3UN CX C/12 NOVA</t>
  </si>
  <si>
    <t xml:space="preserve"> ESPARADRAPO SALVELOX 2,5CMX4,5M </t>
  </si>
  <si>
    <t xml:space="preserve"> ESPARADRAPO SALVELOX 2,5CMX90CM </t>
  </si>
  <si>
    <t xml:space="preserve">ESPARADRAPO SALVELOX 1,2CMX4,5M </t>
  </si>
  <si>
    <t xml:space="preserve"> ESPARADRAPO SALVELOX 5CMX4,5M </t>
  </si>
  <si>
    <t>COMPRESSAS EST NÃO ADERENTES - RG 7,5 X 7,5 CX 100PC/ 5UN</t>
  </si>
  <si>
    <t>COMPRESSA EST ETO 11F SALVELOX C/10UN</t>
  </si>
  <si>
    <t>COMPRESSA EST ETO 11F SALVELOX C/05UN</t>
  </si>
  <si>
    <t>COMPRESSA 11F 7,5CM SALVELOX C/05UN</t>
  </si>
  <si>
    <t>COMPRESSA 11F 7,5CM SALVELOX C/10UN</t>
  </si>
  <si>
    <t>PANO DE BOCA BABY SHARK CX/12</t>
  </si>
  <si>
    <t>TOALHA LUXO ESTAMP. BABY SHARK CX/12</t>
  </si>
  <si>
    <t>TOALHA CAPUZ 1,2MTSX70CM BABY SHARK AZUL CX/12</t>
  </si>
  <si>
    <t>TOALHA CAPUZ 1,2MTSX70CM BABY SHARK ROSA CX/12</t>
  </si>
  <si>
    <t>ALGODAO BOLA</t>
  </si>
  <si>
    <t>HASTE BABY</t>
  </si>
  <si>
    <t>ALGODAO QUADRADO</t>
  </si>
  <si>
    <t>HASTE ECO</t>
  </si>
  <si>
    <t>HASTES FLEXIVEIS ECO 75UN TOPZ C/72CARTUCHOS</t>
  </si>
  <si>
    <t>CURATIVOS VARIADOS</t>
  </si>
  <si>
    <t>CURATIVOS VARIADOS 30UN SALVELOX CX C/24CARTUCHOS</t>
  </si>
  <si>
    <t>LENCO DEMAQUILANTES</t>
  </si>
  <si>
    <t>CURATIVO EXTRAGRANDE</t>
  </si>
  <si>
    <t>CURATIVO EXTRA GRANDE XXG 8UN CREMER CX/24</t>
  </si>
  <si>
    <t>CURATIVO JOELHO E COTOVELO</t>
  </si>
  <si>
    <t>CURATIVO JOELHO/COTOVELO 06UN CREMER  CX/24</t>
  </si>
  <si>
    <t>CURATIVOS VARIADOS 6 FORM. 30UN CREMER CX/24</t>
  </si>
  <si>
    <t>CURATIVOS OCULAR</t>
  </si>
  <si>
    <t>PROTETOR OCULAR ADULTO BEGE 12UN CREMER  CX/24</t>
  </si>
  <si>
    <t>CURATIVO COR DA PELE</t>
  </si>
  <si>
    <t>CURATIVO MARROM ESCURO 10UN CREMER CX/64</t>
  </si>
  <si>
    <t>PANO BOCA 35x35 PINTE E BORDE  3UN CREMER CX /12</t>
  </si>
  <si>
    <t>TOALHA CAPUZ PINTE E BORDE BR 90X75CM CREMER CX/12</t>
  </si>
  <si>
    <t>ALGODAO QUADRADINHO</t>
  </si>
  <si>
    <t>QUADRADINHO DE ALGODÃO 150UN TOPZ CX/36</t>
  </si>
  <si>
    <t>HASTES MAQUIAGEM</t>
  </si>
  <si>
    <t>HASTE MAQUIAGEM CART. 75UN TOPZ CX/24</t>
  </si>
  <si>
    <t>ALGODÃO BOLAS 50G BRANCO PATRULHA CANINA TOPZ BABY CX/36</t>
  </si>
  <si>
    <t>HASTES FLEXÍVEIS POTE 150 UNIDADES PATRULHA CANINA TOPZ BABY CX/36</t>
  </si>
  <si>
    <t>HASTES SEG. BABY 50 UNIDADES PATRULHA CANINA TOPZ BABY CX/12</t>
  </si>
  <si>
    <t>HASTES FLEXÍVEIS CART 75 UNIDADES PATRULHA CANINA TOPZ BABY CX/60</t>
  </si>
  <si>
    <t>LENCO BABY</t>
  </si>
  <si>
    <t>TOALHA UMEDECIDA 50 UNIDADES PATRULHA CANINA CHASE TOPZ BABY  CX/24</t>
  </si>
  <si>
    <t>TOALHA UMEDECIDA 100 UNIDADES PATRULHA CANINA CHASE TOPZ BABY CX/24</t>
  </si>
  <si>
    <t>TOALHA UMEDECIDA 50 UNIDADES PATRULHA CANINA SKYE TOPZ BABY CX/24</t>
  </si>
  <si>
    <t>TOALHA UMEDECIDA 100 UNIDADES PATRULHA CANINA SKYE TOPZ BABY  CX/24</t>
  </si>
  <si>
    <t>TOALHA LUXO ESTAMP PATRULHA CANINA CREMER CX/12</t>
  </si>
  <si>
    <t>FRALDA LUXO BAINHA 70X68CM PATRULHA CANINA CREMER CX/12</t>
  </si>
  <si>
    <t>PANO DE BOCA PATRULHA CANINA CREMER PC 3UN CX/12</t>
  </si>
  <si>
    <t xml:space="preserve">
CURATIVOS 10UN PATRULHA CANINA CHASE TOPZ CX/56</t>
  </si>
  <si>
    <t>CURATIVOS 25UN PATRULHA CANINA CHASE TOPZ CX/32</t>
  </si>
  <si>
    <t>BABY CREME ASSADURAS</t>
  </si>
  <si>
    <t>CREME CONTRA ASSADURAS 60g PATRULHA CANINA TOPZ CX/12</t>
  </si>
  <si>
    <t>BABY OLEO AMENDOAS</t>
  </si>
  <si>
    <t>OLEO DE AMENDOAS 120mL PATRULHA CANINA TOPZ CX/12</t>
  </si>
  <si>
    <t>TOALHA UMEDECIDA 50UN PATRULHA CANINA RN TOPZ CX/24</t>
  </si>
  <si>
    <t>TOALHA UMEDECIDA 100UN PATRULHA CANINA RN TOPZ CX/24</t>
  </si>
  <si>
    <t>FRALDA PREMIUM ESTAMP. 3UN CREMER 70CMX70CM CX/10</t>
  </si>
  <si>
    <t>FRALDA PREMIUM BR 3UN CREMER 70CMX70CM CX/10</t>
  </si>
  <si>
    <t>TOALHA PREMIUM BR CREMER 02UN 70CMX1M CX/10</t>
  </si>
  <si>
    <t>CURATIVO CALOS E BOLHAS</t>
  </si>
  <si>
    <t xml:space="preserve">CURATIVO HIDROCOLOIDE PARA CALOS E BOLHAS 8UN CREMER CX/32       </t>
  </si>
  <si>
    <t>LINHA ESPORTE</t>
  </si>
  <si>
    <t>TORNOZELEIRA LONGA M NEO CREMER CX/24</t>
  </si>
  <si>
    <t>TORNOZELEIRA LONGA G NEO CREMER CX/24</t>
  </si>
  <si>
    <t>TORNOZELEIRA LONGA P NEO CREMER CX/24</t>
  </si>
  <si>
    <t>JOELHEIRA ORIFÍCIO REFORÇADO G NEO CREMER CX/12</t>
  </si>
  <si>
    <t>JOELHEIRA ORIFÍCIO REFORÇADO M NEO CREMER CX/12</t>
  </si>
  <si>
    <t>JOELHEIRA ORIFÍCIO REFORÇADO P NEO CREMER CX/12</t>
  </si>
  <si>
    <t>MUNHEQUEIRA NEO AJUSTAVEL PUNHO E DEDO CREMER CX/48</t>
  </si>
  <si>
    <t>BOLSA TÉRMICA 400G CREMER CX/24</t>
  </si>
  <si>
    <t>EDUCADOR POSTURAL COSTAS TAM M PRETO CREMER CX/24</t>
  </si>
  <si>
    <t>EDUCADOR POSTURAL COSTAS TAM G PRETO CREMER  CX/24</t>
  </si>
  <si>
    <t>PUNHO COM TALA PRETO CREMER CX/24</t>
  </si>
  <si>
    <t>CINTA MODELADORA TAM M PRETA CREMER CX/24</t>
  </si>
  <si>
    <t>CINTA MODELADORA TAM G PRETA CREMER  CX/24</t>
  </si>
  <si>
    <t>TIPOIA ORTOPEDICA SEM ALMOFADA TAM M AZUL CREMER CX/24</t>
  </si>
  <si>
    <t>TIPOIA ORTOPEDICA SEM ALMOFADA TAM G AZUL CREMER CX/24</t>
  </si>
  <si>
    <t>COXAL AJUSTAVEL PRETO CREMER CX/24</t>
  </si>
  <si>
    <t>ABS DE SEIOS</t>
  </si>
  <si>
    <t>ABSORVENTES PARA SEIOS CREMER 12 X 12 UN. CX/12</t>
  </si>
  <si>
    <t>ABSORVENTES PARA SEIOS CREMER 12 X 30 UN. (LV30 PG24) CX/12</t>
  </si>
  <si>
    <t>ALGODAO BOLAS CREMER 50G CX C/40</t>
  </si>
  <si>
    <t>ALGODAO BOLAS CREMER 95G CX C/30</t>
  </si>
  <si>
    <t>ALG. BOLAS TOPZ 50G FARDO 3X12 CX/36PC</t>
  </si>
  <si>
    <t>ALG. BOLAS TOPZ 95G CX C/20</t>
  </si>
  <si>
    <t>DISCO DE ALGODAO 50UN TOPZ CX C/24</t>
  </si>
  <si>
    <t>ALGODAO BOLAS 50G BRANCO PATRULHA CANINA TOPZ BABY CX C/36</t>
  </si>
  <si>
    <t>ALGODAO MULTIUSO</t>
  </si>
  <si>
    <t>ALGODAO MULTIUSO CREMER 50G CX C/24</t>
  </si>
  <si>
    <t>ALGODAO MULTIUSO ZZ TOPZ 25G CX C/60</t>
  </si>
  <si>
    <t>ALG. ZZ TOPZ 25G (6X10) CX C/60</t>
  </si>
  <si>
    <t>ALGODAO MULTIUSO ZZ TOPZ 50G CX C/30</t>
  </si>
  <si>
    <t>DISCO DE ALGODAO 50UN PC C/3UN CREMER CX 21PC</t>
  </si>
  <si>
    <t>ALGODAO QUADRADINHO CREMER C/250UN CX/24</t>
  </si>
  <si>
    <t>ALG. QUADRADO 100UN (100X90MM) CREMER CX C/12PC</t>
  </si>
  <si>
    <t>ALG. QUADRADO FILEIRA DUPLA 100UN TOPZ CX C/ 24</t>
  </si>
  <si>
    <t>ALGODAO DISCO TOPZ C/100 UN. (LV100 PG85) CX/24</t>
  </si>
  <si>
    <t>ATADURA CREP CYSNE 6CMX1,80M CREMER CX 12PC/06UN ENV</t>
  </si>
  <si>
    <t>ATADURA CREP CYSNE 8CMX1,80M CREMER CX 12PC/06UN ENV</t>
  </si>
  <si>
    <t>ATADURA CREP CYSNE 10CMX1,80M CREMER CX 12PC/06UN ENV</t>
  </si>
  <si>
    <t>ATADURA CREP CYSNE 12CMX1,80M CREMER CX 12PC/06UN ENV</t>
  </si>
  <si>
    <t>ATADURA CREP CYSNE 15CMX1,80M CREMER CX 12PC/06UN ENV</t>
  </si>
  <si>
    <t>FRALDA PINTEBORDE AZ 70CMX70CM CREMER CX 12PC/05UN</t>
  </si>
  <si>
    <t>FRALDA PINTEBORDE RS 70CMX70CM CREMER CX 12PC/05UN</t>
  </si>
  <si>
    <t>TOALHA PINTEBORDE BR 70CMX120 CREMER CX 12PC/03UN</t>
  </si>
  <si>
    <t>FRALDA PINTEBORDE BR 70CMX70CM PCT 15UNI CREMER CX/ C/6</t>
  </si>
  <si>
    <t>FRALDA LUXO BR 70X70CM CREMER PC 15UN CX C/6 NOVA</t>
  </si>
  <si>
    <t>TOALHA CAPUZ 90x75CM MENINO CX/6 UN</t>
  </si>
  <si>
    <t>TOALHA CAPUZ 90x75CM MENINA CX/6 UN</t>
  </si>
  <si>
    <t>COMPRESSA IRIS | 09 FIOS | 7,5 x 7,5 | CX 12PC/500UN</t>
  </si>
  <si>
    <t>COMPRESSA NIDIA | 11 FIOS | 7,5 x 7,5 | CX 12PC/500UN</t>
  </si>
  <si>
    <t>COMPRESSA ESTRELA | 13 FIOS | 7,5 x 7,5 | CX 12PC/500UN</t>
  </si>
  <si>
    <t>ESPARADRAPO 5CMX4,5M CREMER IMPERMEAVEL CX 72 UM</t>
  </si>
  <si>
    <t>ESPARADRAPO PROCITEX 10CMX4,5M CREMER IMPERMEAVEL CX 36 UM</t>
  </si>
  <si>
    <t>ESPARADRAPO PRE CORTADO</t>
  </si>
  <si>
    <t>ESPARADRAPO PRE CORTADO CREMER IMPERMEAVEL CX 36UN</t>
  </si>
  <si>
    <t>ESPARADRAPO HIPOALER. 5CMX4,5M CREMER IMPERMEAVEL CX 36UN</t>
  </si>
  <si>
    <t>ESPARADRAPO BEGE</t>
  </si>
  <si>
    <t>ESPARADRAPO BEGE CREMER 1,2CMX3M CX72</t>
  </si>
  <si>
    <t>ESPARADRAPO BEGE CREMER 2,5CMX3M CX48</t>
  </si>
  <si>
    <t>ESPARADRAPO BEGE CREMER 5CMX3M CX36</t>
  </si>
  <si>
    <t>ESPARADRAPO SALVELOX 10CMX3M CX C/36UN</t>
  </si>
  <si>
    <t>ALGODAO HIDROFILO COSMETICOS ROLO 500G TOPZ CX8    </t>
  </si>
  <si>
    <t>ALGODAO HIDROFILO COSMETICOS ROLO 50G TOPZ CX24    </t>
  </si>
  <si>
    <t>ALGODAO HIDROFILO COSMETICOS  ROLO 50G TOPZ (2X12) CX24</t>
  </si>
  <si>
    <t>ALGODAO HIDROFILO COSMETICOS ROLO 25G TOPZ CX40   </t>
  </si>
  <si>
    <t>ALGODAO HIDROFILO COSMETICOS ROLO 25G TOPZ (4X10) CX40  </t>
  </si>
  <si>
    <t>MICROPOROSA BEGE</t>
  </si>
  <si>
    <t>MICROPOROSA BEGE 1,2CMX4,5M CREMER CX 72UN</t>
  </si>
  <si>
    <t>MICROPOROSA BEGE 2,5CMX4,5M CREMER CX 48UN</t>
  </si>
  <si>
    <t>MICROPOROSA CREMER BEGE 5CM x 4,5M | CX 24UN</t>
  </si>
  <si>
    <t>MICROPOROSA CREMER BEGE 10CM x 4,5M | CX12 UN</t>
  </si>
  <si>
    <t>MICROPOROSA BRANCA</t>
  </si>
  <si>
    <t>MICROPOROSA 5CMX10M CREMER CX 36UN</t>
  </si>
  <si>
    <t>MICROPOROSA 1,2CMX4,5M CREMER CX 72UN</t>
  </si>
  <si>
    <t>MICROPOROSA 2,5CMX4,5M CREMER CX 48UN</t>
  </si>
  <si>
    <t>MICROPOROSA 5CMX4,5M CREMER CX 36UN</t>
  </si>
  <si>
    <t>MICROPOROSA 10CMX4,5M CREMER CX 24UN</t>
  </si>
  <si>
    <t>MICROPOROSA 1,2CMX10M CREMER CX 72UN</t>
  </si>
  <si>
    <t>MICROPOROSA 2,5CMX10M CREMER CX 48UN</t>
  </si>
  <si>
    <t>MICROPOROSA 10CMX10M CREMER CX 24UN</t>
  </si>
  <si>
    <t>MICROPOROSA 2,5CMX90CM CREMER CX 96UN</t>
  </si>
  <si>
    <t xml:space="preserve"> MICROPOROSA SALVELOX 2,5CMX4,5M CX/48</t>
  </si>
  <si>
    <t xml:space="preserve"> MICROPOROSA SALVELOX 1,2CMX4,5M CX/72</t>
  </si>
  <si>
    <t>MICROPOROSA SALVELOX 5CMX4,5M CX/36</t>
  </si>
  <si>
    <t xml:space="preserve"> MICROP.BEGE SALVELOX 2,5CMX4,5M CX/48</t>
  </si>
  <si>
    <t>CURATIVO REDONDO ROLO C/500 UN ROLO 500 CREMER CX/20</t>
  </si>
  <si>
    <t>FRALDA BR BASIC C/4 65X63CM CX/12</t>
  </si>
  <si>
    <t>HASTES FLEXIVEIS PIQUITUCHO CARTUCHO 68 UNIDADES CX60</t>
  </si>
  <si>
    <t>HASTES FLEXIVEIS PIQUITUCHO CARTUCHO 138 UNIDADES CX24</t>
  </si>
  <si>
    <t>ALGODÃO BOLAS 25G TOPZ (6X12) FARDO 72</t>
  </si>
  <si>
    <t xml:space="preserve">ALGODAO HIDROFILO COSMETICOS ROLO 240G TOPZ CX24            </t>
  </si>
  <si>
    <t>ALGODÃO QUADRADO 200 UNIDADES CREMER CX6</t>
  </si>
  <si>
    <t>COMPR. EST NAO ADERENTES EST RG 7,5CMX7,5CM 10UNID  CX /50</t>
  </si>
  <si>
    <t>TOALHINHAS UMEDECIDAS FEELCLEAN BABY 50UN (COM 24 PCS)</t>
  </si>
  <si>
    <t>TOALHINHAS UMEDECIDAS FEELCLEAN BABY 100UN (COM 24 PCS)</t>
  </si>
  <si>
    <t>TOALHINHAS UMEDECIDAS FEELCLEAN RECEM NASCIDO 50 UN (COM 24 PCS)</t>
  </si>
  <si>
    <t>TOALHINHAS UMEDECIDAS FEELCLEAN RECEM NASCIDO 100 UN (COM 24 PCS)</t>
  </si>
  <si>
    <t>LENCO BABY PIQUITUCHO</t>
  </si>
  <si>
    <t>TOALHINHAS UMED PIQUITUCHO PREMIUM 60UN (COM 24 PCS)</t>
  </si>
  <si>
    <t>TOALHINHAS UMED PIQUITUCHO PREMIUM 120UN (COM 24 PCS)</t>
  </si>
  <si>
    <t>TOALHINHAS UMED PIQUITUCHO PRATIC 48 (COM 48 PCS)</t>
  </si>
  <si>
    <t>TOALHINHAS UMED PIQUITUCHO PRATIC 96 (COM 24 PCS).</t>
  </si>
  <si>
    <t>TOALHINHAS UMED PIQUITUCHO HIDRATE 40UN (COM 24 PCS)</t>
  </si>
  <si>
    <t>TOALHINHAS UMED PIQUITUCHO HIDRATE LMPM 80UN (COM 24 PCS)</t>
  </si>
  <si>
    <t>LENCO OUTROS</t>
  </si>
  <si>
    <t>LENCOS UMED FEELCLEAN REPELENTE DE INSETOS 16 UN (COM 24 PCS)</t>
  </si>
  <si>
    <t>LENCO ADULTO</t>
  </si>
  <si>
    <t>FEELCLEAN TOALHAS UMEDECIDAS PARA HIGIENE 40UN (COM 24 PCS)</t>
  </si>
  <si>
    <t>TOALHINHAS UMED FEELCLEAN PET 50UN (COM 24 PCS)</t>
  </si>
  <si>
    <t>LENCOS UMEDECIDOS FEELCLEAN HOME MULTIUSO E MULTISUPERFICIES 30UN (COM 12 PCS)</t>
  </si>
  <si>
    <t>LENCOS UMEDECIDOS FEELCLEAN HOME BANHEIRO 30UN (COM 12 PCS)</t>
  </si>
  <si>
    <t>LENCOS UMEDECIDOS FEELCLEAN HOME LIMPA VIDROS 30UN (COM 12 PCS)</t>
  </si>
  <si>
    <t>LENCO INTIMO</t>
  </si>
  <si>
    <t>LENCOS UMED FEELCLEAN INTIMOS 16 UN (COM 24 PCS)</t>
  </si>
  <si>
    <t>LENCOS UMED FEELCLEAN DEMAQUILANTE 16 UN (COM 24 PCS)</t>
  </si>
  <si>
    <t>TOALHINHAS UMEDECIDAS FEELCLEAN NANA NENEM 50 UN (COM 24 PCS)</t>
  </si>
  <si>
    <t>LENCO UMEDECIDOS HIGIENICOS ECOSOFT FEELCLEAN 50UN C24PC </t>
  </si>
  <si>
    <t>TOALHINHAS UMEDECIDAS FEELCLEAN TUTTI-FRUTTI 50 UN (COM 24 PCS)</t>
  </si>
  <si>
    <t>TOALHAS UMED BIODEGRADAVEIS FEELCLEAN ECOSOFT 50UN (COM 24 PCS)</t>
  </si>
  <si>
    <t>TOALHINHAS UMEDECIDAS FEELCLEAN TUTTI-FRUTTI 100 UN (COM 24 PCS)</t>
  </si>
  <si>
    <t>TOALHINHAS UMEDECIDAS TUTTI-FRUTTI 100UN FEELCLEAN CX/24</t>
  </si>
  <si>
    <t>PROMOPACK T U PIQUITUCHO 60 PREMIUM L04 P03 (COM 6 KITS X 4 PCS)</t>
  </si>
  <si>
    <t>PROMOPACK T U FEELCLEAN BABY 50 LMPM (COM 6 KITS X 4 PÇS)</t>
  </si>
  <si>
    <t>PROMOPACK T U PIQUITUCHO 60 PREMIUM LMPM (COM 6 KITS X 4 PCS)</t>
  </si>
  <si>
    <t>TOALHINHAS UMEDECIDAS FEELCLEAN NANA NENEM 100 UN (COM 24 PCS)</t>
  </si>
  <si>
    <t>PROMOPACK T U FEELCLEAN NANA NENEM 50 LMPM (COM 6 KITS X 4 PÇS)</t>
  </si>
  <si>
    <t>ALGODÃO DISCO BELLACOTTON 24 X 50 UN. (DISPLAY)</t>
  </si>
  <si>
    <t>ALGODÃO DISCO BELLACOTTON 18 X 100 UN. (LV100 PG80) BELLACOTTON</t>
  </si>
  <si>
    <t>ALGODÃO DISCO BELLACOTTON 18 X 100 UN. (ZIP) BELLACOTTON</t>
  </si>
  <si>
    <t>ALGODÃO DISCO BELLACOTTON 30 X 150 UN. (LV150 PG100) BELLACOTTON</t>
  </si>
  <si>
    <t>HASTE FLEX BELLACOTTON CARTUCHO 6 X 12 X 75 UN. BELLACOTTON</t>
  </si>
  <si>
    <t>ALGODÃO BOLA BELLACOTTON 4 X 12 X 50G</t>
  </si>
  <si>
    <t>ALGODÃO BOLA BELLACOTTON 20 X 95G</t>
  </si>
  <si>
    <t>ALGODÃO QUADRADO BELLACOTTON BABY 12 X 50 UN.</t>
  </si>
  <si>
    <t>ALGODÃO QUADRADINHO BELLACOTTON 24X250 UN</t>
  </si>
  <si>
    <t>HASTE FLEX MAQ. BELLACOTTON 24 X 75 UN.</t>
  </si>
  <si>
    <t>HASTE FLEX BABY BELLACOTTON 12 X 50</t>
  </si>
  <si>
    <t>HASTE FLEX ECO PAPEL BELLACOTTON 24 X 75 UN.</t>
  </si>
  <si>
    <t>HASTE FLEX BELLACOTTON CARTUCHO 6X12XL75P65UN.</t>
  </si>
  <si>
    <t>HASTE FLEX BELLACOTTON CARTUCHO 24X150</t>
  </si>
  <si>
    <t>HASTE FLEX BELLACOTTON POTE FT 12 X 150 UN.</t>
  </si>
  <si>
    <t>ABSORVENTES PARA SEIOS BELLACOTTON 12 X 12 UN.</t>
  </si>
  <si>
    <t xml:space="preserve">ABSORVENTES PARA SEIOS BELLACOTTON 12 X 30 UN. (LV30 PG24) </t>
  </si>
  <si>
    <t>ALGODAO QUADRADO BABY BELLACOTTON 100 UN. (LV100PG85)</t>
  </si>
  <si>
    <t>ALGODÃO HIDROFILO BELLACOTTON 4 X 12 X 25G</t>
  </si>
  <si>
    <t>ALGODÃO HIDROFILO BELLACOTTON 20 X 50G</t>
  </si>
  <si>
    <t>CURATIVO TRANSPARENTE VARIADO 30 UNIDADES BELLACOTTON CX24</t>
  </si>
  <si>
    <t>789 1800 626179</t>
  </si>
  <si>
    <t>78989246400 4</t>
  </si>
  <si>
    <t>1 789 1800 626176</t>
  </si>
  <si>
    <t>%IPI</t>
  </si>
  <si>
    <t>MIX CREMER - CONSUMO</t>
  </si>
  <si>
    <t>DILATADOR NASAL 30 UNIDADES CREMER CX48 </t>
  </si>
  <si>
    <t>CURATIVO ESPORTE</t>
  </si>
  <si>
    <t>NOVO EAN</t>
  </si>
  <si>
    <t>obs</t>
  </si>
  <si>
    <t>CURATIVO</t>
  </si>
  <si>
    <t>FRALDA LUXO BAINHA GALINHA PINTADINHA 4UN 70X68CM CX12</t>
  </si>
  <si>
    <t>TOALHA LUXO ESTAMPADA GALINHA PINTADINHA</t>
  </si>
  <si>
    <t>CURATIVO GALINHA PINTADINHA 10 UNIDADES TOPZ BABY CX56</t>
  </si>
  <si>
    <t>CURATIVO GALINHA PINTADINHA 25 UNIDADES TOPZ BABY CX32</t>
  </si>
  <si>
    <t>CURATIVO TRANSPARENTE 35 UNIDADES PIQUITUCHO CX32</t>
  </si>
  <si>
    <t>CURATIVOS VARIADOS 30 UNIDADES PIQUITUCHO CX24  </t>
  </si>
  <si>
    <t>CURATIVO BEGE 35 UNIDADES PIQUITUCHO CX32  </t>
  </si>
  <si>
    <t>ALGODAO</t>
  </si>
  <si>
    <t>ALGODAO QUADRADO 100UNID GALINHA PINTADINHA LMPM - CX12</t>
  </si>
  <si>
    <t xml:space="preserve">ALGODAO QUADRADO 50UNID GALINHA PINTADINHA CX24             </t>
  </si>
  <si>
    <t>ALGODAO QUADRADO 50UNID PIQUITUCHO CX12</t>
  </si>
  <si>
    <t xml:space="preserve">CURATIVO CHILDHOOD 25 UNIDADES CREMER CX24	</t>
  </si>
  <si>
    <t xml:space="preserve">17891800809692	</t>
  </si>
  <si>
    <t xml:space="preserve">PEDIDO </t>
  </si>
  <si>
    <t>Produto - Categoria Consumo</t>
  </si>
  <si>
    <t>Subcategoria</t>
  </si>
  <si>
    <t>Descrição</t>
  </si>
  <si>
    <t>NCM</t>
  </si>
  <si>
    <t>EAN</t>
  </si>
  <si>
    <t>DUN</t>
  </si>
  <si>
    <t>NEVE</t>
  </si>
  <si>
    <t>ATADURAS</t>
  </si>
  <si>
    <t>ATADURA CROCHÊ</t>
  </si>
  <si>
    <t>ATADURA CREPOM CROCHE SAFE 13F 06CMX1,80M CX 85 PC C/12 NEVE</t>
  </si>
  <si>
    <t>ATADURA CREPOM CROCHE SAFE 13F 08CMX1,80M CX 70 PC C/12 NEV</t>
  </si>
  <si>
    <t>ATADURA CREPOM CROCHE SAFE 13F 10CMX1,80M CX 60 PC C/12 NEV</t>
  </si>
  <si>
    <t>ATADURA CREPOM CROCHE SAFE 13F 12CMX1,80M CX 40 PC C/12 NEVE</t>
  </si>
  <si>
    <t>ATADURA CREPOM CROCHE SAFE 13F 15CMX1,80M CX 40 PC C/12 NEVE</t>
  </si>
  <si>
    <t>ATADURA CREPOM CROCHE SAFE 13F 20CMX1,80M CX 30 PC C/12 NEVE</t>
  </si>
  <si>
    <t>COMPRESSA DE GAZE</t>
  </si>
  <si>
    <t>COMP DE GAZE EST CROCHE SAFE 7,5X7,5CM 13F CX220 PC10UN NEVE</t>
  </si>
  <si>
    <t>COMP DE GAZE EST CROCHE SAFE 7,5X7,5CM 11F CX220 PC10UN NEVE</t>
  </si>
  <si>
    <t>COMP DE GAZE CROCHE SAFE 7,5X7,5CM 11F CX25 PC500UND NEVE</t>
  </si>
  <si>
    <t>ATADURA ELASTICA</t>
  </si>
  <si>
    <t>ATADURA ELASTICA NEVADA 10CMX2,2M CX 50 PC C/12 NEVE</t>
  </si>
  <si>
    <t>ATADURA ELASTICA NEVADA 12CMX2,2M CX 40 PC C/12 NEVE</t>
  </si>
  <si>
    <t>ATADURA ELASTICA NEVADA 15CMX2,2M PCX 30 PC C/12 NEVE</t>
  </si>
  <si>
    <t>MARCA</t>
  </si>
  <si>
    <t>CX EMB.</t>
  </si>
  <si>
    <t xml:space="preserve">ALGODAO BOLAS 50G GALINHA PINTADINHA CX36                  </t>
  </si>
  <si>
    <t>ICMS 12%</t>
  </si>
  <si>
    <t>12%ICMS</t>
  </si>
  <si>
    <t>REAJUSTES 01/26 - FINAL COM IPI</t>
  </si>
  <si>
    <t>PREÇO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</si>
</sst>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b/>
      <sz val="8"/>
      <color theme="5" tint="-0.249977111117893"/>
      <name val="Calibri"/>
      <family val="2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.0500000000000007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833C0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2" fontId="2" fillId="2" borderId="1" xfId="1" applyNumberFormat="1" applyFont="1" applyFill="1" applyBorder="1" applyAlignment="1">
      <alignment horizontal="center" vertical="center" wrapText="1"/>
    </xf>
    <xf numFmtId="12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2" fontId="2" fillId="2" borderId="2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2" fontId="3" fillId="3" borderId="1" xfId="0" applyNumberFormat="1" applyFont="1" applyFill="1" applyBorder="1" applyAlignment="1">
      <alignment horizontal="center" vertical="center"/>
    </xf>
    <xf numFmtId="12" fontId="5" fillId="5" borderId="0" xfId="0" applyNumberFormat="1" applyFont="1" applyFill="1" applyAlignment="1">
      <alignment horizontal="center" vertical="center"/>
    </xf>
    <xf numFmtId="1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2" fontId="3" fillId="6" borderId="1" xfId="0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0" fillId="5" borderId="0" xfId="0" applyFill="1"/>
    <xf numFmtId="164" fontId="3" fillId="6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0" fillId="0" borderId="7" xfId="0" applyBorder="1"/>
    <xf numFmtId="0" fontId="7" fillId="7" borderId="9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9" fontId="0" fillId="0" borderId="0" xfId="0" applyNumberFormat="1"/>
    <xf numFmtId="0" fontId="0" fillId="0" borderId="13" xfId="0" applyBorder="1"/>
    <xf numFmtId="0" fontId="0" fillId="0" borderId="14" xfId="0" applyBorder="1"/>
    <xf numFmtId="0" fontId="7" fillId="7" borderId="3" xfId="0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1" fontId="0" fillId="0" borderId="9" xfId="0" applyNumberFormat="1" applyBorder="1"/>
    <xf numFmtId="0" fontId="7" fillId="7" borderId="8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7" fillId="7" borderId="16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1" fontId="0" fillId="0" borderId="19" xfId="0" applyNumberFormat="1" applyBorder="1"/>
    <xf numFmtId="0" fontId="0" fillId="0" borderId="19" xfId="0" applyBorder="1" applyAlignment="1">
      <alignment horizontal="center"/>
    </xf>
    <xf numFmtId="0" fontId="8" fillId="0" borderId="0" xfId="0" applyFont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Users/Representantes/Desktop/POLITICAS/Tabela%20Reajuste%20-%20Julho23/TABELAS%20DE%20PRE&#199;OS%202024/TABELA%20DE%20PRE&#199;OS%20VAREJO%201%20-%20REAJUSTES%201&#186;%20ABRIL%202024.xlsx" TargetMode="External"/><Relationship Id="rId2" Type="http://schemas.openxmlformats.org/officeDocument/2006/relationships/externalLinkPath" Target="file:///C:\Users\Representantes\Desktop\POLITICAS\Tabela%20Reajuste%20-%20Julho23\TABELAS%20DE%20PRE&#199;OS%202024\TABELA%20DE%20PRE&#199;OS%20VAREJO%201%20-%20REAJUSTES%201&#186;%20ABRIL%202024.xlsx" TargetMode="External"/><Relationship Id="rId1" Type="http://schemas.openxmlformats.org/officeDocument/2006/relationships/externalLinkPath" Target="/Users/Representantes/Desktop/POLITICAS/Tabela%20Reajuste%20-%20Julho23/TABELAS%20DE%20PRE&#199;OS%202024/TABELA%20DE%20PRE&#199;OS%20VAREJO%201%20-%20REAJUSTES%201&#186;%20ABRI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CMS"/>
      <sheetName val="VAR 1_2024"/>
      <sheetName val="% REAJUSTES 1º ABRIL 24"/>
      <sheetName val="RESUMO ALTERAÇÕES"/>
      <sheetName val="Descontinuados"/>
      <sheetName val="DE PARA_proj BID"/>
    </sheetNames>
    <sheetDataSet>
      <sheetData sheetId="0"/>
      <sheetData sheetId="1">
        <row r="11">
          <cell r="E11">
            <v>477979</v>
          </cell>
          <cell r="F11" t="str">
            <v>ROLO DENTAL 1 CREMER CX 48PC/100UN</v>
          </cell>
          <cell r="G11">
            <v>30059090</v>
          </cell>
          <cell r="H11">
            <v>7891800207511</v>
          </cell>
          <cell r="I11"/>
          <cell r="J11" t="str">
            <v>CX</v>
          </cell>
          <cell r="K11">
            <v>0.18</v>
          </cell>
          <cell r="L11">
            <v>9.2499999999999999E-2</v>
          </cell>
          <cell r="M11">
            <v>94.044681818181814</v>
          </cell>
          <cell r="N11">
            <v>103.44915</v>
          </cell>
          <cell r="O11">
            <v>114.25989379779098</v>
          </cell>
          <cell r="P11">
            <v>117.20428336873407</v>
          </cell>
          <cell r="Q11">
            <v>119.97288848768054</v>
          </cell>
          <cell r="R11">
            <v>0.18</v>
          </cell>
          <cell r="S11">
            <v>0.12</v>
          </cell>
          <cell r="T11">
            <v>0</v>
          </cell>
        </row>
        <row r="12">
          <cell r="E12">
            <v>477962</v>
          </cell>
          <cell r="F12" t="str">
            <v>ROLO DENTAL 2 CREMER CX 48PC/100UN</v>
          </cell>
          <cell r="G12">
            <v>30059090</v>
          </cell>
          <cell r="H12">
            <v>7891800219828</v>
          </cell>
          <cell r="I12"/>
          <cell r="J12" t="str">
            <v>CX</v>
          </cell>
          <cell r="K12">
            <v>0.18</v>
          </cell>
          <cell r="L12">
            <v>9.2499999999999999E-2</v>
          </cell>
          <cell r="M12">
            <v>106.02040909090908</v>
          </cell>
          <cell r="N12">
            <v>116.62245</v>
          </cell>
          <cell r="O12">
            <v>128.80984282073064</v>
          </cell>
          <cell r="P12">
            <v>132.12917338572638</v>
          </cell>
          <cell r="Q12">
            <v>135.25033496176718</v>
          </cell>
          <cell r="R12">
            <v>0.18</v>
          </cell>
          <cell r="S12">
            <v>0.12</v>
          </cell>
          <cell r="T12">
            <v>0</v>
          </cell>
        </row>
        <row r="13">
          <cell r="E13">
            <v>156775</v>
          </cell>
          <cell r="F13" t="str">
            <v>ATADURA ORTOPEDICA 10CMX1M CREMER CX 24PC/12UN</v>
          </cell>
          <cell r="G13">
            <v>30059090</v>
          </cell>
          <cell r="H13">
            <v>7891800102871</v>
          </cell>
          <cell r="I13">
            <v>17891800156772</v>
          </cell>
          <cell r="J13" t="str">
            <v>CX</v>
          </cell>
          <cell r="K13">
            <v>0.18</v>
          </cell>
          <cell r="L13">
            <v>9.2499999999999999E-2</v>
          </cell>
          <cell r="M13">
            <v>168.71686363636366</v>
          </cell>
          <cell r="N13">
            <v>185.58855</v>
          </cell>
          <cell r="O13">
            <v>204.98310535259131</v>
          </cell>
          <cell r="P13">
            <v>210.26536229821582</v>
          </cell>
          <cell r="Q13">
            <v>215.23226062022093</v>
          </cell>
          <cell r="R13">
            <v>0.18</v>
          </cell>
          <cell r="S13">
            <v>0.12</v>
          </cell>
          <cell r="T13">
            <v>0</v>
          </cell>
        </row>
        <row r="14">
          <cell r="E14">
            <v>156799</v>
          </cell>
          <cell r="F14" t="str">
            <v>ATADURA ORTOPEDICA 15CMX1M CREMER CX 16PC/12UN</v>
          </cell>
          <cell r="G14">
            <v>30059090</v>
          </cell>
          <cell r="H14">
            <v>7891800102895</v>
          </cell>
          <cell r="I14">
            <v>17891800156796</v>
          </cell>
          <cell r="J14" t="str">
            <v>CX</v>
          </cell>
          <cell r="K14">
            <v>0.18</v>
          </cell>
          <cell r="L14">
            <v>9.2499999999999999E-2</v>
          </cell>
          <cell r="M14">
            <v>166.83831818181821</v>
          </cell>
          <cell r="N14">
            <v>183.52215000000004</v>
          </cell>
          <cell r="O14">
            <v>202.70076040781649</v>
          </cell>
          <cell r="P14">
            <v>207.92420307986407</v>
          </cell>
          <cell r="Q14">
            <v>212.83579842820734</v>
          </cell>
          <cell r="R14">
            <v>0.18</v>
          </cell>
          <cell r="S14">
            <v>0.12</v>
          </cell>
          <cell r="T14">
            <v>0</v>
          </cell>
        </row>
        <row r="15">
          <cell r="E15">
            <v>172058</v>
          </cell>
          <cell r="F15" t="str">
            <v>ATADURA ORTOPEDICA 20CMX1M CREMER CX 12PC/12UN</v>
          </cell>
          <cell r="G15">
            <v>30059090</v>
          </cell>
          <cell r="H15">
            <v>7891800102864</v>
          </cell>
          <cell r="I15">
            <v>17891800172055</v>
          </cell>
          <cell r="J15" t="str">
            <v>CX</v>
          </cell>
          <cell r="K15">
            <v>0.18</v>
          </cell>
          <cell r="L15">
            <v>9.2499999999999999E-2</v>
          </cell>
          <cell r="M15">
            <v>153.65914772727271</v>
          </cell>
          <cell r="N15">
            <v>169.02506250000002</v>
          </cell>
          <cell r="O15">
            <v>186.68868415463035</v>
          </cell>
          <cell r="P15">
            <v>191.49950793861507</v>
          </cell>
          <cell r="Q15">
            <v>196.02311836236191</v>
          </cell>
          <cell r="R15">
            <v>0.18</v>
          </cell>
          <cell r="S15">
            <v>0.12</v>
          </cell>
          <cell r="T15">
            <v>0</v>
          </cell>
        </row>
        <row r="16">
          <cell r="E16">
            <v>156836</v>
          </cell>
          <cell r="F16" t="str">
            <v>ATADURA ORTOPEDICA 10CMX1,8M CREMER CX 24PC/12UN</v>
          </cell>
          <cell r="G16">
            <v>30059090</v>
          </cell>
          <cell r="H16">
            <v>7891800000832</v>
          </cell>
          <cell r="I16">
            <v>17891800156833</v>
          </cell>
          <cell r="J16" t="str">
            <v>CX</v>
          </cell>
          <cell r="K16">
            <v>0.18</v>
          </cell>
          <cell r="L16">
            <v>9.2499999999999999E-2</v>
          </cell>
          <cell r="M16">
            <v>210.27968181818184</v>
          </cell>
          <cell r="N16">
            <v>231.30765</v>
          </cell>
          <cell r="O16">
            <v>255.47998725573487</v>
          </cell>
          <cell r="P16">
            <v>262.06351000424803</v>
          </cell>
          <cell r="Q16">
            <v>268.25398661852165</v>
          </cell>
          <cell r="R16">
            <v>0.18</v>
          </cell>
          <cell r="S16">
            <v>0.12</v>
          </cell>
          <cell r="T16">
            <v>0</v>
          </cell>
        </row>
        <row r="17">
          <cell r="E17">
            <v>156850</v>
          </cell>
          <cell r="F17" t="str">
            <v>ATADURA ORTOPEDICA 15CMX1,8M CREMER CX 16PC/12UN</v>
          </cell>
          <cell r="G17">
            <v>30059090</v>
          </cell>
          <cell r="H17">
            <v>7891800000856</v>
          </cell>
          <cell r="I17">
            <v>17891800156857</v>
          </cell>
          <cell r="J17" t="str">
            <v>CX</v>
          </cell>
          <cell r="K17">
            <v>0.18</v>
          </cell>
          <cell r="L17">
            <v>9.2499999999999999E-2</v>
          </cell>
          <cell r="M17">
            <v>202.88290909090912</v>
          </cell>
          <cell r="N17">
            <v>223.17120000000003</v>
          </cell>
          <cell r="O17">
            <v>246.49325403568392</v>
          </cell>
          <cell r="P17">
            <v>252.84519558198807</v>
          </cell>
          <cell r="Q17">
            <v>258.81791673746818</v>
          </cell>
          <cell r="R17">
            <v>0.18</v>
          </cell>
          <cell r="S17">
            <v>0.12</v>
          </cell>
          <cell r="T17">
            <v>0</v>
          </cell>
        </row>
        <row r="18">
          <cell r="E18">
            <v>156867</v>
          </cell>
          <cell r="F18" t="str">
            <v>ATADURA ORTOPEDICA 20CMX1,8M CREMER CX 12PC/12UN</v>
          </cell>
          <cell r="G18">
            <v>30059090</v>
          </cell>
          <cell r="H18">
            <v>7891800000863</v>
          </cell>
          <cell r="I18">
            <v>17891800156864</v>
          </cell>
          <cell r="J18" t="str">
            <v>CX</v>
          </cell>
          <cell r="K18">
            <v>0.18</v>
          </cell>
          <cell r="L18">
            <v>9.2499999999999999E-2</v>
          </cell>
          <cell r="M18">
            <v>188.17742045454548</v>
          </cell>
          <cell r="N18">
            <v>206.99516249999999</v>
          </cell>
          <cell r="O18">
            <v>228.62677251486826</v>
          </cell>
          <cell r="P18">
            <v>234.51830857582831</v>
          </cell>
          <cell r="Q18">
            <v>240.05811114061177</v>
          </cell>
          <cell r="R18">
            <v>0.18</v>
          </cell>
          <cell r="S18">
            <v>0.12</v>
          </cell>
          <cell r="T18">
            <v>0</v>
          </cell>
        </row>
        <row r="19">
          <cell r="E19">
            <v>156812</v>
          </cell>
          <cell r="F19" t="str">
            <v>ATADURA ORTOPEDICA 6CMX1,8M CREMER CX 40PC/12UN</v>
          </cell>
          <cell r="G19">
            <v>30059090</v>
          </cell>
          <cell r="H19">
            <v>7891800000818</v>
          </cell>
          <cell r="I19">
            <v>17891800156819</v>
          </cell>
          <cell r="J19" t="str">
            <v>CX</v>
          </cell>
          <cell r="K19">
            <v>0.18</v>
          </cell>
          <cell r="L19">
            <v>9.2499999999999999E-2</v>
          </cell>
          <cell r="M19">
            <v>242.15625</v>
          </cell>
          <cell r="N19">
            <v>266.3718750000001</v>
          </cell>
          <cell r="O19">
            <v>294.20852803738308</v>
          </cell>
          <cell r="P19">
            <v>301.79005549065414</v>
          </cell>
          <cell r="Q19">
            <v>308.91895443925233</v>
          </cell>
          <cell r="R19">
            <v>0.18</v>
          </cell>
          <cell r="S19">
            <v>0.12</v>
          </cell>
          <cell r="T19">
            <v>0</v>
          </cell>
        </row>
        <row r="20">
          <cell r="E20">
            <v>156829</v>
          </cell>
          <cell r="F20" t="str">
            <v>ATADURA ORTOPEDICA 8CMX1,8M CREMER CX 30PC/12UN</v>
          </cell>
          <cell r="G20">
            <v>30059090</v>
          </cell>
          <cell r="H20">
            <v>7891800000825</v>
          </cell>
          <cell r="I20">
            <v>17891800156826</v>
          </cell>
          <cell r="J20" t="str">
            <v>CX</v>
          </cell>
          <cell r="K20">
            <v>0.18</v>
          </cell>
          <cell r="L20">
            <v>9.2499999999999999E-2</v>
          </cell>
          <cell r="M20">
            <v>220.36218749999998</v>
          </cell>
          <cell r="N20">
            <v>242.39840624999999</v>
          </cell>
          <cell r="O20">
            <v>267.72976051401861</v>
          </cell>
          <cell r="P20">
            <v>274.62895049649524</v>
          </cell>
          <cell r="Q20">
            <v>281.11624853971961</v>
          </cell>
          <cell r="R20">
            <v>0.18</v>
          </cell>
          <cell r="S20">
            <v>0.12</v>
          </cell>
          <cell r="T20">
            <v>0</v>
          </cell>
        </row>
        <row r="21">
          <cell r="E21">
            <v>198157</v>
          </cell>
          <cell r="F21" t="str">
            <v>ALGODAO 250G CREMER CX 24UN</v>
          </cell>
          <cell r="G21">
            <v>30059090</v>
          </cell>
          <cell r="H21">
            <v>7891800002027</v>
          </cell>
          <cell r="I21">
            <v>17891800198154</v>
          </cell>
          <cell r="J21" t="str">
            <v>CX</v>
          </cell>
          <cell r="K21">
            <v>0.18</v>
          </cell>
          <cell r="L21">
            <v>9.2499999999999999E-2</v>
          </cell>
          <cell r="M21">
            <v>237.92952272727271</v>
          </cell>
          <cell r="N21">
            <v>261.72247500000003</v>
          </cell>
          <cell r="O21">
            <v>289.07325191163972</v>
          </cell>
          <cell r="P21">
            <v>296.5224472493627</v>
          </cell>
          <cell r="Q21">
            <v>303.52691450722176</v>
          </cell>
          <cell r="R21">
            <v>0.18</v>
          </cell>
          <cell r="S21">
            <v>0.12</v>
          </cell>
          <cell r="T21">
            <v>0</v>
          </cell>
        </row>
        <row r="22">
          <cell r="E22">
            <v>198164</v>
          </cell>
          <cell r="F22" t="str">
            <v>ALGODAO 500G CREMER CX 16UN</v>
          </cell>
          <cell r="G22">
            <v>30059090</v>
          </cell>
          <cell r="H22">
            <v>7891800002034</v>
          </cell>
          <cell r="I22">
            <v>17891800198161</v>
          </cell>
          <cell r="J22" t="str">
            <v>CX</v>
          </cell>
          <cell r="K22">
            <v>0.18</v>
          </cell>
          <cell r="L22">
            <v>9.2499999999999999E-2</v>
          </cell>
          <cell r="M22">
            <v>290.70490909090915</v>
          </cell>
          <cell r="N22">
            <v>319.77540000000005</v>
          </cell>
          <cell r="O22">
            <v>353.1928802039082</v>
          </cell>
          <cell r="P22">
            <v>362.29438903993201</v>
          </cell>
          <cell r="Q22">
            <v>370.85252421410371</v>
          </cell>
          <cell r="R22">
            <v>0.18</v>
          </cell>
          <cell r="S22">
            <v>0.12</v>
          </cell>
          <cell r="T22">
            <v>0</v>
          </cell>
        </row>
        <row r="23">
          <cell r="E23">
            <v>218350</v>
          </cell>
          <cell r="F23" t="str">
            <v>ALGODAO DELICATO 250G CREMER CX 24UN</v>
          </cell>
          <cell r="G23">
            <v>30059090</v>
          </cell>
          <cell r="H23">
            <v>7891800218374</v>
          </cell>
          <cell r="I23"/>
          <cell r="J23" t="str">
            <v>CX</v>
          </cell>
          <cell r="K23">
            <v>0.18</v>
          </cell>
          <cell r="L23">
            <v>9.2499999999999999E-2</v>
          </cell>
          <cell r="M23">
            <v>211.16024999999999</v>
          </cell>
          <cell r="N23">
            <v>232.27627500000006</v>
          </cell>
          <cell r="O23">
            <v>256.54983644859806</v>
          </cell>
          <cell r="P23">
            <v>263.16092838785045</v>
          </cell>
          <cell r="Q23">
            <v>269.37732827102803</v>
          </cell>
          <cell r="R23">
            <v>0.18</v>
          </cell>
          <cell r="S23">
            <v>0.12</v>
          </cell>
          <cell r="T23">
            <v>0</v>
          </cell>
        </row>
        <row r="24">
          <cell r="E24">
            <v>198126</v>
          </cell>
          <cell r="F24" t="str">
            <v>ALGODAO 25G CREMER CX 120UN - 6PCT X 20UN</v>
          </cell>
          <cell r="G24">
            <v>30059090</v>
          </cell>
          <cell r="H24">
            <v>7891800002812</v>
          </cell>
          <cell r="I24">
            <v>17891800198123</v>
          </cell>
          <cell r="J24" t="str">
            <v>CX</v>
          </cell>
          <cell r="K24">
            <v>0.18</v>
          </cell>
          <cell r="L24">
            <v>9.2499999999999999E-2</v>
          </cell>
          <cell r="M24">
            <v>198.12784090909091</v>
          </cell>
          <cell r="N24">
            <v>217.94062499999998</v>
          </cell>
          <cell r="O24">
            <v>240.71606839422256</v>
          </cell>
          <cell r="P24">
            <v>246.91913631053518</v>
          </cell>
          <cell r="Q24">
            <v>252.75187181393375</v>
          </cell>
          <cell r="R24">
            <v>0.18</v>
          </cell>
          <cell r="S24">
            <v>0.12</v>
          </cell>
          <cell r="T24">
            <v>0</v>
          </cell>
        </row>
        <row r="25">
          <cell r="E25">
            <v>198133</v>
          </cell>
          <cell r="F25" t="str">
            <v>ALGODAO 50G CREMER CX 80UN</v>
          </cell>
          <cell r="G25">
            <v>30059090</v>
          </cell>
          <cell r="H25">
            <v>7891800002829</v>
          </cell>
          <cell r="I25">
            <v>17891800198130</v>
          </cell>
          <cell r="J25" t="str">
            <v>CX</v>
          </cell>
          <cell r="K25">
            <v>0.18</v>
          </cell>
          <cell r="L25">
            <v>9.2499999999999999E-2</v>
          </cell>
          <cell r="M25">
            <v>232.46999999999997</v>
          </cell>
          <cell r="N25">
            <v>255.71700000000007</v>
          </cell>
          <cell r="O25">
            <v>282.44018691588781</v>
          </cell>
          <cell r="P25">
            <v>289.71845327102795</v>
          </cell>
          <cell r="Q25">
            <v>296.56219626168223</v>
          </cell>
          <cell r="R25">
            <v>0.18</v>
          </cell>
          <cell r="S25">
            <v>0.12</v>
          </cell>
          <cell r="T25">
            <v>0</v>
          </cell>
        </row>
        <row r="26">
          <cell r="E26">
            <v>198508</v>
          </cell>
          <cell r="F26" t="str">
            <v>ATADURA CREP CYSNE 20CMX1,80M CREMER CX 12PC/06UN ENV</v>
          </cell>
          <cell r="G26">
            <v>30059090</v>
          </cell>
          <cell r="H26">
            <v>7891800000696</v>
          </cell>
          <cell r="I26">
            <v>17891800198505</v>
          </cell>
          <cell r="J26" t="str">
            <v>CX</v>
          </cell>
          <cell r="K26">
            <v>0.18</v>
          </cell>
          <cell r="L26">
            <v>9.2499999999999999E-2</v>
          </cell>
          <cell r="M26">
            <v>225.07322727272728</v>
          </cell>
          <cell r="N26">
            <v>247.58055000000002</v>
          </cell>
          <cell r="O26">
            <v>273.45345369583686</v>
          </cell>
          <cell r="P26">
            <v>280.50013884876802</v>
          </cell>
          <cell r="Q26">
            <v>287.1261263806287</v>
          </cell>
          <cell r="R26">
            <v>0.18</v>
          </cell>
          <cell r="S26">
            <v>0.12</v>
          </cell>
          <cell r="T26">
            <v>0</v>
          </cell>
        </row>
        <row r="27">
          <cell r="E27">
            <v>198515</v>
          </cell>
          <cell r="F27" t="str">
            <v>ATADURA CREP CYSNE 25CMX1,80M CREMER CX 12PC/06UN ENV</v>
          </cell>
          <cell r="G27">
            <v>30059090</v>
          </cell>
          <cell r="H27">
            <v>7891800000702</v>
          </cell>
          <cell r="I27">
            <v>17891800198512</v>
          </cell>
          <cell r="J27" t="str">
            <v>CX</v>
          </cell>
          <cell r="K27">
            <v>0.18</v>
          </cell>
          <cell r="L27">
            <v>9.2499999999999999E-2</v>
          </cell>
          <cell r="M27">
            <v>284.24740909090912</v>
          </cell>
          <cell r="N27">
            <v>312.67215000000004</v>
          </cell>
          <cell r="O27">
            <v>345.34731945624458</v>
          </cell>
          <cell r="P27">
            <v>354.2466542268478</v>
          </cell>
          <cell r="Q27">
            <v>362.61468542905692</v>
          </cell>
          <cell r="R27">
            <v>0.18</v>
          </cell>
          <cell r="S27">
            <v>0.12</v>
          </cell>
          <cell r="T27">
            <v>0</v>
          </cell>
        </row>
        <row r="28">
          <cell r="E28">
            <v>198522</v>
          </cell>
          <cell r="F28" t="str">
            <v>ATADURA CREP CYSNE 30CMX1,80M CREMER CX 12PC/06UN ENV</v>
          </cell>
          <cell r="G28">
            <v>30059090</v>
          </cell>
          <cell r="H28">
            <v>7891800000719</v>
          </cell>
          <cell r="I28">
            <v>17891800198529</v>
          </cell>
          <cell r="J28" t="str">
            <v>CX</v>
          </cell>
          <cell r="K28">
            <v>0.18</v>
          </cell>
          <cell r="L28">
            <v>9.2499999999999999E-2</v>
          </cell>
          <cell r="M28">
            <v>333.91145454545455</v>
          </cell>
          <cell r="N28">
            <v>367.30260000000004</v>
          </cell>
          <cell r="O28">
            <v>405.68681393372981</v>
          </cell>
          <cell r="P28">
            <v>416.14105106202203</v>
          </cell>
          <cell r="Q28">
            <v>425.97115463041627</v>
          </cell>
          <cell r="R28">
            <v>0.18</v>
          </cell>
          <cell r="S28">
            <v>0.12</v>
          </cell>
          <cell r="T28">
            <v>0</v>
          </cell>
        </row>
        <row r="29">
          <cell r="E29">
            <v>165869</v>
          </cell>
          <cell r="F29" t="str">
            <v>ATADURA CREP CYSNE 10CMX1,80M CREMER CX 12PC/12UN</v>
          </cell>
          <cell r="G29">
            <v>30059090</v>
          </cell>
          <cell r="H29">
            <v>7891800165623</v>
          </cell>
          <cell r="I29">
            <v>17891800165866</v>
          </cell>
          <cell r="J29" t="str">
            <v>CX</v>
          </cell>
          <cell r="K29">
            <v>0.18</v>
          </cell>
          <cell r="L29">
            <v>9.2499999999999999E-2</v>
          </cell>
          <cell r="M29">
            <v>219.52564772727271</v>
          </cell>
          <cell r="N29">
            <v>241.47821250000001</v>
          </cell>
          <cell r="O29">
            <v>266.71340378079861</v>
          </cell>
          <cell r="P29">
            <v>273.58640303207301</v>
          </cell>
          <cell r="Q29">
            <v>280.04907396983856</v>
          </cell>
          <cell r="R29">
            <v>0.18</v>
          </cell>
          <cell r="S29">
            <v>0.12</v>
          </cell>
          <cell r="T29">
            <v>0</v>
          </cell>
        </row>
        <row r="30">
          <cell r="E30">
            <v>173765</v>
          </cell>
          <cell r="F30" t="str">
            <v>ATADURA CREP CYSNE 15CMX1,80M CREMER CX 12PC/12UN</v>
          </cell>
          <cell r="G30">
            <v>30059090</v>
          </cell>
          <cell r="H30">
            <v>7891800165661</v>
          </cell>
          <cell r="I30">
            <v>17891800173762</v>
          </cell>
          <cell r="J30" t="str">
            <v>CX</v>
          </cell>
          <cell r="K30">
            <v>0.18</v>
          </cell>
          <cell r="L30">
            <v>9.2499999999999999E-2</v>
          </cell>
          <cell r="M30">
            <v>312.68976136363636</v>
          </cell>
          <cell r="N30">
            <v>343.95873749999998</v>
          </cell>
          <cell r="O30">
            <v>379.90344838572639</v>
          </cell>
          <cell r="P30">
            <v>389.69326801720467</v>
          </cell>
          <cell r="Q30">
            <v>398.89862080501274</v>
          </cell>
          <cell r="R30">
            <v>0.18</v>
          </cell>
          <cell r="S30">
            <v>0.12</v>
          </cell>
          <cell r="T30">
            <v>0</v>
          </cell>
        </row>
        <row r="31">
          <cell r="E31">
            <v>165920</v>
          </cell>
          <cell r="F31" t="str">
            <v>ATADURA CREP CYSNE 20CMX1,80M CREMER CX 6PC/12UN</v>
          </cell>
          <cell r="G31">
            <v>30059090</v>
          </cell>
          <cell r="H31">
            <v>7891800165685</v>
          </cell>
          <cell r="I31">
            <v>17891800165927</v>
          </cell>
          <cell r="J31" t="str">
            <v>CX</v>
          </cell>
          <cell r="K31">
            <v>0.18</v>
          </cell>
          <cell r="L31">
            <v>9.2499999999999999E-2</v>
          </cell>
          <cell r="M31">
            <v>105.27192613636366</v>
          </cell>
          <cell r="N31">
            <v>115.79911875000001</v>
          </cell>
          <cell r="O31">
            <v>127.90047100679692</v>
          </cell>
          <cell r="P31">
            <v>131.19636775966435</v>
          </cell>
          <cell r="Q31">
            <v>134.29549455713681</v>
          </cell>
          <cell r="R31">
            <v>0.18</v>
          </cell>
          <cell r="S31">
            <v>0.12</v>
          </cell>
          <cell r="T31">
            <v>0</v>
          </cell>
        </row>
        <row r="32">
          <cell r="E32">
            <v>165968</v>
          </cell>
          <cell r="F32" t="str">
            <v>ATADURA CREP CYSNE 30CMX1,80M CREMER CX 6PC/12UN</v>
          </cell>
          <cell r="G32">
            <v>30059090</v>
          </cell>
          <cell r="H32">
            <v>7891800165722</v>
          </cell>
          <cell r="I32">
            <v>17891800165965</v>
          </cell>
          <cell r="J32" t="str">
            <v>CX</v>
          </cell>
          <cell r="K32">
            <v>0.18</v>
          </cell>
          <cell r="L32">
            <v>9.2499999999999999E-2</v>
          </cell>
          <cell r="M32">
            <v>152.29426704545457</v>
          </cell>
          <cell r="N32">
            <v>167.52369375000004</v>
          </cell>
          <cell r="O32">
            <v>185.03041790569245</v>
          </cell>
          <cell r="P32">
            <v>189.7985094440314</v>
          </cell>
          <cell r="Q32">
            <v>194.28193880097709</v>
          </cell>
          <cell r="R32">
            <v>0.18</v>
          </cell>
          <cell r="S32">
            <v>0.12</v>
          </cell>
          <cell r="T32">
            <v>0</v>
          </cell>
        </row>
        <row r="33">
          <cell r="E33">
            <v>156645</v>
          </cell>
          <cell r="F33" t="str">
            <v>ATADURA CREP CYSNE 10CMX1,25M CREMER CX 12PC/12UN</v>
          </cell>
          <cell r="G33">
            <v>30059090</v>
          </cell>
          <cell r="H33">
            <v>7891800113389</v>
          </cell>
          <cell r="I33">
            <v>17891800156642</v>
          </cell>
          <cell r="J33" t="str">
            <v>CX</v>
          </cell>
          <cell r="K33">
            <v>0.18</v>
          </cell>
          <cell r="L33">
            <v>9.2499999999999999E-2</v>
          </cell>
          <cell r="M33">
            <v>175.5852954545455</v>
          </cell>
          <cell r="N33">
            <v>193.14382500000005</v>
          </cell>
          <cell r="O33">
            <v>213.32792905692438</v>
          </cell>
          <cell r="P33">
            <v>218.82522569031431</v>
          </cell>
          <cell r="Q33">
            <v>223.99432550977065</v>
          </cell>
          <cell r="R33">
            <v>0.18</v>
          </cell>
          <cell r="S33">
            <v>0.12</v>
          </cell>
          <cell r="T33">
            <v>0</v>
          </cell>
        </row>
        <row r="34">
          <cell r="E34">
            <v>156683</v>
          </cell>
          <cell r="F34" t="str">
            <v>ATADURA CREP CYSNE 15CMX1,25M CREMER CX 12PC/12UN</v>
          </cell>
          <cell r="G34">
            <v>30059090</v>
          </cell>
          <cell r="H34">
            <v>7891800113365</v>
          </cell>
          <cell r="I34">
            <v>17891800156680</v>
          </cell>
          <cell r="J34" t="str">
            <v>CX</v>
          </cell>
          <cell r="K34">
            <v>0.18</v>
          </cell>
          <cell r="L34">
            <v>9.2499999999999999E-2</v>
          </cell>
          <cell r="M34">
            <v>249.72913636363637</v>
          </cell>
          <cell r="N34">
            <v>274.70205000000004</v>
          </cell>
          <cell r="O34">
            <v>303.40923109600669</v>
          </cell>
          <cell r="P34">
            <v>311.22785358963466</v>
          </cell>
          <cell r="Q34">
            <v>318.57969265080715</v>
          </cell>
          <cell r="R34">
            <v>0.18</v>
          </cell>
          <cell r="S34">
            <v>0.12</v>
          </cell>
          <cell r="T34">
            <v>0</v>
          </cell>
        </row>
        <row r="35">
          <cell r="E35">
            <v>156706</v>
          </cell>
          <cell r="F35" t="str">
            <v>ATADURA CREP CYSNE 20CMX1,25M CREMER CX 12PC/12UN</v>
          </cell>
          <cell r="G35">
            <v>30059090</v>
          </cell>
          <cell r="H35">
            <v>7891800113358</v>
          </cell>
          <cell r="I35">
            <v>17891800156703</v>
          </cell>
          <cell r="J35" t="str">
            <v>CX</v>
          </cell>
          <cell r="K35">
            <v>0.18</v>
          </cell>
          <cell r="L35">
            <v>9.2499999999999999E-2</v>
          </cell>
          <cell r="M35">
            <v>324.8416022727273</v>
          </cell>
          <cell r="N35">
            <v>357.3257625</v>
          </cell>
          <cell r="O35">
            <v>394.66736724723864</v>
          </cell>
          <cell r="P35">
            <v>404.83764171091764</v>
          </cell>
          <cell r="Q35">
            <v>414.4007356096007</v>
          </cell>
          <cell r="R35">
            <v>0.18</v>
          </cell>
          <cell r="S35">
            <v>0.12</v>
          </cell>
          <cell r="T35">
            <v>0</v>
          </cell>
        </row>
        <row r="36">
          <cell r="E36">
            <v>198553</v>
          </cell>
          <cell r="F36" t="str">
            <v>ATADURA CREP CREMER 10CMX1,8M CREMER CX 12PC/06UN ENV</v>
          </cell>
          <cell r="G36">
            <v>30059090</v>
          </cell>
          <cell r="H36">
            <v>7891800000474</v>
          </cell>
          <cell r="I36">
            <v>17891800198550</v>
          </cell>
          <cell r="J36" t="str">
            <v>CX</v>
          </cell>
          <cell r="K36">
            <v>0.18</v>
          </cell>
          <cell r="L36">
            <v>9.2499999999999999E-2</v>
          </cell>
          <cell r="M36">
            <v>188.61770454545453</v>
          </cell>
          <cell r="N36">
            <v>207.47947500000004</v>
          </cell>
          <cell r="O36">
            <v>229.16169711129982</v>
          </cell>
          <cell r="P36">
            <v>235.06701776762952</v>
          </cell>
          <cell r="Q36">
            <v>240.61978196686488</v>
          </cell>
          <cell r="R36">
            <v>0.18</v>
          </cell>
          <cell r="S36">
            <v>0.12</v>
          </cell>
          <cell r="T36">
            <v>0</v>
          </cell>
        </row>
        <row r="37">
          <cell r="E37">
            <v>198560</v>
          </cell>
          <cell r="F37" t="str">
            <v>ATADURA CREP CREMER 12CMX1,8M CREMER CX 12PC/06UN ENV</v>
          </cell>
          <cell r="G37">
            <v>30059090</v>
          </cell>
          <cell r="H37">
            <v>7891800000481</v>
          </cell>
          <cell r="I37">
            <v>17891800198567</v>
          </cell>
          <cell r="J37" t="str">
            <v>CX</v>
          </cell>
          <cell r="K37">
            <v>0.18</v>
          </cell>
          <cell r="L37">
            <v>9.2499999999999999E-2</v>
          </cell>
          <cell r="M37">
            <v>223.48820454545461</v>
          </cell>
          <cell r="N37">
            <v>245.83702500000007</v>
          </cell>
          <cell r="O37">
            <v>271.52772514868303</v>
          </cell>
          <cell r="P37">
            <v>278.52478575828371</v>
          </cell>
          <cell r="Q37">
            <v>285.10411140611728</v>
          </cell>
          <cell r="R37">
            <v>0.18</v>
          </cell>
          <cell r="S37">
            <v>0.12</v>
          </cell>
          <cell r="T37">
            <v>0</v>
          </cell>
        </row>
        <row r="38">
          <cell r="E38">
            <v>198577</v>
          </cell>
          <cell r="F38" t="str">
            <v>ATADURA CREP CREMER 15CMX1,8M CREMER CX 12PC/06UN ENV</v>
          </cell>
          <cell r="G38">
            <v>30059090</v>
          </cell>
          <cell r="H38">
            <v>7891800000498</v>
          </cell>
          <cell r="I38">
            <v>17891800198574</v>
          </cell>
          <cell r="J38" t="str">
            <v>CX</v>
          </cell>
          <cell r="K38">
            <v>0.18</v>
          </cell>
          <cell r="L38">
            <v>9.2499999999999999E-2</v>
          </cell>
          <cell r="M38">
            <v>273.15224999999998</v>
          </cell>
          <cell r="N38">
            <v>300.46747499999998</v>
          </cell>
          <cell r="O38">
            <v>331.86721962616809</v>
          </cell>
          <cell r="P38">
            <v>340.41918259345783</v>
          </cell>
          <cell r="Q38">
            <v>348.46058060747657</v>
          </cell>
          <cell r="R38">
            <v>0.18</v>
          </cell>
          <cell r="S38">
            <v>0.12</v>
          </cell>
          <cell r="T38">
            <v>0</v>
          </cell>
        </row>
        <row r="39">
          <cell r="E39">
            <v>198584</v>
          </cell>
          <cell r="F39" t="str">
            <v>ATADURA CREP CREMER 20CMX1,8M CREMER CX 12PC/06UN ENV</v>
          </cell>
          <cell r="G39">
            <v>30059090</v>
          </cell>
          <cell r="H39">
            <v>7891800000504</v>
          </cell>
          <cell r="I39">
            <v>17891800198581</v>
          </cell>
          <cell r="J39" t="str">
            <v>CX</v>
          </cell>
          <cell r="K39">
            <v>0.18</v>
          </cell>
          <cell r="L39">
            <v>9.2499999999999999E-2</v>
          </cell>
          <cell r="M39">
            <v>372.4803409090909</v>
          </cell>
          <cell r="N39">
            <v>409.72837500000003</v>
          </cell>
          <cell r="O39">
            <v>452.54620858113844</v>
          </cell>
          <cell r="P39">
            <v>464.20797626380619</v>
          </cell>
          <cell r="Q39">
            <v>475.17351901019538</v>
          </cell>
          <cell r="R39">
            <v>0.18</v>
          </cell>
          <cell r="S39">
            <v>0.12</v>
          </cell>
          <cell r="T39">
            <v>0</v>
          </cell>
        </row>
        <row r="40">
          <cell r="E40">
            <v>198546</v>
          </cell>
          <cell r="F40" t="str">
            <v>ATADURA CREP CREMER 8CMX1,8M CREMER CX 12PC/06UN ENV</v>
          </cell>
          <cell r="G40">
            <v>30059090</v>
          </cell>
          <cell r="H40">
            <v>7891800000467</v>
          </cell>
          <cell r="I40">
            <v>17891800198543</v>
          </cell>
          <cell r="J40" t="str">
            <v>CX</v>
          </cell>
          <cell r="K40">
            <v>0.18</v>
          </cell>
          <cell r="L40">
            <v>9.2499999999999999E-2</v>
          </cell>
          <cell r="M40">
            <v>152.69052272727274</v>
          </cell>
          <cell r="N40">
            <v>167.95957500000003</v>
          </cell>
          <cell r="O40">
            <v>185.51185004248086</v>
          </cell>
          <cell r="P40">
            <v>190.2923477166525</v>
          </cell>
          <cell r="Q40">
            <v>194.78744254460497</v>
          </cell>
          <cell r="R40">
            <v>0.18</v>
          </cell>
          <cell r="S40">
            <v>0.12</v>
          </cell>
          <cell r="T40">
            <v>0</v>
          </cell>
        </row>
        <row r="41">
          <cell r="E41">
            <v>386707</v>
          </cell>
          <cell r="F41" t="str">
            <v>BANDAGEM ELASTICA BEGE 7,6CMX4,5M CX C/ 12UND</v>
          </cell>
          <cell r="G41">
            <v>30059090</v>
          </cell>
          <cell r="H41">
            <v>7891800386707</v>
          </cell>
          <cell r="I41">
            <v>17891800386704</v>
          </cell>
          <cell r="J41" t="str">
            <v>CX</v>
          </cell>
          <cell r="K41">
            <v>0.18</v>
          </cell>
          <cell r="L41">
            <v>9.2499999999999999E-2</v>
          </cell>
          <cell r="M41">
            <v>143.97289772727274</v>
          </cell>
          <cell r="N41">
            <v>158.37018750000004</v>
          </cell>
          <cell r="O41">
            <v>174.92034303313508</v>
          </cell>
          <cell r="P41">
            <v>179.42790571898897</v>
          </cell>
          <cell r="Q41">
            <v>183.66636018479184</v>
          </cell>
          <cell r="R41">
            <v>0.18</v>
          </cell>
          <cell r="S41">
            <v>0.12</v>
          </cell>
          <cell r="T41">
            <v>0</v>
          </cell>
        </row>
        <row r="42">
          <cell r="E42">
            <v>158557</v>
          </cell>
          <cell r="F42" t="str">
            <v>CAMPO ALVA 23X25 CREMER 10G CX 07PC/50UN</v>
          </cell>
          <cell r="G42">
            <v>30059090</v>
          </cell>
          <cell r="H42">
            <v>7891800056242</v>
          </cell>
          <cell r="I42">
            <v>17891800158554</v>
          </cell>
          <cell r="J42" t="str">
            <v>CX</v>
          </cell>
          <cell r="K42">
            <v>0.18</v>
          </cell>
          <cell r="L42">
            <v>9.2499999999999999E-2</v>
          </cell>
          <cell r="M42">
            <v>246.50772443181819</v>
          </cell>
          <cell r="N42">
            <v>271.15849687500008</v>
          </cell>
          <cell r="O42">
            <v>299.49536613211546</v>
          </cell>
          <cell r="P42">
            <v>307.21313133628922</v>
          </cell>
          <cell r="Q42">
            <v>314.47013443872135</v>
          </cell>
          <cell r="R42">
            <v>0.18</v>
          </cell>
          <cell r="S42">
            <v>0.12</v>
          </cell>
          <cell r="T42">
            <v>0</v>
          </cell>
        </row>
        <row r="43">
          <cell r="E43">
            <v>158595</v>
          </cell>
          <cell r="F43" t="str">
            <v>CAMPO ALVA 45X50 CREMER 38G CX 06PC/50UN</v>
          </cell>
          <cell r="G43">
            <v>30059090</v>
          </cell>
          <cell r="H43">
            <v>7891800055894</v>
          </cell>
          <cell r="I43">
            <v>17891800158592</v>
          </cell>
          <cell r="J43" t="str">
            <v>CX</v>
          </cell>
          <cell r="K43">
            <v>0.18</v>
          </cell>
          <cell r="L43">
            <v>9.2499999999999999E-2</v>
          </cell>
          <cell r="M43">
            <v>568.89107386363628</v>
          </cell>
          <cell r="N43">
            <v>625.78018125000017</v>
          </cell>
          <cell r="O43">
            <v>691.17607104927765</v>
          </cell>
          <cell r="P43">
            <v>708.98714672631684</v>
          </cell>
          <cell r="Q43">
            <v>725.73487460174181</v>
          </cell>
          <cell r="R43">
            <v>0.18</v>
          </cell>
          <cell r="S43">
            <v>0.12</v>
          </cell>
          <cell r="T43">
            <v>0</v>
          </cell>
        </row>
        <row r="44">
          <cell r="E44">
            <v>158618</v>
          </cell>
          <cell r="F44" t="str">
            <v>CAMPO ALVA 45X50 RX CREMER 38G CX 06PC/50UN</v>
          </cell>
          <cell r="G44">
            <v>30059090</v>
          </cell>
          <cell r="H44">
            <v>7891800055900</v>
          </cell>
          <cell r="I44">
            <v>17891800158615</v>
          </cell>
          <cell r="J44" t="str">
            <v>CX</v>
          </cell>
          <cell r="K44">
            <v>0.18</v>
          </cell>
          <cell r="L44">
            <v>9.2499999999999999E-2</v>
          </cell>
          <cell r="M44">
            <v>574.87893750000001</v>
          </cell>
          <cell r="N44">
            <v>632.36683125000002</v>
          </cell>
          <cell r="O44">
            <v>698.4510455607475</v>
          </cell>
          <cell r="P44">
            <v>716.449591734813</v>
          </cell>
          <cell r="Q44">
            <v>733.37359783878503</v>
          </cell>
          <cell r="R44">
            <v>0.18</v>
          </cell>
          <cell r="S44">
            <v>0.12</v>
          </cell>
          <cell r="T44">
            <v>0</v>
          </cell>
        </row>
        <row r="45">
          <cell r="E45">
            <v>213563</v>
          </cell>
          <cell r="F45" t="str">
            <v>CAMPO ESTRELA 23X25 RX CREMER 9G CX 07PC/50UN</v>
          </cell>
          <cell r="G45">
            <v>30059090</v>
          </cell>
          <cell r="H45">
            <v>7891800213348</v>
          </cell>
          <cell r="I45">
            <v>17891800213560</v>
          </cell>
          <cell r="J45" t="str">
            <v>CX</v>
          </cell>
          <cell r="K45">
            <v>0.18</v>
          </cell>
          <cell r="L45">
            <v>9.2499999999999999E-2</v>
          </cell>
          <cell r="M45">
            <v>246.91865625</v>
          </cell>
          <cell r="N45">
            <v>271.61052187499996</v>
          </cell>
          <cell r="O45">
            <v>299.99462908878496</v>
          </cell>
          <cell r="P45">
            <v>307.7252599153037</v>
          </cell>
          <cell r="Q45">
            <v>314.99436054322433</v>
          </cell>
          <cell r="R45">
            <v>0.18</v>
          </cell>
          <cell r="S45">
            <v>0.12</v>
          </cell>
          <cell r="T45">
            <v>0</v>
          </cell>
        </row>
        <row r="46">
          <cell r="E46">
            <v>210453</v>
          </cell>
          <cell r="F46" t="str">
            <v>CAMPO ESTRELA 45X50 CREMER 35G CX 06PC/50UN</v>
          </cell>
          <cell r="G46">
            <v>30059090</v>
          </cell>
          <cell r="H46">
            <v>7891800213287</v>
          </cell>
          <cell r="I46">
            <v>17891800210450</v>
          </cell>
          <cell r="J46" t="str">
            <v>CX</v>
          </cell>
          <cell r="K46">
            <v>0.18</v>
          </cell>
          <cell r="L46">
            <v>9.2499999999999999E-2</v>
          </cell>
          <cell r="M46">
            <v>524.07015340909095</v>
          </cell>
          <cell r="N46">
            <v>576.47716875000015</v>
          </cell>
          <cell r="O46">
            <v>636.72074713254017</v>
          </cell>
          <cell r="P46">
            <v>653.12855100095567</v>
          </cell>
          <cell r="Q46">
            <v>668.55678448916751</v>
          </cell>
          <cell r="R46">
            <v>0.18</v>
          </cell>
          <cell r="S46">
            <v>0.12</v>
          </cell>
          <cell r="T46">
            <v>0</v>
          </cell>
        </row>
        <row r="47">
          <cell r="E47">
            <v>212709</v>
          </cell>
          <cell r="F47" t="str">
            <v>CAMPO NIDIA 23X25 CREMER 8G CX 07PC/50UN</v>
          </cell>
          <cell r="G47">
            <v>30059090</v>
          </cell>
          <cell r="H47">
            <v>7891800213317</v>
          </cell>
          <cell r="I47">
            <v>17891800212706</v>
          </cell>
          <cell r="J47" t="str">
            <v>CX</v>
          </cell>
          <cell r="K47">
            <v>0.18</v>
          </cell>
          <cell r="L47">
            <v>9.2499999999999999E-2</v>
          </cell>
          <cell r="M47">
            <v>221.18405113636362</v>
          </cell>
          <cell r="N47">
            <v>243.30245625000006</v>
          </cell>
          <cell r="O47">
            <v>268.72828642735766</v>
          </cell>
          <cell r="P47">
            <v>275.65320765452418</v>
          </cell>
          <cell r="Q47">
            <v>282.16470074872558</v>
          </cell>
          <cell r="R47">
            <v>0.18</v>
          </cell>
          <cell r="S47">
            <v>0.12</v>
          </cell>
          <cell r="T47">
            <v>0</v>
          </cell>
        </row>
        <row r="48">
          <cell r="E48">
            <v>209990</v>
          </cell>
          <cell r="F48" t="str">
            <v>CAMPO NIDIA 45X50 CREMER 30G CX 06PC/50UN</v>
          </cell>
          <cell r="G48">
            <v>30059090</v>
          </cell>
          <cell r="H48">
            <v>7891800213294</v>
          </cell>
          <cell r="I48">
            <v>17891800209997</v>
          </cell>
          <cell r="J48" t="str">
            <v>CX</v>
          </cell>
          <cell r="K48">
            <v>0.18</v>
          </cell>
          <cell r="L48">
            <v>9.2499999999999999E-2</v>
          </cell>
          <cell r="M48">
            <v>470.39952272727277</v>
          </cell>
          <cell r="N48">
            <v>517.43947500000024</v>
          </cell>
          <cell r="O48">
            <v>571.51343882752769</v>
          </cell>
          <cell r="P48">
            <v>586.24090052039071</v>
          </cell>
          <cell r="Q48">
            <v>600.08911076890422</v>
          </cell>
          <cell r="R48">
            <v>0.18</v>
          </cell>
          <cell r="S48">
            <v>0.12</v>
          </cell>
          <cell r="T48">
            <v>0</v>
          </cell>
        </row>
        <row r="49">
          <cell r="E49">
            <v>213256</v>
          </cell>
          <cell r="F49" t="str">
            <v>CAMPO NIDIA 45X50 RX CREMER 30G CX 06PC/50UN</v>
          </cell>
          <cell r="G49">
            <v>30059090</v>
          </cell>
          <cell r="H49">
            <v>7891800213331</v>
          </cell>
          <cell r="I49">
            <v>17891800213253</v>
          </cell>
          <cell r="J49" t="str">
            <v>CX</v>
          </cell>
          <cell r="K49">
            <v>0.18</v>
          </cell>
          <cell r="L49">
            <v>9.2499999999999999E-2</v>
          </cell>
          <cell r="M49">
            <v>476.34335795454541</v>
          </cell>
          <cell r="N49">
            <v>523.97769374999996</v>
          </cell>
          <cell r="O49">
            <v>578.73492087935415</v>
          </cell>
          <cell r="P49">
            <v>593.64847460970668</v>
          </cell>
          <cell r="Q49">
            <v>607.67166692332194</v>
          </cell>
          <cell r="R49">
            <v>0.18</v>
          </cell>
          <cell r="S49">
            <v>0.12</v>
          </cell>
          <cell r="T49">
            <v>0</v>
          </cell>
        </row>
        <row r="50">
          <cell r="E50">
            <v>212969</v>
          </cell>
          <cell r="F50" t="str">
            <v>CAMPO 10X09 EST ETO RX CREMER PRE LAV CX 40PC/05UN</v>
          </cell>
          <cell r="G50">
            <v>30059090</v>
          </cell>
          <cell r="H50">
            <v>7891800216837</v>
          </cell>
          <cell r="I50">
            <v>17891800212966</v>
          </cell>
          <cell r="J50" t="str">
            <v>CX</v>
          </cell>
          <cell r="K50">
            <v>0.18</v>
          </cell>
          <cell r="L50">
            <v>9.2499999999999999E-2</v>
          </cell>
          <cell r="M50">
            <v>255.65829545454548</v>
          </cell>
          <cell r="N50">
            <v>281.22412500000007</v>
          </cell>
          <cell r="O50">
            <v>310.61288232795249</v>
          </cell>
          <cell r="P50">
            <v>318.61713737255735</v>
          </cell>
          <cell r="Q50">
            <v>326.14352644435002</v>
          </cell>
          <cell r="R50">
            <v>0.18</v>
          </cell>
          <cell r="S50">
            <v>0.12</v>
          </cell>
          <cell r="T50">
            <v>0</v>
          </cell>
        </row>
        <row r="51">
          <cell r="E51">
            <v>158441</v>
          </cell>
          <cell r="F51" t="str">
            <v>COMPRESSA ESTRELA 10X10 CREMER CX 08PC/500UN</v>
          </cell>
          <cell r="G51">
            <v>30059090</v>
          </cell>
          <cell r="H51">
            <v>7891800001310</v>
          </cell>
          <cell r="I51">
            <v>17891800158448</v>
          </cell>
          <cell r="J51" t="str">
            <v>CX</v>
          </cell>
          <cell r="K51">
            <v>0.18</v>
          </cell>
          <cell r="L51">
            <v>9.2499999999999999E-2</v>
          </cell>
          <cell r="M51">
            <v>543.19315909090903</v>
          </cell>
          <cell r="N51">
            <v>597.51247500000011</v>
          </cell>
          <cell r="O51">
            <v>659.95430543755288</v>
          </cell>
          <cell r="P51">
            <v>676.96082023152064</v>
          </cell>
          <cell r="Q51">
            <v>692.95202070943071</v>
          </cell>
          <cell r="R51">
            <v>0.18</v>
          </cell>
          <cell r="S51">
            <v>0.12</v>
          </cell>
          <cell r="T51">
            <v>0</v>
          </cell>
        </row>
        <row r="52">
          <cell r="E52">
            <v>194586</v>
          </cell>
          <cell r="F52" t="str">
            <v>COMPRESSA EST ETO 11F CREMER 7,5X7,5 CX 240PC/10UN</v>
          </cell>
          <cell r="G52">
            <v>30059090</v>
          </cell>
          <cell r="H52">
            <v>7891800197549</v>
          </cell>
          <cell r="I52">
            <v>17891800194583</v>
          </cell>
          <cell r="J52" t="str">
            <v>CX</v>
          </cell>
          <cell r="K52">
            <v>0.18</v>
          </cell>
          <cell r="L52">
            <v>9.2499999999999999E-2</v>
          </cell>
          <cell r="M52">
            <v>302.91545454545457</v>
          </cell>
          <cell r="N52">
            <v>333.20700000000005</v>
          </cell>
          <cell r="O52">
            <v>368.02812234494468</v>
          </cell>
          <cell r="P52">
            <v>377.51192395921828</v>
          </cell>
          <cell r="Q52">
            <v>386.42952846219202</v>
          </cell>
          <cell r="R52">
            <v>0.18</v>
          </cell>
          <cell r="S52">
            <v>0.12</v>
          </cell>
          <cell r="T52">
            <v>0</v>
          </cell>
        </row>
        <row r="53">
          <cell r="E53">
            <v>194654</v>
          </cell>
          <cell r="F53" t="str">
            <v>COMPRESSA EST ETO 11F CREMER 7,5X7,5 CX 500PC/5UN</v>
          </cell>
          <cell r="G53">
            <v>30059090</v>
          </cell>
          <cell r="H53">
            <v>7891800197600</v>
          </cell>
          <cell r="I53">
            <v>17891800194651</v>
          </cell>
          <cell r="J53" t="str">
            <v>CX</v>
          </cell>
          <cell r="K53">
            <v>0.18</v>
          </cell>
          <cell r="L53">
            <v>9.2499999999999999E-2</v>
          </cell>
          <cell r="M53">
            <v>399.92471590909093</v>
          </cell>
          <cell r="N53">
            <v>439.91718750000007</v>
          </cell>
          <cell r="O53">
            <v>485.88984175870843</v>
          </cell>
          <cell r="P53">
            <v>498.41084921941371</v>
          </cell>
          <cell r="Q53">
            <v>510.18433384664394</v>
          </cell>
          <cell r="R53">
            <v>0.18</v>
          </cell>
          <cell r="S53">
            <v>0.12</v>
          </cell>
          <cell r="T53">
            <v>0</v>
          </cell>
        </row>
        <row r="54">
          <cell r="E54">
            <v>194579</v>
          </cell>
          <cell r="F54" t="str">
            <v>COMPRESSA EST ETO 13F CREMER 7,5X7,5 CX 240PC/10UN</v>
          </cell>
          <cell r="G54">
            <v>30059090</v>
          </cell>
          <cell r="H54">
            <v>7891800197532</v>
          </cell>
          <cell r="I54">
            <v>17891800194576</v>
          </cell>
          <cell r="J54" t="str">
            <v>CX</v>
          </cell>
          <cell r="K54">
            <v>0.18</v>
          </cell>
          <cell r="L54">
            <v>9.2499999999999999E-2</v>
          </cell>
          <cell r="M54">
            <v>324.04909090909092</v>
          </cell>
          <cell r="N54">
            <v>356.45400000000006</v>
          </cell>
          <cell r="O54">
            <v>393.70450297366182</v>
          </cell>
          <cell r="P54">
            <v>403.84996516567548</v>
          </cell>
          <cell r="Q54">
            <v>413.38972812234493</v>
          </cell>
          <cell r="R54">
            <v>0.18</v>
          </cell>
          <cell r="S54">
            <v>0.12</v>
          </cell>
          <cell r="T54">
            <v>0</v>
          </cell>
        </row>
        <row r="55">
          <cell r="E55">
            <v>309980</v>
          </cell>
          <cell r="F55" t="str">
            <v>COMPRESSA EST ETO 13F RX CREMER 10X10 CX144/PC10UN</v>
          </cell>
          <cell r="G55">
            <v>30059090</v>
          </cell>
          <cell r="H55">
            <v>7891800310016</v>
          </cell>
          <cell r="I55">
            <v>17891800309987</v>
          </cell>
          <cell r="J55" t="str">
            <v>CX</v>
          </cell>
          <cell r="K55">
            <v>0.18</v>
          </cell>
          <cell r="L55">
            <v>9.2499999999999999E-2</v>
          </cell>
          <cell r="M55">
            <v>367.72527272727274</v>
          </cell>
          <cell r="N55">
            <v>404.4978000000001</v>
          </cell>
          <cell r="O55">
            <v>446.76902293967709</v>
          </cell>
          <cell r="P55">
            <v>458.28191699235333</v>
          </cell>
          <cell r="Q55">
            <v>469.107474086661</v>
          </cell>
          <cell r="R55">
            <v>0.18</v>
          </cell>
          <cell r="S55">
            <v>0.12</v>
          </cell>
          <cell r="T55">
            <v>0</v>
          </cell>
        </row>
        <row r="56">
          <cell r="E56">
            <v>303032</v>
          </cell>
          <cell r="F56" t="str">
            <v>COMPRESSA EST ETO 13F RX PC10UN CREMER 7,5X7,5 CX240/PC10UN</v>
          </cell>
          <cell r="G56">
            <v>30059090</v>
          </cell>
          <cell r="H56">
            <v>7891800303117</v>
          </cell>
          <cell r="I56">
            <v>17891800303039</v>
          </cell>
          <cell r="J56" t="str">
            <v>CX</v>
          </cell>
          <cell r="K56">
            <v>0.18</v>
          </cell>
          <cell r="L56">
            <v>9.2499999999999999E-2</v>
          </cell>
          <cell r="M56">
            <v>362.79409090909093</v>
          </cell>
          <cell r="N56">
            <v>399.07350000000014</v>
          </cell>
          <cell r="O56">
            <v>440.77786745964301</v>
          </cell>
          <cell r="P56">
            <v>452.13637404418</v>
          </cell>
          <cell r="Q56">
            <v>462.81676083262533</v>
          </cell>
          <cell r="R56">
            <v>0.18</v>
          </cell>
          <cell r="S56">
            <v>0.12</v>
          </cell>
          <cell r="T56">
            <v>0</v>
          </cell>
        </row>
        <row r="57">
          <cell r="E57">
            <v>303063</v>
          </cell>
          <cell r="F57" t="str">
            <v>COMPRESSA ESTER 13FIOS 10X10CM ETO CX C 144X10UN</v>
          </cell>
          <cell r="G57">
            <v>30059090</v>
          </cell>
          <cell r="H57">
            <v>7891800303131</v>
          </cell>
          <cell r="I57">
            <v>17891800303060</v>
          </cell>
          <cell r="J57" t="str">
            <v>CX</v>
          </cell>
          <cell r="K57">
            <v>0.18</v>
          </cell>
          <cell r="L57">
            <v>9.2499999999999999E-2</v>
          </cell>
          <cell r="M57">
            <v>319.11790909090911</v>
          </cell>
          <cell r="N57">
            <v>351.0297000000001</v>
          </cell>
          <cell r="O57">
            <v>387.71334749362785</v>
          </cell>
          <cell r="P57">
            <v>397.7044222175021</v>
          </cell>
          <cell r="Q57">
            <v>407.09901486830927</v>
          </cell>
          <cell r="R57">
            <v>0.18</v>
          </cell>
          <cell r="S57">
            <v>0.12</v>
          </cell>
          <cell r="T57">
            <v>0</v>
          </cell>
        </row>
        <row r="58">
          <cell r="E58">
            <v>328219</v>
          </cell>
          <cell r="F58" t="str">
            <v>GAZE DOBRADA HIDROFILA EST 60CMX91CM- 13FIOS ETO CX 180UN</v>
          </cell>
          <cell r="G58">
            <v>30059090</v>
          </cell>
          <cell r="H58">
            <v>7891800328219</v>
          </cell>
          <cell r="I58">
            <v>17891800328216</v>
          </cell>
          <cell r="J58" t="str">
            <v>CX</v>
          </cell>
          <cell r="K58">
            <v>0.18</v>
          </cell>
          <cell r="L58">
            <v>9.2499999999999999E-2</v>
          </cell>
          <cell r="M58">
            <v>306.43772727272727</v>
          </cell>
          <cell r="N58">
            <v>337.08150000000001</v>
          </cell>
          <cell r="O58">
            <v>372.30751911639749</v>
          </cell>
          <cell r="P58">
            <v>381.90159749362772</v>
          </cell>
          <cell r="Q58">
            <v>390.9228950722175</v>
          </cell>
          <cell r="R58">
            <v>0.18</v>
          </cell>
          <cell r="S58">
            <v>0.12</v>
          </cell>
          <cell r="T58">
            <v>0</v>
          </cell>
        </row>
        <row r="59">
          <cell r="E59">
            <v>304077</v>
          </cell>
          <cell r="F59" t="str">
            <v>COMP ALGOD 10X15 15X60 EST ETO CREMER CX 144UN</v>
          </cell>
          <cell r="G59">
            <v>30059090</v>
          </cell>
          <cell r="H59">
            <v>7891800311303</v>
          </cell>
          <cell r="I59">
            <v>17891800304074</v>
          </cell>
          <cell r="J59" t="str">
            <v>CX</v>
          </cell>
          <cell r="K59">
            <v>0.18</v>
          </cell>
          <cell r="L59">
            <v>9.2499999999999999E-2</v>
          </cell>
          <cell r="M59">
            <v>634.00909090909079</v>
          </cell>
          <cell r="N59">
            <v>697.41000000000008</v>
          </cell>
          <cell r="O59">
            <v>770.29141886151206</v>
          </cell>
          <cell r="P59">
            <v>790.14123619371253</v>
          </cell>
          <cell r="Q59">
            <v>808.80598980458774</v>
          </cell>
          <cell r="R59">
            <v>0.18</v>
          </cell>
          <cell r="S59">
            <v>0.12</v>
          </cell>
          <cell r="T59">
            <v>0</v>
          </cell>
        </row>
        <row r="60">
          <cell r="E60">
            <v>304084</v>
          </cell>
          <cell r="F60" t="str">
            <v>COMP ALGOD 15X30 30X60 EST ETO CREMER CX 48UN</v>
          </cell>
          <cell r="G60">
            <v>30059090</v>
          </cell>
          <cell r="H60">
            <v>7891800311310</v>
          </cell>
          <cell r="I60">
            <v>17891800304081</v>
          </cell>
          <cell r="J60" t="str">
            <v>CX</v>
          </cell>
          <cell r="K60">
            <v>0.18</v>
          </cell>
          <cell r="L60">
            <v>9.2499999999999999E-2</v>
          </cell>
          <cell r="M60">
            <v>344.47827272727267</v>
          </cell>
          <cell r="N60">
            <v>378.92610000000002</v>
          </cell>
          <cell r="O60">
            <v>418.52500424808818</v>
          </cell>
          <cell r="P60">
            <v>429.31007166525058</v>
          </cell>
          <cell r="Q60">
            <v>439.45125446049281</v>
          </cell>
          <cell r="R60">
            <v>0.18</v>
          </cell>
          <cell r="S60">
            <v>0.12</v>
          </cell>
          <cell r="T60">
            <v>0</v>
          </cell>
        </row>
        <row r="61">
          <cell r="E61">
            <v>158304</v>
          </cell>
          <cell r="F61" t="str">
            <v>GAZE ESTRELA BOBINA 91CMX91M CREMER CX 05UN</v>
          </cell>
          <cell r="G61">
            <v>30059090</v>
          </cell>
          <cell r="H61">
            <v>7891800002379</v>
          </cell>
          <cell r="I61">
            <v>17891800158301</v>
          </cell>
          <cell r="J61" t="str">
            <v>CX</v>
          </cell>
          <cell r="K61">
            <v>0.18</v>
          </cell>
          <cell r="L61">
            <v>9.2499999999999999E-2</v>
          </cell>
          <cell r="M61">
            <v>725.40473011363645</v>
          </cell>
          <cell r="N61">
            <v>797.94520312500026</v>
          </cell>
          <cell r="O61">
            <v>881.33284967077316</v>
          </cell>
          <cell r="P61">
            <v>904.04411925844317</v>
          </cell>
          <cell r="Q61">
            <v>925.39949215431182</v>
          </cell>
          <cell r="R61">
            <v>0.18</v>
          </cell>
          <cell r="S61">
            <v>0.12</v>
          </cell>
          <cell r="T61">
            <v>0</v>
          </cell>
        </row>
        <row r="62">
          <cell r="E62">
            <v>158328</v>
          </cell>
          <cell r="F62" t="str">
            <v>GAZE IRIS BOBINA 91CMX91M CREMER CX 12UN</v>
          </cell>
          <cell r="G62">
            <v>30059090</v>
          </cell>
          <cell r="H62">
            <v>7891800002515</v>
          </cell>
          <cell r="I62">
            <v>17891800158325</v>
          </cell>
          <cell r="J62" t="str">
            <v>CX</v>
          </cell>
          <cell r="K62">
            <v>0.18</v>
          </cell>
          <cell r="L62">
            <v>9.2499999999999999E-2</v>
          </cell>
          <cell r="M62">
            <v>1300.9514318181821</v>
          </cell>
          <cell r="N62">
            <v>1431.0465750000001</v>
          </cell>
          <cell r="O62">
            <v>1580.5951975361083</v>
          </cell>
          <cell r="P62">
            <v>1621.3259199341544</v>
          </cell>
          <cell r="Q62">
            <v>1659.6249574129142</v>
          </cell>
          <cell r="R62">
            <v>0.18</v>
          </cell>
          <cell r="S62">
            <v>0.12</v>
          </cell>
          <cell r="T62">
            <v>0</v>
          </cell>
        </row>
        <row r="63">
          <cell r="E63">
            <v>310047</v>
          </cell>
          <cell r="F63" t="str">
            <v>CURATIVO CIRUR.ESTER10X15CMETO  CX C/144 UN</v>
          </cell>
          <cell r="G63">
            <v>30059090</v>
          </cell>
          <cell r="H63">
            <v>7891800310160</v>
          </cell>
          <cell r="I63">
            <v>17891800310044</v>
          </cell>
          <cell r="J63" t="str">
            <v>CX</v>
          </cell>
          <cell r="K63">
            <v>0.18</v>
          </cell>
          <cell r="L63">
            <v>9.2499999999999999E-2</v>
          </cell>
          <cell r="M63">
            <v>536.79436363636364</v>
          </cell>
          <cell r="N63">
            <v>590.4738000000001</v>
          </cell>
          <cell r="O63">
            <v>652.18006796941359</v>
          </cell>
          <cell r="P63">
            <v>668.98624664401018</v>
          </cell>
          <cell r="Q63">
            <v>684.7890713678845</v>
          </cell>
          <cell r="R63">
            <v>0.18</v>
          </cell>
          <cell r="S63">
            <v>0.12</v>
          </cell>
          <cell r="T63">
            <v>0</v>
          </cell>
        </row>
        <row r="64">
          <cell r="E64">
            <v>310054</v>
          </cell>
          <cell r="F64" t="str">
            <v>CURATIVO CIRUR.ESTER15X30CMETO  CX C/48 UN</v>
          </cell>
          <cell r="G64">
            <v>30059090</v>
          </cell>
          <cell r="H64">
            <v>7891800310054</v>
          </cell>
          <cell r="I64">
            <v>17891800310051</v>
          </cell>
          <cell r="J64" t="str">
            <v>CX</v>
          </cell>
          <cell r="K64">
            <v>0.18</v>
          </cell>
          <cell r="L64">
            <v>9.2499999999999999E-2</v>
          </cell>
          <cell r="M64">
            <v>273.32836363636363</v>
          </cell>
          <cell r="N64">
            <v>300.66119999999995</v>
          </cell>
          <cell r="O64">
            <v>332.08118946474076</v>
          </cell>
          <cell r="P64">
            <v>340.63866627017836</v>
          </cell>
          <cell r="Q64">
            <v>348.68524893797792</v>
          </cell>
          <cell r="R64">
            <v>0.18</v>
          </cell>
          <cell r="S64">
            <v>0.12</v>
          </cell>
          <cell r="T64">
            <v>0</v>
          </cell>
        </row>
        <row r="65">
          <cell r="E65">
            <v>197082</v>
          </cell>
          <cell r="F65" t="str">
            <v>COMPRESSA EST ETO 11F CREMER 7,5X7,5CM CX 100PC/05UN</v>
          </cell>
          <cell r="G65">
            <v>30059090</v>
          </cell>
          <cell r="H65">
            <v>7891800197600</v>
          </cell>
          <cell r="I65">
            <v>17891800197089</v>
          </cell>
          <cell r="J65" t="str">
            <v>CX</v>
          </cell>
          <cell r="K65">
            <v>0.18</v>
          </cell>
          <cell r="L65">
            <v>9.2499999999999999E-2</v>
          </cell>
          <cell r="M65">
            <v>90.992045454545448</v>
          </cell>
          <cell r="N65">
            <v>100.09125</v>
          </cell>
          <cell r="O65">
            <v>110.55108326253183</v>
          </cell>
          <cell r="P65">
            <v>113.39989963891246</v>
          </cell>
          <cell r="Q65">
            <v>116.07863742565846</v>
          </cell>
          <cell r="R65">
            <v>0.18</v>
          </cell>
          <cell r="S65">
            <v>0.12</v>
          </cell>
          <cell r="T65">
            <v>0</v>
          </cell>
        </row>
        <row r="66">
          <cell r="E66">
            <v>197075</v>
          </cell>
          <cell r="F66" t="str">
            <v>COMPRESSA EST ETO 11F CREMER 7,5X7,5CM CX 50PC/10UN</v>
          </cell>
          <cell r="G66">
            <v>30059090</v>
          </cell>
          <cell r="H66">
            <v>7891800197549</v>
          </cell>
          <cell r="I66">
            <v>17891800197072</v>
          </cell>
          <cell r="J66" t="str">
            <v>CX</v>
          </cell>
          <cell r="K66">
            <v>0.18</v>
          </cell>
          <cell r="L66">
            <v>9.2499999999999999E-2</v>
          </cell>
          <cell r="M66">
            <v>64.941903409090898</v>
          </cell>
          <cell r="N66">
            <v>71.436093749999998</v>
          </cell>
          <cell r="O66">
            <v>78.901377973661823</v>
          </cell>
          <cell r="P66">
            <v>80.934605790675434</v>
          </cell>
          <cell r="Q66">
            <v>82.846446872344941</v>
          </cell>
          <cell r="R66">
            <v>0.18</v>
          </cell>
          <cell r="S66">
            <v>0.12</v>
          </cell>
          <cell r="T66">
            <v>0</v>
          </cell>
        </row>
        <row r="67">
          <cell r="E67">
            <v>201680</v>
          </cell>
          <cell r="F67" t="str">
            <v>COMPRESSA EST ETO 13F CREMER 7,5X7,5CM CX 100PC/05UN</v>
          </cell>
          <cell r="G67">
            <v>30059090</v>
          </cell>
          <cell r="H67">
            <v>7891800197594</v>
          </cell>
          <cell r="I67">
            <v>17891800201687</v>
          </cell>
          <cell r="J67" t="str">
            <v>CX</v>
          </cell>
          <cell r="K67">
            <v>0.18</v>
          </cell>
          <cell r="L67">
            <v>9.2499999999999999E-2</v>
          </cell>
          <cell r="M67">
            <v>77.783522727272725</v>
          </cell>
          <cell r="N67">
            <v>85.561875000000001</v>
          </cell>
          <cell r="O67">
            <v>94.50334536958367</v>
          </cell>
          <cell r="P67">
            <v>96.93862388487679</v>
          </cell>
          <cell r="Q67">
            <v>99.228512638062895</v>
          </cell>
          <cell r="R67">
            <v>0.18</v>
          </cell>
          <cell r="S67">
            <v>0.12</v>
          </cell>
          <cell r="T67">
            <v>0</v>
          </cell>
        </row>
        <row r="68">
          <cell r="E68">
            <v>201673</v>
          </cell>
          <cell r="F68" t="str">
            <v>COMPRESSA EST ETO 13F CREMER 7,5X7,5CM CX 50PC/10UN</v>
          </cell>
          <cell r="G68">
            <v>30059090</v>
          </cell>
          <cell r="H68">
            <v>7891800197532</v>
          </cell>
          <cell r="I68">
            <v>17891800201670</v>
          </cell>
          <cell r="J68" t="str">
            <v>CX</v>
          </cell>
          <cell r="K68">
            <v>0.18</v>
          </cell>
          <cell r="L68">
            <v>9.2499999999999999E-2</v>
          </cell>
          <cell r="M68">
            <v>77.049715909090907</v>
          </cell>
          <cell r="N68">
            <v>84.754687500000031</v>
          </cell>
          <cell r="O68">
            <v>93.611804375530994</v>
          </cell>
          <cell r="P68">
            <v>96.024108565208138</v>
          </cell>
          <cell r="Q68">
            <v>98.292394594307581</v>
          </cell>
          <cell r="R68">
            <v>0.18</v>
          </cell>
          <cell r="S68">
            <v>0.12</v>
          </cell>
          <cell r="T68">
            <v>0</v>
          </cell>
        </row>
        <row r="69">
          <cell r="E69">
            <v>198669</v>
          </cell>
          <cell r="F69" t="str">
            <v>COMPRESSA 11F 7,5X7,5CM CREMER CX 02DISPLAY/25PC/10UN</v>
          </cell>
          <cell r="G69">
            <v>30059090</v>
          </cell>
          <cell r="H69">
            <v>7891800203707</v>
          </cell>
          <cell r="I69">
            <v>17891800198666</v>
          </cell>
          <cell r="J69" t="str">
            <v>CX</v>
          </cell>
          <cell r="K69">
            <v>0.18</v>
          </cell>
          <cell r="L69">
            <v>9.2499999999999999E-2</v>
          </cell>
          <cell r="M69">
            <v>51.73338068181819</v>
          </cell>
          <cell r="N69">
            <v>56.906718750000024</v>
          </cell>
          <cell r="O69">
            <v>62.853640080713653</v>
          </cell>
          <cell r="P69">
            <v>64.473330036639751</v>
          </cell>
          <cell r="Q69">
            <v>65.99632208474938</v>
          </cell>
          <cell r="R69">
            <v>0.18</v>
          </cell>
          <cell r="S69">
            <v>0.12</v>
          </cell>
          <cell r="T69">
            <v>0</v>
          </cell>
        </row>
        <row r="70">
          <cell r="E70">
            <v>198652</v>
          </cell>
          <cell r="F70" t="str">
            <v>COMPRESSA 11F 7,5X7,5CM CREMER CX 02DISPLAY/40PC/05UN</v>
          </cell>
          <cell r="G70">
            <v>30059090</v>
          </cell>
          <cell r="H70">
            <v>7891800203608</v>
          </cell>
          <cell r="I70">
            <v>17891800198659</v>
          </cell>
          <cell r="J70" t="str">
            <v>CX</v>
          </cell>
          <cell r="K70">
            <v>0.18</v>
          </cell>
          <cell r="L70">
            <v>9.2499999999999999E-2</v>
          </cell>
          <cell r="M70">
            <v>51.660000000000004</v>
          </cell>
          <cell r="N70">
            <v>56.826000000000008</v>
          </cell>
          <cell r="O70">
            <v>62.764485981308397</v>
          </cell>
          <cell r="P70">
            <v>64.381878504672883</v>
          </cell>
          <cell r="Q70">
            <v>65.902710280373825</v>
          </cell>
          <cell r="R70">
            <v>0.18</v>
          </cell>
          <cell r="S70">
            <v>0.12</v>
          </cell>
          <cell r="T70">
            <v>0</v>
          </cell>
        </row>
        <row r="71">
          <cell r="E71">
            <v>342291</v>
          </cell>
          <cell r="F71" t="str">
            <v>CURATIVO CREMERCARE BEGE CREMER 10 CURATIVOS CX C/110UN</v>
          </cell>
          <cell r="G71">
            <v>30051020</v>
          </cell>
          <cell r="H71">
            <v>7891800342000</v>
          </cell>
          <cell r="I71">
            <v>17891800342298</v>
          </cell>
          <cell r="J71" t="str">
            <v>CX</v>
          </cell>
          <cell r="K71">
            <v>0.18</v>
          </cell>
          <cell r="L71">
            <v>9.2499999999999999E-2</v>
          </cell>
          <cell r="M71">
            <v>200.98968750000003</v>
          </cell>
          <cell r="N71">
            <v>221.08865625000004</v>
          </cell>
          <cell r="O71">
            <v>244.19307827102804</v>
          </cell>
          <cell r="P71">
            <v>250.48574605724298</v>
          </cell>
          <cell r="Q71">
            <v>256.40273218457946</v>
          </cell>
          <cell r="R71">
            <v>0.18</v>
          </cell>
          <cell r="S71">
            <v>0.12</v>
          </cell>
          <cell r="T71">
            <v>0</v>
          </cell>
        </row>
        <row r="72">
          <cell r="E72">
            <v>342338</v>
          </cell>
          <cell r="F72" t="str">
            <v>CURATIVO CREMERCARE BEGE CREMER 40 CURATIVOS CX C/32UN</v>
          </cell>
          <cell r="G72">
            <v>30051020</v>
          </cell>
          <cell r="H72">
            <v>7891800341935</v>
          </cell>
          <cell r="I72">
            <v>17891800342335</v>
          </cell>
          <cell r="J72" t="str">
            <v>CX</v>
          </cell>
          <cell r="K72">
            <v>0.18</v>
          </cell>
          <cell r="L72">
            <v>9.2499999999999999E-2</v>
          </cell>
          <cell r="M72">
            <v>150.04881818181818</v>
          </cell>
          <cell r="N72">
            <v>165.05369999999999</v>
          </cell>
          <cell r="O72">
            <v>182.30230246389118</v>
          </cell>
          <cell r="P72">
            <v>187.00009256584534</v>
          </cell>
          <cell r="Q72">
            <v>191.41741758708579</v>
          </cell>
          <cell r="R72">
            <v>0.18</v>
          </cell>
          <cell r="S72">
            <v>0.12</v>
          </cell>
          <cell r="T72">
            <v>0</v>
          </cell>
        </row>
        <row r="73">
          <cell r="E73">
            <v>342352</v>
          </cell>
          <cell r="F73" t="str">
            <v>CURATIVO CREMERCARE REDONDO CREMER TRANS 16 CURATIVOS</v>
          </cell>
          <cell r="G73">
            <v>30051020</v>
          </cell>
          <cell r="H73">
            <v>7891800341966</v>
          </cell>
          <cell r="I73">
            <v>17891800342359</v>
          </cell>
          <cell r="J73" t="str">
            <v>CX</v>
          </cell>
          <cell r="K73">
            <v>0.18</v>
          </cell>
          <cell r="L73">
            <v>9.2499999999999999E-2</v>
          </cell>
          <cell r="M73">
            <v>191.14200000000002</v>
          </cell>
          <cell r="N73">
            <v>210.25620000000006</v>
          </cell>
          <cell r="O73">
            <v>232.22859813084111</v>
          </cell>
          <cell r="P73">
            <v>238.21295046728966</v>
          </cell>
          <cell r="Q73">
            <v>243.84002803738321</v>
          </cell>
          <cell r="R73">
            <v>0.18</v>
          </cell>
          <cell r="S73">
            <v>0.12</v>
          </cell>
          <cell r="T73">
            <v>0</v>
          </cell>
        </row>
        <row r="74">
          <cell r="E74">
            <v>342307</v>
          </cell>
          <cell r="F74" t="str">
            <v>CURATIVO CREMERCARE TRANSPAREN CREMER 10 CURATIVOS</v>
          </cell>
          <cell r="G74">
            <v>30051020</v>
          </cell>
          <cell r="H74">
            <v>7891800341997</v>
          </cell>
          <cell r="I74">
            <v>17891800342304</v>
          </cell>
          <cell r="J74" t="str">
            <v>CX</v>
          </cell>
          <cell r="K74">
            <v>0.18</v>
          </cell>
          <cell r="L74">
            <v>9.2499999999999999E-2</v>
          </cell>
          <cell r="M74">
            <v>200.98968750000003</v>
          </cell>
          <cell r="N74">
            <v>221.08865625000004</v>
          </cell>
          <cell r="O74">
            <v>244.19307827102804</v>
          </cell>
          <cell r="P74">
            <v>250.48574605724298</v>
          </cell>
          <cell r="Q74">
            <v>256.40273218457946</v>
          </cell>
          <cell r="R74">
            <v>0.18</v>
          </cell>
          <cell r="S74">
            <v>0.12</v>
          </cell>
          <cell r="T74">
            <v>0</v>
          </cell>
        </row>
        <row r="75">
          <cell r="E75">
            <v>342321</v>
          </cell>
          <cell r="F75" t="str">
            <v>CURATIVO CREMERCARE TRANSPAREN CREMER 40 CURATIVOS</v>
          </cell>
          <cell r="G75">
            <v>30051020</v>
          </cell>
          <cell r="H75">
            <v>7891800341942</v>
          </cell>
          <cell r="I75">
            <v>17891800342328</v>
          </cell>
          <cell r="J75" t="str">
            <v>CX</v>
          </cell>
          <cell r="K75">
            <v>0.18</v>
          </cell>
          <cell r="L75">
            <v>9.2499999999999999E-2</v>
          </cell>
          <cell r="M75">
            <v>150.04881818181818</v>
          </cell>
          <cell r="N75">
            <v>165.05369999999999</v>
          </cell>
          <cell r="O75">
            <v>182.30230246389118</v>
          </cell>
          <cell r="P75">
            <v>187.00009256584534</v>
          </cell>
          <cell r="Q75">
            <v>191.41741758708579</v>
          </cell>
          <cell r="R75">
            <v>0.18</v>
          </cell>
          <cell r="S75">
            <v>0.12</v>
          </cell>
          <cell r="T75">
            <v>0</v>
          </cell>
        </row>
        <row r="76">
          <cell r="E76">
            <v>540406</v>
          </cell>
          <cell r="F76" t="str">
            <v>CURATIVO MINIONS 10UNX110UN CAIXA C/110 CART C/10 CURATIVO</v>
          </cell>
          <cell r="G76">
            <v>30051020</v>
          </cell>
          <cell r="H76">
            <v>7891800540406</v>
          </cell>
          <cell r="I76">
            <v>17891800540403</v>
          </cell>
          <cell r="J76" t="str">
            <v>CX</v>
          </cell>
          <cell r="K76">
            <v>0.18</v>
          </cell>
          <cell r="L76">
            <v>9.2499999999999999E-2</v>
          </cell>
          <cell r="M76">
            <v>251.8425</v>
          </cell>
          <cell r="N76">
            <v>277.02674999999999</v>
          </cell>
          <cell r="O76">
            <v>305.9768691588784</v>
          </cell>
          <cell r="P76">
            <v>313.86165771028033</v>
          </cell>
          <cell r="Q76">
            <v>321.27571261682249</v>
          </cell>
          <cell r="R76">
            <v>0.18</v>
          </cell>
          <cell r="S76">
            <v>0.12</v>
          </cell>
          <cell r="T76">
            <v>0</v>
          </cell>
        </row>
        <row r="77">
          <cell r="E77">
            <v>540413</v>
          </cell>
          <cell r="F77" t="str">
            <v>CURATIVO MINIONS 25UNX32UN CX C/32 CARTUCHO C/25 CURATIVOS</v>
          </cell>
          <cell r="G77">
            <v>30051020</v>
          </cell>
          <cell r="H77">
            <v>7891800540413</v>
          </cell>
          <cell r="I77">
            <v>17891800540410</v>
          </cell>
          <cell r="J77" t="str">
            <v>CX</v>
          </cell>
          <cell r="K77">
            <v>0.18</v>
          </cell>
          <cell r="L77">
            <v>9.2499999999999999E-2</v>
          </cell>
          <cell r="M77">
            <v>144.88281818181818</v>
          </cell>
          <cell r="N77">
            <v>159.37110000000001</v>
          </cell>
          <cell r="O77">
            <v>176.02585386576038</v>
          </cell>
          <cell r="P77">
            <v>180.56190471537806</v>
          </cell>
          <cell r="Q77">
            <v>184.82714655904843</v>
          </cell>
          <cell r="R77">
            <v>0.18</v>
          </cell>
          <cell r="S77">
            <v>0.12</v>
          </cell>
          <cell r="T77">
            <v>0</v>
          </cell>
        </row>
        <row r="78">
          <cell r="E78">
            <v>375282</v>
          </cell>
          <cell r="F78" t="str">
            <v>CURAT. HIDROC.P/ACNES E ESPINH CREMER ADVANCED C/32CART C/24U</v>
          </cell>
          <cell r="G78">
            <v>30051020</v>
          </cell>
          <cell r="H78">
            <v>7891800375282</v>
          </cell>
          <cell r="I78">
            <v>17891800375289</v>
          </cell>
          <cell r="J78" t="str">
            <v>CX</v>
          </cell>
          <cell r="K78">
            <v>0.18</v>
          </cell>
          <cell r="L78">
            <v>9.2499999999999999E-2</v>
          </cell>
          <cell r="M78">
            <v>252.19472727272728</v>
          </cell>
          <cell r="N78">
            <v>277.41420000000005</v>
          </cell>
          <cell r="O78">
            <v>306.40480883602373</v>
          </cell>
          <cell r="P78">
            <v>314.30062506372127</v>
          </cell>
          <cell r="Q78">
            <v>321.72504927782501</v>
          </cell>
          <cell r="R78">
            <v>0.18</v>
          </cell>
          <cell r="S78">
            <v>0.12</v>
          </cell>
          <cell r="T78">
            <v>0</v>
          </cell>
        </row>
        <row r="79">
          <cell r="E79">
            <v>372847</v>
          </cell>
          <cell r="F79" t="str">
            <v>CURATIVO A PROVA DA AGUA CREMER CX C/32 CART C/15 UN</v>
          </cell>
          <cell r="G79">
            <v>30051020</v>
          </cell>
          <cell r="H79">
            <v>7891800372847</v>
          </cell>
          <cell r="I79">
            <v>17891800372844</v>
          </cell>
          <cell r="J79" t="str">
            <v>CX</v>
          </cell>
          <cell r="K79">
            <v>0.18</v>
          </cell>
          <cell r="L79">
            <v>9.2499999999999999E-2</v>
          </cell>
          <cell r="M79">
            <v>163.19863636363638</v>
          </cell>
          <cell r="N79">
            <v>179.51850000000002</v>
          </cell>
          <cell r="O79">
            <v>198.27871707731521</v>
          </cell>
          <cell r="P79">
            <v>203.38820709430752</v>
          </cell>
          <cell r="Q79">
            <v>208.19265293118102</v>
          </cell>
          <cell r="R79">
            <v>0.18</v>
          </cell>
          <cell r="S79">
            <v>0.12</v>
          </cell>
          <cell r="T79">
            <v>0</v>
          </cell>
        </row>
        <row r="80">
          <cell r="E80">
            <v>198973</v>
          </cell>
          <cell r="F80" t="str">
            <v>ESPARADRAPO 10CMX4,5M CREMER IMPERMEAVEL CX 72UN</v>
          </cell>
          <cell r="G80">
            <v>30051030</v>
          </cell>
          <cell r="H80">
            <v>7891800276534</v>
          </cell>
          <cell r="I80"/>
          <cell r="J80" t="str">
            <v>CX</v>
          </cell>
          <cell r="K80">
            <v>0.18</v>
          </cell>
          <cell r="L80">
            <v>9.2499999999999999E-2</v>
          </cell>
          <cell r="M80">
            <v>951.01363636363646</v>
          </cell>
          <cell r="N80">
            <v>1046.1150000000002</v>
          </cell>
          <cell r="O80">
            <v>1188.7670454545455</v>
          </cell>
          <cell r="P80">
            <v>1207.7873181818181</v>
          </cell>
          <cell r="Q80">
            <v>1236.3177272727276</v>
          </cell>
          <cell r="R80">
            <v>0.18</v>
          </cell>
          <cell r="S80">
            <v>0.12</v>
          </cell>
          <cell r="T80">
            <v>0</v>
          </cell>
        </row>
        <row r="81">
          <cell r="E81">
            <v>210446</v>
          </cell>
          <cell r="F81" t="str">
            <v>ESPARADRAPO 10CMX50M CREMER IMPERMEAVEL CX 06UN</v>
          </cell>
          <cell r="G81">
            <v>30051030</v>
          </cell>
          <cell r="H81">
            <v>7891800001655</v>
          </cell>
          <cell r="I81">
            <v>17891800210443</v>
          </cell>
          <cell r="J81" t="str">
            <v>CX</v>
          </cell>
          <cell r="K81">
            <v>0.18</v>
          </cell>
          <cell r="L81">
            <v>9.2499999999999999E-2</v>
          </cell>
          <cell r="M81">
            <v>791.80690909090913</v>
          </cell>
          <cell r="N81">
            <v>870.98760000000004</v>
          </cell>
          <cell r="O81">
            <v>989.75863636363658</v>
          </cell>
          <cell r="P81">
            <v>1005.5947745454547</v>
          </cell>
          <cell r="Q81">
            <v>1029.348981818182</v>
          </cell>
          <cell r="R81">
            <v>0.18</v>
          </cell>
          <cell r="S81">
            <v>0.12</v>
          </cell>
          <cell r="T81">
            <v>0</v>
          </cell>
        </row>
        <row r="82">
          <cell r="E82">
            <v>198966</v>
          </cell>
          <cell r="F82" t="str">
            <v>FITA HIPOALERGICA 10CMX4,5M CREMER CX 72UN</v>
          </cell>
          <cell r="G82">
            <v>30051030</v>
          </cell>
          <cell r="H82">
            <v>7891800001679</v>
          </cell>
          <cell r="I82">
            <v>17891800198963</v>
          </cell>
          <cell r="J82" t="str">
            <v>CX</v>
          </cell>
          <cell r="K82">
            <v>0.18</v>
          </cell>
          <cell r="L82">
            <v>9.2499999999999999E-2</v>
          </cell>
          <cell r="M82">
            <v>1471.9577727272729</v>
          </cell>
          <cell r="N82">
            <v>1619.1535500000002</v>
          </cell>
          <cell r="O82">
            <v>1839.947215909091</v>
          </cell>
          <cell r="P82">
            <v>1869.3863713636363</v>
          </cell>
          <cell r="Q82">
            <v>1913.5451045454549</v>
          </cell>
          <cell r="R82">
            <v>0.18</v>
          </cell>
          <cell r="S82">
            <v>0.12</v>
          </cell>
          <cell r="T82">
            <v>0</v>
          </cell>
        </row>
        <row r="83">
          <cell r="E83">
            <v>199024</v>
          </cell>
          <cell r="F83" t="str">
            <v>FITA HIPOALERGICA 5CMX4,5M CREMER CX 144UN</v>
          </cell>
          <cell r="G83">
            <v>30051030</v>
          </cell>
          <cell r="H83">
            <v>7891800001662</v>
          </cell>
          <cell r="I83">
            <v>17891800199021</v>
          </cell>
          <cell r="J83" t="str">
            <v>CX</v>
          </cell>
          <cell r="K83">
            <v>0.18</v>
          </cell>
          <cell r="L83">
            <v>9.2499999999999999E-2</v>
          </cell>
          <cell r="M83">
            <v>1551.2089090909092</v>
          </cell>
          <cell r="N83">
            <v>1706.3298</v>
          </cell>
          <cell r="O83">
            <v>1939.0111363636365</v>
          </cell>
          <cell r="P83">
            <v>1970.0353145454544</v>
          </cell>
          <cell r="Q83">
            <v>2016.5715818181818</v>
          </cell>
          <cell r="R83">
            <v>0.18</v>
          </cell>
          <cell r="S83">
            <v>0.12</v>
          </cell>
          <cell r="T83">
            <v>0</v>
          </cell>
        </row>
        <row r="84">
          <cell r="E84">
            <v>364798</v>
          </cell>
          <cell r="F84" t="str">
            <v>ESPARADRAPO 1,2CMX4,5M CREMER IMPERMEAVEL CX 72UN</v>
          </cell>
          <cell r="G84">
            <v>30051030</v>
          </cell>
          <cell r="H84">
            <v>7891800364798</v>
          </cell>
          <cell r="I84">
            <v>17891800364795</v>
          </cell>
          <cell r="J84" t="str">
            <v>CX</v>
          </cell>
          <cell r="K84">
            <v>0.18</v>
          </cell>
          <cell r="L84">
            <v>9.2499999999999999E-2</v>
          </cell>
          <cell r="M84">
            <v>190.73106818181819</v>
          </cell>
          <cell r="N84">
            <v>209.80417500000004</v>
          </cell>
          <cell r="O84">
            <v>238.41383522727276</v>
          </cell>
          <cell r="P84">
            <v>242.22845659090905</v>
          </cell>
          <cell r="Q84">
            <v>247.95038863636367</v>
          </cell>
          <cell r="R84">
            <v>0.18</v>
          </cell>
          <cell r="S84">
            <v>0.12</v>
          </cell>
          <cell r="T84">
            <v>0</v>
          </cell>
        </row>
        <row r="85">
          <cell r="E85">
            <v>364828</v>
          </cell>
          <cell r="F85" t="str">
            <v>ESPARADRAPO 10CMX4,5M C/LACRE CREMER IMPERMEAVEL CX 24UN</v>
          </cell>
          <cell r="G85">
            <v>30051030</v>
          </cell>
          <cell r="H85">
            <v>7891800276534</v>
          </cell>
          <cell r="I85">
            <v>17891800364825</v>
          </cell>
          <cell r="J85" t="str">
            <v>CX</v>
          </cell>
          <cell r="K85">
            <v>0.18</v>
          </cell>
          <cell r="L85">
            <v>9.2499999999999999E-2</v>
          </cell>
          <cell r="M85">
            <v>335.6725909090909</v>
          </cell>
          <cell r="N85">
            <v>369.23985000000005</v>
          </cell>
          <cell r="O85">
            <v>419.5907386363636</v>
          </cell>
          <cell r="P85">
            <v>426.30419045454545</v>
          </cell>
          <cell r="Q85">
            <v>436.37436818181823</v>
          </cell>
          <cell r="R85">
            <v>0.18</v>
          </cell>
          <cell r="S85">
            <v>0.12</v>
          </cell>
          <cell r="T85">
            <v>0</v>
          </cell>
        </row>
        <row r="86">
          <cell r="E86">
            <v>364804</v>
          </cell>
          <cell r="F86" t="str">
            <v>ESPARADRAPO 2,5CMX4,5M CREMER IMPERMEAVEL CX 48UN</v>
          </cell>
          <cell r="G86">
            <v>30051030</v>
          </cell>
          <cell r="H86">
            <v>7891800364804</v>
          </cell>
          <cell r="I86">
            <v>17891800364801</v>
          </cell>
          <cell r="J86" t="str">
            <v>CX</v>
          </cell>
          <cell r="K86">
            <v>0.18</v>
          </cell>
          <cell r="L86">
            <v>9.2499999999999999E-2</v>
          </cell>
          <cell r="M86">
            <v>220.84649999999999</v>
          </cell>
          <cell r="N86">
            <v>242.93115000000003</v>
          </cell>
          <cell r="O86">
            <v>276.05812500000002</v>
          </cell>
          <cell r="P86">
            <v>280.475055</v>
          </cell>
          <cell r="Q86">
            <v>287.10045000000002</v>
          </cell>
          <cell r="R86">
            <v>0.18</v>
          </cell>
          <cell r="S86">
            <v>0.12</v>
          </cell>
          <cell r="T86">
            <v>0</v>
          </cell>
        </row>
        <row r="87">
          <cell r="E87">
            <v>364781</v>
          </cell>
          <cell r="F87" t="str">
            <v>ESPARADRAPO 2,5CMX90CM CREMER IMPERMEAVEL CX 96UN</v>
          </cell>
          <cell r="G87">
            <v>30051030</v>
          </cell>
          <cell r="H87">
            <v>7891800364781</v>
          </cell>
          <cell r="I87">
            <v>17891800364788</v>
          </cell>
          <cell r="J87" t="str">
            <v>CX</v>
          </cell>
          <cell r="K87">
            <v>0.18</v>
          </cell>
          <cell r="L87">
            <v>9.2499999999999999E-2</v>
          </cell>
          <cell r="M87">
            <v>163.43345454545451</v>
          </cell>
          <cell r="N87">
            <v>179.77680000000004</v>
          </cell>
          <cell r="O87">
            <v>204.2918181818182</v>
          </cell>
          <cell r="P87">
            <v>207.56048727272722</v>
          </cell>
          <cell r="Q87">
            <v>212.46349090909089</v>
          </cell>
          <cell r="R87">
            <v>0.18</v>
          </cell>
          <cell r="S87">
            <v>0.12</v>
          </cell>
          <cell r="T87">
            <v>0</v>
          </cell>
        </row>
        <row r="88">
          <cell r="E88">
            <v>162486</v>
          </cell>
          <cell r="F88" t="str">
            <v>FITA AUTOCLAVE 19MMX30M CREMER CX 48UN</v>
          </cell>
          <cell r="G88">
            <v>48114110</v>
          </cell>
          <cell r="H88">
            <v>7891800001839</v>
          </cell>
          <cell r="I88">
            <v>17891800162483</v>
          </cell>
          <cell r="J88" t="str">
            <v>CX</v>
          </cell>
          <cell r="K88">
            <v>0.18</v>
          </cell>
          <cell r="L88">
            <v>9.2499999999999999E-2</v>
          </cell>
          <cell r="M88">
            <v>232.82222727272733</v>
          </cell>
          <cell r="N88">
            <v>256.10445000000004</v>
          </cell>
          <cell r="O88">
            <v>282.86812659303308</v>
          </cell>
          <cell r="P88">
            <v>290.15742062446895</v>
          </cell>
          <cell r="Q88">
            <v>297.01153292268481</v>
          </cell>
          <cell r="R88">
            <v>0.18</v>
          </cell>
          <cell r="S88">
            <v>0.12</v>
          </cell>
          <cell r="T88">
            <v>3.2501250000000002E-2</v>
          </cell>
        </row>
        <row r="89">
          <cell r="E89">
            <v>346053</v>
          </cell>
          <cell r="F89" t="str">
            <v>FITA FRALDA AZUL 19MMX20M CREMER CX 20UN</v>
          </cell>
          <cell r="G89">
            <v>48114110</v>
          </cell>
          <cell r="H89">
            <v>7891800346053</v>
          </cell>
          <cell r="I89">
            <v>17891800346050</v>
          </cell>
          <cell r="J89" t="str">
            <v>CX</v>
          </cell>
          <cell r="K89">
            <v>0.18</v>
          </cell>
          <cell r="L89">
            <v>9.2499999999999999E-2</v>
          </cell>
          <cell r="M89">
            <v>38.011193181818179</v>
          </cell>
          <cell r="N89">
            <v>41.812312500000004</v>
          </cell>
          <cell r="O89">
            <v>46.181823491928618</v>
          </cell>
          <cell r="P89">
            <v>47.371893558836014</v>
          </cell>
          <cell r="Q89">
            <v>48.490914666525057</v>
          </cell>
          <cell r="R89">
            <v>0.18</v>
          </cell>
          <cell r="S89">
            <v>0.12</v>
          </cell>
          <cell r="T89">
            <v>3.2501250000000002E-2</v>
          </cell>
        </row>
        <row r="90">
          <cell r="E90">
            <v>346022</v>
          </cell>
          <cell r="F90" t="str">
            <v>FITA FRALDA BRANCA  19MMX20M CREMER CX 20UN</v>
          </cell>
          <cell r="G90">
            <v>48114110</v>
          </cell>
          <cell r="H90">
            <v>7891800346022</v>
          </cell>
          <cell r="I90">
            <v>17891800346029</v>
          </cell>
          <cell r="J90" t="str">
            <v>CX</v>
          </cell>
          <cell r="K90">
            <v>0.18</v>
          </cell>
          <cell r="L90">
            <v>9.2499999999999999E-2</v>
          </cell>
          <cell r="M90">
            <v>38.011193181818179</v>
          </cell>
          <cell r="N90">
            <v>41.812312500000004</v>
          </cell>
          <cell r="O90">
            <v>46.181823491928618</v>
          </cell>
          <cell r="P90">
            <v>47.371893558836014</v>
          </cell>
          <cell r="Q90">
            <v>48.490914666525057</v>
          </cell>
          <cell r="R90">
            <v>0.18</v>
          </cell>
          <cell r="S90">
            <v>0.12</v>
          </cell>
          <cell r="T90">
            <v>3.2501250000000002E-2</v>
          </cell>
        </row>
        <row r="91">
          <cell r="E91">
            <v>346046</v>
          </cell>
          <cell r="F91" t="str">
            <v>FITA FRALDA ROSA 19MMX20M CREMER CX 20UN</v>
          </cell>
          <cell r="G91">
            <v>48114110</v>
          </cell>
          <cell r="H91">
            <v>7891800346046</v>
          </cell>
          <cell r="I91">
            <v>17891800346043</v>
          </cell>
          <cell r="J91" t="str">
            <v>CX</v>
          </cell>
          <cell r="K91">
            <v>0.18</v>
          </cell>
          <cell r="L91">
            <v>9.2499999999999999E-2</v>
          </cell>
          <cell r="M91">
            <v>38.011193181818179</v>
          </cell>
          <cell r="N91">
            <v>41.812312500000004</v>
          </cell>
          <cell r="O91">
            <v>46.181823491928618</v>
          </cell>
          <cell r="P91">
            <v>47.371893558836014</v>
          </cell>
          <cell r="Q91">
            <v>48.490914666525057</v>
          </cell>
          <cell r="R91">
            <v>0.18</v>
          </cell>
          <cell r="S91">
            <v>0.12</v>
          </cell>
          <cell r="T91">
            <v>3.2501250000000002E-2</v>
          </cell>
        </row>
        <row r="92">
          <cell r="E92">
            <v>162455</v>
          </cell>
          <cell r="F92" t="str">
            <v>FITA HOSPITALAR 16MMX50M CREMER CX 56UN</v>
          </cell>
          <cell r="G92">
            <v>48114110</v>
          </cell>
          <cell r="H92">
            <v>7891800001792</v>
          </cell>
          <cell r="I92">
            <v>17891800162452</v>
          </cell>
          <cell r="J92" t="str">
            <v>CX</v>
          </cell>
          <cell r="K92">
            <v>0.18</v>
          </cell>
          <cell r="L92">
            <v>9.2499999999999999E-2</v>
          </cell>
          <cell r="M92">
            <v>217.79386363636368</v>
          </cell>
          <cell r="N92">
            <v>239.57325</v>
          </cell>
          <cell r="O92">
            <v>264.60936703483424</v>
          </cell>
          <cell r="P92">
            <v>271.42814687765497</v>
          </cell>
          <cell r="Q92">
            <v>277.83983538657606</v>
          </cell>
          <cell r="R92">
            <v>0.18</v>
          </cell>
          <cell r="S92">
            <v>0.12</v>
          </cell>
          <cell r="T92">
            <v>3.2501250000000002E-2</v>
          </cell>
        </row>
        <row r="93">
          <cell r="E93">
            <v>668247</v>
          </cell>
          <cell r="F93" t="str">
            <v>FITA HOSPITALAR BRANCA 16MMX50M CREMER CX56  </v>
          </cell>
          <cell r="G93">
            <v>48114110</v>
          </cell>
          <cell r="H93">
            <v>7891800668247</v>
          </cell>
          <cell r="I93">
            <v>17891800668244</v>
          </cell>
          <cell r="J93" t="str">
            <v>CX</v>
          </cell>
          <cell r="K93">
            <v>0.18</v>
          </cell>
          <cell r="L93">
            <v>9.2499999999999999E-2</v>
          </cell>
          <cell r="M93">
            <v>217.79386363636368</v>
          </cell>
          <cell r="N93">
            <v>239.57325</v>
          </cell>
          <cell r="O93">
            <v>264.60936703483424</v>
          </cell>
          <cell r="P93">
            <v>271.42814687765497</v>
          </cell>
          <cell r="Q93">
            <v>277.83983538657606</v>
          </cell>
          <cell r="R93">
            <v>0.18</v>
          </cell>
          <cell r="S93">
            <v>0.12</v>
          </cell>
          <cell r="T93">
            <v>3.2501250000000002E-2</v>
          </cell>
        </row>
        <row r="94">
          <cell r="E94">
            <v>162462</v>
          </cell>
          <cell r="F94" t="str">
            <v>FITA HOSPITALAR 19MMX50M CREMER CX 48UN</v>
          </cell>
          <cell r="G94">
            <v>48114110</v>
          </cell>
          <cell r="H94">
            <v>7891800001808</v>
          </cell>
          <cell r="I94">
            <v>17891800162469</v>
          </cell>
          <cell r="J94" t="str">
            <v>CX</v>
          </cell>
          <cell r="K94">
            <v>0.18</v>
          </cell>
          <cell r="L94">
            <v>9.2499999999999999E-2</v>
          </cell>
          <cell r="M94">
            <v>216.61977272727276</v>
          </cell>
          <cell r="N94">
            <v>238.28175000000002</v>
          </cell>
          <cell r="O94">
            <v>263.18290144434997</v>
          </cell>
          <cell r="P94">
            <v>269.96492236618514</v>
          </cell>
          <cell r="Q94">
            <v>276.34204651656756</v>
          </cell>
          <cell r="R94">
            <v>0.18</v>
          </cell>
          <cell r="S94">
            <v>0.12</v>
          </cell>
          <cell r="T94">
            <v>3.2501250000000002E-2</v>
          </cell>
        </row>
        <row r="95">
          <cell r="E95">
            <v>668315</v>
          </cell>
          <cell r="F95" t="str">
            <v>FITA HOSPITALAR BRANCA 19MMX50M CREMER CX48</v>
          </cell>
          <cell r="G95">
            <v>48114110</v>
          </cell>
          <cell r="H95">
            <v>7891800668315</v>
          </cell>
          <cell r="I95">
            <v>17891800668312</v>
          </cell>
          <cell r="J95" t="str">
            <v>CX</v>
          </cell>
          <cell r="K95">
            <v>0.18</v>
          </cell>
          <cell r="L95">
            <v>9.2499999999999999E-2</v>
          </cell>
          <cell r="M95">
            <v>216.61977272727276</v>
          </cell>
          <cell r="N95">
            <v>238.28175000000002</v>
          </cell>
          <cell r="O95">
            <v>263.18290144434997</v>
          </cell>
          <cell r="P95">
            <v>269.96492236618514</v>
          </cell>
          <cell r="Q95">
            <v>276.34204651656756</v>
          </cell>
          <cell r="R95">
            <v>0.18</v>
          </cell>
          <cell r="S95">
            <v>0.12</v>
          </cell>
          <cell r="T95">
            <v>3.2501250000000002E-2</v>
          </cell>
        </row>
        <row r="96">
          <cell r="E96">
            <v>578263</v>
          </cell>
          <cell r="F96" t="str">
            <v>FITA PROTETORA P/ PES CREMER CX C/32 CARTUCHO C/1UN 2,5CMX3M</v>
          </cell>
          <cell r="G96">
            <v>30051030</v>
          </cell>
          <cell r="H96">
            <v>7891800578263</v>
          </cell>
          <cell r="I96">
            <v>17891800578260</v>
          </cell>
          <cell r="J96" t="str">
            <v>CX</v>
          </cell>
          <cell r="K96">
            <v>0.18</v>
          </cell>
          <cell r="L96">
            <v>9.2499999999999999E-2</v>
          </cell>
          <cell r="M96">
            <v>202.88290909090912</v>
          </cell>
          <cell r="N96">
            <v>223.17120000000003</v>
          </cell>
          <cell r="O96">
            <v>246.49325403568392</v>
          </cell>
          <cell r="P96">
            <v>252.84519558198807</v>
          </cell>
          <cell r="Q96">
            <v>258.81791673746818</v>
          </cell>
          <cell r="R96">
            <v>0.18</v>
          </cell>
          <cell r="S96">
            <v>0.12</v>
          </cell>
          <cell r="T96">
            <v>0</v>
          </cell>
        </row>
        <row r="97">
          <cell r="E97">
            <v>372762</v>
          </cell>
          <cell r="F97" t="str">
            <v>CUEIRO LUXO MENINA CX C/12 CREMER 1 UNID</v>
          </cell>
          <cell r="G97">
            <v>96190000</v>
          </cell>
          <cell r="H97">
            <v>7891800357363</v>
          </cell>
          <cell r="I97">
            <v>17891800372769</v>
          </cell>
          <cell r="J97" t="str">
            <v>CX</v>
          </cell>
          <cell r="K97">
            <v>0.18</v>
          </cell>
          <cell r="L97">
            <v>9.2499999999999999E-2</v>
          </cell>
          <cell r="M97">
            <v>184.56709090909092</v>
          </cell>
          <cell r="N97">
            <v>203.02380000000002</v>
          </cell>
          <cell r="O97">
            <v>224.24039082412912</v>
          </cell>
          <cell r="P97">
            <v>230.01889320305864</v>
          </cell>
          <cell r="Q97">
            <v>235.45241036533565</v>
          </cell>
          <cell r="R97">
            <v>0.18</v>
          </cell>
          <cell r="S97">
            <v>0.12</v>
          </cell>
          <cell r="T97">
            <v>0</v>
          </cell>
        </row>
        <row r="98">
          <cell r="E98">
            <v>372779</v>
          </cell>
          <cell r="F98" t="str">
            <v>CUEIRO LUXO MENINO CX C/12 CREMER 1 UNID</v>
          </cell>
          <cell r="G98">
            <v>96190000</v>
          </cell>
          <cell r="H98">
            <v>7891800357356</v>
          </cell>
          <cell r="I98">
            <v>17891800372776</v>
          </cell>
          <cell r="J98" t="str">
            <v>CX</v>
          </cell>
          <cell r="K98">
            <v>0.18</v>
          </cell>
          <cell r="L98">
            <v>9.2499999999999999E-2</v>
          </cell>
          <cell r="M98">
            <v>184.56709090909092</v>
          </cell>
          <cell r="N98">
            <v>203.02380000000002</v>
          </cell>
          <cell r="O98">
            <v>224.24039082412912</v>
          </cell>
          <cell r="P98">
            <v>230.01889320305864</v>
          </cell>
          <cell r="Q98">
            <v>235.45241036533565</v>
          </cell>
          <cell r="R98">
            <v>0.18</v>
          </cell>
          <cell r="S98">
            <v>0.12</v>
          </cell>
          <cell r="T98">
            <v>0</v>
          </cell>
        </row>
        <row r="99">
          <cell r="E99">
            <v>367133</v>
          </cell>
          <cell r="F99" t="str">
            <v>CUEIRO LUXO NEUTRO BR CX C/12 CREMER 1 UNID</v>
          </cell>
          <cell r="G99">
            <v>96190000</v>
          </cell>
          <cell r="H99">
            <v>7891800357349</v>
          </cell>
          <cell r="I99">
            <v>17891800367130</v>
          </cell>
          <cell r="J99" t="str">
            <v>CX</v>
          </cell>
          <cell r="K99">
            <v>0.18</v>
          </cell>
          <cell r="L99">
            <v>9.2499999999999999E-2</v>
          </cell>
          <cell r="M99">
            <v>184.56709090909092</v>
          </cell>
          <cell r="N99">
            <v>203.02380000000002</v>
          </cell>
          <cell r="O99">
            <v>224.24039082412912</v>
          </cell>
          <cell r="P99">
            <v>230.01889320305864</v>
          </cell>
          <cell r="Q99">
            <v>235.45241036533565</v>
          </cell>
          <cell r="R99">
            <v>0.18</v>
          </cell>
          <cell r="S99">
            <v>0.12</v>
          </cell>
          <cell r="T99">
            <v>0</v>
          </cell>
        </row>
        <row r="100">
          <cell r="E100">
            <v>375992</v>
          </cell>
          <cell r="F100" t="str">
            <v>FRALDA LUXO BR CX C/12 70X70CM  PCT C/5</v>
          </cell>
          <cell r="G100">
            <v>96190000</v>
          </cell>
          <cell r="H100">
            <v>7891800332629</v>
          </cell>
          <cell r="I100">
            <v>17891800375999</v>
          </cell>
          <cell r="J100" t="str">
            <v>CX</v>
          </cell>
          <cell r="K100">
            <v>0.18</v>
          </cell>
          <cell r="L100">
            <v>9.2499999999999999E-2</v>
          </cell>
          <cell r="M100">
            <v>211.24830681818185</v>
          </cell>
          <cell r="N100">
            <v>232.37313750000004</v>
          </cell>
          <cell r="O100">
            <v>256.65682136788433</v>
          </cell>
          <cell r="P100">
            <v>263.27067022621065</v>
          </cell>
          <cell r="Q100">
            <v>269.48966243627865</v>
          </cell>
          <cell r="R100">
            <v>0.18</v>
          </cell>
          <cell r="S100">
            <v>0.12</v>
          </cell>
          <cell r="T100">
            <v>0</v>
          </cell>
        </row>
        <row r="101">
          <cell r="E101">
            <v>379433</v>
          </cell>
          <cell r="F101" t="str">
            <v>FRALDA LUXO C/BAINHA CX C/12 PCT C/5 70X68CM</v>
          </cell>
          <cell r="G101">
            <v>96190000</v>
          </cell>
          <cell r="H101">
            <v>7891800332803</v>
          </cell>
          <cell r="I101">
            <v>17891800379430</v>
          </cell>
          <cell r="J101" t="str">
            <v>CX</v>
          </cell>
          <cell r="K101">
            <v>0.18</v>
          </cell>
          <cell r="L101">
            <v>9.2499999999999999E-2</v>
          </cell>
          <cell r="M101">
            <v>240.0428863636364</v>
          </cell>
          <cell r="N101">
            <v>264.0471750000001</v>
          </cell>
          <cell r="O101">
            <v>291.64088997451142</v>
          </cell>
          <cell r="P101">
            <v>299.15625137000853</v>
          </cell>
          <cell r="Q101">
            <v>306.2229344732371</v>
          </cell>
          <cell r="R101">
            <v>0.18</v>
          </cell>
          <cell r="S101">
            <v>0.12</v>
          </cell>
          <cell r="T101">
            <v>0</v>
          </cell>
        </row>
        <row r="102">
          <cell r="E102">
            <v>372816</v>
          </cell>
          <cell r="F102" t="str">
            <v>FRALDA LUXO EST MASC CX C/12 70X70CM PCTC/5UN</v>
          </cell>
          <cell r="G102">
            <v>96190000</v>
          </cell>
          <cell r="H102">
            <v>7891800332681</v>
          </cell>
          <cell r="I102">
            <v>17891800372813</v>
          </cell>
          <cell r="J102" t="str">
            <v>CX</v>
          </cell>
          <cell r="K102">
            <v>0.18</v>
          </cell>
          <cell r="L102">
            <v>9.2499999999999999E-2</v>
          </cell>
          <cell r="M102">
            <v>235.2878181818181</v>
          </cell>
          <cell r="N102">
            <v>258.81659999999994</v>
          </cell>
          <cell r="O102">
            <v>285.86370433305001</v>
          </cell>
          <cell r="P102">
            <v>293.23019209855551</v>
          </cell>
          <cell r="Q102">
            <v>300.15688954970256</v>
          </cell>
          <cell r="R102">
            <v>0.18</v>
          </cell>
          <cell r="S102">
            <v>0.12</v>
          </cell>
          <cell r="T102">
            <v>0</v>
          </cell>
        </row>
        <row r="103">
          <cell r="E103">
            <v>372809</v>
          </cell>
          <cell r="F103" t="str">
            <v>FRALDA LUXO ESTAMP FEM CX C/12 70X70CM PCT C/5UN</v>
          </cell>
          <cell r="G103">
            <v>96190000</v>
          </cell>
          <cell r="H103">
            <v>7891800332667</v>
          </cell>
          <cell r="I103">
            <v>17891800372806</v>
          </cell>
          <cell r="J103" t="str">
            <v>CX</v>
          </cell>
          <cell r="K103">
            <v>0.18</v>
          </cell>
          <cell r="L103">
            <v>9.2499999999999999E-2</v>
          </cell>
          <cell r="M103">
            <v>235.2878181818181</v>
          </cell>
          <cell r="N103">
            <v>258.81659999999994</v>
          </cell>
          <cell r="O103">
            <v>285.86370433305001</v>
          </cell>
          <cell r="P103">
            <v>293.23019209855551</v>
          </cell>
          <cell r="Q103">
            <v>300.15688954970256</v>
          </cell>
          <cell r="R103">
            <v>0.18</v>
          </cell>
          <cell r="S103">
            <v>0.12</v>
          </cell>
          <cell r="T103">
            <v>0</v>
          </cell>
        </row>
        <row r="104">
          <cell r="E104">
            <v>376005</v>
          </cell>
          <cell r="F104" t="str">
            <v>FRALDA PINTE&amp;BORDE BR CX C/12 70X70CM  PCT C/5</v>
          </cell>
          <cell r="G104">
            <v>96190000</v>
          </cell>
          <cell r="H104">
            <v>7891800332650</v>
          </cell>
          <cell r="I104">
            <v>17891800376002</v>
          </cell>
          <cell r="J104" t="str">
            <v>CX</v>
          </cell>
          <cell r="K104">
            <v>0.18</v>
          </cell>
          <cell r="L104">
            <v>9.2499999999999999E-2</v>
          </cell>
          <cell r="M104">
            <v>213.71389772727275</v>
          </cell>
          <cell r="N104">
            <v>235.08528750000005</v>
          </cell>
          <cell r="O104">
            <v>259.65239910790137</v>
          </cell>
          <cell r="P104">
            <v>266.34344170029732</v>
          </cell>
          <cell r="Q104">
            <v>272.63501906329651</v>
          </cell>
          <cell r="R104">
            <v>0.18</v>
          </cell>
          <cell r="S104">
            <v>0.12</v>
          </cell>
          <cell r="T104">
            <v>0</v>
          </cell>
        </row>
        <row r="105">
          <cell r="E105">
            <v>367102</v>
          </cell>
          <cell r="F105" t="str">
            <v>PANO BOCA 35X35 MENINA CX C/12 CREMER 3UNDS</v>
          </cell>
          <cell r="G105">
            <v>62092000</v>
          </cell>
          <cell r="H105">
            <v>7891800358469</v>
          </cell>
          <cell r="I105">
            <v>17891800367109</v>
          </cell>
          <cell r="J105" t="str">
            <v>CX</v>
          </cell>
          <cell r="K105">
            <v>0.18</v>
          </cell>
          <cell r="L105">
            <v>9.2499999999999999E-2</v>
          </cell>
          <cell r="M105">
            <v>95.277477272727282</v>
          </cell>
          <cell r="N105">
            <v>104.80522500000004</v>
          </cell>
          <cell r="O105">
            <v>115.75768266779944</v>
          </cell>
          <cell r="P105">
            <v>118.74066910577739</v>
          </cell>
          <cell r="Q105">
            <v>121.54556680118945</v>
          </cell>
          <cell r="R105">
            <v>0.18</v>
          </cell>
          <cell r="S105">
            <v>0.12</v>
          </cell>
          <cell r="T105">
            <v>0</v>
          </cell>
        </row>
        <row r="106">
          <cell r="E106">
            <v>367119</v>
          </cell>
          <cell r="F106" t="str">
            <v>PANO BOCA 35X35 MENINO CX C/12 CREMER 3UNDS</v>
          </cell>
          <cell r="G106">
            <v>62092000</v>
          </cell>
          <cell r="H106">
            <v>7891800358476</v>
          </cell>
          <cell r="I106">
            <v>17891800367116</v>
          </cell>
          <cell r="J106" t="str">
            <v>CX</v>
          </cell>
          <cell r="K106">
            <v>0.18</v>
          </cell>
          <cell r="L106">
            <v>9.2499999999999999E-2</v>
          </cell>
          <cell r="M106">
            <v>95.277477272727282</v>
          </cell>
          <cell r="N106">
            <v>104.80522500000004</v>
          </cell>
          <cell r="O106">
            <v>115.75768266779944</v>
          </cell>
          <cell r="P106">
            <v>118.74066910577739</v>
          </cell>
          <cell r="Q106">
            <v>121.54556680118945</v>
          </cell>
          <cell r="R106">
            <v>0.18</v>
          </cell>
          <cell r="S106">
            <v>0.12</v>
          </cell>
          <cell r="T106">
            <v>0</v>
          </cell>
        </row>
        <row r="107">
          <cell r="E107">
            <v>372823</v>
          </cell>
          <cell r="F107" t="str">
            <v>PANO BOCA 35X35 NEUTRO CX C/12 CREMER 3UNDS</v>
          </cell>
          <cell r="G107">
            <v>62092000</v>
          </cell>
          <cell r="H107">
            <v>7891800357318</v>
          </cell>
          <cell r="I107">
            <v>17891800372820</v>
          </cell>
          <cell r="J107" t="str">
            <v>CX</v>
          </cell>
          <cell r="K107">
            <v>0.18</v>
          </cell>
          <cell r="L107">
            <v>9.2499999999999999E-2</v>
          </cell>
          <cell r="M107">
            <v>95.277477272727282</v>
          </cell>
          <cell r="N107">
            <v>104.80522500000004</v>
          </cell>
          <cell r="O107">
            <v>115.75768266779944</v>
          </cell>
          <cell r="P107">
            <v>118.74066910577739</v>
          </cell>
          <cell r="Q107">
            <v>121.54556680118945</v>
          </cell>
          <cell r="R107">
            <v>0.18</v>
          </cell>
          <cell r="S107">
            <v>0.12</v>
          </cell>
          <cell r="T107">
            <v>0</v>
          </cell>
        </row>
        <row r="108">
          <cell r="E108">
            <v>332865</v>
          </cell>
          <cell r="F108" t="str">
            <v>TOALHA LUXO BR CX/ 12 70X120CM PC 3UN</v>
          </cell>
          <cell r="G108">
            <v>62092000</v>
          </cell>
          <cell r="H108">
            <v>7891800332865</v>
          </cell>
          <cell r="I108">
            <v>17891800332862</v>
          </cell>
          <cell r="J108" t="str">
            <v>CX</v>
          </cell>
          <cell r="K108">
            <v>0.18</v>
          </cell>
          <cell r="L108">
            <v>9.2499999999999999E-2</v>
          </cell>
          <cell r="M108">
            <v>221.5509545454546</v>
          </cell>
          <cell r="N108">
            <v>243.70605000000009</v>
          </cell>
          <cell r="O108">
            <v>269.17405692438405</v>
          </cell>
          <cell r="P108">
            <v>276.11046531435852</v>
          </cell>
          <cell r="Q108">
            <v>282.63275977060329</v>
          </cell>
          <cell r="R108">
            <v>0.18</v>
          </cell>
          <cell r="S108">
            <v>0.12</v>
          </cell>
          <cell r="T108">
            <v>0</v>
          </cell>
        </row>
        <row r="109">
          <cell r="E109">
            <v>332902</v>
          </cell>
          <cell r="F109" t="str">
            <v>TOALHA LUXO ESTAMP FEM CREMER PC 3UN CX C/12 NOVA</v>
          </cell>
          <cell r="G109">
            <v>62092000</v>
          </cell>
          <cell r="H109">
            <v>7891800332902</v>
          </cell>
          <cell r="I109">
            <v>17891800332909</v>
          </cell>
          <cell r="J109" t="str">
            <v>CX</v>
          </cell>
          <cell r="K109">
            <v>0.18</v>
          </cell>
          <cell r="L109">
            <v>9.2499999999999999E-2</v>
          </cell>
          <cell r="M109">
            <v>247.43965909090915</v>
          </cell>
          <cell r="N109">
            <v>272.18362500000001</v>
          </cell>
          <cell r="O109">
            <v>300.62762319456237</v>
          </cell>
          <cell r="P109">
            <v>308.37456579226841</v>
          </cell>
          <cell r="Q109">
            <v>315.65900435429057</v>
          </cell>
          <cell r="R109">
            <v>0.18</v>
          </cell>
          <cell r="S109">
            <v>0.12</v>
          </cell>
          <cell r="T109">
            <v>0</v>
          </cell>
        </row>
        <row r="110">
          <cell r="E110">
            <v>332926</v>
          </cell>
          <cell r="F110" t="str">
            <v>TOALHA LUXO ESTAMP MASC CREMER PC 3UN CX C/12  NOVA</v>
          </cell>
          <cell r="G110">
            <v>62092000</v>
          </cell>
          <cell r="H110">
            <v>7891800332926</v>
          </cell>
          <cell r="I110">
            <v>17891800332923</v>
          </cell>
          <cell r="J110" t="str">
            <v>CX</v>
          </cell>
          <cell r="K110">
            <v>0.18</v>
          </cell>
          <cell r="L110">
            <v>9.2499999999999999E-2</v>
          </cell>
          <cell r="M110">
            <v>247.43965909090915</v>
          </cell>
          <cell r="N110">
            <v>272.18362500000001</v>
          </cell>
          <cell r="O110">
            <v>300.62762319456237</v>
          </cell>
          <cell r="P110">
            <v>308.37456579226841</v>
          </cell>
          <cell r="Q110">
            <v>315.65900435429057</v>
          </cell>
          <cell r="R110">
            <v>0.18</v>
          </cell>
          <cell r="S110">
            <v>0.12</v>
          </cell>
          <cell r="T110">
            <v>0</v>
          </cell>
        </row>
        <row r="111">
          <cell r="E111">
            <v>156898</v>
          </cell>
          <cell r="F111" t="str">
            <v>ATADURA GESSADA 10CMX3M CREMER CX 20UN</v>
          </cell>
          <cell r="G111">
            <v>90211099</v>
          </cell>
          <cell r="H111">
            <v>7891800000955</v>
          </cell>
          <cell r="I111">
            <v>17891800156895</v>
          </cell>
          <cell r="J111" t="str">
            <v>CX</v>
          </cell>
          <cell r="K111">
            <v>0.18</v>
          </cell>
          <cell r="L111">
            <v>9.2499999999999999E-2</v>
          </cell>
          <cell r="M111">
            <v>57.383693181818188</v>
          </cell>
          <cell r="N111">
            <v>63.122062500000013</v>
          </cell>
          <cell r="O111">
            <v>69.718505734919262</v>
          </cell>
          <cell r="P111">
            <v>71.515097998088351</v>
          </cell>
          <cell r="Q111">
            <v>73.204431021665258</v>
          </cell>
          <cell r="R111">
            <v>0.18</v>
          </cell>
          <cell r="S111">
            <v>0.12</v>
          </cell>
          <cell r="T111">
            <v>0</v>
          </cell>
        </row>
        <row r="112">
          <cell r="E112">
            <v>156911</v>
          </cell>
          <cell r="F112" t="str">
            <v>ATADURA GESSADA 15CMX3M CREMER CX 20UN</v>
          </cell>
          <cell r="G112">
            <v>90211099</v>
          </cell>
          <cell r="H112">
            <v>7891800000979</v>
          </cell>
          <cell r="I112">
            <v>17891800156918</v>
          </cell>
          <cell r="J112" t="str">
            <v>CX</v>
          </cell>
          <cell r="K112">
            <v>0.18</v>
          </cell>
          <cell r="L112">
            <v>9.2499999999999999E-2</v>
          </cell>
          <cell r="M112">
            <v>78.664090909090916</v>
          </cell>
          <cell r="N112">
            <v>86.530500000000018</v>
          </cell>
          <cell r="O112">
            <v>95.573194562446886</v>
          </cell>
          <cell r="P112">
            <v>98.036042268479179</v>
          </cell>
          <cell r="Q112">
            <v>100.35185429056925</v>
          </cell>
          <cell r="R112">
            <v>0.18</v>
          </cell>
          <cell r="S112">
            <v>0.12</v>
          </cell>
          <cell r="T112">
            <v>0</v>
          </cell>
        </row>
        <row r="113">
          <cell r="E113">
            <v>156928</v>
          </cell>
          <cell r="F113" t="str">
            <v>ATADURA GESSADA 20CMX4M CREMER CX 20UN</v>
          </cell>
          <cell r="G113">
            <v>90211099</v>
          </cell>
          <cell r="H113">
            <v>7891800000986</v>
          </cell>
          <cell r="I113">
            <v>17891800156925</v>
          </cell>
          <cell r="J113" t="str">
            <v>CX</v>
          </cell>
          <cell r="K113">
            <v>0.18</v>
          </cell>
          <cell r="L113">
            <v>9.2499999999999999E-2</v>
          </cell>
          <cell r="M113">
            <v>131.20465909090908</v>
          </cell>
          <cell r="N113">
            <v>144.32512500000001</v>
          </cell>
          <cell r="O113">
            <v>159.4075297366185</v>
          </cell>
          <cell r="P113">
            <v>163.51533915675441</v>
          </cell>
          <cell r="Q113">
            <v>167.37790622344943</v>
          </cell>
          <cell r="R113">
            <v>0.18</v>
          </cell>
          <cell r="S113">
            <v>0.12</v>
          </cell>
          <cell r="T113">
            <v>0</v>
          </cell>
        </row>
        <row r="114">
          <cell r="E114">
            <v>156881</v>
          </cell>
          <cell r="F114" t="str">
            <v>ATADURA GESSADA 8CMX2M CREMER CX 20UN</v>
          </cell>
          <cell r="G114">
            <v>90211099</v>
          </cell>
          <cell r="H114">
            <v>7891800000948</v>
          </cell>
          <cell r="I114">
            <v>17891800156888</v>
          </cell>
          <cell r="J114" t="str">
            <v>CX</v>
          </cell>
          <cell r="K114">
            <v>0.18</v>
          </cell>
          <cell r="L114">
            <v>9.2499999999999999E-2</v>
          </cell>
          <cell r="M114">
            <v>36.690340909090914</v>
          </cell>
          <cell r="N114">
            <v>40.359375</v>
          </cell>
          <cell r="O114">
            <v>44.577049702633801</v>
          </cell>
          <cell r="P114">
            <v>45.725765983432453</v>
          </cell>
          <cell r="Q114">
            <v>46.805902187765511</v>
          </cell>
          <cell r="R114">
            <v>0.18</v>
          </cell>
          <cell r="S114">
            <v>0.12</v>
          </cell>
          <cell r="T114">
            <v>0</v>
          </cell>
        </row>
        <row r="115">
          <cell r="E115">
            <v>216080</v>
          </cell>
          <cell r="F115" t="str">
            <v>ATADURA GESSADA CYSNE 10CMX3M CREMER CX 20UN</v>
          </cell>
          <cell r="G115">
            <v>90211099</v>
          </cell>
          <cell r="H115">
            <v>7891800216363</v>
          </cell>
          <cell r="I115">
            <v>17891800216087</v>
          </cell>
          <cell r="J115" t="str">
            <v>CX</v>
          </cell>
          <cell r="K115">
            <v>0.18</v>
          </cell>
          <cell r="L115">
            <v>9.2499999999999999E-2</v>
          </cell>
          <cell r="M115">
            <v>38.157954545454544</v>
          </cell>
          <cell r="N115">
            <v>41.973750000000003</v>
          </cell>
          <cell r="O115">
            <v>46.360131690739159</v>
          </cell>
          <cell r="P115">
            <v>47.554796622769743</v>
          </cell>
          <cell r="Q115">
            <v>48.678138275276126</v>
          </cell>
          <cell r="R115">
            <v>0.18</v>
          </cell>
          <cell r="S115">
            <v>0.12</v>
          </cell>
          <cell r="T115">
            <v>0</v>
          </cell>
        </row>
        <row r="116">
          <cell r="E116">
            <v>214352</v>
          </cell>
          <cell r="F116" t="str">
            <v>ATADURA GESSADA CYSNE 15CMX3M CREMER CX 20UN</v>
          </cell>
          <cell r="G116">
            <v>90211099</v>
          </cell>
          <cell r="H116">
            <v>7891800216387</v>
          </cell>
          <cell r="I116">
            <v>17891800214359</v>
          </cell>
          <cell r="J116" t="str">
            <v>CX</v>
          </cell>
          <cell r="K116">
            <v>0.18</v>
          </cell>
          <cell r="L116">
            <v>9.2499999999999999E-2</v>
          </cell>
          <cell r="M116">
            <v>51.366477272727273</v>
          </cell>
          <cell r="N116">
            <v>56.503125000000011</v>
          </cell>
          <cell r="O116">
            <v>62.407869583687322</v>
          </cell>
          <cell r="P116">
            <v>64.016072376805425</v>
          </cell>
          <cell r="Q116">
            <v>65.528263062871702</v>
          </cell>
          <cell r="R116">
            <v>0.18</v>
          </cell>
          <cell r="S116">
            <v>0.12</v>
          </cell>
          <cell r="T116">
            <v>0</v>
          </cell>
        </row>
        <row r="117">
          <cell r="E117">
            <v>216097</v>
          </cell>
          <cell r="F117" t="str">
            <v>ATADURA GESSADA CYSNE 20CMX4M CREMER CX 20UN</v>
          </cell>
          <cell r="G117">
            <v>90211099</v>
          </cell>
          <cell r="H117">
            <v>7891800216394</v>
          </cell>
          <cell r="I117">
            <v>17891800216094</v>
          </cell>
          <cell r="J117" t="str">
            <v>CX</v>
          </cell>
          <cell r="K117">
            <v>0.18</v>
          </cell>
          <cell r="L117">
            <v>9.2499999999999999E-2</v>
          </cell>
          <cell r="M117">
            <v>85.121590909090912</v>
          </cell>
          <cell r="N117">
            <v>93.633750000000006</v>
          </cell>
          <cell r="O117">
            <v>103.41875531011043</v>
          </cell>
          <cell r="P117">
            <v>106.08377708156328</v>
          </cell>
          <cell r="Q117">
            <v>108.58969307561595</v>
          </cell>
          <cell r="R117">
            <v>0.18</v>
          </cell>
          <cell r="S117">
            <v>0.12</v>
          </cell>
          <cell r="T117">
            <v>0</v>
          </cell>
        </row>
        <row r="118">
          <cell r="E118">
            <v>350142</v>
          </cell>
          <cell r="F118" t="str">
            <v>HASTES FLEXIVEIS CART 75UN CREMER 6PCT C/ 12 CARTUCHOS CADA</v>
          </cell>
          <cell r="G118">
            <v>56012190</v>
          </cell>
          <cell r="H118">
            <v>7891800350142</v>
          </cell>
          <cell r="I118">
            <v>17896227620011</v>
          </cell>
          <cell r="J118" t="str">
            <v>CX</v>
          </cell>
          <cell r="K118">
            <v>0.18</v>
          </cell>
          <cell r="L118">
            <v>9.2499999999999999E-2</v>
          </cell>
          <cell r="M118">
            <v>109.36656818181818</v>
          </cell>
          <cell r="N118">
            <v>120.30322500000001</v>
          </cell>
          <cell r="O118">
            <v>132.87526975361087</v>
          </cell>
          <cell r="P118">
            <v>136.29936324341543</v>
          </cell>
          <cell r="Q118">
            <v>139.5190332412914</v>
          </cell>
          <cell r="R118">
            <v>0.18</v>
          </cell>
          <cell r="S118">
            <v>0.12</v>
          </cell>
          <cell r="T118">
            <v>0</v>
          </cell>
        </row>
        <row r="119">
          <cell r="E119">
            <v>410020</v>
          </cell>
          <cell r="F119" t="str">
            <v>HASTE CREMER MINIONS CART. 75 UN CAIXA C/60</v>
          </cell>
          <cell r="G119">
            <v>56012190</v>
          </cell>
          <cell r="H119">
            <v>7898935462047</v>
          </cell>
          <cell r="I119">
            <v>17898935462044</v>
          </cell>
          <cell r="J119" t="str">
            <v>CX</v>
          </cell>
          <cell r="K119">
            <v>0.18</v>
          </cell>
          <cell r="L119">
            <v>9.2499999999999999E-2</v>
          </cell>
          <cell r="M119">
            <v>126.36153409090912</v>
          </cell>
          <cell r="N119">
            <v>138.99768750000001</v>
          </cell>
          <cell r="O119">
            <v>153.52335917587087</v>
          </cell>
          <cell r="P119">
            <v>157.47953804694134</v>
          </cell>
          <cell r="Q119">
            <v>161.19952713466441</v>
          </cell>
          <cell r="R119">
            <v>0.18</v>
          </cell>
          <cell r="S119">
            <v>0.12</v>
          </cell>
          <cell r="T119">
            <v>0</v>
          </cell>
        </row>
        <row r="120">
          <cell r="E120">
            <v>410068</v>
          </cell>
          <cell r="F120" t="str">
            <v>HASTES CREMER MINIONS POTE 150UN CAIXA C/36</v>
          </cell>
          <cell r="G120">
            <v>56012190</v>
          </cell>
          <cell r="H120">
            <v>7898935462023</v>
          </cell>
          <cell r="I120">
            <v>17898935462020</v>
          </cell>
          <cell r="J120" t="str">
            <v>CX</v>
          </cell>
          <cell r="K120">
            <v>0.18</v>
          </cell>
          <cell r="L120">
            <v>9.2499999999999999E-2</v>
          </cell>
          <cell r="M120">
            <v>188.35353409090911</v>
          </cell>
          <cell r="N120">
            <v>207.18888750000002</v>
          </cell>
          <cell r="O120">
            <v>228.84074235344087</v>
          </cell>
          <cell r="P120">
            <v>234.73779225254881</v>
          </cell>
          <cell r="Q120">
            <v>240.282779471113</v>
          </cell>
          <cell r="R120">
            <v>0.18</v>
          </cell>
          <cell r="S120">
            <v>0.12</v>
          </cell>
          <cell r="T120">
            <v>0</v>
          </cell>
        </row>
        <row r="121">
          <cell r="E121">
            <v>365658</v>
          </cell>
          <cell r="F121" t="str">
            <v>ESPARADRAPO TRANSPA 1,2CMX4,5M CREMER CX 72UN</v>
          </cell>
          <cell r="G121">
            <v>30051030</v>
          </cell>
          <cell r="H121">
            <v>7891800365658</v>
          </cell>
          <cell r="I121">
            <v>17891800365655</v>
          </cell>
          <cell r="J121" t="str">
            <v>CX</v>
          </cell>
          <cell r="K121">
            <v>0.18</v>
          </cell>
          <cell r="L121">
            <v>9.2499999999999999E-2</v>
          </cell>
          <cell r="M121">
            <v>257.83036363636359</v>
          </cell>
          <cell r="N121">
            <v>283.61340000000001</v>
          </cell>
          <cell r="O121">
            <v>322.28795454545451</v>
          </cell>
          <cell r="P121">
            <v>327.4445618181818</v>
          </cell>
          <cell r="Q121">
            <v>335.17947272727264</v>
          </cell>
          <cell r="R121">
            <v>0.18</v>
          </cell>
          <cell r="S121">
            <v>0.12</v>
          </cell>
          <cell r="T121">
            <v>0</v>
          </cell>
        </row>
        <row r="122">
          <cell r="E122">
            <v>365665</v>
          </cell>
          <cell r="F122" t="str">
            <v>ESPARADRAPO TRANSPA 2,5CMX4,5M CREMER CX 48UN</v>
          </cell>
          <cell r="G122">
            <v>30051030</v>
          </cell>
          <cell r="H122">
            <v>7891800365665</v>
          </cell>
          <cell r="I122">
            <v>17891800365662</v>
          </cell>
          <cell r="J122" t="str">
            <v>CX</v>
          </cell>
          <cell r="K122">
            <v>0.18</v>
          </cell>
          <cell r="L122">
            <v>9.2499999999999999E-2</v>
          </cell>
          <cell r="M122">
            <v>297.98427272727275</v>
          </cell>
          <cell r="N122">
            <v>327.78270000000003</v>
          </cell>
          <cell r="O122">
            <v>372.4803409090909</v>
          </cell>
          <cell r="P122">
            <v>378.44002636363643</v>
          </cell>
          <cell r="Q122">
            <v>387.37955454545454</v>
          </cell>
          <cell r="R122">
            <v>0.18</v>
          </cell>
          <cell r="S122">
            <v>0.12</v>
          </cell>
          <cell r="T122">
            <v>0</v>
          </cell>
        </row>
        <row r="123">
          <cell r="E123">
            <v>228045</v>
          </cell>
          <cell r="F123" t="str">
            <v>ESPARADRAPO TRANSPAR 10CMX4,5M CREMER CX 24UN</v>
          </cell>
          <cell r="G123">
            <v>30051030</v>
          </cell>
          <cell r="H123">
            <v>7891800228106</v>
          </cell>
          <cell r="I123">
            <v>17891800228042</v>
          </cell>
          <cell r="J123" t="str">
            <v>CX</v>
          </cell>
          <cell r="K123">
            <v>0.18</v>
          </cell>
          <cell r="L123">
            <v>9.2499999999999999E-2</v>
          </cell>
          <cell r="M123">
            <v>466.87725</v>
          </cell>
          <cell r="N123">
            <v>513.56497500000012</v>
          </cell>
          <cell r="O123">
            <v>583.5965625</v>
          </cell>
          <cell r="P123">
            <v>592.9341075000001</v>
          </cell>
          <cell r="Q123">
            <v>606.94042500000012</v>
          </cell>
          <cell r="R123">
            <v>0.18</v>
          </cell>
          <cell r="S123">
            <v>0.12</v>
          </cell>
          <cell r="T123">
            <v>0</v>
          </cell>
        </row>
        <row r="124">
          <cell r="E124">
            <v>228038</v>
          </cell>
          <cell r="F124" t="str">
            <v>ESPARADRAPO TRANSPARE 5CMX4,5M CREMER CX 36UN</v>
          </cell>
          <cell r="G124">
            <v>30051030</v>
          </cell>
          <cell r="H124">
            <v>7891800228090</v>
          </cell>
          <cell r="I124">
            <v>17891800228035</v>
          </cell>
          <cell r="J124" t="str">
            <v>CX</v>
          </cell>
          <cell r="K124">
            <v>0.18</v>
          </cell>
          <cell r="L124">
            <v>9.2499999999999999E-2</v>
          </cell>
          <cell r="M124">
            <v>368.51778409090912</v>
          </cell>
          <cell r="N124">
            <v>405.36956250000009</v>
          </cell>
          <cell r="O124">
            <v>460.64723011363634</v>
          </cell>
          <cell r="P124">
            <v>468.01758579545452</v>
          </cell>
          <cell r="Q124">
            <v>479.07311931818185</v>
          </cell>
          <cell r="R124">
            <v>0.18</v>
          </cell>
          <cell r="S124">
            <v>0.12</v>
          </cell>
          <cell r="T124">
            <v>0</v>
          </cell>
        </row>
        <row r="125">
          <cell r="E125">
            <v>410075</v>
          </cell>
          <cell r="F125" t="str">
            <v>BASTONETES TOPZ 150UN-(8X4) CONTEM 32 CARTUCHOS</v>
          </cell>
          <cell r="G125">
            <v>56012190</v>
          </cell>
          <cell r="H125">
            <v>7896004802336</v>
          </cell>
          <cell r="I125">
            <v>27896004802330</v>
          </cell>
          <cell r="J125" t="str">
            <v>CX</v>
          </cell>
          <cell r="K125">
            <v>0.18</v>
          </cell>
          <cell r="L125">
            <v>9.2499999999999999E-2</v>
          </cell>
          <cell r="M125">
            <v>91.813909090909107</v>
          </cell>
          <cell r="N125">
            <v>100.99530000000001</v>
          </cell>
          <cell r="O125">
            <v>111.54960917587083</v>
          </cell>
          <cell r="P125">
            <v>114.42415679694135</v>
          </cell>
          <cell r="Q125">
            <v>117.12708963466442</v>
          </cell>
          <cell r="R125">
            <v>0.18</v>
          </cell>
          <cell r="S125">
            <v>0.12</v>
          </cell>
          <cell r="T125">
            <v>0</v>
          </cell>
        </row>
        <row r="126">
          <cell r="E126">
            <v>410013</v>
          </cell>
          <cell r="F126" t="str">
            <v>BASTONETES 150UN TOPZ - 32 CAIXA C/32 (41004)</v>
          </cell>
          <cell r="G126">
            <v>56012190</v>
          </cell>
          <cell r="H126">
            <v>7896004816562</v>
          </cell>
          <cell r="I126">
            <v>17896004816569</v>
          </cell>
          <cell r="J126" t="str">
            <v>CX</v>
          </cell>
          <cell r="K126">
            <v>0.18</v>
          </cell>
          <cell r="L126">
            <v>9.2499999999999999E-2</v>
          </cell>
          <cell r="M126">
            <v>85.708636363636373</v>
          </cell>
          <cell r="N126">
            <v>94.279500000000013</v>
          </cell>
          <cell r="O126">
            <v>104.13198810535258</v>
          </cell>
          <cell r="P126">
            <v>106.8153893372982</v>
          </cell>
          <cell r="Q126">
            <v>109.33858751062023</v>
          </cell>
          <cell r="R126">
            <v>0.18</v>
          </cell>
          <cell r="S126">
            <v>0.12</v>
          </cell>
          <cell r="T126">
            <v>0</v>
          </cell>
        </row>
        <row r="127">
          <cell r="E127">
            <v>410082</v>
          </cell>
          <cell r="F127" t="str">
            <v>BASTONETES TOPZ 75UN-(10X6) CONTEM 60 CARTUCHOS ATC 10PC</v>
          </cell>
          <cell r="G127">
            <v>56012190</v>
          </cell>
          <cell r="H127">
            <v>7896004814162</v>
          </cell>
          <cell r="I127">
            <v>27896004802347</v>
          </cell>
          <cell r="J127" t="str">
            <v>CX</v>
          </cell>
          <cell r="K127">
            <v>0.18</v>
          </cell>
          <cell r="L127">
            <v>9.2499999999999999E-2</v>
          </cell>
          <cell r="M127">
            <v>82.773409090909098</v>
          </cell>
          <cell r="N127">
            <v>91.050750000000008</v>
          </cell>
          <cell r="O127">
            <v>100.56582412914187</v>
          </cell>
          <cell r="P127">
            <v>103.15732805862359</v>
          </cell>
          <cell r="Q127">
            <v>105.59411533559896</v>
          </cell>
          <cell r="R127">
            <v>0.18</v>
          </cell>
          <cell r="S127">
            <v>0.12</v>
          </cell>
          <cell r="T127">
            <v>0</v>
          </cell>
        </row>
        <row r="128">
          <cell r="E128">
            <v>410006</v>
          </cell>
          <cell r="F128" t="str">
            <v>BASTONETES TOPZ 75UN CONTEM 60 CARTUCHOS</v>
          </cell>
          <cell r="G128">
            <v>56012190</v>
          </cell>
          <cell r="H128">
            <v>7896004814162</v>
          </cell>
          <cell r="I128">
            <v>17896004814169</v>
          </cell>
          <cell r="J128" t="str">
            <v>CX</v>
          </cell>
          <cell r="K128">
            <v>0.18</v>
          </cell>
          <cell r="L128">
            <v>9.2499999999999999E-2</v>
          </cell>
          <cell r="M128">
            <v>82.773409090909098</v>
          </cell>
          <cell r="N128">
            <v>91.050750000000008</v>
          </cell>
          <cell r="O128">
            <v>100.56582412914187</v>
          </cell>
          <cell r="P128">
            <v>103.15732805862359</v>
          </cell>
          <cell r="Q128">
            <v>105.59411533559896</v>
          </cell>
          <cell r="R128">
            <v>0.18</v>
          </cell>
          <cell r="S128">
            <v>0.12</v>
          </cell>
          <cell r="T128">
            <v>0</v>
          </cell>
        </row>
        <row r="129">
          <cell r="E129">
            <v>540109</v>
          </cell>
          <cell r="F129" t="str">
            <v>BASTONETES CARTUCHO TOPZ 300 CAIXA C/36 CART.</v>
          </cell>
          <cell r="G129">
            <v>56012190</v>
          </cell>
          <cell r="H129">
            <v>7891800540109</v>
          </cell>
          <cell r="I129">
            <v>17891800540106</v>
          </cell>
          <cell r="J129" t="str">
            <v>CX</v>
          </cell>
          <cell r="K129">
            <v>0.18</v>
          </cell>
          <cell r="L129">
            <v>9.2499999999999999E-2</v>
          </cell>
          <cell r="M129">
            <v>188.88187500000004</v>
          </cell>
          <cell r="N129">
            <v>207.77006250000008</v>
          </cell>
          <cell r="O129">
            <v>229.48265186915884</v>
          </cell>
          <cell r="P129">
            <v>235.3962432827102</v>
          </cell>
          <cell r="Q129">
            <v>240.95678446261687</v>
          </cell>
          <cell r="R129">
            <v>0.18</v>
          </cell>
          <cell r="S129">
            <v>0.12</v>
          </cell>
          <cell r="T129">
            <v>0</v>
          </cell>
        </row>
        <row r="130">
          <cell r="E130">
            <v>410051</v>
          </cell>
          <cell r="F130" t="str">
            <v>BASTONETES POTE 150UN TOPZ-36 CAIXA C/36 (41070)</v>
          </cell>
          <cell r="G130">
            <v>56012190</v>
          </cell>
          <cell r="H130">
            <v>7896004800851</v>
          </cell>
          <cell r="I130">
            <v>17896004800858</v>
          </cell>
          <cell r="J130" t="str">
            <v>CX</v>
          </cell>
          <cell r="K130">
            <v>0.18</v>
          </cell>
          <cell r="L130">
            <v>9.2499999999999999E-2</v>
          </cell>
          <cell r="M130">
            <v>149.25630681818183</v>
          </cell>
          <cell r="N130">
            <v>164.18193750000003</v>
          </cell>
          <cell r="O130">
            <v>181.33943819031435</v>
          </cell>
          <cell r="P130">
            <v>186.01241602060321</v>
          </cell>
          <cell r="Q130">
            <v>190.40641009983011</v>
          </cell>
          <cell r="R130">
            <v>0.18</v>
          </cell>
          <cell r="S130">
            <v>0.12</v>
          </cell>
          <cell r="T130">
            <v>0</v>
          </cell>
        </row>
        <row r="131">
          <cell r="E131">
            <v>412062</v>
          </cell>
          <cell r="F131" t="str">
            <v>ANT BUCAL TOPZ MENTA 500ML CX C/6</v>
          </cell>
          <cell r="G131">
            <v>33069000</v>
          </cell>
          <cell r="H131">
            <v>7896004818825</v>
          </cell>
          <cell r="I131">
            <v>17896004818822</v>
          </cell>
          <cell r="J131" t="str">
            <v>CX</v>
          </cell>
          <cell r="K131">
            <v>0.18</v>
          </cell>
          <cell r="L131">
            <v>0</v>
          </cell>
          <cell r="M131">
            <v>46.297200000000004</v>
          </cell>
          <cell r="N131">
            <v>50.92692000000001</v>
          </cell>
          <cell r="O131">
            <v>56.248934579439251</v>
          </cell>
          <cell r="P131">
            <v>57.698426355140192</v>
          </cell>
          <cell r="Q131">
            <v>59.061381308411228</v>
          </cell>
          <cell r="R131">
            <v>0.18</v>
          </cell>
          <cell r="S131">
            <v>0.12</v>
          </cell>
          <cell r="T131">
            <v>0</v>
          </cell>
        </row>
        <row r="132">
          <cell r="E132">
            <v>412079</v>
          </cell>
          <cell r="F132" t="str">
            <v>ANT BUCAL MINT TOPZ 500ML CX C/6</v>
          </cell>
          <cell r="G132">
            <v>33069000</v>
          </cell>
          <cell r="H132">
            <v>7896004818795</v>
          </cell>
          <cell r="I132">
            <v>17896004818792</v>
          </cell>
          <cell r="J132" t="str">
            <v>CX</v>
          </cell>
          <cell r="K132">
            <v>0.18</v>
          </cell>
          <cell r="L132">
            <v>0</v>
          </cell>
          <cell r="M132">
            <v>46.297200000000004</v>
          </cell>
          <cell r="N132">
            <v>50.92692000000001</v>
          </cell>
          <cell r="O132">
            <v>56.248934579439251</v>
          </cell>
          <cell r="P132">
            <v>57.698426355140192</v>
          </cell>
          <cell r="Q132">
            <v>59.061381308411228</v>
          </cell>
          <cell r="R132">
            <v>0.18</v>
          </cell>
          <cell r="S132">
            <v>0.12</v>
          </cell>
          <cell r="T132">
            <v>0</v>
          </cell>
        </row>
        <row r="133">
          <cell r="E133">
            <v>410846</v>
          </cell>
          <cell r="F133" t="str">
            <v>ESCOVA DENTAL TOPZ KIDS MACIA  (6X6) CX/36</v>
          </cell>
          <cell r="G133">
            <v>96032100</v>
          </cell>
          <cell r="H133">
            <v>7896004801636</v>
          </cell>
          <cell r="I133">
            <v>17896004801633</v>
          </cell>
          <cell r="J133" t="str">
            <v>CX</v>
          </cell>
          <cell r="K133">
            <v>0.18</v>
          </cell>
          <cell r="L133">
            <v>0</v>
          </cell>
          <cell r="M133">
            <v>97.120800000000017</v>
          </cell>
          <cell r="N133">
            <v>106.83288000000003</v>
          </cell>
          <cell r="O133">
            <v>117.9972336448598</v>
          </cell>
          <cell r="P133">
            <v>121.03793158878504</v>
          </cell>
          <cell r="Q133">
            <v>123.89709532710285</v>
          </cell>
          <cell r="R133">
            <v>0.12</v>
          </cell>
          <cell r="S133">
            <v>0.12</v>
          </cell>
          <cell r="T133">
            <v>0</v>
          </cell>
        </row>
        <row r="134">
          <cell r="E134">
            <v>410860</v>
          </cell>
          <cell r="F134" t="str">
            <v>ESCOVA DENTAL TOPZ PLUS MACIA  (6X6) CX/36</v>
          </cell>
          <cell r="G134">
            <v>96032100</v>
          </cell>
          <cell r="H134">
            <v>7896004801650</v>
          </cell>
          <cell r="I134">
            <v>17896004801657</v>
          </cell>
          <cell r="J134" t="str">
            <v>CX</v>
          </cell>
          <cell r="K134">
            <v>0.18</v>
          </cell>
          <cell r="L134">
            <v>0</v>
          </cell>
          <cell r="M134">
            <v>103.91040000000001</v>
          </cell>
          <cell r="N134">
            <v>114.30144000000003</v>
          </cell>
          <cell r="O134">
            <v>126.24628037383175</v>
          </cell>
          <cell r="P134">
            <v>129.49954990654203</v>
          </cell>
          <cell r="Q134">
            <v>132.55859439252336</v>
          </cell>
          <cell r="R134">
            <v>0.12</v>
          </cell>
          <cell r="S134">
            <v>0.12</v>
          </cell>
          <cell r="T134">
            <v>0</v>
          </cell>
        </row>
        <row r="135">
          <cell r="E135">
            <v>410877</v>
          </cell>
          <cell r="F135" t="str">
            <v>ESCOVA DENTAL TOPZ PLUS MEDIA  (6X6) CX/36</v>
          </cell>
          <cell r="G135">
            <v>96032100</v>
          </cell>
          <cell r="H135">
            <v>7896004801667</v>
          </cell>
          <cell r="I135">
            <v>17896004801664</v>
          </cell>
          <cell r="J135" t="str">
            <v>CX</v>
          </cell>
          <cell r="K135">
            <v>0.18</v>
          </cell>
          <cell r="L135">
            <v>0</v>
          </cell>
          <cell r="M135">
            <v>103.91040000000001</v>
          </cell>
          <cell r="N135">
            <v>114.30144000000003</v>
          </cell>
          <cell r="O135">
            <v>126.24628037383175</v>
          </cell>
          <cell r="P135">
            <v>129.49954990654203</v>
          </cell>
          <cell r="Q135">
            <v>132.55859439252336</v>
          </cell>
          <cell r="R135">
            <v>0.12</v>
          </cell>
          <cell r="S135">
            <v>0.12</v>
          </cell>
          <cell r="T135">
            <v>0</v>
          </cell>
        </row>
        <row r="136">
          <cell r="E136">
            <v>410921</v>
          </cell>
          <cell r="F136" t="str">
            <v>ESCOVA DENTAL TOPZ PREM MACIA  (6X6) CX/36</v>
          </cell>
          <cell r="G136">
            <v>96032100</v>
          </cell>
          <cell r="H136">
            <v>7896004801728</v>
          </cell>
          <cell r="I136">
            <v>17896004801725</v>
          </cell>
          <cell r="J136" t="str">
            <v>CX</v>
          </cell>
          <cell r="K136">
            <v>0.18</v>
          </cell>
          <cell r="L136">
            <v>0</v>
          </cell>
          <cell r="M136">
            <v>112.17599999999999</v>
          </cell>
          <cell r="N136">
            <v>123.39360000000001</v>
          </cell>
          <cell r="O136">
            <v>136.28859813084108</v>
          </cell>
          <cell r="P136">
            <v>139.8006504672897</v>
          </cell>
          <cell r="Q136">
            <v>143.10302803738318</v>
          </cell>
          <cell r="R136">
            <v>0.12</v>
          </cell>
          <cell r="S136">
            <v>0.12</v>
          </cell>
          <cell r="T136">
            <v>0</v>
          </cell>
        </row>
        <row r="137">
          <cell r="E137">
            <v>410938</v>
          </cell>
          <cell r="F137" t="str">
            <v>ESCOVA DENTAL TOPZ PREM MEDIA  (6X6) CX/36</v>
          </cell>
          <cell r="G137">
            <v>96032100</v>
          </cell>
          <cell r="H137">
            <v>7896004801735</v>
          </cell>
          <cell r="I137">
            <v>17896004801732</v>
          </cell>
          <cell r="J137" t="str">
            <v>CX</v>
          </cell>
          <cell r="K137">
            <v>0.18</v>
          </cell>
          <cell r="L137">
            <v>0</v>
          </cell>
          <cell r="M137">
            <v>112.17599999999999</v>
          </cell>
          <cell r="N137">
            <v>123.39360000000001</v>
          </cell>
          <cell r="O137">
            <v>136.28859813084108</v>
          </cell>
          <cell r="P137">
            <v>139.8006504672897</v>
          </cell>
          <cell r="Q137">
            <v>143.10302803738318</v>
          </cell>
          <cell r="R137">
            <v>0.12</v>
          </cell>
          <cell r="S137">
            <v>0.12</v>
          </cell>
          <cell r="T137">
            <v>0</v>
          </cell>
        </row>
        <row r="138">
          <cell r="E138">
            <v>410945</v>
          </cell>
          <cell r="F138" t="str">
            <v>ESCOVA DENTAL PLUS TOPZ L3P2 PROMOPACK  (6X6) CX/36</v>
          </cell>
          <cell r="G138">
            <v>96032100</v>
          </cell>
          <cell r="H138">
            <v>7896004818375</v>
          </cell>
          <cell r="I138">
            <v>17896004818372</v>
          </cell>
          <cell r="J138" t="str">
            <v>CX</v>
          </cell>
          <cell r="K138">
            <v>0.18</v>
          </cell>
          <cell r="L138">
            <v>0</v>
          </cell>
          <cell r="M138">
            <v>207.52560000000003</v>
          </cell>
          <cell r="N138">
            <v>228.27816000000004</v>
          </cell>
          <cell r="O138">
            <v>252.13390654205608</v>
          </cell>
          <cell r="P138">
            <v>258.631203364486</v>
          </cell>
          <cell r="Q138">
            <v>264.74060186915892</v>
          </cell>
          <cell r="R138">
            <v>0.12</v>
          </cell>
          <cell r="S138">
            <v>0.12</v>
          </cell>
          <cell r="T138">
            <v>0</v>
          </cell>
        </row>
        <row r="139">
          <cell r="E139">
            <v>410853</v>
          </cell>
          <cell r="F139" t="str">
            <v>ESCOVA DENTAL INFANTIL TOPZ BABY  -(6X6) CX/36</v>
          </cell>
          <cell r="G139">
            <v>96032100</v>
          </cell>
          <cell r="H139">
            <v>7896004801643</v>
          </cell>
          <cell r="I139">
            <v>17896004801640</v>
          </cell>
          <cell r="J139" t="str">
            <v>CX</v>
          </cell>
          <cell r="K139">
            <v>0.18</v>
          </cell>
          <cell r="L139">
            <v>0</v>
          </cell>
          <cell r="M139">
            <v>144.3528</v>
          </cell>
          <cell r="N139">
            <v>158.78808000000001</v>
          </cell>
          <cell r="O139">
            <v>175.38190654205604</v>
          </cell>
          <cell r="P139">
            <v>179.90136336448597</v>
          </cell>
          <cell r="Q139">
            <v>184.15100186915888</v>
          </cell>
          <cell r="R139">
            <v>0.12</v>
          </cell>
          <cell r="S139">
            <v>0.12</v>
          </cell>
          <cell r="T139">
            <v>0</v>
          </cell>
        </row>
        <row r="140">
          <cell r="E140">
            <v>412086</v>
          </cell>
          <cell r="F140" t="str">
            <v>FIO DENTAL TOPZ 100M - (8X6)  CX/48</v>
          </cell>
          <cell r="G140">
            <v>33062000</v>
          </cell>
          <cell r="H140">
            <v>7896004818801</v>
          </cell>
          <cell r="I140">
            <v>17896004818808</v>
          </cell>
          <cell r="J140" t="str">
            <v>CX</v>
          </cell>
          <cell r="K140">
            <v>0.18</v>
          </cell>
          <cell r="L140">
            <v>0</v>
          </cell>
          <cell r="M140">
            <v>192.47039999999998</v>
          </cell>
          <cell r="N140">
            <v>211.71744000000001</v>
          </cell>
          <cell r="O140">
            <v>233.84254205607468</v>
          </cell>
          <cell r="P140">
            <v>239.86848448598127</v>
          </cell>
          <cell r="Q140">
            <v>245.53466915887853</v>
          </cell>
          <cell r="R140">
            <v>0.12</v>
          </cell>
          <cell r="S140">
            <v>0.12</v>
          </cell>
          <cell r="T140">
            <v>0</v>
          </cell>
        </row>
        <row r="141">
          <cell r="E141">
            <v>412093</v>
          </cell>
          <cell r="F141" t="str">
            <v>FIO DENTAL TOPZ MENTA 100M - (8X6)  CX/48</v>
          </cell>
          <cell r="G141">
            <v>33062000</v>
          </cell>
          <cell r="H141">
            <v>7896004818818</v>
          </cell>
          <cell r="I141">
            <v>17896004818815</v>
          </cell>
          <cell r="J141" t="str">
            <v>CX</v>
          </cell>
          <cell r="K141">
            <v>0.18</v>
          </cell>
          <cell r="L141">
            <v>0</v>
          </cell>
          <cell r="M141">
            <v>192.47039999999998</v>
          </cell>
          <cell r="N141">
            <v>211.71744000000001</v>
          </cell>
          <cell r="O141">
            <v>233.84254205607468</v>
          </cell>
          <cell r="P141">
            <v>239.86848448598127</v>
          </cell>
          <cell r="Q141">
            <v>245.53466915887853</v>
          </cell>
          <cell r="R141">
            <v>0.12</v>
          </cell>
          <cell r="S141">
            <v>0.12</v>
          </cell>
          <cell r="T141">
            <v>0</v>
          </cell>
        </row>
        <row r="142">
          <cell r="E142">
            <v>411010</v>
          </cell>
          <cell r="F142" t="str">
            <v>SABONETE INTIMO SUAVE TOPZ 200ML  -CX/12</v>
          </cell>
          <cell r="G142">
            <v>34012010</v>
          </cell>
          <cell r="H142">
            <v>7896004818412</v>
          </cell>
          <cell r="I142">
            <v>17896004818419</v>
          </cell>
          <cell r="J142" t="str">
            <v>CX</v>
          </cell>
          <cell r="K142">
            <v>0.18</v>
          </cell>
          <cell r="L142">
            <v>0.125</v>
          </cell>
          <cell r="M142">
            <v>68.466831818181817</v>
          </cell>
          <cell r="N142">
            <v>75.313514999999995</v>
          </cell>
          <cell r="O142">
            <v>83.184001274426493</v>
          </cell>
          <cell r="P142">
            <v>85.32758899957517</v>
          </cell>
          <cell r="Q142">
            <v>87.343201338147836</v>
          </cell>
          <cell r="R142">
            <v>0.12</v>
          </cell>
          <cell r="S142">
            <v>0.12</v>
          </cell>
          <cell r="T142">
            <v>3.2501250000000002E-2</v>
          </cell>
        </row>
        <row r="143">
          <cell r="E143">
            <v>411331</v>
          </cell>
          <cell r="F143" t="str">
            <v>SABONETE INTIMO NATURAL FRESH TOPZ 200ML  -CX/12</v>
          </cell>
          <cell r="G143">
            <v>34012010</v>
          </cell>
          <cell r="H143">
            <v>7898935462252</v>
          </cell>
          <cell r="I143">
            <v>17898935462259</v>
          </cell>
          <cell r="J143" t="str">
            <v>CX</v>
          </cell>
          <cell r="K143">
            <v>0.18</v>
          </cell>
          <cell r="L143">
            <v>0.125</v>
          </cell>
          <cell r="M143">
            <v>68.466831818181817</v>
          </cell>
          <cell r="N143">
            <v>75.313514999999995</v>
          </cell>
          <cell r="O143">
            <v>83.184001274426493</v>
          </cell>
          <cell r="P143">
            <v>85.32758899957517</v>
          </cell>
          <cell r="Q143">
            <v>87.343201338147836</v>
          </cell>
          <cell r="R143">
            <v>0.12</v>
          </cell>
          <cell r="S143">
            <v>0.12</v>
          </cell>
          <cell r="T143">
            <v>3.2501250000000002E-2</v>
          </cell>
        </row>
        <row r="144">
          <cell r="E144">
            <v>411188</v>
          </cell>
          <cell r="F144" t="str">
            <v>SABONETE INTIMO PROMO NATURAL FRESH TOPZ 200ML  -CX/12 (12X2)</v>
          </cell>
          <cell r="G144">
            <v>34012010</v>
          </cell>
          <cell r="H144">
            <v>7898935462832</v>
          </cell>
          <cell r="I144">
            <v>17898935462839</v>
          </cell>
          <cell r="J144" t="str">
            <v>CX</v>
          </cell>
          <cell r="K144">
            <v>0.18</v>
          </cell>
          <cell r="L144">
            <v>0.125</v>
          </cell>
          <cell r="M144">
            <v>119.37373636363637</v>
          </cell>
          <cell r="N144">
            <v>131.31111000000004</v>
          </cell>
          <cell r="O144">
            <v>145.03351146983854</v>
          </cell>
          <cell r="P144">
            <v>148.77091349617669</v>
          </cell>
          <cell r="Q144">
            <v>152.2851870433305</v>
          </cell>
          <cell r="R144">
            <v>0.12</v>
          </cell>
          <cell r="S144">
            <v>0.12</v>
          </cell>
          <cell r="T144">
            <v>3.2501250000000002E-2</v>
          </cell>
        </row>
        <row r="145">
          <cell r="E145">
            <v>411485</v>
          </cell>
          <cell r="F145" t="str">
            <v>SABONETE INTIMO PROMO SUAVE TOPZ 200ML  -CX/12 (12X2)</v>
          </cell>
          <cell r="G145">
            <v>34012010</v>
          </cell>
          <cell r="H145">
            <v>7898935462313</v>
          </cell>
          <cell r="I145">
            <v>17898935462310</v>
          </cell>
          <cell r="J145" t="str">
            <v>CX</v>
          </cell>
          <cell r="K145">
            <v>0.18</v>
          </cell>
          <cell r="L145">
            <v>0.125</v>
          </cell>
          <cell r="M145">
            <v>119.37373636363637</v>
          </cell>
          <cell r="N145">
            <v>131.31111000000004</v>
          </cell>
          <cell r="O145">
            <v>145.03351146983854</v>
          </cell>
          <cell r="P145">
            <v>148.77091349617669</v>
          </cell>
          <cell r="Q145">
            <v>152.2851870433305</v>
          </cell>
          <cell r="R145">
            <v>0.12</v>
          </cell>
          <cell r="S145">
            <v>0.12</v>
          </cell>
          <cell r="T145">
            <v>3.2501250000000002E-2</v>
          </cell>
        </row>
        <row r="146">
          <cell r="E146">
            <v>630602</v>
          </cell>
          <cell r="F146" t="str">
            <v>SABONETE INTIMO HIDRATA TOPZ 200ML  -CX/12</v>
          </cell>
          <cell r="G146">
            <v>34012010</v>
          </cell>
          <cell r="H146">
            <v>7891800630602</v>
          </cell>
          <cell r="I146">
            <v>17891800630609</v>
          </cell>
          <cell r="J146" t="str">
            <v>CX</v>
          </cell>
          <cell r="K146">
            <v>0.18</v>
          </cell>
          <cell r="L146">
            <v>0.125</v>
          </cell>
          <cell r="M146">
            <v>68.466831818181817</v>
          </cell>
          <cell r="N146">
            <v>75.313514999999995</v>
          </cell>
          <cell r="O146">
            <v>83.184001274426493</v>
          </cell>
          <cell r="P146">
            <v>85.32758899957517</v>
          </cell>
          <cell r="Q146">
            <v>87.343201338147836</v>
          </cell>
          <cell r="R146">
            <v>0.12</v>
          </cell>
          <cell r="S146">
            <v>0.12</v>
          </cell>
          <cell r="T146">
            <v>3.2501250000000002E-2</v>
          </cell>
        </row>
        <row r="147">
          <cell r="E147">
            <v>630619</v>
          </cell>
          <cell r="F147" t="str">
            <v>SABONETE INTIMO PROMO HIDRATA TOPZ 200ML  -CX/12 (12X2)</v>
          </cell>
          <cell r="G147">
            <v>34012010</v>
          </cell>
          <cell r="H147">
            <v>7891800630619</v>
          </cell>
          <cell r="I147">
            <v>17891800630616</v>
          </cell>
          <cell r="J147" t="str">
            <v>CX</v>
          </cell>
          <cell r="K147">
            <v>0.18</v>
          </cell>
          <cell r="L147">
            <v>0.125</v>
          </cell>
          <cell r="M147">
            <v>119.37373636363637</v>
          </cell>
          <cell r="N147">
            <v>131.31111000000004</v>
          </cell>
          <cell r="O147">
            <v>145.03351146983854</v>
          </cell>
          <cell r="P147">
            <v>148.77091349617669</v>
          </cell>
          <cell r="Q147">
            <v>152.2851870433305</v>
          </cell>
          <cell r="R147">
            <v>0.12</v>
          </cell>
          <cell r="S147">
            <v>0.12</v>
          </cell>
          <cell r="T147">
            <v>3.2501250000000002E-2</v>
          </cell>
        </row>
        <row r="148">
          <cell r="E148">
            <v>410587</v>
          </cell>
          <cell r="F148" t="str">
            <v>CURATIVO SALVELOX TRANSP.C/35 CAIXA C/48 (45045)</v>
          </cell>
          <cell r="G148">
            <v>30051020</v>
          </cell>
          <cell r="H148">
            <v>7896004817613</v>
          </cell>
          <cell r="I148">
            <v>17896004817610</v>
          </cell>
          <cell r="J148" t="str">
            <v>CX</v>
          </cell>
          <cell r="K148">
            <v>0.18</v>
          </cell>
          <cell r="L148">
            <v>9.2499999999999999E-2</v>
          </cell>
          <cell r="M148">
            <v>186.3282272727273</v>
          </cell>
          <cell r="N148">
            <v>204.96105000000003</v>
          </cell>
          <cell r="O148">
            <v>226.38008920985553</v>
          </cell>
          <cell r="P148">
            <v>232.2137299702633</v>
          </cell>
          <cell r="Q148">
            <v>237.69909367034833</v>
          </cell>
          <cell r="R148">
            <v>0.18</v>
          </cell>
          <cell r="S148">
            <v>0.12</v>
          </cell>
          <cell r="T148">
            <v>0</v>
          </cell>
        </row>
        <row r="149">
          <cell r="E149">
            <v>410488</v>
          </cell>
          <cell r="F149" t="str">
            <v>SALVELOX TRADIC 10UN (8X12) CAIXA C/96 (45009)</v>
          </cell>
          <cell r="G149">
            <v>30051020</v>
          </cell>
          <cell r="H149">
            <v>7896004802398</v>
          </cell>
          <cell r="I149">
            <v>17896004802395</v>
          </cell>
          <cell r="J149" t="str">
            <v>CX</v>
          </cell>
          <cell r="K149">
            <v>0.18</v>
          </cell>
          <cell r="L149">
            <v>9.2499999999999999E-2</v>
          </cell>
          <cell r="M149">
            <v>161.32009090909091</v>
          </cell>
          <cell r="N149">
            <v>177.45210000000003</v>
          </cell>
          <cell r="O149">
            <v>195.99637213254033</v>
          </cell>
          <cell r="P149">
            <v>201.04704787595577</v>
          </cell>
          <cell r="Q149">
            <v>205.79619073916737</v>
          </cell>
          <cell r="R149">
            <v>0.18</v>
          </cell>
          <cell r="S149">
            <v>0.12</v>
          </cell>
          <cell r="T149">
            <v>0</v>
          </cell>
        </row>
        <row r="150">
          <cell r="E150">
            <v>410495</v>
          </cell>
          <cell r="F150" t="str">
            <v>SALVELOX TRADIC 35UN (8X6) CAIXA C/48 (45010)</v>
          </cell>
          <cell r="G150">
            <v>30051020</v>
          </cell>
          <cell r="H150">
            <v>7896004802374</v>
          </cell>
          <cell r="I150">
            <v>27896004802378</v>
          </cell>
          <cell r="J150" t="str">
            <v>CX</v>
          </cell>
          <cell r="K150">
            <v>0.18</v>
          </cell>
          <cell r="L150">
            <v>9.2499999999999999E-2</v>
          </cell>
          <cell r="M150">
            <v>197.2472727272727</v>
          </cell>
          <cell r="N150">
            <v>216.97199999999998</v>
          </cell>
          <cell r="O150">
            <v>239.64621920135926</v>
          </cell>
          <cell r="P150">
            <v>245.82171792693279</v>
          </cell>
          <cell r="Q150">
            <v>251.62853016142734</v>
          </cell>
          <cell r="R150">
            <v>0.18</v>
          </cell>
          <cell r="S150">
            <v>0.12</v>
          </cell>
          <cell r="T150">
            <v>0</v>
          </cell>
        </row>
        <row r="151">
          <cell r="E151">
            <v>410532</v>
          </cell>
          <cell r="F151" t="str">
            <v>SALVELOX TRADICIONAL 10UN CAIXA C/96 (45032)</v>
          </cell>
          <cell r="G151">
            <v>30051020</v>
          </cell>
          <cell r="H151">
            <v>7896004816678</v>
          </cell>
          <cell r="I151">
            <v>17896004816675</v>
          </cell>
          <cell r="J151" t="str">
            <v>CX</v>
          </cell>
          <cell r="K151">
            <v>0.18</v>
          </cell>
          <cell r="L151">
            <v>9.2499999999999999E-2</v>
          </cell>
          <cell r="M151">
            <v>143.70872727272729</v>
          </cell>
          <cell r="N151">
            <v>158.07960000000003</v>
          </cell>
          <cell r="O151">
            <v>174.59938827527611</v>
          </cell>
          <cell r="P151">
            <v>179.0986802039082</v>
          </cell>
          <cell r="Q151">
            <v>183.32935768903994</v>
          </cell>
          <cell r="R151">
            <v>0.18</v>
          </cell>
          <cell r="S151">
            <v>0.12</v>
          </cell>
          <cell r="T151">
            <v>0</v>
          </cell>
        </row>
        <row r="152">
          <cell r="E152">
            <v>410549</v>
          </cell>
          <cell r="F152" t="str">
            <v>SALVELOX TRADICIONAL 35UN CAIXA C/48 (45033)</v>
          </cell>
          <cell r="G152">
            <v>30051020</v>
          </cell>
          <cell r="H152">
            <v>7896004816661</v>
          </cell>
          <cell r="I152">
            <v>17896004816668</v>
          </cell>
          <cell r="J152" t="str">
            <v>CX</v>
          </cell>
          <cell r="K152">
            <v>0.18</v>
          </cell>
          <cell r="L152">
            <v>9.2499999999999999E-2</v>
          </cell>
          <cell r="M152">
            <v>190.20272727272729</v>
          </cell>
          <cell r="N152">
            <v>209.22300000000004</v>
          </cell>
          <cell r="O152">
            <v>231.0874256584537</v>
          </cell>
          <cell r="P152">
            <v>237.0423708581138</v>
          </cell>
          <cell r="Q152">
            <v>242.64179694137638</v>
          </cell>
          <cell r="R152">
            <v>0.18</v>
          </cell>
          <cell r="S152">
            <v>0.12</v>
          </cell>
          <cell r="T152">
            <v>0</v>
          </cell>
        </row>
        <row r="153">
          <cell r="E153">
            <v>617320</v>
          </cell>
          <cell r="F153" t="str">
            <v>ALGODAO FACE LISA 50UN CREMER CX C/24 SACOS</v>
          </cell>
          <cell r="G153">
            <v>56012110</v>
          </cell>
          <cell r="H153">
            <v>7891800617320</v>
          </cell>
          <cell r="I153">
            <v>17891800617327</v>
          </cell>
          <cell r="J153" t="str">
            <v>CX</v>
          </cell>
          <cell r="K153">
            <v>0.18</v>
          </cell>
          <cell r="L153">
            <v>9.2499999999999999E-2</v>
          </cell>
          <cell r="M153">
            <v>115.53054545454546</v>
          </cell>
          <cell r="N153">
            <v>127.0836</v>
          </cell>
          <cell r="O153">
            <v>140.36421410365332</v>
          </cell>
          <cell r="P153">
            <v>143.98129192863209</v>
          </cell>
          <cell r="Q153">
            <v>147.38242480883602</v>
          </cell>
          <cell r="R153">
            <v>0.18</v>
          </cell>
          <cell r="S153">
            <v>0.12</v>
          </cell>
          <cell r="T153">
            <v>0</v>
          </cell>
        </row>
        <row r="154">
          <cell r="E154">
            <v>627985</v>
          </cell>
          <cell r="F154" t="str">
            <v>ALGODAO FACE LISA 100UN CREMER CX C/24 SACOS</v>
          </cell>
          <cell r="G154">
            <v>56012110</v>
          </cell>
          <cell r="H154">
            <v>7891800627985</v>
          </cell>
          <cell r="I154">
            <v>17891800627982</v>
          </cell>
          <cell r="J154" t="str">
            <v>CX</v>
          </cell>
          <cell r="K154">
            <v>0.18</v>
          </cell>
          <cell r="L154">
            <v>9.2499999999999999E-2</v>
          </cell>
          <cell r="M154">
            <v>196.36670454545458</v>
          </cell>
          <cell r="N154">
            <v>216.00337500000001</v>
          </cell>
          <cell r="O154">
            <v>238.5763700084961</v>
          </cell>
          <cell r="P154">
            <v>244.72429954333052</v>
          </cell>
          <cell r="Q154">
            <v>250.50518850892101</v>
          </cell>
          <cell r="R154">
            <v>0.18</v>
          </cell>
          <cell r="S154">
            <v>0.12</v>
          </cell>
          <cell r="T154">
            <v>0</v>
          </cell>
        </row>
        <row r="155">
          <cell r="E155">
            <v>618761</v>
          </cell>
          <cell r="F155" t="str">
            <v>TOALHA BR TOPZ BABY C/3 CREMER PC 3UN CX C/12 NOVA</v>
          </cell>
          <cell r="G155">
            <v>96190000</v>
          </cell>
          <cell r="H155">
            <v>7891800618761</v>
          </cell>
          <cell r="I155">
            <v>17891800617368</v>
          </cell>
          <cell r="J155" t="str">
            <v>CX</v>
          </cell>
          <cell r="K155">
            <v>0.18</v>
          </cell>
          <cell r="L155">
            <v>9.2499999999999999E-2</v>
          </cell>
          <cell r="M155">
            <v>113.15301136363637</v>
          </cell>
          <cell r="N155">
            <v>124.4683125</v>
          </cell>
          <cell r="O155">
            <v>137.47562128292265</v>
          </cell>
          <cell r="P155">
            <v>141.01826229290569</v>
          </cell>
          <cell r="Q155">
            <v>144.34940234706883</v>
          </cell>
          <cell r="R155">
            <v>0.18</v>
          </cell>
          <cell r="S155">
            <v>0.12</v>
          </cell>
          <cell r="T155">
            <v>0</v>
          </cell>
        </row>
        <row r="156">
          <cell r="E156">
            <v>628401</v>
          </cell>
          <cell r="F156" t="str">
            <v xml:space="preserve"> ESPARADRAPO SALVELOX 2,5CMX4,5M </v>
          </cell>
          <cell r="G156">
            <v>30051030</v>
          </cell>
          <cell r="H156">
            <v>7891800628401</v>
          </cell>
          <cell r="I156">
            <v>17891800628408</v>
          </cell>
          <cell r="J156" t="str">
            <v>CX</v>
          </cell>
          <cell r="K156">
            <v>0.18</v>
          </cell>
          <cell r="L156">
            <v>9.2499999999999999E-2</v>
          </cell>
          <cell r="M156">
            <v>109.19045454545457</v>
          </cell>
          <cell r="N156">
            <v>120.10950000000003</v>
          </cell>
          <cell r="O156">
            <v>136.48806818181819</v>
          </cell>
          <cell r="P156">
            <v>138.6718772727273</v>
          </cell>
          <cell r="Q156">
            <v>141.94759090909091</v>
          </cell>
          <cell r="R156">
            <v>0.18</v>
          </cell>
          <cell r="S156">
            <v>0.12</v>
          </cell>
          <cell r="T156">
            <v>0</v>
          </cell>
        </row>
        <row r="157">
          <cell r="E157">
            <v>628418</v>
          </cell>
          <cell r="F157" t="str">
            <v xml:space="preserve"> ESPARADRAPO SALVELOX 2,5CMX90CM </v>
          </cell>
          <cell r="G157">
            <v>30051030</v>
          </cell>
          <cell r="H157">
            <v>7891800628418</v>
          </cell>
          <cell r="I157">
            <v>17891800628415</v>
          </cell>
          <cell r="J157" t="str">
            <v>CX</v>
          </cell>
          <cell r="K157">
            <v>0.18</v>
          </cell>
          <cell r="L157">
            <v>9.2499999999999999E-2</v>
          </cell>
          <cell r="M157">
            <v>96.510272727272749</v>
          </cell>
          <cell r="N157">
            <v>106.16130000000001</v>
          </cell>
          <cell r="O157">
            <v>120.63784090909093</v>
          </cell>
          <cell r="P157">
            <v>122.56804636363637</v>
          </cell>
          <cell r="Q157">
            <v>125.46335454545455</v>
          </cell>
          <cell r="R157">
            <v>0.18</v>
          </cell>
          <cell r="S157">
            <v>0.12</v>
          </cell>
          <cell r="T157">
            <v>0</v>
          </cell>
        </row>
        <row r="158">
          <cell r="E158">
            <v>628425</v>
          </cell>
          <cell r="F158" t="str">
            <v xml:space="preserve">ESPARADRAPO SALVELOX 1,2CMX4,5M </v>
          </cell>
          <cell r="G158">
            <v>30051030</v>
          </cell>
          <cell r="H158">
            <v>7891800628425</v>
          </cell>
          <cell r="I158">
            <v>17891800628422</v>
          </cell>
          <cell r="J158" t="str">
            <v>CX</v>
          </cell>
          <cell r="K158">
            <v>0.18</v>
          </cell>
          <cell r="L158">
            <v>9.2499999999999999E-2</v>
          </cell>
          <cell r="M158">
            <v>112.53661363636364</v>
          </cell>
          <cell r="N158">
            <v>123.79027500000001</v>
          </cell>
          <cell r="O158">
            <v>140.67076704545454</v>
          </cell>
          <cell r="P158">
            <v>142.92149931818184</v>
          </cell>
          <cell r="Q158">
            <v>146.29759772727274</v>
          </cell>
          <cell r="R158">
            <v>0.18</v>
          </cell>
          <cell r="S158">
            <v>0.12</v>
          </cell>
          <cell r="T158">
            <v>0</v>
          </cell>
        </row>
        <row r="159">
          <cell r="E159">
            <v>628432</v>
          </cell>
          <cell r="F159" t="str">
            <v xml:space="preserve"> ESPARADRAPO SALVELOX 5CMX4,5M </v>
          </cell>
          <cell r="G159">
            <v>30051030</v>
          </cell>
          <cell r="H159">
            <v>7891800628432</v>
          </cell>
          <cell r="I159">
            <v>17891800628439</v>
          </cell>
          <cell r="J159" t="str">
            <v>CX</v>
          </cell>
          <cell r="K159">
            <v>0.18</v>
          </cell>
          <cell r="L159">
            <v>9.2499999999999999E-2</v>
          </cell>
          <cell r="M159">
            <v>520.94413636363629</v>
          </cell>
          <cell r="N159">
            <v>573.0385500000001</v>
          </cell>
          <cell r="O159">
            <v>651.18017045454542</v>
          </cell>
          <cell r="P159">
            <v>661.59905318181814</v>
          </cell>
          <cell r="Q159">
            <v>677.22737727272727</v>
          </cell>
          <cell r="R159">
            <v>0.18</v>
          </cell>
          <cell r="S159">
            <v>0.12</v>
          </cell>
          <cell r="T159">
            <v>0</v>
          </cell>
        </row>
        <row r="160">
          <cell r="E160">
            <v>626179</v>
          </cell>
          <cell r="F160" t="str">
            <v>COMPRESSAS EST NÃO ADERENTES - RG 7,5 X 7,5 CX 100PC/ 5UN</v>
          </cell>
          <cell r="G160">
            <v>30059090</v>
          </cell>
          <cell r="H160" t="str">
            <v>789 1800 626179</v>
          </cell>
          <cell r="I160" t="str">
            <v>1 789 1800 626176</v>
          </cell>
          <cell r="J160" t="str">
            <v>CX</v>
          </cell>
          <cell r="K160">
            <v>0.18</v>
          </cell>
          <cell r="L160">
            <v>9.2499999999999999E-2</v>
          </cell>
          <cell r="M160">
            <v>89.524431818181796</v>
          </cell>
          <cell r="N160">
            <v>98.476874999999993</v>
          </cell>
          <cell r="O160">
            <v>108.76800127442645</v>
          </cell>
          <cell r="P160">
            <v>111.57086899957515</v>
          </cell>
          <cell r="Q160">
            <v>114.20640133814781</v>
          </cell>
          <cell r="R160">
            <v>0.18</v>
          </cell>
          <cell r="S160">
            <v>0.12</v>
          </cell>
          <cell r="T160">
            <v>0</v>
          </cell>
        </row>
        <row r="161">
          <cell r="E161">
            <v>631784</v>
          </cell>
          <cell r="F161" t="str">
            <v>COMPRESSA EST ETO 11F SALVELOX C/10UN</v>
          </cell>
          <cell r="G161">
            <v>30059090</v>
          </cell>
          <cell r="H161">
            <v>7891800631784</v>
          </cell>
          <cell r="I161">
            <v>17891800631781</v>
          </cell>
          <cell r="J161" t="str">
            <v>CX</v>
          </cell>
          <cell r="K161">
            <v>0.18</v>
          </cell>
          <cell r="L161">
            <v>9.2499999999999999E-2</v>
          </cell>
          <cell r="M161">
            <v>38.524857954545453</v>
          </cell>
          <cell r="N161">
            <v>42.377343750000016</v>
          </cell>
          <cell r="O161">
            <v>46.805902187765497</v>
          </cell>
          <cell r="P161">
            <v>48.012054282604069</v>
          </cell>
          <cell r="Q161">
            <v>49.14619729715379</v>
          </cell>
          <cell r="R161">
            <v>0.18</v>
          </cell>
          <cell r="S161">
            <v>0.12</v>
          </cell>
          <cell r="T161">
            <v>0</v>
          </cell>
        </row>
        <row r="162">
          <cell r="E162">
            <v>631791</v>
          </cell>
          <cell r="F162" t="str">
            <v>COMPRESSA EST ETO 11F SALVELOX C/05UN</v>
          </cell>
          <cell r="G162">
            <v>30059090</v>
          </cell>
          <cell r="H162">
            <v>7891800631791</v>
          </cell>
          <cell r="I162">
            <v>17891800631798</v>
          </cell>
          <cell r="J162" t="str">
            <v>CX</v>
          </cell>
          <cell r="K162">
            <v>0.18</v>
          </cell>
          <cell r="L162">
            <v>9.2499999999999999E-2</v>
          </cell>
          <cell r="M162">
            <v>52.834090909090911</v>
          </cell>
          <cell r="N162">
            <v>58.117499999999993</v>
          </cell>
          <cell r="O162">
            <v>64.190951571792681</v>
          </cell>
          <cell r="P162">
            <v>65.84510301614273</v>
          </cell>
          <cell r="Q162">
            <v>67.400499150382331</v>
          </cell>
          <cell r="R162">
            <v>0.18</v>
          </cell>
          <cell r="S162">
            <v>0.12</v>
          </cell>
          <cell r="T162">
            <v>0</v>
          </cell>
        </row>
        <row r="163">
          <cell r="E163">
            <v>631814</v>
          </cell>
          <cell r="F163" t="str">
            <v>COMPRESSA 11F 7,5CM SALVELOX C/05UN</v>
          </cell>
          <cell r="G163">
            <v>30059090</v>
          </cell>
          <cell r="H163">
            <v>7891800631814</v>
          </cell>
          <cell r="I163">
            <v>17891800631811</v>
          </cell>
          <cell r="J163" t="str">
            <v>CX</v>
          </cell>
          <cell r="K163">
            <v>0.18</v>
          </cell>
          <cell r="L163">
            <v>9.2499999999999999E-2</v>
          </cell>
          <cell r="M163">
            <v>30.526363636363637</v>
          </cell>
          <cell r="N163">
            <v>33.579000000000008</v>
          </cell>
          <cell r="O163">
            <v>37.088105352591334</v>
          </cell>
          <cell r="P163">
            <v>38.043837298215806</v>
          </cell>
          <cell r="Q163">
            <v>38.942510620220894</v>
          </cell>
          <cell r="R163">
            <v>0.18</v>
          </cell>
          <cell r="S163">
            <v>0.12</v>
          </cell>
          <cell r="T163">
            <v>0</v>
          </cell>
        </row>
        <row r="164">
          <cell r="E164">
            <v>631807</v>
          </cell>
          <cell r="F164" t="str">
            <v>COMPRESSA 11F 7,5CM SALVELOX C/10UN</v>
          </cell>
          <cell r="G164">
            <v>30059090</v>
          </cell>
          <cell r="H164">
            <v>7891800631807</v>
          </cell>
          <cell r="I164">
            <v>17891800631804</v>
          </cell>
          <cell r="J164" t="str">
            <v>CX</v>
          </cell>
          <cell r="K164">
            <v>0.18</v>
          </cell>
          <cell r="L164">
            <v>9.2499999999999999E-2</v>
          </cell>
          <cell r="M164">
            <v>33.02130681818182</v>
          </cell>
          <cell r="N164">
            <v>36.323437500000011</v>
          </cell>
          <cell r="O164">
            <v>40.119344732370429</v>
          </cell>
          <cell r="P164">
            <v>41.153189385089199</v>
          </cell>
          <cell r="Q164">
            <v>42.12531196898896</v>
          </cell>
          <cell r="R164">
            <v>0.18</v>
          </cell>
          <cell r="S164">
            <v>0.12</v>
          </cell>
          <cell r="T164">
            <v>0</v>
          </cell>
        </row>
        <row r="165">
          <cell r="E165">
            <v>633788</v>
          </cell>
          <cell r="F165" t="str">
            <v>KIT SHAMPOO + CONDICIONADOR  NEUTRO TOPZ BABY  2X200NL</v>
          </cell>
          <cell r="G165" t="str">
            <v>33059000EX01</v>
          </cell>
          <cell r="H165">
            <v>7891800633788</v>
          </cell>
          <cell r="I165">
            <v>17891800633785</v>
          </cell>
          <cell r="J165" t="str">
            <v>CX</v>
          </cell>
          <cell r="K165">
            <v>0.18</v>
          </cell>
          <cell r="L165">
            <v>0.125</v>
          </cell>
          <cell r="M165">
            <v>94.215763636363647</v>
          </cell>
          <cell r="N165">
            <v>103.63733999999999</v>
          </cell>
          <cell r="O165">
            <v>114.46775021240441</v>
          </cell>
          <cell r="P165">
            <v>117.41749608326251</v>
          </cell>
          <cell r="Q165">
            <v>120.19113772302465</v>
          </cell>
          <cell r="R165">
            <v>0.12</v>
          </cell>
          <cell r="S165">
            <v>0.25</v>
          </cell>
          <cell r="T165">
            <v>4.5501750000000007E-2</v>
          </cell>
        </row>
        <row r="166">
          <cell r="E166">
            <v>637564</v>
          </cell>
          <cell r="F166" t="str">
            <v>CURATIVOS 10UN BABY SHARK CX/54</v>
          </cell>
          <cell r="G166">
            <v>30051020</v>
          </cell>
          <cell r="H166">
            <v>7891800637564</v>
          </cell>
          <cell r="I166">
            <v>17891800637561</v>
          </cell>
          <cell r="J166" t="str">
            <v>CX</v>
          </cell>
          <cell r="K166">
            <v>0.18</v>
          </cell>
          <cell r="L166">
            <v>9.2499999999999999E-2</v>
          </cell>
          <cell r="M166">
            <v>123.63177272727273</v>
          </cell>
          <cell r="N166">
            <v>135.99495000000002</v>
          </cell>
          <cell r="O166">
            <v>150.20682667799488</v>
          </cell>
          <cell r="P166">
            <v>154.07754105777397</v>
          </cell>
          <cell r="Q166">
            <v>157.71716801189467</v>
          </cell>
          <cell r="R166">
            <v>0.18</v>
          </cell>
          <cell r="S166">
            <v>0.12</v>
          </cell>
          <cell r="T166">
            <v>0</v>
          </cell>
        </row>
        <row r="167">
          <cell r="E167">
            <v>637595</v>
          </cell>
          <cell r="F167" t="str">
            <v>CURATIVOS 25UN BABY SHARK CX/32</v>
          </cell>
          <cell r="G167">
            <v>30051020</v>
          </cell>
          <cell r="H167">
            <v>7891800637595</v>
          </cell>
          <cell r="I167">
            <v>17891800637592</v>
          </cell>
          <cell r="J167" t="str">
            <v>CX</v>
          </cell>
          <cell r="K167">
            <v>0.18</v>
          </cell>
          <cell r="L167">
            <v>9.2499999999999999E-2</v>
          </cell>
          <cell r="M167">
            <v>144.88281818181818</v>
          </cell>
          <cell r="N167">
            <v>159.37110000000001</v>
          </cell>
          <cell r="O167">
            <v>176.02585386576038</v>
          </cell>
          <cell r="P167">
            <v>180.56190471537806</v>
          </cell>
          <cell r="Q167">
            <v>184.82714655904843</v>
          </cell>
          <cell r="R167">
            <v>0.18</v>
          </cell>
          <cell r="S167">
            <v>0.12</v>
          </cell>
          <cell r="T167">
            <v>0</v>
          </cell>
        </row>
        <row r="168">
          <cell r="E168">
            <v>637694</v>
          </cell>
          <cell r="F168" t="str">
            <v>PANO DE BOCA BABY SHARK CX/12</v>
          </cell>
          <cell r="G168">
            <v>62092000</v>
          </cell>
          <cell r="H168">
            <v>7891800637694</v>
          </cell>
          <cell r="I168">
            <v>17891800637691</v>
          </cell>
          <cell r="J168" t="str">
            <v>CX</v>
          </cell>
          <cell r="K168">
            <v>0.18</v>
          </cell>
          <cell r="L168">
            <v>9.2499999999999999E-2</v>
          </cell>
          <cell r="M168">
            <v>105.13984090909092</v>
          </cell>
          <cell r="N168">
            <v>115.653825</v>
          </cell>
          <cell r="O168">
            <v>127.73999362786743</v>
          </cell>
          <cell r="P168">
            <v>131.03175500212402</v>
          </cell>
          <cell r="Q168">
            <v>134.12699330926083</v>
          </cell>
          <cell r="R168">
            <v>0.18</v>
          </cell>
          <cell r="S168">
            <v>0.12</v>
          </cell>
          <cell r="T168">
            <v>0</v>
          </cell>
        </row>
        <row r="169">
          <cell r="E169">
            <v>637724</v>
          </cell>
          <cell r="F169" t="str">
            <v>TOALHA LUXO ESTAMP. BABY SHARK CX/12</v>
          </cell>
          <cell r="G169">
            <v>62092000</v>
          </cell>
          <cell r="H169">
            <v>7891800637724</v>
          </cell>
          <cell r="I169">
            <v>17891800637721</v>
          </cell>
          <cell r="J169" t="str">
            <v>CX</v>
          </cell>
          <cell r="K169">
            <v>0.18</v>
          </cell>
          <cell r="L169">
            <v>9.2499999999999999E-2</v>
          </cell>
          <cell r="M169">
            <v>272.18362500000001</v>
          </cell>
          <cell r="N169">
            <v>299.40198750000002</v>
          </cell>
          <cell r="O169">
            <v>330.6903855140186</v>
          </cell>
          <cell r="P169">
            <v>339.21202237149527</v>
          </cell>
          <cell r="Q169">
            <v>347.22490478971963</v>
          </cell>
          <cell r="R169">
            <v>0.18</v>
          </cell>
          <cell r="S169">
            <v>0.12</v>
          </cell>
          <cell r="T169">
            <v>0</v>
          </cell>
        </row>
        <row r="170">
          <cell r="E170">
            <v>637700</v>
          </cell>
          <cell r="F170" t="str">
            <v>TOALHA CAPUZ 1,2MTSX70CM BABY SHARK CX C/12UN</v>
          </cell>
          <cell r="G170">
            <v>62092000</v>
          </cell>
          <cell r="H170">
            <v>7891800637700</v>
          </cell>
          <cell r="I170">
            <v>17891800637707</v>
          </cell>
          <cell r="J170" t="str">
            <v>CX</v>
          </cell>
          <cell r="K170">
            <v>0.18</v>
          </cell>
          <cell r="L170">
            <v>9.2499999999999999E-2</v>
          </cell>
          <cell r="M170">
            <v>432.71120454545462</v>
          </cell>
          <cell r="N170">
            <v>475.98232500000012</v>
          </cell>
          <cell r="O170">
            <v>525.72389337298193</v>
          </cell>
          <cell r="P170">
            <v>539.27139370220891</v>
          </cell>
          <cell r="Q170">
            <v>552.01008804163132</v>
          </cell>
          <cell r="R170">
            <v>0.18</v>
          </cell>
          <cell r="S170">
            <v>0.12</v>
          </cell>
          <cell r="T170">
            <v>0</v>
          </cell>
        </row>
        <row r="171">
          <cell r="E171">
            <v>644203</v>
          </cell>
          <cell r="F171" t="str">
            <v>TOALHA CAPUZ 1,2MTSX70CM BABY SHARK AZUL CX/12</v>
          </cell>
          <cell r="G171">
            <v>62092000</v>
          </cell>
          <cell r="H171">
            <v>7891800644203</v>
          </cell>
          <cell r="I171">
            <v>17891800644200</v>
          </cell>
          <cell r="J171" t="str">
            <v>CX</v>
          </cell>
          <cell r="K171">
            <v>0.18</v>
          </cell>
          <cell r="L171">
            <v>9.2499999999999999E-2</v>
          </cell>
          <cell r="M171">
            <v>432.71120454545462</v>
          </cell>
          <cell r="N171">
            <v>475.98232500000012</v>
          </cell>
          <cell r="O171">
            <v>525.72389337298193</v>
          </cell>
          <cell r="P171">
            <v>539.27139370220891</v>
          </cell>
          <cell r="Q171">
            <v>552.01008804163132</v>
          </cell>
          <cell r="R171">
            <v>0.18</v>
          </cell>
          <cell r="S171">
            <v>0.12</v>
          </cell>
          <cell r="T171">
            <v>0</v>
          </cell>
        </row>
        <row r="172">
          <cell r="E172">
            <v>644210</v>
          </cell>
          <cell r="F172" t="str">
            <v>TOALHA CAPUZ 1,2MTSX70CM BABY SHARK ROSA CX/12</v>
          </cell>
          <cell r="G172">
            <v>62092000</v>
          </cell>
          <cell r="H172">
            <v>7891800644210</v>
          </cell>
          <cell r="I172">
            <v>17891800644217</v>
          </cell>
          <cell r="J172" t="str">
            <v>CX</v>
          </cell>
          <cell r="K172">
            <v>0.18</v>
          </cell>
          <cell r="L172">
            <v>9.2499999999999999E-2</v>
          </cell>
          <cell r="M172">
            <v>432.71120454545462</v>
          </cell>
          <cell r="N172">
            <v>475.98232500000012</v>
          </cell>
          <cell r="O172">
            <v>525.72389337298193</v>
          </cell>
          <cell r="P172">
            <v>539.27139370220891</v>
          </cell>
          <cell r="Q172">
            <v>552.01008804163132</v>
          </cell>
          <cell r="R172">
            <v>0.18</v>
          </cell>
          <cell r="S172">
            <v>0.12</v>
          </cell>
          <cell r="T172">
            <v>0</v>
          </cell>
        </row>
        <row r="173">
          <cell r="E173">
            <v>637625</v>
          </cell>
          <cell r="F173" t="str">
            <v>HASTES FLEXÍVEIS CART 75UN BABY SHARK CX/60</v>
          </cell>
          <cell r="G173">
            <v>56012190</v>
          </cell>
          <cell r="H173">
            <v>7891800637625</v>
          </cell>
          <cell r="I173">
            <v>17891800637622</v>
          </cell>
          <cell r="J173" t="str">
            <v>CX</v>
          </cell>
          <cell r="K173">
            <v>0.18</v>
          </cell>
          <cell r="L173">
            <v>9.2499999999999999E-2</v>
          </cell>
          <cell r="M173">
            <v>109.19045454545457</v>
          </cell>
          <cell r="N173">
            <v>120.10950000000001</v>
          </cell>
          <cell r="O173">
            <v>132.6612999150382</v>
          </cell>
          <cell r="P173">
            <v>136.07987956669496</v>
          </cell>
          <cell r="Q173">
            <v>139.29436491079014</v>
          </cell>
          <cell r="R173">
            <v>0.18</v>
          </cell>
          <cell r="S173">
            <v>0.12</v>
          </cell>
          <cell r="T173">
            <v>0</v>
          </cell>
        </row>
        <row r="174">
          <cell r="E174">
            <v>637601</v>
          </cell>
          <cell r="F174" t="str">
            <v>HASTES FLEXÍVEIS POTE 150UN BABY SHARK CX/36</v>
          </cell>
          <cell r="G174">
            <v>52012190</v>
          </cell>
          <cell r="H174">
            <v>7891800637601</v>
          </cell>
          <cell r="I174">
            <v>17891800637608</v>
          </cell>
          <cell r="J174" t="str">
            <v>CX</v>
          </cell>
          <cell r="K174">
            <v>0.18</v>
          </cell>
          <cell r="L174">
            <v>9.2499999999999999E-2</v>
          </cell>
          <cell r="M174">
            <v>179.10756818181821</v>
          </cell>
          <cell r="N174">
            <v>197.01832500000006</v>
          </cell>
          <cell r="O174">
            <v>217.60732582837721</v>
          </cell>
          <cell r="P174">
            <v>223.21489922472384</v>
          </cell>
          <cell r="Q174">
            <v>228.48769211979609</v>
          </cell>
          <cell r="R174">
            <v>0.18</v>
          </cell>
          <cell r="S174">
            <v>0.12</v>
          </cell>
          <cell r="T174">
            <v>0</v>
          </cell>
        </row>
        <row r="175">
          <cell r="E175">
            <v>637755</v>
          </cell>
          <cell r="F175" t="str">
            <v>ALGODÃO BOLAS 50G BRANCO BABY SHARK CX/36</v>
          </cell>
          <cell r="G175">
            <v>56012110</v>
          </cell>
          <cell r="H175">
            <v>7891800637755</v>
          </cell>
          <cell r="I175">
            <v>17891800637752</v>
          </cell>
          <cell r="J175" t="str">
            <v>CX</v>
          </cell>
          <cell r="K175">
            <v>0.18</v>
          </cell>
          <cell r="L175">
            <v>9.2499999999999999E-2</v>
          </cell>
          <cell r="M175">
            <v>111.7441022727273</v>
          </cell>
          <cell r="N175">
            <v>122.91851250000003</v>
          </cell>
          <cell r="O175">
            <v>135.76386257434152</v>
          </cell>
          <cell r="P175">
            <v>139.26239287914186</v>
          </cell>
          <cell r="Q175">
            <v>142.55205570305864</v>
          </cell>
          <cell r="R175">
            <v>0.18</v>
          </cell>
          <cell r="S175">
            <v>0.12</v>
          </cell>
          <cell r="T175">
            <v>0</v>
          </cell>
        </row>
        <row r="176">
          <cell r="E176">
            <v>637960</v>
          </cell>
          <cell r="F176" t="str">
            <v>HASTES SEG. BABY 50UN BABY SHARK CX/12</v>
          </cell>
          <cell r="G176">
            <v>56012190</v>
          </cell>
          <cell r="H176">
            <v>7891800637960</v>
          </cell>
          <cell r="I176">
            <v>17891800637967</v>
          </cell>
          <cell r="J176" t="str">
            <v>CX</v>
          </cell>
          <cell r="K176">
            <v>0.18</v>
          </cell>
          <cell r="L176">
            <v>9.2499999999999999E-2</v>
          </cell>
          <cell r="M176">
            <v>53.362431818181818</v>
          </cell>
          <cell r="N176">
            <v>58.698675000000009</v>
          </cell>
          <cell r="O176">
            <v>64.832861087510594</v>
          </cell>
          <cell r="P176">
            <v>66.503554046304146</v>
          </cell>
          <cell r="Q176">
            <v>68.074504141886152</v>
          </cell>
          <cell r="R176">
            <v>0.18</v>
          </cell>
          <cell r="S176">
            <v>0.12</v>
          </cell>
          <cell r="T176">
            <v>0</v>
          </cell>
        </row>
        <row r="177">
          <cell r="E177">
            <v>637908</v>
          </cell>
          <cell r="F177" t="str">
            <v>TALCO 200G BABY SHARK CX/24</v>
          </cell>
          <cell r="G177" t="str">
            <v>33049100EX01</v>
          </cell>
          <cell r="H177">
            <v>7891800637908</v>
          </cell>
          <cell r="I177">
            <v>17891800637905</v>
          </cell>
          <cell r="J177" t="str">
            <v>CX</v>
          </cell>
          <cell r="K177">
            <v>0.18</v>
          </cell>
          <cell r="L177">
            <v>0.125</v>
          </cell>
          <cell r="M177">
            <v>141.99902727272729</v>
          </cell>
          <cell r="N177">
            <v>156.19893000000005</v>
          </cell>
          <cell r="O177">
            <v>172.52218266779948</v>
          </cell>
          <cell r="P177">
            <v>176.9679466057774</v>
          </cell>
          <cell r="Q177">
            <v>181.14829180118946</v>
          </cell>
          <cell r="R177">
            <v>0.12</v>
          </cell>
          <cell r="S177">
            <v>0.25</v>
          </cell>
          <cell r="T177">
            <v>7.8003000000000003E-2</v>
          </cell>
        </row>
        <row r="178">
          <cell r="E178">
            <v>637571</v>
          </cell>
          <cell r="F178" t="str">
            <v>ALGODAO QUADRADO BABY SHARK C/50UN CX/24</v>
          </cell>
          <cell r="G178">
            <v>56012110</v>
          </cell>
          <cell r="H178">
            <v>7891800637571</v>
          </cell>
          <cell r="I178">
            <v>17891800637578</v>
          </cell>
          <cell r="J178" t="str">
            <v>CX</v>
          </cell>
          <cell r="K178">
            <v>0.18</v>
          </cell>
          <cell r="L178">
            <v>9.2499999999999999E-2</v>
          </cell>
          <cell r="M178">
            <v>169.42131818181818</v>
          </cell>
          <cell r="N178">
            <v>186.36345000000003</v>
          </cell>
          <cell r="O178">
            <v>205.83898470688186</v>
          </cell>
          <cell r="P178">
            <v>211.14329700509765</v>
          </cell>
          <cell r="Q178">
            <v>216.13093394222597</v>
          </cell>
          <cell r="R178">
            <v>0.18</v>
          </cell>
          <cell r="S178">
            <v>0.12</v>
          </cell>
          <cell r="T178">
            <v>0</v>
          </cell>
        </row>
        <row r="179">
          <cell r="E179">
            <v>637830</v>
          </cell>
          <cell r="F179" t="str">
            <v>PROTETOR OCULAR INF BABY SHARK CX C/40 CARTUCHOS C/20UN</v>
          </cell>
          <cell r="G179">
            <v>30051020</v>
          </cell>
          <cell r="H179">
            <v>7891800637830</v>
          </cell>
          <cell r="I179">
            <v>17891800637837</v>
          </cell>
          <cell r="J179" t="str">
            <v>CX</v>
          </cell>
          <cell r="K179">
            <v>0.18</v>
          </cell>
          <cell r="L179">
            <v>9.2499999999999999E-2</v>
          </cell>
          <cell r="M179">
            <v>309.07943181818183</v>
          </cell>
          <cell r="N179">
            <v>339.98737499999999</v>
          </cell>
          <cell r="O179">
            <v>375.51706669498719</v>
          </cell>
          <cell r="P179">
            <v>385.19385264443491</v>
          </cell>
          <cell r="Q179">
            <v>394.29292002973659</v>
          </cell>
          <cell r="R179">
            <v>0.18</v>
          </cell>
          <cell r="S179">
            <v>0.12</v>
          </cell>
          <cell r="T179">
            <v>0</v>
          </cell>
        </row>
        <row r="180">
          <cell r="E180">
            <v>637892</v>
          </cell>
          <cell r="F180" t="str">
            <v>HASTES FLEXIVEIS ECO 75UN TOPZ C/72CARTUCHOS</v>
          </cell>
          <cell r="G180">
            <v>56012190</v>
          </cell>
          <cell r="H180">
            <v>7891800637892</v>
          </cell>
          <cell r="I180">
            <v>17891800637899</v>
          </cell>
          <cell r="J180" t="str">
            <v>CX</v>
          </cell>
          <cell r="K180">
            <v>0.18</v>
          </cell>
          <cell r="L180">
            <v>9.2499999999999999E-2</v>
          </cell>
          <cell r="M180">
            <v>204.99627272727272</v>
          </cell>
          <cell r="N180">
            <v>225.49589999999998</v>
          </cell>
          <cell r="O180">
            <v>249.0608920985556</v>
          </cell>
          <cell r="P180">
            <v>255.47899970263379</v>
          </cell>
          <cell r="Q180">
            <v>261.51393670348341</v>
          </cell>
          <cell r="R180">
            <v>0.18</v>
          </cell>
          <cell r="S180">
            <v>0.12</v>
          </cell>
          <cell r="T180">
            <v>0</v>
          </cell>
        </row>
        <row r="181">
          <cell r="E181">
            <v>638875</v>
          </cell>
          <cell r="F181" t="str">
            <v>CURATIVOS VARIADOS 30UN SALVELOX CX C/24CARTUCHOS</v>
          </cell>
          <cell r="G181">
            <v>30051020</v>
          </cell>
          <cell r="H181">
            <v>7891800638875</v>
          </cell>
          <cell r="I181">
            <v>17891800638872</v>
          </cell>
          <cell r="J181" t="str">
            <v>CX</v>
          </cell>
          <cell r="K181">
            <v>0.18</v>
          </cell>
          <cell r="L181">
            <v>9.2499999999999999E-2</v>
          </cell>
          <cell r="M181">
            <v>117.46779545454547</v>
          </cell>
          <cell r="N181">
            <v>129.21457500000002</v>
          </cell>
          <cell r="O181">
            <v>142.71788232795237</v>
          </cell>
          <cell r="P181">
            <v>146.39561237255734</v>
          </cell>
          <cell r="Q181">
            <v>149.85377644435005</v>
          </cell>
          <cell r="R181">
            <v>0.18</v>
          </cell>
          <cell r="S181">
            <v>0.12</v>
          </cell>
          <cell r="T181">
            <v>0</v>
          </cell>
        </row>
        <row r="182">
          <cell r="E182">
            <v>639551</v>
          </cell>
          <cell r="F182" t="str">
            <v xml:space="preserve">LENCOS DE LIMPEZA FACIAL COLAGENO 25UN TOPZ  CX/24              </v>
          </cell>
          <cell r="G182">
            <v>34011190</v>
          </cell>
          <cell r="H182">
            <v>7891800639551</v>
          </cell>
          <cell r="I182">
            <v>17891800639558</v>
          </cell>
          <cell r="J182" t="str">
            <v>CX</v>
          </cell>
          <cell r="K182">
            <v>0.18</v>
          </cell>
          <cell r="L182">
            <v>0</v>
          </cell>
          <cell r="M182">
            <v>114.73440000000002</v>
          </cell>
          <cell r="N182">
            <v>126.20784</v>
          </cell>
          <cell r="O182">
            <v>139.39693457943923</v>
          </cell>
          <cell r="P182">
            <v>142.98908635514016</v>
          </cell>
          <cell r="Q182">
            <v>146.36678130841122</v>
          </cell>
          <cell r="R182">
            <v>0.18</v>
          </cell>
          <cell r="S182">
            <v>0.12</v>
          </cell>
          <cell r="T182">
            <v>0</v>
          </cell>
        </row>
        <row r="183">
          <cell r="E183">
            <v>639568</v>
          </cell>
          <cell r="F183" t="str">
            <v xml:space="preserve">LENCOS DE LIMPEZA FACIAL DETOX 25UN TOPZ  CX/24               </v>
          </cell>
          <cell r="G183">
            <v>34011190</v>
          </cell>
          <cell r="H183">
            <v>7891800639568</v>
          </cell>
          <cell r="I183">
            <v>17891800639565</v>
          </cell>
          <cell r="J183" t="str">
            <v>CX</v>
          </cell>
          <cell r="K183">
            <v>0.18</v>
          </cell>
          <cell r="L183">
            <v>0</v>
          </cell>
          <cell r="M183">
            <v>114.73440000000002</v>
          </cell>
          <cell r="N183">
            <v>126.20784</v>
          </cell>
          <cell r="O183">
            <v>139.39693457943923</v>
          </cell>
          <cell r="P183">
            <v>142.98908635514016</v>
          </cell>
          <cell r="Q183">
            <v>146.36678130841122</v>
          </cell>
          <cell r="R183">
            <v>0.18</v>
          </cell>
          <cell r="S183">
            <v>0.12</v>
          </cell>
          <cell r="T183">
            <v>0</v>
          </cell>
        </row>
        <row r="184">
          <cell r="E184">
            <v>641066</v>
          </cell>
          <cell r="F184" t="str">
            <v>AGUA MICELAR VITAMINA C 200ML TOPZ CX/12</v>
          </cell>
          <cell r="G184">
            <v>34013000</v>
          </cell>
          <cell r="H184">
            <v>7891800641066</v>
          </cell>
          <cell r="I184">
            <v>17891800641063</v>
          </cell>
          <cell r="J184" t="str">
            <v>CX</v>
          </cell>
          <cell r="K184">
            <v>0.18</v>
          </cell>
          <cell r="L184">
            <v>9.2499999999999999E-2</v>
          </cell>
          <cell r="M184">
            <v>134.28664772727274</v>
          </cell>
          <cell r="N184">
            <v>147.71531250000004</v>
          </cell>
          <cell r="O184">
            <v>163.15200191163973</v>
          </cell>
          <cell r="P184">
            <v>167.35630349936272</v>
          </cell>
          <cell r="Q184">
            <v>171.30960200722177</v>
          </cell>
          <cell r="R184">
            <v>0.18</v>
          </cell>
          <cell r="S184">
            <v>0.12</v>
          </cell>
          <cell r="T184">
            <v>0</v>
          </cell>
        </row>
        <row r="185">
          <cell r="E185">
            <v>641073</v>
          </cell>
          <cell r="F185" t="str">
            <v>AGUA MICELAR CARVAO ATIVADO 200ML TOPZ CX/12</v>
          </cell>
          <cell r="G185">
            <v>34013000</v>
          </cell>
          <cell r="H185">
            <v>7891800641073</v>
          </cell>
          <cell r="I185">
            <v>17891800641070</v>
          </cell>
          <cell r="J185" t="str">
            <v>CX</v>
          </cell>
          <cell r="K185">
            <v>0.18</v>
          </cell>
          <cell r="L185">
            <v>9.2499999999999999E-2</v>
          </cell>
          <cell r="M185">
            <v>134.28664772727274</v>
          </cell>
          <cell r="N185">
            <v>147.71531250000004</v>
          </cell>
          <cell r="O185">
            <v>163.15200191163973</v>
          </cell>
          <cell r="P185">
            <v>167.35630349936272</v>
          </cell>
          <cell r="Q185">
            <v>171.30960200722177</v>
          </cell>
          <cell r="R185">
            <v>0.18</v>
          </cell>
          <cell r="S185">
            <v>0.12</v>
          </cell>
          <cell r="T185">
            <v>0</v>
          </cell>
        </row>
        <row r="186">
          <cell r="E186">
            <v>644470</v>
          </cell>
          <cell r="F186" t="str">
            <v>CURATIVO EXTRA GRANDE XXG 8UN CREMER CX/24</v>
          </cell>
          <cell r="G186">
            <v>30051020</v>
          </cell>
          <cell r="H186">
            <v>7891800644470</v>
          </cell>
          <cell r="I186">
            <v>17891800644477</v>
          </cell>
          <cell r="J186" t="str">
            <v>CX</v>
          </cell>
          <cell r="K186">
            <v>0.18</v>
          </cell>
          <cell r="L186">
            <v>9.2499999999999999E-2</v>
          </cell>
          <cell r="M186">
            <v>129.79575000000003</v>
          </cell>
          <cell r="N186">
            <v>142.77532499999998</v>
          </cell>
          <cell r="O186">
            <v>157.69577102803734</v>
          </cell>
          <cell r="P186">
            <v>161.7594697429906</v>
          </cell>
          <cell r="Q186">
            <v>165.58055957943924</v>
          </cell>
          <cell r="R186">
            <v>0.18</v>
          </cell>
          <cell r="S186">
            <v>0.12</v>
          </cell>
          <cell r="T186">
            <v>0</v>
          </cell>
        </row>
        <row r="187">
          <cell r="E187">
            <v>644463</v>
          </cell>
          <cell r="F187" t="str">
            <v>CURATIVO JOELHO/COTOVELO 06UN CREMER  CX/24</v>
          </cell>
          <cell r="G187">
            <v>30051020</v>
          </cell>
          <cell r="H187">
            <v>7891800644463</v>
          </cell>
          <cell r="I187">
            <v>17891800644460</v>
          </cell>
          <cell r="J187" t="str">
            <v>CX</v>
          </cell>
          <cell r="K187">
            <v>0.18</v>
          </cell>
          <cell r="L187">
            <v>9.2499999999999999E-2</v>
          </cell>
          <cell r="M187">
            <v>207.28575000000001</v>
          </cell>
          <cell r="N187">
            <v>228.01432500000001</v>
          </cell>
          <cell r="O187">
            <v>251.84249999999992</v>
          </cell>
          <cell r="P187">
            <v>258.33228749999995</v>
          </cell>
          <cell r="Q187">
            <v>264.43462499999998</v>
          </cell>
          <cell r="R187">
            <v>0.18</v>
          </cell>
          <cell r="S187">
            <v>0.12</v>
          </cell>
          <cell r="T187">
            <v>0</v>
          </cell>
        </row>
        <row r="188">
          <cell r="E188">
            <v>644487</v>
          </cell>
          <cell r="F188" t="str">
            <v>CURATIVOS VARIADOS 6 FORM. 30UN CREMER CX/24</v>
          </cell>
          <cell r="G188">
            <v>30051020</v>
          </cell>
          <cell r="H188">
            <v>7891800644487</v>
          </cell>
          <cell r="I188">
            <v>17891800644484</v>
          </cell>
          <cell r="J188" t="str">
            <v>CX</v>
          </cell>
          <cell r="K188">
            <v>0.18</v>
          </cell>
          <cell r="L188">
            <v>9.2499999999999999E-2</v>
          </cell>
          <cell r="M188">
            <v>151.98606818181818</v>
          </cell>
          <cell r="N188">
            <v>167.18467500000006</v>
          </cell>
          <cell r="O188">
            <v>184.65597068819031</v>
          </cell>
          <cell r="P188">
            <v>189.41441300977061</v>
          </cell>
          <cell r="Q188">
            <v>193.88876922259985</v>
          </cell>
          <cell r="R188">
            <v>0.18</v>
          </cell>
          <cell r="S188">
            <v>0.12</v>
          </cell>
          <cell r="T188">
            <v>0</v>
          </cell>
        </row>
        <row r="189">
          <cell r="E189">
            <v>644494</v>
          </cell>
          <cell r="F189" t="str">
            <v>PROTETOR OCULAR ADULTO BEGE 12UN CREMER  CX/24</v>
          </cell>
          <cell r="G189">
            <v>30051020</v>
          </cell>
          <cell r="H189">
            <v>7891800644494</v>
          </cell>
          <cell r="I189">
            <v>17891800644491</v>
          </cell>
          <cell r="J189" t="str">
            <v>CX</v>
          </cell>
          <cell r="K189">
            <v>0.18</v>
          </cell>
          <cell r="L189">
            <v>9.2499999999999999E-2</v>
          </cell>
          <cell r="M189">
            <v>188.44159090909091</v>
          </cell>
          <cell r="N189">
            <v>207.28575000000001</v>
          </cell>
          <cell r="O189">
            <v>228.94772727272724</v>
          </cell>
          <cell r="P189">
            <v>234.84753409090905</v>
          </cell>
          <cell r="Q189">
            <v>240.39511363636367</v>
          </cell>
          <cell r="R189">
            <v>0.18</v>
          </cell>
          <cell r="S189">
            <v>0.12</v>
          </cell>
          <cell r="T189">
            <v>0</v>
          </cell>
        </row>
        <row r="190">
          <cell r="E190">
            <v>644456</v>
          </cell>
          <cell r="F190" t="str">
            <v>CURATIVO MARROM ESCURO 10UN CREMER CX/64</v>
          </cell>
          <cell r="G190">
            <v>30051020</v>
          </cell>
          <cell r="H190">
            <v>7891800644456</v>
          </cell>
          <cell r="I190">
            <v>17891800644453</v>
          </cell>
          <cell r="J190" t="str">
            <v>CX</v>
          </cell>
          <cell r="K190">
            <v>0.18</v>
          </cell>
          <cell r="L190">
            <v>9.2499999999999999E-2</v>
          </cell>
          <cell r="M190">
            <v>114.59127272727271</v>
          </cell>
          <cell r="N190">
            <v>126.0504</v>
          </cell>
          <cell r="O190">
            <v>139.22304163126589</v>
          </cell>
          <cell r="P190">
            <v>142.8107123194562</v>
          </cell>
          <cell r="Q190">
            <v>146.1841937128292</v>
          </cell>
          <cell r="R190">
            <v>0.18</v>
          </cell>
          <cell r="S190">
            <v>0.12</v>
          </cell>
          <cell r="T190">
            <v>0</v>
          </cell>
        </row>
        <row r="191">
          <cell r="E191">
            <v>645347</v>
          </cell>
          <cell r="F191" t="str">
            <v>PANO BOCA 35x35 PINTE E BORDE  3UN CREMER CX /12</v>
          </cell>
          <cell r="G191">
            <v>62092000</v>
          </cell>
          <cell r="H191">
            <v>7891800645347</v>
          </cell>
          <cell r="I191">
            <v>17891800645344</v>
          </cell>
          <cell r="J191" t="str">
            <v>CX</v>
          </cell>
          <cell r="K191">
            <v>0.18</v>
          </cell>
          <cell r="L191">
            <v>9.2499999999999999E-2</v>
          </cell>
          <cell r="M191">
            <v>95.277477272727282</v>
          </cell>
          <cell r="N191">
            <v>104.80522500000004</v>
          </cell>
          <cell r="O191">
            <v>115.75768266779944</v>
          </cell>
          <cell r="P191">
            <v>118.74066910577739</v>
          </cell>
          <cell r="Q191">
            <v>121.54556680118945</v>
          </cell>
          <cell r="R191">
            <v>0.18</v>
          </cell>
          <cell r="S191">
            <v>0.12</v>
          </cell>
          <cell r="T191">
            <v>0</v>
          </cell>
        </row>
        <row r="192">
          <cell r="E192">
            <v>645354</v>
          </cell>
          <cell r="F192" t="str">
            <v>TOALHA CAPUZ PINTE E BORDE BR 90X75CM CREMER CX/12</v>
          </cell>
          <cell r="G192">
            <v>62092000</v>
          </cell>
          <cell r="H192">
            <v>7891800645354</v>
          </cell>
          <cell r="I192">
            <v>17891800645351</v>
          </cell>
          <cell r="J192" t="str">
            <v>CX</v>
          </cell>
          <cell r="K192">
            <v>0.18</v>
          </cell>
          <cell r="L192">
            <v>9.2499999999999999E-2</v>
          </cell>
          <cell r="M192">
            <v>213.62584090909093</v>
          </cell>
          <cell r="N192">
            <v>234.98842500000006</v>
          </cell>
          <cell r="O192">
            <v>259.5454141886151</v>
          </cell>
          <cell r="P192">
            <v>266.23369986193705</v>
          </cell>
          <cell r="Q192">
            <v>272.5226848980459</v>
          </cell>
          <cell r="R192">
            <v>0.18</v>
          </cell>
          <cell r="S192">
            <v>0.12</v>
          </cell>
          <cell r="T192">
            <v>0</v>
          </cell>
        </row>
        <row r="193">
          <cell r="E193">
            <v>646085</v>
          </cell>
          <cell r="F193" t="str">
            <v>QUADRADINHO DE ALGODÃO 150UN TOPZ CX/36</v>
          </cell>
          <cell r="G193">
            <v>30059090</v>
          </cell>
          <cell r="H193">
            <v>7891800646085</v>
          </cell>
          <cell r="I193">
            <v>17891800646082</v>
          </cell>
          <cell r="J193" t="str">
            <v>CX</v>
          </cell>
          <cell r="K193">
            <v>0.18</v>
          </cell>
          <cell r="L193">
            <v>9.2499999999999999E-2</v>
          </cell>
          <cell r="M193">
            <v>110.95159090909091</v>
          </cell>
          <cell r="N193">
            <v>122.04675000000003</v>
          </cell>
          <cell r="O193">
            <v>134.80099830076463</v>
          </cell>
          <cell r="P193">
            <v>138.2747163338997</v>
          </cell>
          <cell r="Q193">
            <v>141.54104821580287</v>
          </cell>
          <cell r="R193">
            <v>0.18</v>
          </cell>
          <cell r="S193">
            <v>0.12</v>
          </cell>
          <cell r="T193">
            <v>0</v>
          </cell>
        </row>
        <row r="194">
          <cell r="E194">
            <v>645958</v>
          </cell>
          <cell r="F194" t="str">
            <v>HASTE MAQUIAGEM CART. 75UN TOPZ CX/24</v>
          </cell>
          <cell r="G194">
            <v>56012190</v>
          </cell>
          <cell r="H194">
            <v>7891800645958</v>
          </cell>
          <cell r="I194">
            <v>17891800645955</v>
          </cell>
          <cell r="J194" t="str">
            <v>CX</v>
          </cell>
          <cell r="K194">
            <v>0.18</v>
          </cell>
          <cell r="L194">
            <v>9.2499999999999999E-2</v>
          </cell>
          <cell r="M194">
            <v>41.386704545454549</v>
          </cell>
          <cell r="N194">
            <v>45.525375000000011</v>
          </cell>
          <cell r="O194">
            <v>50.282912064570937</v>
          </cell>
          <cell r="P194">
            <v>51.578664029311803</v>
          </cell>
          <cell r="Q194">
            <v>52.797057667799493</v>
          </cell>
          <cell r="R194">
            <v>0.18</v>
          </cell>
          <cell r="S194">
            <v>0.12</v>
          </cell>
          <cell r="T194">
            <v>0</v>
          </cell>
        </row>
        <row r="195">
          <cell r="E195">
            <v>645989</v>
          </cell>
          <cell r="F195" t="str">
            <v>ALGODÃO BOLAS 50G BRANCO PATRULHA CANINA TOPZ BABY CX/36</v>
          </cell>
          <cell r="G195">
            <v>30059090</v>
          </cell>
          <cell r="H195">
            <v>7891800645989</v>
          </cell>
          <cell r="I195">
            <v>17891800645986</v>
          </cell>
          <cell r="J195" t="str">
            <v>CX</v>
          </cell>
          <cell r="K195">
            <v>0.18</v>
          </cell>
          <cell r="L195">
            <v>9.2499999999999999E-2</v>
          </cell>
          <cell r="M195">
            <v>108.83822727272728</v>
          </cell>
          <cell r="N195">
            <v>119.72205000000004</v>
          </cell>
          <cell r="O195">
            <v>132.23336023789292</v>
          </cell>
          <cell r="P195">
            <v>135.64091221325401</v>
          </cell>
          <cell r="Q195">
            <v>138.84502824978759</v>
          </cell>
          <cell r="R195">
            <v>0.18</v>
          </cell>
          <cell r="S195">
            <v>0.12</v>
          </cell>
          <cell r="T195">
            <v>0</v>
          </cell>
        </row>
        <row r="196">
          <cell r="E196">
            <v>646030</v>
          </cell>
          <cell r="F196" t="str">
            <v>HASTES FLEXÍVEIS POTE 150 UNIDADES PATRULHA CANINA TOPZ BABY CX/36</v>
          </cell>
          <cell r="G196">
            <v>56012190</v>
          </cell>
          <cell r="H196">
            <v>7891800646030</v>
          </cell>
          <cell r="I196">
            <v>17891800646037</v>
          </cell>
          <cell r="J196" t="str">
            <v>CX</v>
          </cell>
          <cell r="K196">
            <v>0.18</v>
          </cell>
          <cell r="L196">
            <v>9.2499999999999999E-2</v>
          </cell>
          <cell r="M196">
            <v>155.59639772727274</v>
          </cell>
          <cell r="N196">
            <v>171.15603750000002</v>
          </cell>
          <cell r="O196">
            <v>189.04235237892945</v>
          </cell>
          <cell r="P196">
            <v>193.91382838254037</v>
          </cell>
          <cell r="Q196">
            <v>198.49446999787597</v>
          </cell>
          <cell r="R196">
            <v>0.18</v>
          </cell>
          <cell r="S196">
            <v>0.12</v>
          </cell>
          <cell r="T196">
            <v>0</v>
          </cell>
        </row>
        <row r="197">
          <cell r="E197">
            <v>646047</v>
          </cell>
          <cell r="F197" t="str">
            <v>HASTES SEG. BABY 50 UNIDADES PATRULHA CANINA TOPZ BABY CX/12</v>
          </cell>
          <cell r="G197">
            <v>56012190</v>
          </cell>
          <cell r="H197">
            <v>7891800646047</v>
          </cell>
          <cell r="I197">
            <v>17891800646044</v>
          </cell>
          <cell r="J197" t="str">
            <v>CX</v>
          </cell>
          <cell r="K197">
            <v>0.18</v>
          </cell>
          <cell r="L197">
            <v>9.2499999999999999E-2</v>
          </cell>
          <cell r="M197">
            <v>46.405943181818181</v>
          </cell>
          <cell r="N197">
            <v>51.046537499999999</v>
          </cell>
          <cell r="O197">
            <v>56.381052463891237</v>
          </cell>
          <cell r="P197">
            <v>57.833948815845368</v>
          </cell>
          <cell r="Q197">
            <v>59.200105087085817</v>
          </cell>
          <cell r="R197">
            <v>0.18</v>
          </cell>
          <cell r="S197">
            <v>0.12</v>
          </cell>
          <cell r="T197">
            <v>0</v>
          </cell>
        </row>
        <row r="198">
          <cell r="E198">
            <v>646054</v>
          </cell>
          <cell r="F198" t="str">
            <v>HASTES FLEXÍVEIS CART 75 UNIDADES PATRULHA CANINA TOPZ BABY CX/60</v>
          </cell>
          <cell r="G198">
            <v>56012190</v>
          </cell>
          <cell r="H198">
            <v>7891800646054</v>
          </cell>
          <cell r="I198">
            <v>17891800646051</v>
          </cell>
          <cell r="J198" t="str">
            <v>CX</v>
          </cell>
          <cell r="K198">
            <v>0.18</v>
          </cell>
          <cell r="L198">
            <v>9.2499999999999999E-2</v>
          </cell>
          <cell r="M198">
            <v>94.661079545454541</v>
          </cell>
          <cell r="N198">
            <v>104.12718750000002</v>
          </cell>
          <cell r="O198">
            <v>115.0087882327952</v>
          </cell>
          <cell r="P198">
            <v>117.97247623725569</v>
          </cell>
          <cell r="Q198">
            <v>120.75922764443499</v>
          </cell>
          <cell r="R198">
            <v>0.18</v>
          </cell>
          <cell r="S198">
            <v>0.12</v>
          </cell>
          <cell r="T198">
            <v>0</v>
          </cell>
        </row>
        <row r="199">
          <cell r="E199">
            <v>645798</v>
          </cell>
          <cell r="F199" t="str">
            <v>TOALHA UMEDECIDA 50 UNIDADES PATRULHA CANINA CHASE TOPZ BABY  CX/24</v>
          </cell>
          <cell r="G199">
            <v>34011190</v>
          </cell>
          <cell r="H199">
            <v>7891800645798</v>
          </cell>
          <cell r="I199">
            <v>17891800645795</v>
          </cell>
          <cell r="J199" t="str">
            <v>CX</v>
          </cell>
          <cell r="K199">
            <v>0.18</v>
          </cell>
          <cell r="L199">
            <v>0</v>
          </cell>
          <cell r="M199">
            <v>99.384</v>
          </cell>
          <cell r="N199">
            <v>109.32240000000003</v>
          </cell>
          <cell r="O199">
            <v>120.74691588785043</v>
          </cell>
          <cell r="P199">
            <v>123.85847102803736</v>
          </cell>
          <cell r="Q199">
            <v>126.784261682243</v>
          </cell>
          <cell r="R199">
            <v>0.12</v>
          </cell>
          <cell r="S199">
            <v>0.12</v>
          </cell>
          <cell r="T199">
            <v>0</v>
          </cell>
        </row>
        <row r="200">
          <cell r="E200">
            <v>645804</v>
          </cell>
          <cell r="F200" t="str">
            <v>TOALHA UMEDECIDA 100 UNIDADES PATRULHA CANINA CHASE TOPZ BABY CX/24</v>
          </cell>
          <cell r="G200">
            <v>34011190</v>
          </cell>
          <cell r="H200">
            <v>7891800645804</v>
          </cell>
          <cell r="I200">
            <v>17891800645801</v>
          </cell>
          <cell r="J200" t="str">
            <v>CX</v>
          </cell>
          <cell r="K200">
            <v>0.18</v>
          </cell>
          <cell r="L200">
            <v>0</v>
          </cell>
          <cell r="M200">
            <v>189.12479999999999</v>
          </cell>
          <cell r="N200">
            <v>208.03728000000001</v>
          </cell>
          <cell r="O200">
            <v>229.77779439252328</v>
          </cell>
          <cell r="P200">
            <v>235.69899140186914</v>
          </cell>
          <cell r="Q200">
            <v>241.26668411214953</v>
          </cell>
          <cell r="R200">
            <v>0.12</v>
          </cell>
          <cell r="S200">
            <v>0.12</v>
          </cell>
          <cell r="T200">
            <v>0</v>
          </cell>
        </row>
        <row r="201">
          <cell r="E201">
            <v>646153</v>
          </cell>
          <cell r="F201" t="str">
            <v>TOALHA UMEDECIDA 50 UNIDADES PATRULHA CANINA SKYE TOPZ BABY CX/24</v>
          </cell>
          <cell r="G201">
            <v>34011190</v>
          </cell>
          <cell r="H201">
            <v>7891800646153</v>
          </cell>
          <cell r="I201">
            <v>17891800646150</v>
          </cell>
          <cell r="J201" t="str">
            <v>CX</v>
          </cell>
          <cell r="K201">
            <v>0.18</v>
          </cell>
          <cell r="L201">
            <v>0</v>
          </cell>
          <cell r="M201">
            <v>99.384</v>
          </cell>
          <cell r="N201">
            <v>109.32240000000003</v>
          </cell>
          <cell r="O201">
            <v>120.74691588785043</v>
          </cell>
          <cell r="P201">
            <v>123.85847102803736</v>
          </cell>
          <cell r="Q201">
            <v>126.784261682243</v>
          </cell>
          <cell r="R201">
            <v>0.12</v>
          </cell>
          <cell r="S201">
            <v>0.12</v>
          </cell>
          <cell r="T201">
            <v>0</v>
          </cell>
        </row>
        <row r="202">
          <cell r="E202">
            <v>646160</v>
          </cell>
          <cell r="F202" t="str">
            <v>TOALHA UMEDECIDA 100 UNIDADES PATRULHA CANINA SKYE TOPZ BABY  CX/24</v>
          </cell>
          <cell r="G202">
            <v>34011190</v>
          </cell>
          <cell r="H202">
            <v>7891800646160</v>
          </cell>
          <cell r="I202">
            <v>17891800646167</v>
          </cell>
          <cell r="J202" t="str">
            <v>CX</v>
          </cell>
          <cell r="K202">
            <v>0.18</v>
          </cell>
          <cell r="L202">
            <v>0</v>
          </cell>
          <cell r="M202">
            <v>189.12479999999999</v>
          </cell>
          <cell r="N202">
            <v>208.03728000000001</v>
          </cell>
          <cell r="O202">
            <v>229.77779439252328</v>
          </cell>
          <cell r="P202">
            <v>235.69899140186914</v>
          </cell>
          <cell r="Q202">
            <v>241.26668411214953</v>
          </cell>
          <cell r="R202">
            <v>0.12</v>
          </cell>
          <cell r="S202">
            <v>0.12</v>
          </cell>
          <cell r="T202">
            <v>0</v>
          </cell>
        </row>
        <row r="203">
          <cell r="E203">
            <v>645811</v>
          </cell>
          <cell r="F203" t="str">
            <v>TALCO 200G PATRULHA CANINA TOPZ BABY CX/24</v>
          </cell>
          <cell r="G203" t="str">
            <v>33049100EX01</v>
          </cell>
          <cell r="H203">
            <v>7891800645811</v>
          </cell>
          <cell r="I203">
            <v>17891800645818</v>
          </cell>
          <cell r="J203" t="str">
            <v>CX</v>
          </cell>
          <cell r="K203">
            <v>0.18</v>
          </cell>
          <cell r="L203">
            <v>0.125</v>
          </cell>
          <cell r="M203">
            <v>126.80293636363635</v>
          </cell>
          <cell r="N203">
            <v>139.48323000000002</v>
          </cell>
          <cell r="O203">
            <v>154.05964231095999</v>
          </cell>
          <cell r="P203">
            <v>158.02964078589631</v>
          </cell>
          <cell r="Q203">
            <v>161.76262442650807</v>
          </cell>
          <cell r="R203">
            <v>0.12</v>
          </cell>
          <cell r="S203">
            <v>0.25</v>
          </cell>
          <cell r="T203">
            <v>7.8003000000000003E-2</v>
          </cell>
        </row>
        <row r="204">
          <cell r="E204">
            <v>646009</v>
          </cell>
          <cell r="F204" t="str">
            <v>TOALHA LUXO ESTAMP PATRULHA CANINA CREMER CX/12</v>
          </cell>
          <cell r="G204">
            <v>62092000</v>
          </cell>
          <cell r="H204">
            <v>7891800646009</v>
          </cell>
          <cell r="I204">
            <v>17891800646006</v>
          </cell>
          <cell r="J204" t="str">
            <v>CX</v>
          </cell>
          <cell r="K204">
            <v>0.18</v>
          </cell>
          <cell r="L204">
            <v>9.2499999999999999E-2</v>
          </cell>
          <cell r="M204">
            <v>243.03681818181823</v>
          </cell>
          <cell r="N204">
            <v>267.34050000000008</v>
          </cell>
          <cell r="O204">
            <v>295.27837723024635</v>
          </cell>
          <cell r="P204">
            <v>302.8874738742565</v>
          </cell>
          <cell r="Q204">
            <v>310.04229609175871</v>
          </cell>
          <cell r="R204">
            <v>0.18</v>
          </cell>
          <cell r="S204">
            <v>0.12</v>
          </cell>
          <cell r="T204">
            <v>0</v>
          </cell>
        </row>
        <row r="205">
          <cell r="E205">
            <v>646016</v>
          </cell>
          <cell r="F205" t="str">
            <v>FRALDA LUXO BAINHA 70X68CM PATRULHA CANINA CREMER CX/12</v>
          </cell>
          <cell r="G205">
            <v>96190000</v>
          </cell>
          <cell r="H205">
            <v>7891800646016</v>
          </cell>
          <cell r="I205">
            <v>17891800646013</v>
          </cell>
          <cell r="J205" t="str">
            <v>CX</v>
          </cell>
          <cell r="K205">
            <v>0.18</v>
          </cell>
          <cell r="L205">
            <v>9.2499999999999999E-2</v>
          </cell>
          <cell r="M205">
            <v>235.81615909090911</v>
          </cell>
          <cell r="N205">
            <v>259.39777500000002</v>
          </cell>
          <cell r="O205">
            <v>286.50561384876801</v>
          </cell>
          <cell r="P205">
            <v>293.88864312871704</v>
          </cell>
          <cell r="Q205">
            <v>300.83089454120648</v>
          </cell>
          <cell r="R205">
            <v>0.18</v>
          </cell>
          <cell r="S205">
            <v>0.12</v>
          </cell>
          <cell r="T205">
            <v>0</v>
          </cell>
        </row>
        <row r="206">
          <cell r="E206">
            <v>646023</v>
          </cell>
          <cell r="F206" t="str">
            <v>PANO DE BOCA PATRULHA CANINA CREMER PC 3UN CX/12</v>
          </cell>
          <cell r="G206">
            <v>62092000</v>
          </cell>
          <cell r="H206">
            <v>7891800646023</v>
          </cell>
          <cell r="I206">
            <v>17891800646020</v>
          </cell>
          <cell r="J206" t="str">
            <v>CX</v>
          </cell>
          <cell r="K206">
            <v>0.18</v>
          </cell>
          <cell r="L206">
            <v>9.2499999999999999E-2</v>
          </cell>
          <cell r="M206">
            <v>105.05178409090909</v>
          </cell>
          <cell r="N206">
            <v>115.5569625</v>
          </cell>
          <cell r="O206">
            <v>127.6330087085811</v>
          </cell>
          <cell r="P206">
            <v>130.92201316376381</v>
          </cell>
          <cell r="Q206">
            <v>134.01465914401021</v>
          </cell>
          <cell r="R206">
            <v>0.18</v>
          </cell>
          <cell r="S206">
            <v>0.12</v>
          </cell>
          <cell r="T206">
            <v>0</v>
          </cell>
        </row>
        <row r="207">
          <cell r="E207">
            <v>645774</v>
          </cell>
          <cell r="F207" t="str">
            <v xml:space="preserve">
CURATIVOS 10UN PATRULHA CANINA CHASE TOPZ CX/56</v>
          </cell>
          <cell r="G207">
            <v>30051020</v>
          </cell>
          <cell r="H207">
            <v>7891800645774</v>
          </cell>
          <cell r="I207">
            <v>17891800645771</v>
          </cell>
          <cell r="J207" t="str">
            <v>CX</v>
          </cell>
          <cell r="K207">
            <v>0.18</v>
          </cell>
          <cell r="L207">
            <v>9.2499999999999999E-2</v>
          </cell>
          <cell r="M207">
            <v>128.2107272727273</v>
          </cell>
          <cell r="N207">
            <v>141.0318</v>
          </cell>
          <cell r="O207">
            <v>155.77004248088357</v>
          </cell>
          <cell r="P207">
            <v>159.78411665250633</v>
          </cell>
          <cell r="Q207">
            <v>163.55854460492779</v>
          </cell>
          <cell r="R207">
            <v>0.18</v>
          </cell>
          <cell r="S207">
            <v>0.12</v>
          </cell>
          <cell r="T207">
            <v>0</v>
          </cell>
        </row>
        <row r="208">
          <cell r="E208">
            <v>645781</v>
          </cell>
          <cell r="F208" t="str">
            <v>CURATIVOS 25UN PATRULHA CANINA CHASE TOPZ CX/32</v>
          </cell>
          <cell r="G208">
            <v>30051020</v>
          </cell>
          <cell r="H208">
            <v>7891800645781</v>
          </cell>
          <cell r="I208">
            <v>17891800645788</v>
          </cell>
          <cell r="J208" t="str">
            <v>CX</v>
          </cell>
          <cell r="K208">
            <v>0.18</v>
          </cell>
          <cell r="L208">
            <v>9.2499999999999999E-2</v>
          </cell>
          <cell r="M208">
            <v>144.88281818181818</v>
          </cell>
          <cell r="N208">
            <v>159.37110000000001</v>
          </cell>
          <cell r="O208">
            <v>176.02585386576038</v>
          </cell>
          <cell r="P208">
            <v>180.56190471537806</v>
          </cell>
          <cell r="Q208">
            <v>184.82714655904843</v>
          </cell>
          <cell r="R208">
            <v>0.18</v>
          </cell>
          <cell r="S208">
            <v>0.12</v>
          </cell>
          <cell r="T208">
            <v>0</v>
          </cell>
        </row>
        <row r="209">
          <cell r="E209">
            <v>650747</v>
          </cell>
          <cell r="F209" t="str">
            <v>SABONETE LIQUIDO CABEÇA AOS PÉS 200mL PATRULHA CANINA TOPZ BABY CX/12</v>
          </cell>
          <cell r="G209">
            <v>34012010</v>
          </cell>
          <cell r="H209">
            <v>7891800650747</v>
          </cell>
          <cell r="I209">
            <v>17891800650744</v>
          </cell>
          <cell r="J209" t="str">
            <v>CX</v>
          </cell>
          <cell r="K209">
            <v>0.18</v>
          </cell>
          <cell r="L209">
            <v>0.125</v>
          </cell>
          <cell r="M209">
            <v>73.532195454545459</v>
          </cell>
          <cell r="N209">
            <v>80.885415000000009</v>
          </cell>
          <cell r="O209">
            <v>89.338181393372977</v>
          </cell>
          <cell r="P209">
            <v>91.640357606202201</v>
          </cell>
          <cell r="Q209">
            <v>93.805090463041637</v>
          </cell>
          <cell r="R209">
            <v>0.12</v>
          </cell>
          <cell r="S209">
            <v>0.12</v>
          </cell>
          <cell r="T209">
            <v>3.2501250000000002E-2</v>
          </cell>
        </row>
        <row r="210">
          <cell r="E210">
            <v>650754</v>
          </cell>
          <cell r="F210" t="str">
            <v>SHAMPOO NEUTRO 200mL PATRULHA CANINA TOPZ BABY CX/12</v>
          </cell>
          <cell r="G210">
            <v>33051000</v>
          </cell>
          <cell r="H210">
            <v>7891800650754</v>
          </cell>
          <cell r="I210">
            <v>17891800650751</v>
          </cell>
          <cell r="J210" t="str">
            <v>CX</v>
          </cell>
          <cell r="K210">
            <v>0.18</v>
          </cell>
          <cell r="L210">
            <v>0.125</v>
          </cell>
          <cell r="M210">
            <v>57.998413636363644</v>
          </cell>
          <cell r="N210">
            <v>63.798255000000005</v>
          </cell>
          <cell r="O210">
            <v>70.465362361937125</v>
          </cell>
          <cell r="P210">
            <v>72.281200545879344</v>
          </cell>
          <cell r="Q210">
            <v>73.98863048003399</v>
          </cell>
          <cell r="R210">
            <v>0.12</v>
          </cell>
          <cell r="S210">
            <v>0.12</v>
          </cell>
          <cell r="T210">
            <v>4.5501750000000001E-2</v>
          </cell>
        </row>
        <row r="211">
          <cell r="E211">
            <v>650761</v>
          </cell>
          <cell r="F211" t="str">
            <v>SHAMPOO NEUTRO 400mL PATRULHA CANINA TOPZ BABY CX/12</v>
          </cell>
          <cell r="G211">
            <v>33051000</v>
          </cell>
          <cell r="H211">
            <v>7891800650761</v>
          </cell>
          <cell r="I211">
            <v>17891800650768</v>
          </cell>
          <cell r="J211" t="str">
            <v>CX</v>
          </cell>
          <cell r="K211">
            <v>0.18</v>
          </cell>
          <cell r="L211">
            <v>0.125</v>
          </cell>
          <cell r="M211">
            <v>96.917290909090909</v>
          </cell>
          <cell r="N211">
            <v>106.60902000000003</v>
          </cell>
          <cell r="O211">
            <v>117.74997960917585</v>
          </cell>
          <cell r="P211">
            <v>120.78430600679691</v>
          </cell>
          <cell r="Q211">
            <v>123.63747858963467</v>
          </cell>
          <cell r="R211">
            <v>0.12</v>
          </cell>
          <cell r="S211">
            <v>0.12</v>
          </cell>
          <cell r="T211">
            <v>4.5501750000000001E-2</v>
          </cell>
        </row>
        <row r="212">
          <cell r="E212">
            <v>650778</v>
          </cell>
          <cell r="F212" t="str">
            <v>SHAMPOO CACHOS HIDRATADOS 200mL PATRULHA CANINA TOPZ CX/12</v>
          </cell>
          <cell r="G212">
            <v>33051000</v>
          </cell>
          <cell r="H212">
            <v>7891800650778</v>
          </cell>
          <cell r="I212">
            <v>17891800650775</v>
          </cell>
          <cell r="J212" t="str">
            <v>CX</v>
          </cell>
          <cell r="K212">
            <v>0.18</v>
          </cell>
          <cell r="L212">
            <v>0.125</v>
          </cell>
          <cell r="M212">
            <v>57.91399090909092</v>
          </cell>
          <cell r="N212">
            <v>63.705390000000023</v>
          </cell>
          <cell r="O212">
            <v>70.362792693288014</v>
          </cell>
          <cell r="P212">
            <v>72.175987735768899</v>
          </cell>
          <cell r="Q212">
            <v>73.880932327952436</v>
          </cell>
          <cell r="R212">
            <v>0.12</v>
          </cell>
          <cell r="S212">
            <v>0.12</v>
          </cell>
          <cell r="T212">
            <v>4.5501750000000001E-2</v>
          </cell>
        </row>
        <row r="213">
          <cell r="E213">
            <v>650785</v>
          </cell>
          <cell r="F213" t="str">
            <v>SHAMPOO CACHOS HIDRATADOS 400mL PATRULHA CANINA TOPZ CX/12</v>
          </cell>
          <cell r="G213">
            <v>33051000</v>
          </cell>
          <cell r="H213">
            <v>7891800650785</v>
          </cell>
          <cell r="I213">
            <v>17891800650782</v>
          </cell>
          <cell r="J213" t="str">
            <v>CX</v>
          </cell>
          <cell r="K213">
            <v>0.18</v>
          </cell>
          <cell r="L213">
            <v>0.125</v>
          </cell>
          <cell r="M213">
            <v>97.001713636363633</v>
          </cell>
          <cell r="N213">
            <v>106.70188500000002</v>
          </cell>
          <cell r="O213">
            <v>117.85254927782496</v>
          </cell>
          <cell r="P213">
            <v>120.88951881690738</v>
          </cell>
          <cell r="Q213">
            <v>123.74517674171625</v>
          </cell>
          <cell r="R213">
            <v>0.12</v>
          </cell>
          <cell r="S213">
            <v>0.12</v>
          </cell>
          <cell r="T213">
            <v>4.5501750000000001E-2</v>
          </cell>
        </row>
        <row r="214">
          <cell r="E214">
            <v>650792</v>
          </cell>
          <cell r="F214" t="str">
            <v>CONDICIONADOR NEUTRO 200mL PATRULHA CANINA TOPZ CX/12</v>
          </cell>
          <cell r="G214">
            <v>33059000</v>
          </cell>
          <cell r="H214">
            <v>7891800650792</v>
          </cell>
          <cell r="I214">
            <v>17891800650799</v>
          </cell>
          <cell r="J214" t="str">
            <v>CX</v>
          </cell>
          <cell r="K214">
            <v>0.18</v>
          </cell>
          <cell r="L214">
            <v>0.125</v>
          </cell>
          <cell r="M214">
            <v>70.155286363636378</v>
          </cell>
          <cell r="N214">
            <v>77.170815000000033</v>
          </cell>
          <cell r="O214">
            <v>85.235394647408654</v>
          </cell>
          <cell r="P214">
            <v>87.431845201784185</v>
          </cell>
          <cell r="Q214">
            <v>89.497164379779107</v>
          </cell>
          <cell r="R214">
            <v>0.12</v>
          </cell>
          <cell r="S214">
            <v>0.12</v>
          </cell>
          <cell r="T214">
            <v>4.5501750000000001E-2</v>
          </cell>
        </row>
        <row r="215">
          <cell r="E215">
            <v>650808</v>
          </cell>
          <cell r="F215" t="str">
            <v>CONDICIONADOR NEUTRO 400mL PATRULHA CANINA TOPZ CX/12</v>
          </cell>
          <cell r="G215">
            <v>33059000</v>
          </cell>
          <cell r="H215">
            <v>7891800650808</v>
          </cell>
          <cell r="I215">
            <v>17891800650805</v>
          </cell>
          <cell r="J215" t="str">
            <v>CX</v>
          </cell>
          <cell r="K215">
            <v>0.18</v>
          </cell>
          <cell r="L215">
            <v>0.125</v>
          </cell>
          <cell r="M215">
            <v>115.32144545454548</v>
          </cell>
          <cell r="N215">
            <v>126.85359000000004</v>
          </cell>
          <cell r="O215">
            <v>140.1101673746814</v>
          </cell>
          <cell r="P215">
            <v>143.7206986108751</v>
          </cell>
          <cell r="Q215">
            <v>147.11567574341549</v>
          </cell>
          <cell r="R215">
            <v>0.12</v>
          </cell>
          <cell r="S215">
            <v>0.12</v>
          </cell>
          <cell r="T215">
            <v>4.5501750000000001E-2</v>
          </cell>
        </row>
        <row r="216">
          <cell r="E216">
            <v>650815</v>
          </cell>
          <cell r="F216" t="str">
            <v>CONDICIONADOR CACHOS HIDRATADOS 200mL PATRULHA CANINA TOPZ CX/12</v>
          </cell>
          <cell r="G216">
            <v>33059000</v>
          </cell>
          <cell r="H216">
            <v>7891800650815</v>
          </cell>
          <cell r="I216">
            <v>17891800650812</v>
          </cell>
          <cell r="J216" t="str">
            <v>CX</v>
          </cell>
          <cell r="K216">
            <v>0.18</v>
          </cell>
          <cell r="L216">
            <v>0.125</v>
          </cell>
          <cell r="M216">
            <v>70.155286363636378</v>
          </cell>
          <cell r="N216">
            <v>77.170815000000033</v>
          </cell>
          <cell r="O216">
            <v>85.235394647408654</v>
          </cell>
          <cell r="P216">
            <v>87.431845201784185</v>
          </cell>
          <cell r="Q216">
            <v>89.497164379779107</v>
          </cell>
          <cell r="R216">
            <v>0.12</v>
          </cell>
          <cell r="S216">
            <v>0.12</v>
          </cell>
          <cell r="T216">
            <v>4.5501750000000001E-2</v>
          </cell>
        </row>
        <row r="217">
          <cell r="E217">
            <v>650822</v>
          </cell>
          <cell r="F217" t="str">
            <v>CONDICIONADOR CACHOS HIDRATADOS 400mL PATRULHA CANINA TOPZ CX/12</v>
          </cell>
          <cell r="G217">
            <v>33059000</v>
          </cell>
          <cell r="H217">
            <v>7891800650822</v>
          </cell>
          <cell r="I217">
            <v>17891800650829</v>
          </cell>
          <cell r="J217" t="str">
            <v>CX</v>
          </cell>
          <cell r="K217">
            <v>0.18</v>
          </cell>
          <cell r="L217">
            <v>0.125</v>
          </cell>
          <cell r="M217">
            <v>115.32144545454548</v>
          </cell>
          <cell r="N217">
            <v>126.85359000000004</v>
          </cell>
          <cell r="O217">
            <v>140.1101673746814</v>
          </cell>
          <cell r="P217">
            <v>143.7206986108751</v>
          </cell>
          <cell r="Q217">
            <v>147.11567574341549</v>
          </cell>
          <cell r="R217">
            <v>0.12</v>
          </cell>
          <cell r="S217">
            <v>0.12</v>
          </cell>
          <cell r="T217">
            <v>4.5501750000000001E-2</v>
          </cell>
        </row>
        <row r="218">
          <cell r="E218">
            <v>650839</v>
          </cell>
          <cell r="F218" t="str">
            <v>PROMOPACK SH+COND NEUTRO 2x200ml PATRULHA CANINA TOPZ CX/12</v>
          </cell>
          <cell r="G218">
            <v>33059000</v>
          </cell>
          <cell r="H218">
            <v>7891800650839</v>
          </cell>
          <cell r="I218">
            <v>17891800650836</v>
          </cell>
          <cell r="J218" t="str">
            <v>CX</v>
          </cell>
          <cell r="K218">
            <v>0.18</v>
          </cell>
          <cell r="L218">
            <v>0.125</v>
          </cell>
          <cell r="M218">
            <v>114.22394999999999</v>
          </cell>
          <cell r="N218">
            <v>125.64634500000001</v>
          </cell>
          <cell r="O218">
            <v>138.77676168224292</v>
          </cell>
          <cell r="P218">
            <v>142.35293207943923</v>
          </cell>
          <cell r="Q218">
            <v>145.71559976635515</v>
          </cell>
          <cell r="R218">
            <v>0.12</v>
          </cell>
          <cell r="S218">
            <v>0.12</v>
          </cell>
          <cell r="T218">
            <v>4.5501750000000001E-2</v>
          </cell>
        </row>
        <row r="219">
          <cell r="E219">
            <v>650846</v>
          </cell>
          <cell r="F219" t="str">
            <v>PROMOPACK SH+COND CACHOS 2x200ml PATRULHA CANINA TOPZ CX/12</v>
          </cell>
          <cell r="G219">
            <v>33059000</v>
          </cell>
          <cell r="H219">
            <v>7891800650846</v>
          </cell>
          <cell r="I219">
            <v>17891800650843</v>
          </cell>
          <cell r="J219" t="str">
            <v>CX</v>
          </cell>
          <cell r="K219">
            <v>0.18</v>
          </cell>
          <cell r="L219">
            <v>0.125</v>
          </cell>
          <cell r="M219">
            <v>114.22394999999999</v>
          </cell>
          <cell r="N219">
            <v>125.64634500000001</v>
          </cell>
          <cell r="O219">
            <v>138.77676168224292</v>
          </cell>
          <cell r="P219">
            <v>142.35293207943923</v>
          </cell>
          <cell r="Q219">
            <v>145.71559976635515</v>
          </cell>
          <cell r="R219">
            <v>0.12</v>
          </cell>
          <cell r="S219">
            <v>0.12</v>
          </cell>
          <cell r="T219">
            <v>4.5501750000000001E-2</v>
          </cell>
        </row>
        <row r="220">
          <cell r="E220">
            <v>650853</v>
          </cell>
          <cell r="F220" t="str">
            <v>CREME CONTRA ASSADURAS 60g PATRULHA CANINA TOPZ CX/12</v>
          </cell>
          <cell r="G220">
            <v>33049990</v>
          </cell>
          <cell r="H220">
            <v>7891800650853</v>
          </cell>
          <cell r="I220">
            <v>17891800650850</v>
          </cell>
          <cell r="J220" t="str">
            <v>CX</v>
          </cell>
          <cell r="K220">
            <v>0.18</v>
          </cell>
          <cell r="L220">
            <v>0.125</v>
          </cell>
          <cell r="M220">
            <v>93.118268181818181</v>
          </cell>
          <cell r="N220">
            <v>102.43009500000001</v>
          </cell>
          <cell r="O220">
            <v>113.13434451996598</v>
          </cell>
          <cell r="P220">
            <v>116.04972955182666</v>
          </cell>
          <cell r="Q220">
            <v>118.79106174596431</v>
          </cell>
          <cell r="R220">
            <v>0.18</v>
          </cell>
          <cell r="S220">
            <v>0.12</v>
          </cell>
          <cell r="T220">
            <v>0.14300550000000001</v>
          </cell>
        </row>
        <row r="221">
          <cell r="E221">
            <v>650860</v>
          </cell>
          <cell r="F221" t="str">
            <v>OLEO DE AMENDOAS 120mL PATRULHA CANINA TOPZ CX/12</v>
          </cell>
          <cell r="G221">
            <v>33049990</v>
          </cell>
          <cell r="H221">
            <v>7891800650860</v>
          </cell>
          <cell r="I221">
            <v>17891800650867</v>
          </cell>
          <cell r="J221" t="str">
            <v>CX</v>
          </cell>
          <cell r="K221">
            <v>0.18</v>
          </cell>
          <cell r="L221">
            <v>0.125</v>
          </cell>
          <cell r="M221">
            <v>92.780577272727285</v>
          </cell>
          <cell r="N221">
            <v>102.05863500000001</v>
          </cell>
          <cell r="O221">
            <v>112.72406584536957</v>
          </cell>
          <cell r="P221">
            <v>115.62887831138488</v>
          </cell>
          <cell r="Q221">
            <v>118.36026913763806</v>
          </cell>
          <cell r="R221">
            <v>0.12</v>
          </cell>
          <cell r="S221">
            <v>0.12</v>
          </cell>
          <cell r="T221">
            <v>0.14300550000000001</v>
          </cell>
        </row>
        <row r="222">
          <cell r="E222">
            <v>650877</v>
          </cell>
          <cell r="F222" t="str">
            <v>ÁGUA DE LAVANDA 120mL PATRULHA CANINA TOPZ CX/12</v>
          </cell>
          <cell r="G222">
            <v>33030020</v>
          </cell>
          <cell r="H222">
            <v>7891800650877</v>
          </cell>
          <cell r="I222">
            <v>17891800650874</v>
          </cell>
          <cell r="J222" t="str">
            <v>CX</v>
          </cell>
          <cell r="K222">
            <v>0.18</v>
          </cell>
          <cell r="L222">
            <v>0.125</v>
          </cell>
          <cell r="M222">
            <v>60.024559090909101</v>
          </cell>
          <cell r="N222">
            <v>66.027015000000006</v>
          </cell>
          <cell r="O222">
            <v>72.927034409515713</v>
          </cell>
          <cell r="P222">
            <v>74.806307988530151</v>
          </cell>
          <cell r="Q222">
            <v>76.573386129991519</v>
          </cell>
          <cell r="R222">
            <v>0.12</v>
          </cell>
          <cell r="S222">
            <v>0.12</v>
          </cell>
          <cell r="T222">
            <v>7.8003000000000003E-2</v>
          </cell>
        </row>
        <row r="223">
          <cell r="E223">
            <v>650907</v>
          </cell>
          <cell r="F223" t="str">
            <v>TOALHA UMEDECIDA 50UN PATRULHA CANINA RN TOPZ CX/24</v>
          </cell>
          <cell r="G223">
            <v>34011190</v>
          </cell>
          <cell r="H223">
            <v>7891800650907</v>
          </cell>
          <cell r="I223">
            <v>17891800650904</v>
          </cell>
          <cell r="J223" t="str">
            <v>CX</v>
          </cell>
          <cell r="K223">
            <v>0.18</v>
          </cell>
          <cell r="L223">
            <v>0</v>
          </cell>
          <cell r="M223">
            <v>99.384</v>
          </cell>
          <cell r="N223">
            <v>109.32240000000003</v>
          </cell>
          <cell r="O223">
            <v>120.74691588785043</v>
          </cell>
          <cell r="P223">
            <v>123.85847102803736</v>
          </cell>
          <cell r="Q223">
            <v>126.784261682243</v>
          </cell>
          <cell r="R223">
            <v>0.12</v>
          </cell>
          <cell r="S223">
            <v>0.12</v>
          </cell>
          <cell r="T223">
            <v>0</v>
          </cell>
        </row>
        <row r="224">
          <cell r="E224">
            <v>650914</v>
          </cell>
          <cell r="F224" t="str">
            <v>TOALHA UMEDECIDA 100UN PATRULHA CANINA RN TOPZ CX/24</v>
          </cell>
          <cell r="G224">
            <v>34011190</v>
          </cell>
          <cell r="H224">
            <v>7891800650914</v>
          </cell>
          <cell r="I224">
            <v>17891800650911</v>
          </cell>
          <cell r="J224" t="str">
            <v>CX</v>
          </cell>
          <cell r="K224">
            <v>0.18</v>
          </cell>
          <cell r="L224">
            <v>0</v>
          </cell>
          <cell r="M224">
            <v>189.12479999999999</v>
          </cell>
          <cell r="N224">
            <v>208.03728000000001</v>
          </cell>
          <cell r="O224">
            <v>229.77779439252328</v>
          </cell>
          <cell r="P224">
            <v>235.69899140186914</v>
          </cell>
          <cell r="Q224">
            <v>241.26668411214953</v>
          </cell>
          <cell r="R224">
            <v>0.12</v>
          </cell>
          <cell r="S224">
            <v>0.12</v>
          </cell>
          <cell r="T224">
            <v>0</v>
          </cell>
        </row>
        <row r="225">
          <cell r="E225">
            <v>646511</v>
          </cell>
          <cell r="F225" t="str">
            <v>FRALDA PREMIUM ESTAMP. 3UN CREMER 70CMX70CM CX/10</v>
          </cell>
          <cell r="G225">
            <v>96190000</v>
          </cell>
          <cell r="H225">
            <v>7891800646511</v>
          </cell>
          <cell r="I225">
            <v>17891800646518</v>
          </cell>
          <cell r="J225" t="str">
            <v>CX</v>
          </cell>
          <cell r="K225">
            <v>0.18</v>
          </cell>
          <cell r="L225">
            <v>9.2499999999999999E-2</v>
          </cell>
          <cell r="M225">
            <v>294.47667613636366</v>
          </cell>
          <cell r="N225">
            <v>323.92434375000005</v>
          </cell>
          <cell r="O225">
            <v>357.77540091333901</v>
          </cell>
          <cell r="P225">
            <v>366.99499778302891</v>
          </cell>
          <cell r="Q225">
            <v>375.66417095900601</v>
          </cell>
          <cell r="R225">
            <v>0.18</v>
          </cell>
          <cell r="S225">
            <v>0.12</v>
          </cell>
          <cell r="T225">
            <v>0</v>
          </cell>
        </row>
        <row r="226">
          <cell r="E226">
            <v>646504</v>
          </cell>
          <cell r="F226" t="str">
            <v>FRALDA PREMIUM BR 3UN CREMER 70CMX70CM CX/10</v>
          </cell>
          <cell r="G226">
            <v>96190000</v>
          </cell>
          <cell r="H226">
            <v>7891800646504</v>
          </cell>
          <cell r="I226">
            <v>17891800646501</v>
          </cell>
          <cell r="J226" t="str">
            <v>CX</v>
          </cell>
          <cell r="K226">
            <v>0.18</v>
          </cell>
          <cell r="L226">
            <v>9.2499999999999999E-2</v>
          </cell>
          <cell r="M226">
            <v>265.71144886363635</v>
          </cell>
          <cell r="N226">
            <v>292.28259375000005</v>
          </cell>
          <cell r="O226">
            <v>322.82699394647398</v>
          </cell>
          <cell r="P226">
            <v>331.14599725201782</v>
          </cell>
          <cell r="Q226">
            <v>338.96834364379782</v>
          </cell>
          <cell r="R226">
            <v>0.18</v>
          </cell>
          <cell r="S226">
            <v>0.12</v>
          </cell>
          <cell r="T226">
            <v>0</v>
          </cell>
        </row>
        <row r="227">
          <cell r="E227">
            <v>646559</v>
          </cell>
          <cell r="F227" t="str">
            <v>PANO BOCA PREMIUM MALHA ESTAMPADA 25X30 3UN CREMER CX/12</v>
          </cell>
          <cell r="G227">
            <v>62092000</v>
          </cell>
          <cell r="H227">
            <v>7891800646559</v>
          </cell>
          <cell r="I227">
            <v>17891800646556</v>
          </cell>
          <cell r="J227" t="str">
            <v>CX</v>
          </cell>
          <cell r="K227">
            <v>0.18</v>
          </cell>
          <cell r="L227">
            <v>9.2499999999999999E-2</v>
          </cell>
          <cell r="M227">
            <v>171.09439772727274</v>
          </cell>
          <cell r="N227">
            <v>188.20383750000002</v>
          </cell>
          <cell r="O227">
            <v>207.87169817332196</v>
          </cell>
          <cell r="P227">
            <v>213.22839193394219</v>
          </cell>
          <cell r="Q227">
            <v>218.26528308198809</v>
          </cell>
          <cell r="R227">
            <v>0.18</v>
          </cell>
          <cell r="S227">
            <v>0.12</v>
          </cell>
          <cell r="T227">
            <v>0</v>
          </cell>
        </row>
        <row r="228">
          <cell r="E228">
            <v>646542</v>
          </cell>
          <cell r="F228" t="str">
            <v>PANO BOCA PREMIUM MALHA BRANCO 25x30 3UN CREMER CX/12</v>
          </cell>
          <cell r="G228">
            <v>62092000</v>
          </cell>
          <cell r="H228">
            <v>7891800646542</v>
          </cell>
          <cell r="I228">
            <v>17891800646549</v>
          </cell>
          <cell r="J228" t="str">
            <v>CX</v>
          </cell>
          <cell r="K228">
            <v>0.18</v>
          </cell>
          <cell r="L228">
            <v>9.2499999999999999E-2</v>
          </cell>
          <cell r="M228">
            <v>155.24417045454547</v>
          </cell>
          <cell r="N228">
            <v>170.7685875</v>
          </cell>
          <cell r="O228">
            <v>188.61441270178415</v>
          </cell>
          <cell r="P228">
            <v>193.47486102909932</v>
          </cell>
          <cell r="Q228">
            <v>198.04513333687339</v>
          </cell>
          <cell r="R228">
            <v>0.18</v>
          </cell>
          <cell r="S228">
            <v>0.12</v>
          </cell>
          <cell r="T228">
            <v>0</v>
          </cell>
        </row>
        <row r="229">
          <cell r="E229">
            <v>646498</v>
          </cell>
          <cell r="F229" t="str">
            <v>TOALHA PREMIUM EST. CREMER 02UN 70CMX1M CX/10</v>
          </cell>
          <cell r="G229">
            <v>62092000</v>
          </cell>
          <cell r="H229">
            <v>7891800646498</v>
          </cell>
          <cell r="I229">
            <v>17891800646495</v>
          </cell>
          <cell r="J229" t="str">
            <v>CX</v>
          </cell>
          <cell r="K229">
            <v>0.18</v>
          </cell>
          <cell r="L229">
            <v>9.2499999999999999E-2</v>
          </cell>
          <cell r="M229">
            <v>286.47818181818178</v>
          </cell>
          <cell r="N229">
            <v>315.12599999999998</v>
          </cell>
          <cell r="O229">
            <v>348.05760407816467</v>
          </cell>
          <cell r="P229">
            <v>357.02678079864052</v>
          </cell>
          <cell r="Q229">
            <v>365.46048428207303</v>
          </cell>
          <cell r="R229">
            <v>0.18</v>
          </cell>
          <cell r="S229">
            <v>0.12</v>
          </cell>
          <cell r="T229">
            <v>0</v>
          </cell>
        </row>
        <row r="230">
          <cell r="E230">
            <v>646481</v>
          </cell>
          <cell r="F230" t="str">
            <v>TOALHA PREMIUM BR CREMER 02UN 70CMX1M CX/10</v>
          </cell>
          <cell r="G230">
            <v>62092000</v>
          </cell>
          <cell r="H230">
            <v>7891800645381</v>
          </cell>
          <cell r="I230">
            <v>17891800645388</v>
          </cell>
          <cell r="J230" t="str">
            <v>CX</v>
          </cell>
          <cell r="K230">
            <v>0.18</v>
          </cell>
          <cell r="L230">
            <v>9.2499999999999999E-2</v>
          </cell>
          <cell r="M230">
            <v>250.59502840909093</v>
          </cell>
          <cell r="N230">
            <v>275.65453125000005</v>
          </cell>
          <cell r="O230">
            <v>304.46124946898885</v>
          </cell>
          <cell r="P230">
            <v>312.30698166684357</v>
          </cell>
          <cell r="Q230">
            <v>319.6843119424384</v>
          </cell>
          <cell r="R230">
            <v>0.18</v>
          </cell>
          <cell r="S230">
            <v>0.12</v>
          </cell>
          <cell r="T230">
            <v>0</v>
          </cell>
        </row>
        <row r="231">
          <cell r="E231">
            <v>646528</v>
          </cell>
          <cell r="F231" t="str">
            <v>CUEIRO PREMIUM EST. ESTRELA CREMER 01UN 80CMX85CM CX/10</v>
          </cell>
          <cell r="G231">
            <v>96190000</v>
          </cell>
          <cell r="H231">
            <v>7891800646528</v>
          </cell>
          <cell r="I231">
            <v>17891800646525</v>
          </cell>
          <cell r="J231" t="str">
            <v>CX</v>
          </cell>
          <cell r="K231">
            <v>0.18</v>
          </cell>
          <cell r="L231">
            <v>9.2499999999999999E-2</v>
          </cell>
          <cell r="M231">
            <v>166.28062499999999</v>
          </cell>
          <cell r="N231">
            <v>182.90868750000004</v>
          </cell>
          <cell r="O231">
            <v>202.02318925233641</v>
          </cell>
          <cell r="P231">
            <v>207.22917143691581</v>
          </cell>
          <cell r="Q231">
            <v>212.12434871495327</v>
          </cell>
          <cell r="R231">
            <v>0.18</v>
          </cell>
          <cell r="S231">
            <v>0.12</v>
          </cell>
          <cell r="T231">
            <v>0</v>
          </cell>
        </row>
        <row r="232">
          <cell r="E232">
            <v>646535</v>
          </cell>
          <cell r="F232" t="str">
            <v>CUEIRO PREMIUM EST. FLECHAS XADREZ R 01UN 80CMX85CM CX/10</v>
          </cell>
          <cell r="G232">
            <v>96190000</v>
          </cell>
          <cell r="H232">
            <v>7891800646535</v>
          </cell>
          <cell r="I232">
            <v>17891800646532</v>
          </cell>
          <cell r="J232" t="str">
            <v>CX</v>
          </cell>
          <cell r="K232">
            <v>0.18</v>
          </cell>
          <cell r="L232">
            <v>9.2499999999999999E-2</v>
          </cell>
          <cell r="M232">
            <v>166.28062499999999</v>
          </cell>
          <cell r="N232">
            <v>182.90868750000004</v>
          </cell>
          <cell r="O232">
            <v>202.02318925233641</v>
          </cell>
          <cell r="P232">
            <v>207.22917143691581</v>
          </cell>
          <cell r="Q232">
            <v>212.12434871495327</v>
          </cell>
          <cell r="R232">
            <v>0.18</v>
          </cell>
          <cell r="S232">
            <v>0.12</v>
          </cell>
          <cell r="T232">
            <v>0</v>
          </cell>
        </row>
        <row r="233">
          <cell r="E233">
            <v>648607</v>
          </cell>
          <cell r="F233" t="str">
            <v xml:space="preserve">CURATIVO HIDROCOLOIDE PARA CALOS E BOLHAS 8UN CREMER CX/32       </v>
          </cell>
          <cell r="G233">
            <v>30051020</v>
          </cell>
          <cell r="H233">
            <v>7891800648607</v>
          </cell>
          <cell r="I233">
            <v>17891800648604</v>
          </cell>
          <cell r="J233" t="str">
            <v>CX</v>
          </cell>
          <cell r="K233">
            <v>0.18</v>
          </cell>
          <cell r="L233">
            <v>9.2499999999999999E-2</v>
          </cell>
          <cell r="M233">
            <v>225.89509090909087</v>
          </cell>
          <cell r="N233">
            <v>248.48460000000003</v>
          </cell>
          <cell r="O233">
            <v>274.45197960917579</v>
          </cell>
          <cell r="P233">
            <v>281.52439600679685</v>
          </cell>
          <cell r="Q233">
            <v>288.17457858963462</v>
          </cell>
          <cell r="R233">
            <v>0.18</v>
          </cell>
          <cell r="S233">
            <v>0.12</v>
          </cell>
          <cell r="T233">
            <v>0</v>
          </cell>
        </row>
        <row r="234">
          <cell r="E234">
            <v>647938</v>
          </cell>
          <cell r="F234" t="str">
            <v>TORNOZELEIRA LONGA M NEO CREMER CX/24</v>
          </cell>
          <cell r="G234">
            <v>90211010</v>
          </cell>
          <cell r="H234">
            <v>7891800647938</v>
          </cell>
          <cell r="I234">
            <v>17891800647935</v>
          </cell>
          <cell r="J234" t="str">
            <v>CX</v>
          </cell>
          <cell r="K234">
            <v>0</v>
          </cell>
          <cell r="L234">
            <v>0</v>
          </cell>
          <cell r="M234">
            <v>547.91999999999996</v>
          </cell>
          <cell r="N234">
            <v>602.71199999999999</v>
          </cell>
          <cell r="O234">
            <v>684.9</v>
          </cell>
          <cell r="P234">
            <v>695.85839999999996</v>
          </cell>
          <cell r="Q234">
            <v>712.29599999999994</v>
          </cell>
          <cell r="R234">
            <v>0</v>
          </cell>
          <cell r="S234">
            <v>0</v>
          </cell>
          <cell r="T234">
            <v>0</v>
          </cell>
        </row>
        <row r="235">
          <cell r="E235">
            <v>647945</v>
          </cell>
          <cell r="F235" t="str">
            <v>TORNOZELEIRA LONGA G NEO CREMER CX/24</v>
          </cell>
          <cell r="G235">
            <v>90211010</v>
          </cell>
          <cell r="H235">
            <v>7891800647945</v>
          </cell>
          <cell r="I235">
            <v>17891800647942</v>
          </cell>
          <cell r="J235" t="str">
            <v>CX</v>
          </cell>
          <cell r="K235">
            <v>0</v>
          </cell>
          <cell r="L235">
            <v>0</v>
          </cell>
          <cell r="M235">
            <v>547.91999999999996</v>
          </cell>
          <cell r="N235">
            <v>602.71199999999999</v>
          </cell>
          <cell r="O235">
            <v>684.9</v>
          </cell>
          <cell r="P235">
            <v>695.85839999999996</v>
          </cell>
          <cell r="Q235">
            <v>712.29599999999994</v>
          </cell>
          <cell r="R235">
            <v>0</v>
          </cell>
          <cell r="S235">
            <v>0</v>
          </cell>
          <cell r="T235">
            <v>0</v>
          </cell>
        </row>
        <row r="236">
          <cell r="E236">
            <v>647921</v>
          </cell>
          <cell r="F236" t="str">
            <v>TORNOZELEIRA LONGA P NEO CREMER CX/24</v>
          </cell>
          <cell r="G236">
            <v>90211010</v>
          </cell>
          <cell r="H236">
            <v>7891800647921</v>
          </cell>
          <cell r="I236">
            <v>17891800647928</v>
          </cell>
          <cell r="J236" t="str">
            <v>CX</v>
          </cell>
          <cell r="K236">
            <v>0</v>
          </cell>
          <cell r="L236">
            <v>0</v>
          </cell>
          <cell r="M236">
            <v>547.91999999999996</v>
          </cell>
          <cell r="N236">
            <v>602.71199999999999</v>
          </cell>
          <cell r="O236">
            <v>684.9</v>
          </cell>
          <cell r="P236">
            <v>695.85839999999996</v>
          </cell>
          <cell r="Q236">
            <v>712.29599999999994</v>
          </cell>
          <cell r="R236">
            <v>0</v>
          </cell>
          <cell r="S236">
            <v>0</v>
          </cell>
          <cell r="T236">
            <v>0</v>
          </cell>
        </row>
        <row r="237">
          <cell r="E237">
            <v>647983</v>
          </cell>
          <cell r="F237" t="str">
            <v>JOELHEIRA ORIFÍCIO REFORÇADO G NEO CREMER CX/12</v>
          </cell>
          <cell r="G237">
            <v>90211010</v>
          </cell>
          <cell r="H237">
            <v>7891800647983</v>
          </cell>
          <cell r="I237">
            <v>17891800647980</v>
          </cell>
          <cell r="J237" t="str">
            <v>CX</v>
          </cell>
          <cell r="K237">
            <v>0</v>
          </cell>
          <cell r="L237">
            <v>0</v>
          </cell>
          <cell r="M237">
            <v>263.52</v>
          </cell>
          <cell r="N237">
            <v>289.87200000000001</v>
          </cell>
          <cell r="O237">
            <v>329.40000000000003</v>
          </cell>
          <cell r="P237">
            <v>334.67040000000003</v>
          </cell>
          <cell r="Q237">
            <v>342.57600000000002</v>
          </cell>
          <cell r="R237">
            <v>0</v>
          </cell>
          <cell r="S237">
            <v>0</v>
          </cell>
          <cell r="T237">
            <v>0</v>
          </cell>
        </row>
        <row r="238">
          <cell r="E238">
            <v>647976</v>
          </cell>
          <cell r="F238" t="str">
            <v>JOELHEIRA ORIFÍCIO REFORÇADO M NEO CREMER CX/12</v>
          </cell>
          <cell r="G238">
            <v>90211010</v>
          </cell>
          <cell r="H238">
            <v>7891800647976</v>
          </cell>
          <cell r="I238">
            <v>17891800647973</v>
          </cell>
          <cell r="J238" t="str">
            <v>CX</v>
          </cell>
          <cell r="K238">
            <v>0</v>
          </cell>
          <cell r="L238">
            <v>0</v>
          </cell>
          <cell r="M238">
            <v>263.52</v>
          </cell>
          <cell r="N238">
            <v>289.87200000000001</v>
          </cell>
          <cell r="O238">
            <v>329.40000000000003</v>
          </cell>
          <cell r="P238">
            <v>334.67040000000003</v>
          </cell>
          <cell r="Q238">
            <v>342.57600000000002</v>
          </cell>
          <cell r="R238">
            <v>0</v>
          </cell>
          <cell r="S238">
            <v>0</v>
          </cell>
          <cell r="T238">
            <v>0</v>
          </cell>
        </row>
        <row r="239">
          <cell r="E239">
            <v>647969</v>
          </cell>
          <cell r="F239" t="str">
            <v>JOELHEIRA ORIFÍCIO REFORÇADO P NEO CREMER CX/12</v>
          </cell>
          <cell r="G239">
            <v>90211010</v>
          </cell>
          <cell r="H239">
            <v>7891800647969</v>
          </cell>
          <cell r="I239">
            <v>17891800647966</v>
          </cell>
          <cell r="J239" t="str">
            <v>CX</v>
          </cell>
          <cell r="K239">
            <v>0</v>
          </cell>
          <cell r="L239">
            <v>0</v>
          </cell>
          <cell r="M239">
            <v>263.52</v>
          </cell>
          <cell r="N239">
            <v>289.87200000000001</v>
          </cell>
          <cell r="O239">
            <v>329.40000000000003</v>
          </cell>
          <cell r="P239">
            <v>334.67040000000003</v>
          </cell>
          <cell r="Q239">
            <v>342.57600000000002</v>
          </cell>
          <cell r="R239">
            <v>0</v>
          </cell>
          <cell r="S239">
            <v>0</v>
          </cell>
          <cell r="T239">
            <v>0</v>
          </cell>
        </row>
        <row r="240">
          <cell r="E240">
            <v>647952</v>
          </cell>
          <cell r="F240" t="str">
            <v>MUNHEQUEIRA NEO AJUSTAVEL PUNHO E DEDO CREMER CX/48</v>
          </cell>
          <cell r="G240">
            <v>90211010</v>
          </cell>
          <cell r="H240">
            <v>7891800647952</v>
          </cell>
          <cell r="I240">
            <v>17891800647959</v>
          </cell>
          <cell r="J240" t="str">
            <v>CX</v>
          </cell>
          <cell r="K240">
            <v>0</v>
          </cell>
          <cell r="L240">
            <v>0</v>
          </cell>
          <cell r="M240">
            <v>842.87999999999988</v>
          </cell>
          <cell r="N240">
            <v>927.16799999999989</v>
          </cell>
          <cell r="O240">
            <v>1053.5999999999999</v>
          </cell>
          <cell r="P240">
            <v>1070.4576</v>
          </cell>
          <cell r="Q240">
            <v>1095.7439999999999</v>
          </cell>
          <cell r="R240">
            <v>0</v>
          </cell>
          <cell r="S240">
            <v>0</v>
          </cell>
          <cell r="T240">
            <v>0</v>
          </cell>
        </row>
        <row r="241">
          <cell r="E241">
            <v>649093</v>
          </cell>
          <cell r="F241" t="str">
            <v>BOLSA TÉRMICA 400G CREMER CX/24</v>
          </cell>
          <cell r="G241">
            <v>39123119</v>
          </cell>
          <cell r="H241">
            <v>7891800649093</v>
          </cell>
          <cell r="I241">
            <v>17891800649090</v>
          </cell>
          <cell r="J241" t="str">
            <v>CX</v>
          </cell>
          <cell r="K241">
            <v>0.18</v>
          </cell>
          <cell r="L241">
            <v>9.2499999999999999E-2</v>
          </cell>
          <cell r="M241">
            <v>173.11970454545457</v>
          </cell>
          <cell r="N241">
            <v>190.43167500000001</v>
          </cell>
          <cell r="O241">
            <v>216.39963068181819</v>
          </cell>
          <cell r="P241">
            <v>219.8620247727273</v>
          </cell>
          <cell r="Q241">
            <v>225.05561590909093</v>
          </cell>
          <cell r="R241">
            <v>0.18</v>
          </cell>
          <cell r="S241">
            <v>0.12</v>
          </cell>
          <cell r="T241">
            <v>0</v>
          </cell>
        </row>
        <row r="242">
          <cell r="E242">
            <v>662924</v>
          </cell>
          <cell r="F242" t="str">
            <v>EDUCADOR POSTURAL COSTAS TAM M PRETO CREMER CX/24</v>
          </cell>
          <cell r="G242">
            <v>90211010</v>
          </cell>
          <cell r="H242">
            <v>7891800662924</v>
          </cell>
          <cell r="I242">
            <v>17891800662921</v>
          </cell>
          <cell r="J242" t="str">
            <v>CX</v>
          </cell>
          <cell r="K242">
            <v>0</v>
          </cell>
          <cell r="L242">
            <v>0</v>
          </cell>
          <cell r="M242">
            <v>1201.2</v>
          </cell>
          <cell r="N242">
            <v>1321.3200000000002</v>
          </cell>
          <cell r="O242">
            <v>1501.5000000000002</v>
          </cell>
          <cell r="P242">
            <v>1525.5240000000001</v>
          </cell>
          <cell r="Q242">
            <v>1561.5600000000004</v>
          </cell>
          <cell r="R242">
            <v>0</v>
          </cell>
          <cell r="S242">
            <v>0</v>
          </cell>
          <cell r="T242">
            <v>0</v>
          </cell>
        </row>
        <row r="243">
          <cell r="E243">
            <v>662931</v>
          </cell>
          <cell r="F243" t="str">
            <v>EDUCADOR POSTURAL COSTAS TAM G PRETO CREMER  CX/24</v>
          </cell>
          <cell r="G243">
            <v>90211010</v>
          </cell>
          <cell r="H243">
            <v>7891800662931</v>
          </cell>
          <cell r="I243">
            <v>17891800662938</v>
          </cell>
          <cell r="J243" t="str">
            <v>CX</v>
          </cell>
          <cell r="K243">
            <v>0</v>
          </cell>
          <cell r="L243">
            <v>0</v>
          </cell>
          <cell r="M243">
            <v>1201.2</v>
          </cell>
          <cell r="N243">
            <v>1321.3200000000002</v>
          </cell>
          <cell r="O243">
            <v>1501.5000000000002</v>
          </cell>
          <cell r="P243">
            <v>1525.5240000000001</v>
          </cell>
          <cell r="Q243">
            <v>1561.5600000000004</v>
          </cell>
          <cell r="R243">
            <v>0</v>
          </cell>
          <cell r="S243">
            <v>0</v>
          </cell>
          <cell r="T243">
            <v>0</v>
          </cell>
        </row>
        <row r="244">
          <cell r="E244">
            <v>662948</v>
          </cell>
          <cell r="F244" t="str">
            <v>PUNHO COM TALA PRETO CREMER CX/24</v>
          </cell>
          <cell r="G244">
            <v>90211010</v>
          </cell>
          <cell r="H244">
            <v>7891800662948</v>
          </cell>
          <cell r="I244">
            <v>17891800662945</v>
          </cell>
          <cell r="J244" t="str">
            <v>CX</v>
          </cell>
          <cell r="K244">
            <v>0</v>
          </cell>
          <cell r="L244">
            <v>0</v>
          </cell>
          <cell r="M244">
            <v>948.24</v>
          </cell>
          <cell r="N244">
            <v>1043.0639999999999</v>
          </cell>
          <cell r="O244">
            <v>1185.3</v>
          </cell>
          <cell r="P244">
            <v>1204.2647999999999</v>
          </cell>
          <cell r="Q244">
            <v>1232.712</v>
          </cell>
          <cell r="R244">
            <v>0</v>
          </cell>
          <cell r="S244">
            <v>0</v>
          </cell>
          <cell r="T244">
            <v>0</v>
          </cell>
        </row>
        <row r="245">
          <cell r="E245">
            <v>662894</v>
          </cell>
          <cell r="F245" t="str">
            <v>CINTA MODELADORA TAM M PRETA CREMER CX/24</v>
          </cell>
          <cell r="G245">
            <v>90211010</v>
          </cell>
          <cell r="H245">
            <v>7891800662894</v>
          </cell>
          <cell r="I245">
            <v>17891800662891</v>
          </cell>
          <cell r="J245" t="str">
            <v>CX</v>
          </cell>
          <cell r="K245">
            <v>0</v>
          </cell>
          <cell r="L245">
            <v>0</v>
          </cell>
          <cell r="M245">
            <v>2107.44</v>
          </cell>
          <cell r="N245">
            <v>2318.1840000000002</v>
          </cell>
          <cell r="O245">
            <v>2634.3</v>
          </cell>
          <cell r="P245">
            <v>2676.4488000000001</v>
          </cell>
          <cell r="Q245">
            <v>2739.672</v>
          </cell>
          <cell r="R245">
            <v>0</v>
          </cell>
          <cell r="S245">
            <v>0</v>
          </cell>
          <cell r="T245">
            <v>0</v>
          </cell>
        </row>
        <row r="246">
          <cell r="E246">
            <v>662900</v>
          </cell>
          <cell r="F246" t="str">
            <v>CINTA MODELADORA TAM G PRETA CREMER  CX/24</v>
          </cell>
          <cell r="G246">
            <v>90211010</v>
          </cell>
          <cell r="H246">
            <v>7891800662900</v>
          </cell>
          <cell r="I246">
            <v>17891800662907</v>
          </cell>
          <cell r="J246" t="str">
            <v>CX</v>
          </cell>
          <cell r="K246">
            <v>0</v>
          </cell>
          <cell r="L246">
            <v>0</v>
          </cell>
          <cell r="M246">
            <v>2107.44</v>
          </cell>
          <cell r="N246">
            <v>2318.1840000000002</v>
          </cell>
          <cell r="O246">
            <v>2634.3</v>
          </cell>
          <cell r="P246">
            <v>2676.4488000000001</v>
          </cell>
          <cell r="Q246">
            <v>2739.672</v>
          </cell>
          <cell r="R246">
            <v>0</v>
          </cell>
          <cell r="S246">
            <v>0</v>
          </cell>
          <cell r="T246">
            <v>0</v>
          </cell>
        </row>
        <row r="247">
          <cell r="E247">
            <v>662955</v>
          </cell>
          <cell r="F247" t="str">
            <v>TIPOIA ORTOPEDICA SEM ALMOFADA TAM M AZUL CREMER CX/24</v>
          </cell>
          <cell r="G247">
            <v>90211010</v>
          </cell>
          <cell r="H247">
            <v>7891800662955</v>
          </cell>
          <cell r="I247">
            <v>17891800662952</v>
          </cell>
          <cell r="J247" t="str">
            <v>CX</v>
          </cell>
          <cell r="K247">
            <v>0</v>
          </cell>
          <cell r="L247">
            <v>0</v>
          </cell>
          <cell r="M247">
            <v>632.16</v>
          </cell>
          <cell r="N247">
            <v>695.37600000000009</v>
          </cell>
          <cell r="O247">
            <v>790.19999999999993</v>
          </cell>
          <cell r="P247">
            <v>802.84320000000002</v>
          </cell>
          <cell r="Q247">
            <v>821.80800000000011</v>
          </cell>
          <cell r="R247">
            <v>0</v>
          </cell>
          <cell r="S247">
            <v>0</v>
          </cell>
          <cell r="T247">
            <v>0</v>
          </cell>
        </row>
        <row r="248">
          <cell r="E248">
            <v>662962</v>
          </cell>
          <cell r="F248" t="str">
            <v>TIPOIA ORTOPEDICA SEM ALMOFADA TAM G AZUL CREMER CX/24</v>
          </cell>
          <cell r="G248">
            <v>90211010</v>
          </cell>
          <cell r="H248">
            <v>7891800662962</v>
          </cell>
          <cell r="I248">
            <v>17891800662969</v>
          </cell>
          <cell r="J248" t="str">
            <v>CX</v>
          </cell>
          <cell r="K248">
            <v>0</v>
          </cell>
          <cell r="L248">
            <v>0</v>
          </cell>
          <cell r="M248">
            <v>632.16</v>
          </cell>
          <cell r="N248">
            <v>695.37600000000009</v>
          </cell>
          <cell r="O248">
            <v>790.19999999999993</v>
          </cell>
          <cell r="P248">
            <v>802.84320000000002</v>
          </cell>
          <cell r="Q248">
            <v>821.80800000000011</v>
          </cell>
          <cell r="R248">
            <v>0</v>
          </cell>
          <cell r="S248">
            <v>0</v>
          </cell>
          <cell r="T248">
            <v>0</v>
          </cell>
        </row>
        <row r="249">
          <cell r="E249">
            <v>662917</v>
          </cell>
          <cell r="F249" t="str">
            <v>COXAL AJUSTAVEL PRETO CREMER CX/24</v>
          </cell>
          <cell r="G249">
            <v>90211010</v>
          </cell>
          <cell r="H249">
            <v>7891800662917</v>
          </cell>
          <cell r="I249">
            <v>17891800662914</v>
          </cell>
          <cell r="J249" t="str">
            <v>CX</v>
          </cell>
          <cell r="K249">
            <v>0</v>
          </cell>
          <cell r="L249">
            <v>0</v>
          </cell>
          <cell r="M249">
            <v>1189.68</v>
          </cell>
          <cell r="N249">
            <v>1308.6480000000001</v>
          </cell>
          <cell r="O249">
            <v>1487.1</v>
          </cell>
          <cell r="P249">
            <v>1510.8936000000001</v>
          </cell>
          <cell r="Q249">
            <v>1546.5840000000001</v>
          </cell>
          <cell r="R249">
            <v>0</v>
          </cell>
          <cell r="S249">
            <v>0</v>
          </cell>
          <cell r="T249">
            <v>0</v>
          </cell>
        </row>
        <row r="250">
          <cell r="E250">
            <v>648539</v>
          </cell>
          <cell r="F250" t="str">
            <v>ABSORVENTES PARA SEIOS CREMER 12 X 12 UN. CX/12</v>
          </cell>
          <cell r="G250">
            <v>96190000</v>
          </cell>
          <cell r="H250">
            <v>7891800648539</v>
          </cell>
          <cell r="I250">
            <v>17891800648536</v>
          </cell>
          <cell r="J250" t="str">
            <v>CX</v>
          </cell>
          <cell r="K250">
            <v>0.18</v>
          </cell>
          <cell r="L250">
            <v>9.2499999999999999E-2</v>
          </cell>
          <cell r="M250">
            <v>65.162045454545463</v>
          </cell>
          <cell r="N250">
            <v>71.678250000000006</v>
          </cell>
          <cell r="O250">
            <v>79.168840271877642</v>
          </cell>
          <cell r="P250">
            <v>81.208960386576038</v>
          </cell>
          <cell r="Q250">
            <v>83.127282285471551</v>
          </cell>
          <cell r="R250">
            <v>0.18</v>
          </cell>
          <cell r="S250">
            <v>0.12</v>
          </cell>
          <cell r="T250">
            <v>0</v>
          </cell>
        </row>
        <row r="251">
          <cell r="E251">
            <v>647341</v>
          </cell>
          <cell r="F251" t="str">
            <v>ABSORVENTES PARA SEIOS CREMER 12 X 30 UN. (LV30 PG24) CX/12</v>
          </cell>
          <cell r="G251">
            <v>96190000</v>
          </cell>
          <cell r="H251">
            <v>7891800647341</v>
          </cell>
          <cell r="I251">
            <v>17891800647348</v>
          </cell>
          <cell r="J251" t="str">
            <v>CX</v>
          </cell>
          <cell r="K251">
            <v>0.18</v>
          </cell>
          <cell r="L251">
            <v>9.2499999999999999E-2</v>
          </cell>
          <cell r="M251">
            <v>130.32409090909093</v>
          </cell>
          <cell r="N251">
            <v>143.35650000000001</v>
          </cell>
          <cell r="O251">
            <v>158.33768054375528</v>
          </cell>
          <cell r="P251">
            <v>162.41792077315208</v>
          </cell>
          <cell r="Q251">
            <v>166.2545645709431</v>
          </cell>
          <cell r="R251">
            <v>0.18</v>
          </cell>
          <cell r="S251">
            <v>0.12</v>
          </cell>
          <cell r="T251">
            <v>0</v>
          </cell>
        </row>
        <row r="252">
          <cell r="E252">
            <v>648751</v>
          </cell>
          <cell r="F252" t="str">
            <v>MASCARA SEMIFACIAL FILTRANTE N95 CREMER PACOTE C/1UN CX/24PC</v>
          </cell>
          <cell r="G252">
            <v>90200010</v>
          </cell>
          <cell r="H252">
            <v>7891800648751</v>
          </cell>
          <cell r="I252">
            <v>17891800648758</v>
          </cell>
          <cell r="J252" t="str">
            <v>CX</v>
          </cell>
          <cell r="K252">
            <v>0.18</v>
          </cell>
          <cell r="L252">
            <v>9.2499999999999999E-2</v>
          </cell>
          <cell r="M252">
            <v>57.589159090909085</v>
          </cell>
          <cell r="N252">
            <v>63.348075000000001</v>
          </cell>
          <cell r="O252">
            <v>69.96813721325401</v>
          </cell>
          <cell r="P252">
            <v>71.771162287595573</v>
          </cell>
          <cell r="Q252">
            <v>73.466544073916722</v>
          </cell>
          <cell r="R252">
            <v>0.18</v>
          </cell>
          <cell r="S252">
            <v>0.12</v>
          </cell>
          <cell r="T252">
            <v>0</v>
          </cell>
        </row>
        <row r="253">
          <cell r="E253">
            <v>648843</v>
          </cell>
          <cell r="F253" t="str">
            <v>MASCARA SEMIFACIAL FILTRANTE N95 CREMER PACOTE C/5UN CX/24PC</v>
          </cell>
          <cell r="G253">
            <v>90200010</v>
          </cell>
          <cell r="H253">
            <v>7891800648843</v>
          </cell>
          <cell r="I253">
            <v>17891800648840</v>
          </cell>
          <cell r="J253" t="str">
            <v>CX</v>
          </cell>
          <cell r="K253">
            <v>0.18</v>
          </cell>
          <cell r="L253">
            <v>9.2499999999999999E-2</v>
          </cell>
          <cell r="M253">
            <v>228.24327272727274</v>
          </cell>
          <cell r="N253">
            <v>251.06760000000006</v>
          </cell>
          <cell r="O253">
            <v>277.30491079014439</v>
          </cell>
          <cell r="P253">
            <v>284.45084502973657</v>
          </cell>
          <cell r="Q253">
            <v>291.17015632965172</v>
          </cell>
          <cell r="R253">
            <v>0.18</v>
          </cell>
          <cell r="S253">
            <v>0.12</v>
          </cell>
          <cell r="T253">
            <v>0</v>
          </cell>
        </row>
        <row r="254">
          <cell r="E254">
            <v>649314</v>
          </cell>
          <cell r="F254" t="str">
            <v>ALGODAO BOLAS CREMER 50G CX C/40</v>
          </cell>
          <cell r="G254">
            <v>56012110</v>
          </cell>
          <cell r="H254">
            <v>7891800649314</v>
          </cell>
          <cell r="I254">
            <v>17891800649311</v>
          </cell>
          <cell r="J254" t="str">
            <v>CX</v>
          </cell>
          <cell r="K254">
            <v>0.18</v>
          </cell>
          <cell r="L254">
            <v>9.2499999999999999E-2</v>
          </cell>
          <cell r="M254">
            <v>105.08113636363636</v>
          </cell>
          <cell r="N254">
            <v>115.58925000000002</v>
          </cell>
          <cell r="O254">
            <v>127.6686703483432</v>
          </cell>
          <cell r="P254">
            <v>130.95859377655054</v>
          </cell>
          <cell r="Q254">
            <v>134.05210386576042</v>
          </cell>
          <cell r="R254">
            <v>0.18</v>
          </cell>
          <cell r="S254">
            <v>0.12</v>
          </cell>
          <cell r="T254">
            <v>0</v>
          </cell>
        </row>
        <row r="255">
          <cell r="E255">
            <v>649321</v>
          </cell>
          <cell r="F255" t="str">
            <v>ALGODAO BOLAS CREMER 95G CX C/30</v>
          </cell>
          <cell r="G255">
            <v>56012110</v>
          </cell>
          <cell r="H255">
            <v>7891800649321</v>
          </cell>
          <cell r="I255">
            <v>17891800649328</v>
          </cell>
          <cell r="J255" t="str">
            <v>CX</v>
          </cell>
          <cell r="K255">
            <v>0.18</v>
          </cell>
          <cell r="L255">
            <v>9.2499999999999999E-2</v>
          </cell>
          <cell r="M255">
            <v>139.12977272727275</v>
          </cell>
          <cell r="N255">
            <v>153.04275000000001</v>
          </cell>
          <cell r="O255">
            <v>169.03617247238742</v>
          </cell>
          <cell r="P255">
            <v>173.39210460917587</v>
          </cell>
          <cell r="Q255">
            <v>177.48798109600682</v>
          </cell>
          <cell r="R255">
            <v>0.18</v>
          </cell>
          <cell r="S255">
            <v>0.12</v>
          </cell>
          <cell r="T255">
            <v>0</v>
          </cell>
        </row>
        <row r="256">
          <cell r="E256">
            <v>649345</v>
          </cell>
          <cell r="F256" t="str">
            <v>ALG. BOLAS TOPZ 50G FARDO 3X12 CX/36PC</v>
          </cell>
          <cell r="G256">
            <v>56012110</v>
          </cell>
          <cell r="H256">
            <v>7891800649338</v>
          </cell>
          <cell r="I256">
            <v>17891800649342</v>
          </cell>
          <cell r="J256" t="str">
            <v>CX</v>
          </cell>
          <cell r="K256">
            <v>0.18</v>
          </cell>
          <cell r="L256">
            <v>9.2499999999999999E-2</v>
          </cell>
          <cell r="M256">
            <v>90.082125000000005</v>
          </cell>
          <cell r="N256">
            <v>99.090337500000004</v>
          </cell>
          <cell r="O256">
            <v>109.44557242990651</v>
          </cell>
          <cell r="P256">
            <v>112.26590064252333</v>
          </cell>
          <cell r="Q256">
            <v>114.91785105140185</v>
          </cell>
          <cell r="R256">
            <v>0.18</v>
          </cell>
          <cell r="S256">
            <v>0.12</v>
          </cell>
          <cell r="T256">
            <v>0</v>
          </cell>
        </row>
        <row r="257">
          <cell r="E257">
            <v>649352</v>
          </cell>
          <cell r="F257" t="str">
            <v>ALG. BOLAS TOPZ 95G CX C/20</v>
          </cell>
          <cell r="G257">
            <v>56012110</v>
          </cell>
          <cell r="H257">
            <v>7891800649352</v>
          </cell>
          <cell r="I257">
            <v>17891800649359</v>
          </cell>
          <cell r="J257" t="str">
            <v>CX</v>
          </cell>
          <cell r="K257">
            <v>0.18</v>
          </cell>
          <cell r="L257">
            <v>9.2499999999999999E-2</v>
          </cell>
          <cell r="M257">
            <v>88.497102272727275</v>
          </cell>
          <cell r="N257">
            <v>97.346812500000013</v>
          </cell>
          <cell r="O257">
            <v>107.51984388275275</v>
          </cell>
          <cell r="P257">
            <v>110.29054755203906</v>
          </cell>
          <cell r="Q257">
            <v>112.8958360768904</v>
          </cell>
          <cell r="R257">
            <v>0.18</v>
          </cell>
          <cell r="S257">
            <v>0.12</v>
          </cell>
          <cell r="T257">
            <v>0</v>
          </cell>
        </row>
        <row r="258">
          <cell r="E258">
            <v>651430</v>
          </cell>
          <cell r="F258" t="str">
            <v>DISCO DE ALGODAO 50UN TOPZ CX C/24</v>
          </cell>
          <cell r="G258">
            <v>56012110</v>
          </cell>
          <cell r="H258">
            <v>7891800651430</v>
          </cell>
          <cell r="I258">
            <v>17891800651437</v>
          </cell>
          <cell r="J258" t="str">
            <v>CX</v>
          </cell>
          <cell r="K258">
            <v>0.18</v>
          </cell>
          <cell r="L258">
            <v>9.2499999999999999E-2</v>
          </cell>
          <cell r="M258">
            <v>99.856431818181818</v>
          </cell>
          <cell r="N258">
            <v>109.84207499999999</v>
          </cell>
          <cell r="O258">
            <v>121.32089847068818</v>
          </cell>
          <cell r="P258">
            <v>124.44724470050976</v>
          </cell>
          <cell r="Q258">
            <v>127.38694339422261</v>
          </cell>
          <cell r="R258">
            <v>0.18</v>
          </cell>
          <cell r="S258">
            <v>0.12</v>
          </cell>
          <cell r="T258">
            <v>0</v>
          </cell>
        </row>
        <row r="259">
          <cell r="E259">
            <v>651317</v>
          </cell>
          <cell r="F259" t="str">
            <v>ALGODAO BOLAS 50G BRANCO PATRULHA CANINA TOPZ BABY CX C/36</v>
          </cell>
          <cell r="G259">
            <v>56012110</v>
          </cell>
          <cell r="H259">
            <v>7891800651317</v>
          </cell>
          <cell r="I259">
            <v>17891800651314</v>
          </cell>
          <cell r="J259" t="str">
            <v>CX</v>
          </cell>
          <cell r="K259">
            <v>0.18</v>
          </cell>
          <cell r="L259">
            <v>9.2499999999999999E-2</v>
          </cell>
          <cell r="M259">
            <v>108.83822727272728</v>
          </cell>
          <cell r="N259">
            <v>119.72205000000004</v>
          </cell>
          <cell r="O259">
            <v>132.23336023789292</v>
          </cell>
          <cell r="P259">
            <v>135.64091221325401</v>
          </cell>
          <cell r="Q259">
            <v>138.84502824978759</v>
          </cell>
          <cell r="R259">
            <v>0.18</v>
          </cell>
          <cell r="S259">
            <v>0.12</v>
          </cell>
          <cell r="T259">
            <v>0</v>
          </cell>
        </row>
        <row r="260">
          <cell r="E260">
            <v>649505</v>
          </cell>
          <cell r="F260" t="str">
            <v>ALGODAO MULTIUSO CREMER 50G CX C/24</v>
          </cell>
          <cell r="G260">
            <v>56012110</v>
          </cell>
          <cell r="H260">
            <v>7891800649505</v>
          </cell>
          <cell r="I260">
            <v>17891800649502</v>
          </cell>
          <cell r="J260" t="str">
            <v>CX</v>
          </cell>
          <cell r="K260">
            <v>0.18</v>
          </cell>
          <cell r="L260">
            <v>9.2499999999999999E-2</v>
          </cell>
          <cell r="M260">
            <v>76.43331818181818</v>
          </cell>
          <cell r="N260">
            <v>84.076650000000001</v>
          </cell>
          <cell r="O260">
            <v>92.862909940526734</v>
          </cell>
          <cell r="P260">
            <v>95.255915696686486</v>
          </cell>
          <cell r="Q260">
            <v>97.506055437553101</v>
          </cell>
          <cell r="R260">
            <v>0.18</v>
          </cell>
          <cell r="S260">
            <v>0.12</v>
          </cell>
          <cell r="T260">
            <v>0</v>
          </cell>
        </row>
        <row r="261">
          <cell r="E261">
            <v>649529</v>
          </cell>
          <cell r="F261" t="str">
            <v>ALGODAO MULTIUSO ZZ TOPZ 25G CX C/60</v>
          </cell>
          <cell r="G261">
            <v>56012110</v>
          </cell>
          <cell r="H261">
            <v>7891800649529</v>
          </cell>
          <cell r="I261">
            <v>17891800649526</v>
          </cell>
          <cell r="J261" t="str">
            <v>CX</v>
          </cell>
          <cell r="K261">
            <v>0.18</v>
          </cell>
          <cell r="L261">
            <v>9.2499999999999999E-2</v>
          </cell>
          <cell r="M261">
            <v>82.333124999999981</v>
          </cell>
          <cell r="N261">
            <v>90.566437500000006</v>
          </cell>
          <cell r="O261">
            <v>100.03089953271028</v>
          </cell>
          <cell r="P261">
            <v>102.60861886682241</v>
          </cell>
          <cell r="Q261">
            <v>105.03244450934578</v>
          </cell>
          <cell r="R261">
            <v>0.18</v>
          </cell>
          <cell r="S261">
            <v>0.12</v>
          </cell>
          <cell r="T261">
            <v>0</v>
          </cell>
        </row>
        <row r="262">
          <cell r="E262">
            <v>649536</v>
          </cell>
          <cell r="F262" t="str">
            <v>ALG. ZZ TOPZ 25G (6X10) CX C/60</v>
          </cell>
          <cell r="G262">
            <v>56012110</v>
          </cell>
          <cell r="H262">
            <v>7891800649529</v>
          </cell>
          <cell r="I262">
            <v>17891800649533</v>
          </cell>
          <cell r="J262" t="str">
            <v>CX</v>
          </cell>
          <cell r="K262">
            <v>0.18</v>
          </cell>
          <cell r="L262">
            <v>9.2499999999999999E-2</v>
          </cell>
          <cell r="M262">
            <v>84.094261363636363</v>
          </cell>
          <cell r="N262">
            <v>92.503687499999998</v>
          </cell>
          <cell r="O262">
            <v>102.17059791843667</v>
          </cell>
          <cell r="P262">
            <v>104.80345563402716</v>
          </cell>
          <cell r="Q262">
            <v>107.27912781435853</v>
          </cell>
          <cell r="R262">
            <v>0.18</v>
          </cell>
          <cell r="S262">
            <v>0.12</v>
          </cell>
          <cell r="T262">
            <v>0</v>
          </cell>
        </row>
        <row r="263">
          <cell r="E263">
            <v>649543</v>
          </cell>
          <cell r="F263" t="str">
            <v>ALGODAO MULTIUSO ZZ TOPZ 50G CX C/30</v>
          </cell>
          <cell r="G263">
            <v>56012110</v>
          </cell>
          <cell r="H263">
            <v>7891800649543</v>
          </cell>
          <cell r="I263">
            <v>17891800649540</v>
          </cell>
          <cell r="J263" t="str">
            <v>CX</v>
          </cell>
          <cell r="K263">
            <v>0.18</v>
          </cell>
          <cell r="L263">
            <v>9.2499999999999999E-2</v>
          </cell>
          <cell r="M263">
            <v>67.363465909090905</v>
          </cell>
          <cell r="N263">
            <v>74.099812500000013</v>
          </cell>
          <cell r="O263">
            <v>81.843463254035655</v>
          </cell>
          <cell r="P263">
            <v>83.952506345581966</v>
          </cell>
          <cell r="Q263">
            <v>85.935636416737481</v>
          </cell>
          <cell r="R263">
            <v>0.18</v>
          </cell>
          <cell r="S263">
            <v>0.12</v>
          </cell>
          <cell r="T263">
            <v>0</v>
          </cell>
        </row>
        <row r="264">
          <cell r="E264">
            <v>652192</v>
          </cell>
          <cell r="F264" t="str">
            <v>DISCO DE ALGODAO 50UN PC C/3UN CREMER CX 21PC</v>
          </cell>
          <cell r="G264">
            <v>56012110</v>
          </cell>
          <cell r="H264">
            <v>7891800617320</v>
          </cell>
          <cell r="I264">
            <v>17891800652199</v>
          </cell>
          <cell r="J264" t="str">
            <v>CX</v>
          </cell>
          <cell r="K264">
            <v>0.18</v>
          </cell>
          <cell r="L264">
            <v>9.2499999999999999E-2</v>
          </cell>
          <cell r="M264">
            <v>202.17845454545454</v>
          </cell>
          <cell r="N264">
            <v>222.3963</v>
          </cell>
          <cell r="O264">
            <v>245.63737468139328</v>
          </cell>
          <cell r="P264">
            <v>251.96726087510612</v>
          </cell>
          <cell r="Q264">
            <v>257.91924341546303</v>
          </cell>
          <cell r="R264">
            <v>0.18</v>
          </cell>
          <cell r="S264">
            <v>0.12</v>
          </cell>
          <cell r="T264">
            <v>0</v>
          </cell>
        </row>
        <row r="265">
          <cell r="E265">
            <v>652994</v>
          </cell>
          <cell r="F265" t="str">
            <v>ALGODAO QUADRADINHO CREMER C/250UN CX/24</v>
          </cell>
          <cell r="G265">
            <v>56012110</v>
          </cell>
          <cell r="H265">
            <v>7891800652994</v>
          </cell>
          <cell r="I265">
            <v>17891800652991</v>
          </cell>
          <cell r="J265" t="str">
            <v>CX</v>
          </cell>
          <cell r="K265">
            <v>0.18</v>
          </cell>
          <cell r="L265">
            <v>9.2499999999999999E-2</v>
          </cell>
          <cell r="M265">
            <v>136.48806818181819</v>
          </cell>
          <cell r="N265">
            <v>150.13687500000003</v>
          </cell>
          <cell r="O265">
            <v>165.82662489379777</v>
          </cell>
          <cell r="P265">
            <v>170.09984945836871</v>
          </cell>
          <cell r="Q265">
            <v>174.11795613848767</v>
          </cell>
          <cell r="R265">
            <v>0.18</v>
          </cell>
          <cell r="S265">
            <v>0.12</v>
          </cell>
          <cell r="T265">
            <v>0</v>
          </cell>
        </row>
        <row r="266">
          <cell r="E266">
            <v>652260</v>
          </cell>
          <cell r="F266" t="str">
            <v>ALG. QUADRADO 100UN (100X90MM) CREMER CX C/12PC</v>
          </cell>
          <cell r="G266">
            <v>56012110</v>
          </cell>
          <cell r="H266">
            <v>7891800652260</v>
          </cell>
          <cell r="I266">
            <v>17891800652267</v>
          </cell>
          <cell r="J266" t="str">
            <v>CX</v>
          </cell>
          <cell r="K266">
            <v>0.18</v>
          </cell>
          <cell r="L266">
            <v>9.2499999999999999E-2</v>
          </cell>
          <cell r="M266">
            <v>138.77754545454547</v>
          </cell>
          <cell r="N266">
            <v>152.65530000000004</v>
          </cell>
          <cell r="O266">
            <v>168.60823279524209</v>
          </cell>
          <cell r="P266">
            <v>172.95313725573487</v>
          </cell>
          <cell r="Q266">
            <v>177.03864443500424</v>
          </cell>
          <cell r="R266">
            <v>0.18</v>
          </cell>
          <cell r="S266">
            <v>0.12</v>
          </cell>
          <cell r="T266">
            <v>0</v>
          </cell>
        </row>
        <row r="267">
          <cell r="E267">
            <v>652321</v>
          </cell>
          <cell r="F267" t="str">
            <v>ALG. QUADRADO FILEIRA DUPLA 100UN TOPZ CX C/ 24</v>
          </cell>
          <cell r="G267">
            <v>56012110</v>
          </cell>
          <cell r="H267">
            <v>7891800652321</v>
          </cell>
          <cell r="I267">
            <v>17891800652328</v>
          </cell>
          <cell r="J267" t="str">
            <v>CX</v>
          </cell>
          <cell r="K267">
            <v>0.18</v>
          </cell>
          <cell r="L267">
            <v>9.2499999999999999E-2</v>
          </cell>
          <cell r="M267">
            <v>128.91518181818182</v>
          </cell>
          <cell r="N267">
            <v>141.80670000000003</v>
          </cell>
          <cell r="O267">
            <v>156.62592183517415</v>
          </cell>
          <cell r="P267">
            <v>160.66205135938824</v>
          </cell>
          <cell r="Q267">
            <v>164.45721792693291</v>
          </cell>
          <cell r="R267">
            <v>0.18</v>
          </cell>
          <cell r="S267">
            <v>0.12</v>
          </cell>
          <cell r="T267">
            <v>0</v>
          </cell>
        </row>
        <row r="268">
          <cell r="E268">
            <v>652987</v>
          </cell>
          <cell r="F268" t="str">
            <v>ALGODAO DISCO TOPZ C/100 UN. (LV100 PG85) CX/24</v>
          </cell>
          <cell r="G268">
            <v>56012110</v>
          </cell>
          <cell r="H268">
            <v>7891800652987</v>
          </cell>
          <cell r="I268">
            <v>17891800652984</v>
          </cell>
          <cell r="J268" t="str">
            <v>CX</v>
          </cell>
          <cell r="K268">
            <v>0.18</v>
          </cell>
          <cell r="L268">
            <v>9.2499999999999999E-2</v>
          </cell>
          <cell r="M268">
            <v>144.58929545454549</v>
          </cell>
          <cell r="N268">
            <v>159.04822500000006</v>
          </cell>
          <cell r="O268">
            <v>175.6692374681393</v>
          </cell>
          <cell r="P268">
            <v>180.19609858751062</v>
          </cell>
          <cell r="Q268">
            <v>184.45269934154629</v>
          </cell>
          <cell r="R268">
            <v>0.18</v>
          </cell>
          <cell r="S268">
            <v>0.12</v>
          </cell>
          <cell r="T268">
            <v>0</v>
          </cell>
        </row>
        <row r="269">
          <cell r="E269">
            <v>664201</v>
          </cell>
          <cell r="F269" t="str">
            <v>ATADURA CREP CYSNE 6CMX1,80M CREMER CX 12PC/06UN ENV</v>
          </cell>
          <cell r="G269">
            <v>30059090</v>
          </cell>
          <cell r="H269">
            <v>7891800000641</v>
          </cell>
          <cell r="I269">
            <v>17891800664208</v>
          </cell>
          <cell r="J269" t="str">
            <v>CX</v>
          </cell>
          <cell r="K269">
            <v>0.18</v>
          </cell>
          <cell r="L269">
            <v>9.2499999999999999E-2</v>
          </cell>
          <cell r="M269">
            <v>76.081090909090904</v>
          </cell>
          <cell r="N269">
            <v>83.6892</v>
          </cell>
          <cell r="O269">
            <v>92.434970263381445</v>
          </cell>
          <cell r="P269">
            <v>94.816948343245528</v>
          </cell>
          <cell r="Q269">
            <v>97.056718776550539</v>
          </cell>
          <cell r="R269">
            <v>0.18</v>
          </cell>
          <cell r="S269">
            <v>0.12</v>
          </cell>
          <cell r="T269">
            <v>0</v>
          </cell>
        </row>
        <row r="270">
          <cell r="E270">
            <v>664218</v>
          </cell>
          <cell r="F270" t="str">
            <v>ATADURA CREP CYSNE 8CMX1,80M CREMER CX 12PC/06UN ENV</v>
          </cell>
          <cell r="G270">
            <v>30059090</v>
          </cell>
          <cell r="H270">
            <v>7891800000658</v>
          </cell>
          <cell r="I270">
            <v>17891800664215</v>
          </cell>
          <cell r="J270" t="str">
            <v>CX</v>
          </cell>
          <cell r="K270">
            <v>0.18</v>
          </cell>
          <cell r="L270">
            <v>9.2499999999999999E-2</v>
          </cell>
          <cell r="M270">
            <v>97.214727272727302</v>
          </cell>
          <cell r="N270">
            <v>106.93620000000004</v>
          </cell>
          <cell r="O270">
            <v>118.11135089209853</v>
          </cell>
          <cell r="P270">
            <v>121.15498954970262</v>
          </cell>
          <cell r="Q270">
            <v>124.01691843670349</v>
          </cell>
          <cell r="R270">
            <v>0.18</v>
          </cell>
          <cell r="S270">
            <v>0.12</v>
          </cell>
          <cell r="T270">
            <v>0</v>
          </cell>
        </row>
        <row r="271">
          <cell r="E271">
            <v>664225</v>
          </cell>
          <cell r="F271" t="str">
            <v>ATADURA CREP CYSNE 10CMX1,80M CREMER CX 12PC/06UN ENV</v>
          </cell>
          <cell r="G271">
            <v>30059090</v>
          </cell>
          <cell r="H271">
            <v>7891800000665</v>
          </cell>
          <cell r="I271">
            <v>17891800664222</v>
          </cell>
          <cell r="J271" t="str">
            <v>CX</v>
          </cell>
          <cell r="K271">
            <v>0.18</v>
          </cell>
          <cell r="L271">
            <v>9.2499999999999999E-2</v>
          </cell>
          <cell r="M271">
            <v>117.29168181818183</v>
          </cell>
          <cell r="N271">
            <v>129.02085000000005</v>
          </cell>
          <cell r="O271">
            <v>142.50391248937976</v>
          </cell>
          <cell r="P271">
            <v>146.17612869583687</v>
          </cell>
          <cell r="Q271">
            <v>149.62910811384882</v>
          </cell>
          <cell r="R271">
            <v>0.18</v>
          </cell>
          <cell r="S271">
            <v>0.12</v>
          </cell>
          <cell r="T271">
            <v>0</v>
          </cell>
        </row>
        <row r="272">
          <cell r="E272">
            <v>664232</v>
          </cell>
          <cell r="F272" t="str">
            <v>ATADURA CREP CYSNE 12CMX1,80M CREMER CX 12PC/06UN ENV</v>
          </cell>
          <cell r="G272">
            <v>30059090</v>
          </cell>
          <cell r="H272">
            <v>7891800000672</v>
          </cell>
          <cell r="I272">
            <v>17891800664239</v>
          </cell>
          <cell r="J272" t="str">
            <v>CX</v>
          </cell>
          <cell r="K272">
            <v>0.18</v>
          </cell>
          <cell r="L272">
            <v>9.2499999999999999E-2</v>
          </cell>
          <cell r="M272">
            <v>138.9536590909091</v>
          </cell>
          <cell r="N272">
            <v>152.84902500000001</v>
          </cell>
          <cell r="O272">
            <v>168.82220263381473</v>
          </cell>
          <cell r="P272">
            <v>173.17262093245535</v>
          </cell>
          <cell r="Q272">
            <v>177.26331276550553</v>
          </cell>
          <cell r="R272">
            <v>0.18</v>
          </cell>
          <cell r="S272">
            <v>0.12</v>
          </cell>
          <cell r="T272">
            <v>0</v>
          </cell>
        </row>
        <row r="273">
          <cell r="E273">
            <v>661958</v>
          </cell>
          <cell r="F273" t="str">
            <v>ATADURA CREP CYSNE 15CMX1,80M CREMER CX 12PC/06UN ENV</v>
          </cell>
          <cell r="G273">
            <v>30059090</v>
          </cell>
          <cell r="H273">
            <v>7891800000689</v>
          </cell>
          <cell r="I273">
            <v>17891800661955</v>
          </cell>
          <cell r="J273" t="str">
            <v>CX</v>
          </cell>
          <cell r="K273">
            <v>0.18</v>
          </cell>
          <cell r="L273">
            <v>9.2499999999999999E-2</v>
          </cell>
          <cell r="M273">
            <v>172.23913636363633</v>
          </cell>
          <cell r="N273">
            <v>189.46305000000001</v>
          </cell>
          <cell r="O273">
            <v>209.26250212404409</v>
          </cell>
          <cell r="P273">
            <v>214.65503583262529</v>
          </cell>
          <cell r="Q273">
            <v>219.7256272302464</v>
          </cell>
          <cell r="R273">
            <v>0.18</v>
          </cell>
          <cell r="S273">
            <v>0.12</v>
          </cell>
          <cell r="T273">
            <v>0</v>
          </cell>
        </row>
        <row r="274">
          <cell r="E274">
            <v>661965</v>
          </cell>
          <cell r="F274" t="str">
            <v>FRALDA PINTEBORDE AZ 70CMX70CM CREMER CX 12PC/05UN</v>
          </cell>
          <cell r="G274">
            <v>96190000</v>
          </cell>
          <cell r="H274">
            <v>7891800359251</v>
          </cell>
          <cell r="I274">
            <v>17891800661962</v>
          </cell>
          <cell r="J274" t="str">
            <v>CX</v>
          </cell>
          <cell r="K274">
            <v>0.18</v>
          </cell>
          <cell r="L274">
            <v>9.2499999999999999E-2</v>
          </cell>
          <cell r="M274">
            <v>219.78981818181819</v>
          </cell>
          <cell r="N274">
            <v>241.76880000000003</v>
          </cell>
          <cell r="O274">
            <v>267.03435853865756</v>
          </cell>
          <cell r="P274">
            <v>273.91562854715374</v>
          </cell>
          <cell r="Q274">
            <v>280.38607646559052</v>
          </cell>
          <cell r="R274">
            <v>0.18</v>
          </cell>
          <cell r="S274">
            <v>0.12</v>
          </cell>
          <cell r="T274">
            <v>0</v>
          </cell>
        </row>
        <row r="275">
          <cell r="E275">
            <v>661972</v>
          </cell>
          <cell r="F275" t="str">
            <v>FRALDA PINTEBORDE RS 70CMX70CM CREMER CX 12PC/05UN</v>
          </cell>
          <cell r="G275">
            <v>96190000</v>
          </cell>
          <cell r="H275">
            <v>7891800359565</v>
          </cell>
          <cell r="I275">
            <v>17891800661979</v>
          </cell>
          <cell r="J275" t="str">
            <v>CX</v>
          </cell>
          <cell r="K275">
            <v>0.18</v>
          </cell>
          <cell r="L275">
            <v>9.2499999999999999E-2</v>
          </cell>
          <cell r="M275">
            <v>219.78981818181819</v>
          </cell>
          <cell r="N275">
            <v>241.76880000000003</v>
          </cell>
          <cell r="O275">
            <v>267.03435853865756</v>
          </cell>
          <cell r="P275">
            <v>273.91562854715374</v>
          </cell>
          <cell r="Q275">
            <v>280.38607646559052</v>
          </cell>
          <cell r="R275">
            <v>0.18</v>
          </cell>
          <cell r="S275">
            <v>0.12</v>
          </cell>
          <cell r="T275">
            <v>0</v>
          </cell>
        </row>
        <row r="276">
          <cell r="E276">
            <v>664249</v>
          </cell>
          <cell r="F276" t="str">
            <v>TOALHA PINTEBORDE BR 70CMX120 CREMER CX 12PC/03UN</v>
          </cell>
          <cell r="G276">
            <v>96190000</v>
          </cell>
          <cell r="H276">
            <v>7891800359589</v>
          </cell>
          <cell r="I276">
            <v>17891800664246</v>
          </cell>
          <cell r="J276" t="str">
            <v>CX</v>
          </cell>
          <cell r="K276">
            <v>0.18</v>
          </cell>
          <cell r="L276">
            <v>9.2499999999999999E-2</v>
          </cell>
          <cell r="M276">
            <v>214.77057954545452</v>
          </cell>
          <cell r="N276">
            <v>236.2476375</v>
          </cell>
          <cell r="O276">
            <v>260.93621813933714</v>
          </cell>
          <cell r="P276">
            <v>267.66034376062015</v>
          </cell>
          <cell r="Q276">
            <v>273.98302904630418</v>
          </cell>
          <cell r="R276">
            <v>0.18</v>
          </cell>
          <cell r="S276">
            <v>0.12</v>
          </cell>
          <cell r="T276">
            <v>0</v>
          </cell>
        </row>
        <row r="277">
          <cell r="E277">
            <v>664256</v>
          </cell>
          <cell r="F277" t="str">
            <v>FRALDA PINTEBORDE BR 70CMX70CM PCT 15UNI CREMER CX/ C/6</v>
          </cell>
          <cell r="G277">
            <v>96190000</v>
          </cell>
          <cell r="H277">
            <v>7891800645361</v>
          </cell>
          <cell r="I277">
            <v>17891800664253</v>
          </cell>
          <cell r="J277" t="str">
            <v>CX</v>
          </cell>
          <cell r="K277">
            <v>0.18</v>
          </cell>
          <cell r="L277">
            <v>9.2499999999999999E-2</v>
          </cell>
          <cell r="M277">
            <v>260.20789772727278</v>
          </cell>
          <cell r="N277">
            <v>286.22868750000004</v>
          </cell>
          <cell r="O277">
            <v>316.14043649107896</v>
          </cell>
          <cell r="P277">
            <v>324.28713235450294</v>
          </cell>
          <cell r="Q277">
            <v>331.94745831563301</v>
          </cell>
          <cell r="R277">
            <v>0.18</v>
          </cell>
          <cell r="S277">
            <v>0.12</v>
          </cell>
          <cell r="T277">
            <v>0</v>
          </cell>
        </row>
        <row r="278">
          <cell r="E278">
            <v>664263</v>
          </cell>
          <cell r="F278" t="str">
            <v>FRALDA LUXO BR 70X70CM CREMER PC 15UN CX C/6 NOVA</v>
          </cell>
          <cell r="G278">
            <v>96190000</v>
          </cell>
          <cell r="H278">
            <v>7891800332643</v>
          </cell>
          <cell r="I278">
            <v>17891800664260</v>
          </cell>
          <cell r="J278" t="str">
            <v>CX</v>
          </cell>
          <cell r="K278">
            <v>0.18</v>
          </cell>
          <cell r="L278">
            <v>9.2499999999999999E-2</v>
          </cell>
          <cell r="M278">
            <v>266.59201704545455</v>
          </cell>
          <cell r="N278">
            <v>293.25121875000002</v>
          </cell>
          <cell r="O278">
            <v>323.89684313933719</v>
          </cell>
          <cell r="P278">
            <v>332.24341563562012</v>
          </cell>
          <cell r="Q278">
            <v>340.09168529630415</v>
          </cell>
          <cell r="R278">
            <v>0.18</v>
          </cell>
          <cell r="S278">
            <v>0.12</v>
          </cell>
          <cell r="T278">
            <v>0</v>
          </cell>
        </row>
        <row r="279">
          <cell r="E279">
            <v>664294</v>
          </cell>
          <cell r="F279" t="str">
            <v>TOALHA CAPUZ 90x75CM MENINO CX/6 UN</v>
          </cell>
          <cell r="G279">
            <v>62092000</v>
          </cell>
          <cell r="H279">
            <v>7891800625974</v>
          </cell>
          <cell r="I279">
            <v>17891800664291</v>
          </cell>
          <cell r="J279" t="str">
            <v>CX</v>
          </cell>
          <cell r="K279">
            <v>0.18</v>
          </cell>
          <cell r="L279">
            <v>9.2499999999999999E-2</v>
          </cell>
          <cell r="M279">
            <v>143.57664204545455</v>
          </cell>
          <cell r="N279">
            <v>157.93430624999999</v>
          </cell>
          <cell r="O279">
            <v>174.43891089634661</v>
          </cell>
          <cell r="P279">
            <v>178.93406744636786</v>
          </cell>
          <cell r="Q279">
            <v>183.16085644116396</v>
          </cell>
          <cell r="R279">
            <v>0.18</v>
          </cell>
          <cell r="S279">
            <v>0.12</v>
          </cell>
          <cell r="T279">
            <v>0</v>
          </cell>
        </row>
        <row r="280">
          <cell r="E280">
            <v>664300</v>
          </cell>
          <cell r="F280" t="str">
            <v>TOALHA CAPUZ 90x75CM MENINA CX/6 UN</v>
          </cell>
          <cell r="G280">
            <v>62092000</v>
          </cell>
          <cell r="H280">
            <v>7891800625428</v>
          </cell>
          <cell r="I280">
            <v>17891800664307</v>
          </cell>
          <cell r="J280" t="str">
            <v>CX</v>
          </cell>
          <cell r="K280">
            <v>0.18</v>
          </cell>
          <cell r="L280">
            <v>9.2499999999999999E-2</v>
          </cell>
          <cell r="M280">
            <v>143.57664204545455</v>
          </cell>
          <cell r="N280">
            <v>157.93430624999999</v>
          </cell>
          <cell r="O280">
            <v>174.43891089634661</v>
          </cell>
          <cell r="P280">
            <v>178.93406744636786</v>
          </cell>
          <cell r="Q280">
            <v>183.16085644116396</v>
          </cell>
          <cell r="R280">
            <v>0.18</v>
          </cell>
          <cell r="S280">
            <v>0.12</v>
          </cell>
          <cell r="T280">
            <v>0</v>
          </cell>
        </row>
        <row r="281">
          <cell r="E281">
            <v>664317</v>
          </cell>
          <cell r="F281" t="str">
            <v>COMPRESSA IRIS | 09 FIOS | 7,5 x 7,5 | CX 12PC/500UN</v>
          </cell>
          <cell r="G281">
            <v>30059090</v>
          </cell>
          <cell r="H281">
            <v>7891800001426</v>
          </cell>
          <cell r="I281">
            <v>17891800664314</v>
          </cell>
          <cell r="J281" t="str">
            <v>CX</v>
          </cell>
          <cell r="K281">
            <v>0.18</v>
          </cell>
          <cell r="L281">
            <v>9.2499999999999999E-2</v>
          </cell>
          <cell r="M281">
            <v>370.19086363636364</v>
          </cell>
          <cell r="N281">
            <v>407.20995000000005</v>
          </cell>
          <cell r="O281">
            <v>449.76460067969396</v>
          </cell>
          <cell r="P281">
            <v>461.35468846644005</v>
          </cell>
          <cell r="Q281">
            <v>472.25283071367886</v>
          </cell>
          <cell r="R281">
            <v>0.18</v>
          </cell>
          <cell r="S281">
            <v>0.12</v>
          </cell>
          <cell r="T281">
            <v>0</v>
          </cell>
        </row>
        <row r="282">
          <cell r="E282">
            <v>664324</v>
          </cell>
          <cell r="F282" t="str">
            <v>COMPRESSA NIDIA | 11 FIOS | 7,5 x 7,5 | CX 12PC/500UN</v>
          </cell>
          <cell r="G282">
            <v>30059090</v>
          </cell>
          <cell r="H282">
            <v>7891800001372</v>
          </cell>
          <cell r="I282">
            <v>17891800664321</v>
          </cell>
          <cell r="J282" t="str">
            <v>CX</v>
          </cell>
          <cell r="K282">
            <v>0.18</v>
          </cell>
          <cell r="L282">
            <v>9.2499999999999999E-2</v>
          </cell>
          <cell r="M282">
            <v>433.76788636363642</v>
          </cell>
          <cell r="N282">
            <v>477.14467500000001</v>
          </cell>
          <cell r="O282">
            <v>527.00771240441793</v>
          </cell>
          <cell r="P282">
            <v>540.58829576253174</v>
          </cell>
          <cell r="Q282">
            <v>553.35809802463882</v>
          </cell>
          <cell r="R282">
            <v>0.18</v>
          </cell>
          <cell r="S282">
            <v>0.12</v>
          </cell>
          <cell r="T282">
            <v>0</v>
          </cell>
        </row>
        <row r="283">
          <cell r="E283">
            <v>664331</v>
          </cell>
          <cell r="F283" t="str">
            <v>COMPRESSA ESTRELA | 13 FIOS | 7,5 x 7,5 | CX 12PC/500UN</v>
          </cell>
          <cell r="G283">
            <v>30059090</v>
          </cell>
          <cell r="H283">
            <v>7891800001259</v>
          </cell>
          <cell r="I283">
            <v>17891800664338</v>
          </cell>
          <cell r="J283" t="str">
            <v>CX</v>
          </cell>
          <cell r="K283">
            <v>0.18</v>
          </cell>
          <cell r="L283">
            <v>9.2499999999999999E-2</v>
          </cell>
          <cell r="M283">
            <v>526.84394318181819</v>
          </cell>
          <cell r="N283">
            <v>579.52833750000002</v>
          </cell>
          <cell r="O283">
            <v>640.0907720900592</v>
          </cell>
          <cell r="P283">
            <v>656.58541890930303</v>
          </cell>
          <cell r="Q283">
            <v>672.09531069456227</v>
          </cell>
          <cell r="R283">
            <v>0.18</v>
          </cell>
          <cell r="S283">
            <v>0.12</v>
          </cell>
          <cell r="T283">
            <v>0</v>
          </cell>
        </row>
        <row r="284">
          <cell r="E284">
            <v>662993</v>
          </cell>
          <cell r="F284" t="str">
            <v>ESPARADRAPO 5CMX4,5M CREMER IMPERMEAVEL CX 72 UM</v>
          </cell>
          <cell r="G284">
            <v>30051030</v>
          </cell>
          <cell r="H284">
            <v>7891800276527</v>
          </cell>
          <cell r="I284">
            <v>17891800662990</v>
          </cell>
          <cell r="J284" t="str">
            <v>CX</v>
          </cell>
          <cell r="K284">
            <v>0.18</v>
          </cell>
          <cell r="L284">
            <v>9.2499999999999999E-2</v>
          </cell>
          <cell r="M284">
            <v>545.776159090909</v>
          </cell>
          <cell r="N284">
            <v>600.35377500000016</v>
          </cell>
          <cell r="O284">
            <v>682.22019886363637</v>
          </cell>
          <cell r="P284">
            <v>693.1357220454546</v>
          </cell>
          <cell r="Q284">
            <v>709.50900681818189</v>
          </cell>
          <cell r="R284">
            <v>0.18</v>
          </cell>
          <cell r="S284">
            <v>0.12</v>
          </cell>
          <cell r="T284">
            <v>0</v>
          </cell>
        </row>
        <row r="285">
          <cell r="E285">
            <v>663006</v>
          </cell>
          <cell r="F285" t="str">
            <v>ESPARADRAPO PROCITEX 10CMX4,5M CREMER IMPERMEAVEL CX 36 UM</v>
          </cell>
          <cell r="G285">
            <v>30051030</v>
          </cell>
          <cell r="H285">
            <v>7891800257199</v>
          </cell>
          <cell r="I285">
            <v>17891800663003</v>
          </cell>
          <cell r="J285" t="str">
            <v>CX</v>
          </cell>
          <cell r="K285">
            <v>0.18</v>
          </cell>
          <cell r="L285">
            <v>9.2499999999999999E-2</v>
          </cell>
          <cell r="M285">
            <v>329.94889772727271</v>
          </cell>
          <cell r="N285">
            <v>362.94378750000004</v>
          </cell>
          <cell r="O285">
            <v>412.43612215909098</v>
          </cell>
          <cell r="P285">
            <v>419.03510011363647</v>
          </cell>
          <cell r="Q285">
            <v>428.93356704545454</v>
          </cell>
          <cell r="R285">
            <v>0.18</v>
          </cell>
          <cell r="S285">
            <v>0.12</v>
          </cell>
          <cell r="T285">
            <v>0</v>
          </cell>
        </row>
        <row r="286">
          <cell r="E286">
            <v>663013</v>
          </cell>
          <cell r="F286" t="str">
            <v>ESPARADRAPO PRE CORTADO CREMER IMPERMEAVEL CX 36UN</v>
          </cell>
          <cell r="G286">
            <v>30051030</v>
          </cell>
          <cell r="H286">
            <v>7891800227154</v>
          </cell>
          <cell r="I286">
            <v>17891800663010</v>
          </cell>
          <cell r="J286" t="str">
            <v>CX</v>
          </cell>
          <cell r="K286">
            <v>0.18</v>
          </cell>
          <cell r="L286">
            <v>9.2499999999999999E-2</v>
          </cell>
          <cell r="M286">
            <v>552.64459090909099</v>
          </cell>
          <cell r="N286">
            <v>607.90905000000009</v>
          </cell>
          <cell r="O286">
            <v>690.80573863636369</v>
          </cell>
          <cell r="P286">
            <v>701.85863045454551</v>
          </cell>
          <cell r="Q286">
            <v>718.43796818181818</v>
          </cell>
          <cell r="R286">
            <v>0.18</v>
          </cell>
          <cell r="S286">
            <v>0.12</v>
          </cell>
          <cell r="T286">
            <v>0</v>
          </cell>
        </row>
        <row r="287">
          <cell r="E287">
            <v>663020</v>
          </cell>
          <cell r="F287" t="str">
            <v>ESPARADRAPO HIPOALER. 5CMX4,5M CREMER IMPERMEAVEL CX 36UN</v>
          </cell>
          <cell r="G287">
            <v>30051030</v>
          </cell>
          <cell r="H287">
            <v>7891800365856</v>
          </cell>
          <cell r="I287">
            <v>17891800663027</v>
          </cell>
          <cell r="J287" t="str">
            <v>CX</v>
          </cell>
          <cell r="K287">
            <v>0.18</v>
          </cell>
          <cell r="L287">
            <v>9.2499999999999999E-2</v>
          </cell>
          <cell r="M287">
            <v>295.87090909090909</v>
          </cell>
          <cell r="N287">
            <v>325.45799999999997</v>
          </cell>
          <cell r="O287">
            <v>369.83863636363628</v>
          </cell>
          <cell r="P287">
            <v>375.75605454545445</v>
          </cell>
          <cell r="Q287">
            <v>384.63218181818172</v>
          </cell>
          <cell r="R287">
            <v>0.18</v>
          </cell>
          <cell r="S287">
            <v>0.12</v>
          </cell>
          <cell r="T287">
            <v>0</v>
          </cell>
        </row>
        <row r="288">
          <cell r="E288">
            <v>669299</v>
          </cell>
          <cell r="F288" t="str">
            <v>ESPARADRAPO BEGE CREMER 1,2CMX3M CX72</v>
          </cell>
          <cell r="G288">
            <v>30051030</v>
          </cell>
          <cell r="H288">
            <v>7891800669299</v>
          </cell>
          <cell r="I288">
            <v>17891800669296</v>
          </cell>
          <cell r="J288" t="str">
            <v>CX</v>
          </cell>
          <cell r="K288">
            <v>0.18</v>
          </cell>
          <cell r="L288">
            <v>9.2499999999999999E-2</v>
          </cell>
          <cell r="M288">
            <v>136.84029545454547</v>
          </cell>
          <cell r="N288">
            <v>150.524325</v>
          </cell>
          <cell r="O288">
            <v>171.05036931818179</v>
          </cell>
          <cell r="P288">
            <v>173.78717522727274</v>
          </cell>
          <cell r="Q288">
            <v>177.8923840909091</v>
          </cell>
          <cell r="R288">
            <v>0.18</v>
          </cell>
          <cell r="S288">
            <v>0.12</v>
          </cell>
          <cell r="T288">
            <v>0</v>
          </cell>
        </row>
        <row r="289">
          <cell r="E289">
            <v>669510</v>
          </cell>
          <cell r="F289" t="str">
            <v>ESPARADRAPO BEGE CREMER 2,5CMX3M CX48</v>
          </cell>
          <cell r="G289">
            <v>30051030</v>
          </cell>
          <cell r="H289">
            <v>7891800669510</v>
          </cell>
          <cell r="I289">
            <v>17891800669517</v>
          </cell>
          <cell r="J289" t="str">
            <v>CX</v>
          </cell>
          <cell r="K289">
            <v>0.18</v>
          </cell>
          <cell r="L289">
            <v>9.2499999999999999E-2</v>
          </cell>
          <cell r="M289">
            <v>151.80995454545456</v>
          </cell>
          <cell r="N289">
            <v>166.99095</v>
          </cell>
          <cell r="O289">
            <v>189.76244318181818</v>
          </cell>
          <cell r="P289">
            <v>192.79864227272725</v>
          </cell>
          <cell r="Q289">
            <v>197.3529409090909</v>
          </cell>
          <cell r="R289">
            <v>0.18</v>
          </cell>
          <cell r="S289">
            <v>0.12</v>
          </cell>
          <cell r="T289">
            <v>0</v>
          </cell>
        </row>
        <row r="290">
          <cell r="E290">
            <v>669527</v>
          </cell>
          <cell r="F290" t="str">
            <v>ESPARADRAPO BEGE CREMER 5CMX3M CX36</v>
          </cell>
          <cell r="G290">
            <v>30051030</v>
          </cell>
          <cell r="H290">
            <v>7891800669527</v>
          </cell>
          <cell r="I290">
            <v>17891800669524</v>
          </cell>
          <cell r="J290" t="str">
            <v>CX</v>
          </cell>
          <cell r="K290">
            <v>0.18</v>
          </cell>
          <cell r="L290">
            <v>9.2499999999999999E-2</v>
          </cell>
          <cell r="M290">
            <v>187.56102272727273</v>
          </cell>
          <cell r="N290">
            <v>206.31712500000003</v>
          </cell>
          <cell r="O290">
            <v>234.45127840909092</v>
          </cell>
          <cell r="P290">
            <v>238.20249886363632</v>
          </cell>
          <cell r="Q290">
            <v>243.82932954545458</v>
          </cell>
          <cell r="R290">
            <v>0.18</v>
          </cell>
          <cell r="S290">
            <v>0.12</v>
          </cell>
          <cell r="T290">
            <v>0</v>
          </cell>
        </row>
        <row r="291">
          <cell r="E291">
            <v>670608</v>
          </cell>
          <cell r="F291" t="str">
            <v>ESPARADRAPO SALVELOX 10CMX3M CX C/36UN</v>
          </cell>
          <cell r="G291">
            <v>30051030</v>
          </cell>
          <cell r="H291">
            <v>7891800670608</v>
          </cell>
          <cell r="I291">
            <v>17891800670605</v>
          </cell>
          <cell r="J291" t="str">
            <v>CX</v>
          </cell>
          <cell r="K291">
            <v>0.18</v>
          </cell>
          <cell r="L291">
            <v>9.2499999999999999E-2</v>
          </cell>
          <cell r="M291">
            <v>209.75134090909091</v>
          </cell>
          <cell r="N291">
            <v>230.72647500000008</v>
          </cell>
          <cell r="O291">
            <v>262.1891761363637</v>
          </cell>
          <cell r="P291">
            <v>266.38420295454546</v>
          </cell>
          <cell r="Q291">
            <v>272.67674318181827</v>
          </cell>
          <cell r="R291">
            <v>0.18</v>
          </cell>
          <cell r="S291">
            <v>0.12</v>
          </cell>
          <cell r="T291">
            <v>0</v>
          </cell>
        </row>
        <row r="292">
          <cell r="E292">
            <v>668131</v>
          </cell>
          <cell r="F292" t="str">
            <v>ALGODAO HIDROFILO COSMETICOS ROLO 500G TOPZ CX8    </v>
          </cell>
          <cell r="G292">
            <v>56012110</v>
          </cell>
          <cell r="H292">
            <v>7891800668131</v>
          </cell>
          <cell r="I292">
            <v>17891800668138</v>
          </cell>
          <cell r="J292" t="str">
            <v>CX</v>
          </cell>
          <cell r="K292">
            <v>0.18</v>
          </cell>
          <cell r="L292">
            <v>9.2499999999999999E-2</v>
          </cell>
          <cell r="M292">
            <v>138.77754545454547</v>
          </cell>
          <cell r="N292">
            <v>152.65530000000004</v>
          </cell>
          <cell r="O292">
            <v>168.60823279524212</v>
          </cell>
          <cell r="P292">
            <v>172.95313725573487</v>
          </cell>
          <cell r="Q292">
            <v>177.03864443500424</v>
          </cell>
          <cell r="R292">
            <v>0.18</v>
          </cell>
          <cell r="S292">
            <v>0.12</v>
          </cell>
          <cell r="T292">
            <v>0</v>
          </cell>
        </row>
        <row r="293">
          <cell r="E293">
            <v>668179</v>
          </cell>
          <cell r="F293" t="str">
            <v>ALGODAO HIDROFILO COSMETICOS ROLO 50G TOPZ CX24    </v>
          </cell>
          <cell r="G293">
            <v>56012110</v>
          </cell>
          <cell r="H293">
            <v>7891800668179</v>
          </cell>
          <cell r="I293">
            <v>17891800668176</v>
          </cell>
          <cell r="J293" t="str">
            <v>CX</v>
          </cell>
          <cell r="K293">
            <v>0.18</v>
          </cell>
          <cell r="L293">
            <v>9.2499999999999999E-2</v>
          </cell>
          <cell r="M293">
            <v>64.457590909090911</v>
          </cell>
          <cell r="N293">
            <v>70.903350000000017</v>
          </cell>
          <cell r="O293">
            <v>78.312960917587077</v>
          </cell>
          <cell r="P293">
            <v>80.331025679694122</v>
          </cell>
          <cell r="Q293">
            <v>82.228608963466456</v>
          </cell>
          <cell r="R293">
            <v>0.18</v>
          </cell>
          <cell r="S293">
            <v>0.12</v>
          </cell>
          <cell r="T293">
            <v>0</v>
          </cell>
        </row>
        <row r="294">
          <cell r="E294">
            <v>668223</v>
          </cell>
          <cell r="F294" t="str">
            <v>ALGODAO HIDROFILO COSMETICOS  ROLO 50G TOPZ (2X12) CX24</v>
          </cell>
          <cell r="G294">
            <v>56012110</v>
          </cell>
          <cell r="H294">
            <v>7891800668179</v>
          </cell>
          <cell r="I294">
            <v>17891800668220</v>
          </cell>
          <cell r="J294" t="str">
            <v>CX</v>
          </cell>
          <cell r="K294">
            <v>0.18</v>
          </cell>
          <cell r="L294">
            <v>9.2499999999999999E-2</v>
          </cell>
          <cell r="M294">
            <v>66.570954545454541</v>
          </cell>
          <cell r="N294">
            <v>73.228049999999996</v>
          </cell>
          <cell r="O294">
            <v>80.880598980458771</v>
          </cell>
          <cell r="P294">
            <v>82.964829800339828</v>
          </cell>
          <cell r="Q294">
            <v>84.924628929481727</v>
          </cell>
          <cell r="R294">
            <v>0.18</v>
          </cell>
          <cell r="S294">
            <v>0.12</v>
          </cell>
          <cell r="T294">
            <v>0</v>
          </cell>
        </row>
        <row r="295">
          <cell r="E295">
            <v>668209</v>
          </cell>
          <cell r="F295" t="str">
            <v>ALGODAO HIDROFILO COSMETICOS ROLO 25G TOPZ CX40   </v>
          </cell>
          <cell r="G295">
            <v>56012110</v>
          </cell>
          <cell r="H295">
            <v>7891800668209</v>
          </cell>
          <cell r="I295">
            <v>17891800668206</v>
          </cell>
          <cell r="J295" t="str">
            <v>CX</v>
          </cell>
          <cell r="K295">
            <v>0.18</v>
          </cell>
          <cell r="L295">
            <v>9.2499999999999999E-2</v>
          </cell>
          <cell r="M295">
            <v>62.520340909090898</v>
          </cell>
          <cell r="N295">
            <v>68.772375000000011</v>
          </cell>
          <cell r="O295">
            <v>75.959292693288006</v>
          </cell>
          <cell r="P295">
            <v>77.916705235768887</v>
          </cell>
          <cell r="Q295">
            <v>79.757257327952431</v>
          </cell>
          <cell r="R295">
            <v>0.18</v>
          </cell>
          <cell r="S295">
            <v>0.12</v>
          </cell>
          <cell r="T295">
            <v>0</v>
          </cell>
        </row>
        <row r="296">
          <cell r="E296">
            <v>668216</v>
          </cell>
          <cell r="F296" t="str">
            <v>ALGODAO HIDROFILO COSMETICOS ROLO 25G TOPZ (4X10) CX40  </v>
          </cell>
          <cell r="G296">
            <v>56012110</v>
          </cell>
          <cell r="H296">
            <v>7891800668209</v>
          </cell>
          <cell r="I296">
            <v>17891800668213</v>
          </cell>
          <cell r="J296" t="str">
            <v>CX</v>
          </cell>
          <cell r="K296">
            <v>0.18</v>
          </cell>
          <cell r="L296">
            <v>9.2499999999999999E-2</v>
          </cell>
          <cell r="M296">
            <v>63.107386363636373</v>
          </cell>
          <cell r="N296">
            <v>69.418125000000018</v>
          </cell>
          <cell r="O296">
            <v>76.672525488530141</v>
          </cell>
          <cell r="P296">
            <v>78.648317491503803</v>
          </cell>
          <cell r="Q296">
            <v>80.506151762956662</v>
          </cell>
          <cell r="R296">
            <v>0.18</v>
          </cell>
          <cell r="S296">
            <v>0.12</v>
          </cell>
          <cell r="T296">
            <v>0</v>
          </cell>
        </row>
        <row r="297">
          <cell r="E297">
            <v>665017</v>
          </cell>
          <cell r="F297" t="str">
            <v>MICROPOROSA BEGE 1,2CMX4,5M CREMER CX 72UN</v>
          </cell>
          <cell r="G297">
            <v>30051030</v>
          </cell>
          <cell r="H297">
            <v>7891800665017</v>
          </cell>
          <cell r="I297">
            <v>17891800665014</v>
          </cell>
          <cell r="J297" t="str">
            <v>CX</v>
          </cell>
          <cell r="K297">
            <v>0.18</v>
          </cell>
          <cell r="L297">
            <v>9.2499999999999999E-2</v>
          </cell>
          <cell r="M297">
            <v>211.86470454545452</v>
          </cell>
          <cell r="N297">
            <v>233.05117500000003</v>
          </cell>
          <cell r="O297">
            <v>264.83088068181814</v>
          </cell>
          <cell r="P297">
            <v>269.06817477272733</v>
          </cell>
          <cell r="Q297">
            <v>275.42411590909092</v>
          </cell>
          <cell r="R297">
            <v>0.18</v>
          </cell>
          <cell r="S297">
            <v>0.12</v>
          </cell>
          <cell r="T297">
            <v>0</v>
          </cell>
        </row>
        <row r="298">
          <cell r="E298">
            <v>665024</v>
          </cell>
          <cell r="F298" t="str">
            <v>MICROPOROSA BEGE 2,5CMX4,5M CREMER CX 48UN</v>
          </cell>
          <cell r="G298">
            <v>30051030</v>
          </cell>
          <cell r="H298">
            <v>7891800665024</v>
          </cell>
          <cell r="I298">
            <v>17891800665021</v>
          </cell>
          <cell r="J298" t="str">
            <v>CX</v>
          </cell>
          <cell r="K298">
            <v>0.18</v>
          </cell>
          <cell r="L298">
            <v>9.2499999999999999E-2</v>
          </cell>
          <cell r="M298">
            <v>257.47813636363639</v>
          </cell>
          <cell r="N298">
            <v>283.22595000000007</v>
          </cell>
          <cell r="O298">
            <v>321.84767045454544</v>
          </cell>
          <cell r="P298">
            <v>326.99723318181816</v>
          </cell>
          <cell r="Q298">
            <v>334.7215772727273</v>
          </cell>
          <cell r="R298">
            <v>0.18</v>
          </cell>
          <cell r="S298">
            <v>0.12</v>
          </cell>
          <cell r="T298">
            <v>0</v>
          </cell>
        </row>
        <row r="299">
          <cell r="E299">
            <v>665437</v>
          </cell>
          <cell r="F299" t="str">
            <v>MICROPOROSA CREMER BEGE 5CM x 4,5M | CX 24UN</v>
          </cell>
          <cell r="G299">
            <v>30051030</v>
          </cell>
          <cell r="H299">
            <v>7891800664997</v>
          </cell>
          <cell r="I299">
            <v>17891800665434</v>
          </cell>
          <cell r="J299" t="str">
            <v>CX</v>
          </cell>
          <cell r="K299">
            <v>0.18</v>
          </cell>
          <cell r="L299">
            <v>9.2499999999999999E-2</v>
          </cell>
          <cell r="M299">
            <v>204.64404545454545</v>
          </cell>
          <cell r="N299">
            <v>225.10845000000003</v>
          </cell>
          <cell r="O299">
            <v>255.80505681818181</v>
          </cell>
          <cell r="P299">
            <v>259.89793772727273</v>
          </cell>
          <cell r="Q299">
            <v>266.03725909090912</v>
          </cell>
          <cell r="R299">
            <v>0.18</v>
          </cell>
          <cell r="S299">
            <v>0.12</v>
          </cell>
          <cell r="T299">
            <v>0</v>
          </cell>
        </row>
        <row r="300">
          <cell r="E300">
            <v>665444</v>
          </cell>
          <cell r="F300" t="str">
            <v>MICROPOROSA CREMER BEGE 10CM x 4,5M | CX12 UN</v>
          </cell>
          <cell r="G300">
            <v>30051030</v>
          </cell>
          <cell r="H300">
            <v>7891800665444</v>
          </cell>
          <cell r="I300">
            <v>17891800665441</v>
          </cell>
          <cell r="J300" t="str">
            <v>CX</v>
          </cell>
          <cell r="K300">
            <v>0.18</v>
          </cell>
          <cell r="L300">
            <v>9.2499999999999999E-2</v>
          </cell>
          <cell r="M300">
            <v>181.39704545454546</v>
          </cell>
          <cell r="N300">
            <v>199.53675000000007</v>
          </cell>
          <cell r="O300">
            <v>226.74630681818181</v>
          </cell>
          <cell r="P300">
            <v>230.37424772727277</v>
          </cell>
          <cell r="Q300">
            <v>235.81615909090911</v>
          </cell>
          <cell r="R300">
            <v>0.18</v>
          </cell>
          <cell r="S300">
            <v>0.12</v>
          </cell>
          <cell r="T300">
            <v>0</v>
          </cell>
        </row>
        <row r="301">
          <cell r="E301">
            <v>662115</v>
          </cell>
          <cell r="F301" t="str">
            <v>MICROPOROSA 5CMX10M CREMER CX 36UN</v>
          </cell>
          <cell r="G301">
            <v>30051030</v>
          </cell>
          <cell r="H301">
            <v>7891800662115</v>
          </cell>
          <cell r="I301">
            <v>17891800662112</v>
          </cell>
          <cell r="J301" t="str">
            <v>CX</v>
          </cell>
          <cell r="K301">
            <v>0.18</v>
          </cell>
          <cell r="L301">
            <v>9.2499999999999999E-2</v>
          </cell>
          <cell r="M301">
            <v>557.66382954545463</v>
          </cell>
          <cell r="N301">
            <v>613.43021250000004</v>
          </cell>
          <cell r="O301">
            <v>697.07978693181803</v>
          </cell>
          <cell r="P301">
            <v>708.23306352272732</v>
          </cell>
          <cell r="Q301">
            <v>724.96297840909108</v>
          </cell>
          <cell r="R301">
            <v>0.18</v>
          </cell>
          <cell r="S301">
            <v>0.12</v>
          </cell>
          <cell r="T301">
            <v>0</v>
          </cell>
        </row>
        <row r="302">
          <cell r="E302">
            <v>662146</v>
          </cell>
          <cell r="F302" t="str">
            <v>MICROPOROSA 1,2CMX4,5M CREMER CX 72UN</v>
          </cell>
          <cell r="G302">
            <v>30051030</v>
          </cell>
          <cell r="H302">
            <v>7891800662146</v>
          </cell>
          <cell r="I302">
            <v>17891800662143</v>
          </cell>
          <cell r="J302" t="str">
            <v>CX</v>
          </cell>
          <cell r="K302">
            <v>0.18</v>
          </cell>
          <cell r="L302">
            <v>9.2499999999999999E-2</v>
          </cell>
          <cell r="M302">
            <v>211.86470454545452</v>
          </cell>
          <cell r="N302">
            <v>233.05117500000003</v>
          </cell>
          <cell r="O302">
            <v>264.83088068181814</v>
          </cell>
          <cell r="P302">
            <v>269.06817477272733</v>
          </cell>
          <cell r="Q302">
            <v>275.42411590909092</v>
          </cell>
          <cell r="R302">
            <v>0.18</v>
          </cell>
          <cell r="S302">
            <v>0.12</v>
          </cell>
          <cell r="T302">
            <v>0</v>
          </cell>
        </row>
        <row r="303">
          <cell r="E303">
            <v>662153</v>
          </cell>
          <cell r="F303" t="str">
            <v>MICROPOROSA 2,5CMX4,5M CREMER CX 48UN</v>
          </cell>
          <cell r="G303">
            <v>30051030</v>
          </cell>
          <cell r="H303">
            <v>7891800662153</v>
          </cell>
          <cell r="I303">
            <v>17891800662150</v>
          </cell>
          <cell r="J303" t="str">
            <v>CX</v>
          </cell>
          <cell r="K303">
            <v>0.18</v>
          </cell>
          <cell r="L303">
            <v>9.2499999999999999E-2</v>
          </cell>
          <cell r="M303">
            <v>245.15018181818181</v>
          </cell>
          <cell r="N303">
            <v>269.66520000000003</v>
          </cell>
          <cell r="O303">
            <v>306.43772727272727</v>
          </cell>
          <cell r="P303">
            <v>311.34073090909095</v>
          </cell>
          <cell r="Q303">
            <v>318.69523636363635</v>
          </cell>
          <cell r="R303">
            <v>0.18</v>
          </cell>
          <cell r="S303">
            <v>0.12</v>
          </cell>
          <cell r="T303">
            <v>0</v>
          </cell>
        </row>
        <row r="304">
          <cell r="E304">
            <v>662139</v>
          </cell>
          <cell r="F304" t="str">
            <v>MICROPOROSA 5CMX4,5M CREMER CX 36UN</v>
          </cell>
          <cell r="G304">
            <v>30051030</v>
          </cell>
          <cell r="H304">
            <v>7891800662139</v>
          </cell>
          <cell r="I304">
            <v>17891800662136</v>
          </cell>
          <cell r="J304" t="str">
            <v>CX</v>
          </cell>
          <cell r="K304">
            <v>0.18</v>
          </cell>
          <cell r="L304">
            <v>9.2499999999999999E-2</v>
          </cell>
          <cell r="M304">
            <v>306.96606818181817</v>
          </cell>
          <cell r="N304">
            <v>337.66267500000004</v>
          </cell>
          <cell r="O304">
            <v>383.70758522727272</v>
          </cell>
          <cell r="P304">
            <v>389.8469065909091</v>
          </cell>
          <cell r="Q304">
            <v>399.0558886363637</v>
          </cell>
          <cell r="R304">
            <v>0.18</v>
          </cell>
          <cell r="S304">
            <v>0.12</v>
          </cell>
          <cell r="T304">
            <v>0</v>
          </cell>
        </row>
        <row r="305">
          <cell r="E305">
            <v>662122</v>
          </cell>
          <cell r="F305" t="str">
            <v>MICROPOROSA 10CMX4,5M CREMER CX 24UN</v>
          </cell>
          <cell r="G305">
            <v>30051030</v>
          </cell>
          <cell r="H305">
            <v>7891800662122</v>
          </cell>
          <cell r="I305">
            <v>17891800662129</v>
          </cell>
          <cell r="J305" t="str">
            <v>CX</v>
          </cell>
          <cell r="K305">
            <v>0.18</v>
          </cell>
          <cell r="L305">
            <v>9.2499999999999999E-2</v>
          </cell>
          <cell r="M305">
            <v>362.79409090909093</v>
          </cell>
          <cell r="N305">
            <v>399.07350000000014</v>
          </cell>
          <cell r="O305">
            <v>453.49261363636361</v>
          </cell>
          <cell r="P305">
            <v>460.74849545454555</v>
          </cell>
          <cell r="Q305">
            <v>471.63231818181822</v>
          </cell>
          <cell r="R305">
            <v>0.18</v>
          </cell>
          <cell r="S305">
            <v>0.12</v>
          </cell>
          <cell r="T305">
            <v>0</v>
          </cell>
        </row>
        <row r="306">
          <cell r="E306">
            <v>662160</v>
          </cell>
          <cell r="F306" t="str">
            <v>MICROPOROSA 1,2CMX10M CREMER CX 72UN</v>
          </cell>
          <cell r="G306">
            <v>30051030</v>
          </cell>
          <cell r="H306">
            <v>7891800662160</v>
          </cell>
          <cell r="I306">
            <v>17891800662167</v>
          </cell>
          <cell r="J306" t="str">
            <v>CX</v>
          </cell>
          <cell r="K306">
            <v>0.18</v>
          </cell>
          <cell r="L306">
            <v>9.2499999999999999E-2</v>
          </cell>
          <cell r="M306">
            <v>342.89325000000002</v>
          </cell>
          <cell r="N306">
            <v>377.18257500000004</v>
          </cell>
          <cell r="O306">
            <v>428.61656250000004</v>
          </cell>
          <cell r="P306">
            <v>435.47442750000005</v>
          </cell>
          <cell r="Q306">
            <v>445.76122500000014</v>
          </cell>
          <cell r="R306">
            <v>0.18</v>
          </cell>
          <cell r="S306">
            <v>0.12</v>
          </cell>
          <cell r="T306">
            <v>0</v>
          </cell>
        </row>
        <row r="307">
          <cell r="E307">
            <v>662177</v>
          </cell>
          <cell r="F307" t="str">
            <v>MICROPOROSA 2,5CMX10M CREMER CX 48UN</v>
          </cell>
          <cell r="G307">
            <v>30051030</v>
          </cell>
          <cell r="H307">
            <v>7891800662177</v>
          </cell>
          <cell r="I307">
            <v>17891800662174</v>
          </cell>
          <cell r="J307" t="str">
            <v>CX</v>
          </cell>
          <cell r="K307">
            <v>0.18</v>
          </cell>
          <cell r="L307">
            <v>9.2499999999999999E-2</v>
          </cell>
          <cell r="M307">
            <v>417.74154545454547</v>
          </cell>
          <cell r="N307">
            <v>459.51570000000004</v>
          </cell>
          <cell r="O307">
            <v>522.17693181818174</v>
          </cell>
          <cell r="P307">
            <v>530.53176272727273</v>
          </cell>
          <cell r="Q307">
            <v>543.06400909090905</v>
          </cell>
          <cell r="R307">
            <v>0.18</v>
          </cell>
          <cell r="S307">
            <v>0.12</v>
          </cell>
          <cell r="T307">
            <v>0</v>
          </cell>
        </row>
        <row r="308">
          <cell r="E308">
            <v>662108</v>
          </cell>
          <cell r="F308" t="str">
            <v>MICROPOROSA 10CMX10M CREMER CX 24UN</v>
          </cell>
          <cell r="G308">
            <v>30051030</v>
          </cell>
          <cell r="H308">
            <v>7891800662108</v>
          </cell>
          <cell r="I308">
            <v>17891800662105</v>
          </cell>
          <cell r="J308" t="str">
            <v>CX</v>
          </cell>
          <cell r="K308">
            <v>0.18</v>
          </cell>
          <cell r="L308">
            <v>9.2499999999999999E-2</v>
          </cell>
          <cell r="M308">
            <v>684.72981818181825</v>
          </cell>
          <cell r="N308">
            <v>753.20280000000025</v>
          </cell>
          <cell r="O308">
            <v>855.91227272727281</v>
          </cell>
          <cell r="P308">
            <v>869.6068690909093</v>
          </cell>
          <cell r="Q308">
            <v>890.1487636363637</v>
          </cell>
          <cell r="R308">
            <v>0.18</v>
          </cell>
          <cell r="S308">
            <v>0.12</v>
          </cell>
          <cell r="T308">
            <v>0</v>
          </cell>
        </row>
        <row r="309">
          <cell r="E309">
            <v>666090</v>
          </cell>
          <cell r="F309" t="str">
            <v>MICROPOROSA 2,5CMX90CM CREMER CX 96UN</v>
          </cell>
          <cell r="G309">
            <v>30051030</v>
          </cell>
          <cell r="H309">
            <v>7891800666090</v>
          </cell>
          <cell r="I309">
            <v>17891800666097</v>
          </cell>
          <cell r="J309" t="str">
            <v>CX</v>
          </cell>
          <cell r="K309">
            <v>0.18</v>
          </cell>
          <cell r="L309">
            <v>9.2499999999999999E-2</v>
          </cell>
          <cell r="M309">
            <v>205.70072727272725</v>
          </cell>
          <cell r="N309">
            <v>226.27080000000001</v>
          </cell>
          <cell r="O309">
            <v>257.12590909090915</v>
          </cell>
          <cell r="P309">
            <v>261.23992363636364</v>
          </cell>
          <cell r="Q309">
            <v>267.41094545454547</v>
          </cell>
          <cell r="R309">
            <v>0.18</v>
          </cell>
          <cell r="S309">
            <v>0.12</v>
          </cell>
          <cell r="T309">
            <v>0</v>
          </cell>
        </row>
        <row r="310">
          <cell r="E310">
            <v>665512</v>
          </cell>
          <cell r="F310" t="str">
            <v xml:space="preserve"> MICROPOROSA SALVELOX 2,5CMX4,5M CX/48</v>
          </cell>
          <cell r="G310">
            <v>30051030</v>
          </cell>
          <cell r="H310">
            <v>7891800665512</v>
          </cell>
          <cell r="I310">
            <v>17891800665519</v>
          </cell>
          <cell r="J310" t="str">
            <v>CX</v>
          </cell>
          <cell r="K310">
            <v>0.18</v>
          </cell>
          <cell r="L310">
            <v>9.2499999999999999E-2</v>
          </cell>
          <cell r="M310">
            <v>100.73700000000001</v>
          </cell>
          <cell r="N310">
            <v>110.81069999999998</v>
          </cell>
          <cell r="O310">
            <v>125.92125</v>
          </cell>
          <cell r="P310">
            <v>127.93599</v>
          </cell>
          <cell r="Q310">
            <v>130.9581</v>
          </cell>
          <cell r="R310">
            <v>0.18</v>
          </cell>
          <cell r="S310">
            <v>0.12</v>
          </cell>
          <cell r="T310">
            <v>0</v>
          </cell>
        </row>
        <row r="311">
          <cell r="E311">
            <v>665529</v>
          </cell>
          <cell r="F311" t="str">
            <v xml:space="preserve"> MICROPOROSA SALVELOX 1,2CMX4,5M CX/72</v>
          </cell>
          <cell r="G311">
            <v>30051030</v>
          </cell>
          <cell r="H311">
            <v>7891800665529</v>
          </cell>
          <cell r="I311">
            <v>17891800665526</v>
          </cell>
          <cell r="J311" t="str">
            <v>CX</v>
          </cell>
          <cell r="K311">
            <v>0.18</v>
          </cell>
          <cell r="L311">
            <v>9.2499999999999999E-2</v>
          </cell>
          <cell r="M311">
            <v>106.72486363636364</v>
          </cell>
          <cell r="N311">
            <v>117.39735000000002</v>
          </cell>
          <cell r="O311">
            <v>133.40607954545453</v>
          </cell>
          <cell r="P311">
            <v>135.54057681818182</v>
          </cell>
          <cell r="Q311">
            <v>138.74232272727275</v>
          </cell>
          <cell r="R311">
            <v>0.18</v>
          </cell>
          <cell r="S311">
            <v>0.12</v>
          </cell>
          <cell r="T311">
            <v>0</v>
          </cell>
        </row>
        <row r="312">
          <cell r="E312">
            <v>665536</v>
          </cell>
          <cell r="F312" t="str">
            <v>MICROPOROSA SALVELOX 5CMX4,5M CX/36</v>
          </cell>
          <cell r="G312">
            <v>30051030</v>
          </cell>
          <cell r="H312">
            <v>7891800665536</v>
          </cell>
          <cell r="I312">
            <v>17891800665533</v>
          </cell>
          <cell r="J312" t="str">
            <v>CX</v>
          </cell>
          <cell r="K312">
            <v>0.18</v>
          </cell>
          <cell r="L312">
            <v>9.2499999999999999E-2</v>
          </cell>
          <cell r="M312">
            <v>122.5750909090909</v>
          </cell>
          <cell r="N312">
            <v>134.83260000000001</v>
          </cell>
          <cell r="O312">
            <v>153.21886363636364</v>
          </cell>
          <cell r="P312">
            <v>155.67036545454545</v>
          </cell>
          <cell r="Q312">
            <v>159.34761818181818</v>
          </cell>
          <cell r="R312">
            <v>0.18</v>
          </cell>
          <cell r="S312">
            <v>0.12</v>
          </cell>
          <cell r="T312">
            <v>0</v>
          </cell>
        </row>
        <row r="313">
          <cell r="E313">
            <v>665543</v>
          </cell>
          <cell r="F313" t="str">
            <v xml:space="preserve"> MICROP.BEGE SALVELOX 2,5CMX4,5M CX/48</v>
          </cell>
          <cell r="G313">
            <v>30051030</v>
          </cell>
          <cell r="H313">
            <v>7891800665543</v>
          </cell>
          <cell r="I313">
            <v>17891800665540</v>
          </cell>
          <cell r="J313" t="str">
            <v>CX</v>
          </cell>
          <cell r="K313">
            <v>0.18</v>
          </cell>
          <cell r="L313">
            <v>9.2499999999999999E-2</v>
          </cell>
          <cell r="M313">
            <v>115.53054545454546</v>
          </cell>
          <cell r="N313">
            <v>127.0836</v>
          </cell>
          <cell r="O313">
            <v>144.41318181818181</v>
          </cell>
          <cell r="P313">
            <v>146.72379272727272</v>
          </cell>
          <cell r="Q313">
            <v>150.18970909090913</v>
          </cell>
          <cell r="R313">
            <v>0.18</v>
          </cell>
          <cell r="S313">
            <v>0.12</v>
          </cell>
          <cell r="T313">
            <v>0</v>
          </cell>
        </row>
        <row r="314">
          <cell r="E314">
            <v>666137</v>
          </cell>
          <cell r="F314" t="str">
            <v>CURATIVO REDONDO ROLO C/500 UN ROLO 500 CREMER CX/20</v>
          </cell>
          <cell r="G314">
            <v>30051020</v>
          </cell>
          <cell r="H314">
            <v>7891800666137</v>
          </cell>
          <cell r="I314">
            <v>17891800666134</v>
          </cell>
          <cell r="J314" t="str">
            <v>CX</v>
          </cell>
          <cell r="K314">
            <v>0.18</v>
          </cell>
          <cell r="L314">
            <v>9.2499999999999999E-2</v>
          </cell>
          <cell r="M314">
            <v>419.29721590909094</v>
          </cell>
          <cell r="N314">
            <v>461.22693750000002</v>
          </cell>
          <cell r="O314">
            <v>509.42652400169908</v>
          </cell>
          <cell r="P314">
            <v>522.55405365866591</v>
          </cell>
          <cell r="Q314">
            <v>534.89785020178431</v>
          </cell>
          <cell r="R314">
            <v>0.18</v>
          </cell>
          <cell r="S314">
            <v>0.12</v>
          </cell>
          <cell r="T314">
            <v>0</v>
          </cell>
        </row>
        <row r="315">
          <cell r="E315">
            <v>666014</v>
          </cell>
          <cell r="F315" t="str">
            <v>PURELL ADVANCED GEL ALCOOLICO ANTISSEPTICO 60ML CX/24</v>
          </cell>
          <cell r="G315" t="str">
            <v>3808.94.29</v>
          </cell>
          <cell r="H315">
            <v>73852055528</v>
          </cell>
          <cell r="I315">
            <v>10073852055525</v>
          </cell>
          <cell r="J315" t="str">
            <v>CX</v>
          </cell>
          <cell r="K315">
            <v>0.18</v>
          </cell>
          <cell r="L315">
            <v>9.2499999999999999E-2</v>
          </cell>
          <cell r="M315">
            <v>116.05888636363636</v>
          </cell>
          <cell r="N315">
            <v>127.66477500000001</v>
          </cell>
          <cell r="O315">
            <v>145.07360795454548</v>
          </cell>
          <cell r="P315">
            <v>147.39478568181818</v>
          </cell>
          <cell r="Q315">
            <v>150.87655227272728</v>
          </cell>
          <cell r="R315">
            <v>0.18</v>
          </cell>
          <cell r="S315">
            <v>0.12</v>
          </cell>
          <cell r="T315">
            <v>3.2500000000000001E-2</v>
          </cell>
        </row>
        <row r="316">
          <cell r="E316">
            <v>666021</v>
          </cell>
          <cell r="F316" t="str">
            <v>PURELL ADVANCED GEL ALCOOLICO ANTISSEPTICO PARA MÃOS 354ML CX/ 12</v>
          </cell>
          <cell r="G316" t="str">
            <v>3808.94.29</v>
          </cell>
          <cell r="H316">
            <v>73852055375</v>
          </cell>
          <cell r="I316">
            <v>10073852055372</v>
          </cell>
          <cell r="J316" t="str">
            <v>CX</v>
          </cell>
          <cell r="K316">
            <v>0.18</v>
          </cell>
          <cell r="L316">
            <v>9.2499999999999999E-2</v>
          </cell>
          <cell r="M316">
            <v>115.53054545454546</v>
          </cell>
          <cell r="N316">
            <v>127.0836</v>
          </cell>
          <cell r="O316">
            <v>144.41318181818181</v>
          </cell>
          <cell r="P316">
            <v>146.72379272727272</v>
          </cell>
          <cell r="Q316">
            <v>150.18970909090913</v>
          </cell>
          <cell r="R316">
            <v>0.18</v>
          </cell>
          <cell r="S316">
            <v>0.12</v>
          </cell>
          <cell r="T316">
            <v>3.2500000000000001E-2</v>
          </cell>
        </row>
        <row r="317">
          <cell r="E317">
            <v>668230</v>
          </cell>
          <cell r="F317" t="str">
            <v>PURELL ADVANCED GEL ALCOOLICO ANTISSEPTICO JELLY 30ML CX/72</v>
          </cell>
          <cell r="G317" t="str">
            <v>3808.94.29</v>
          </cell>
          <cell r="H317" t="str">
            <v>73852055436​</v>
          </cell>
          <cell r="I317" t="str">
            <v>10073852055426​</v>
          </cell>
          <cell r="J317" t="str">
            <v>CX</v>
          </cell>
          <cell r="K317">
            <v>0.18</v>
          </cell>
          <cell r="L317">
            <v>9.2499999999999999E-2</v>
          </cell>
          <cell r="M317">
            <v>326.51468181818188</v>
          </cell>
          <cell r="N317">
            <v>359.16615000000002</v>
          </cell>
          <cell r="O317">
            <v>408.14335227272733</v>
          </cell>
          <cell r="P317">
            <v>414.67364590909102</v>
          </cell>
          <cell r="Q317">
            <v>424.46908636363651</v>
          </cell>
          <cell r="R317">
            <v>0.18</v>
          </cell>
          <cell r="S317">
            <v>0.12</v>
          </cell>
          <cell r="T317">
            <v>3.2500000000000001E-2</v>
          </cell>
        </row>
        <row r="318">
          <cell r="E318">
            <v>672657</v>
          </cell>
          <cell r="F318" t="str">
            <v>FRALDA BR BASIC C/4 65X63CM CX/12</v>
          </cell>
          <cell r="G318" t="str">
            <v>9619.00.00</v>
          </cell>
          <cell r="H318">
            <v>7891800672657</v>
          </cell>
          <cell r="I318">
            <v>17891800672654</v>
          </cell>
          <cell r="J318" t="str">
            <v>CX</v>
          </cell>
          <cell r="K318">
            <v>0.18</v>
          </cell>
          <cell r="L318">
            <v>9.2499999999999999E-2</v>
          </cell>
          <cell r="M318">
            <v>139.9222840909091</v>
          </cell>
          <cell r="N318">
            <v>153.91451250000003</v>
          </cell>
          <cell r="O318">
            <v>169.99903674596428</v>
          </cell>
          <cell r="P318">
            <v>174.379781154418</v>
          </cell>
          <cell r="Q318">
            <v>178.49898858326253</v>
          </cell>
          <cell r="R318">
            <v>0.18</v>
          </cell>
          <cell r="S318">
            <v>0.12</v>
          </cell>
          <cell r="T318">
            <v>0</v>
          </cell>
        </row>
        <row r="319">
          <cell r="E319">
            <v>673715</v>
          </cell>
          <cell r="F319" t="str">
            <v>HASTES FLEXIVEIS PIQUITUCHO CARTUCHO 68 UNIDADES CX60</v>
          </cell>
          <cell r="G319">
            <v>56012190</v>
          </cell>
          <cell r="H319">
            <v>7891800673715</v>
          </cell>
          <cell r="I319">
            <v>17891800673712</v>
          </cell>
          <cell r="J319" t="str">
            <v>CX</v>
          </cell>
          <cell r="K319">
            <v>0.18</v>
          </cell>
          <cell r="L319">
            <v>9.2499999999999999E-2</v>
          </cell>
          <cell r="M319">
            <v>61.639772727272721</v>
          </cell>
          <cell r="N319">
            <v>67.803749999999994</v>
          </cell>
          <cell r="O319">
            <v>74.889443500424761</v>
          </cell>
          <cell r="P319">
            <v>76.819286852166485</v>
          </cell>
          <cell r="Q319">
            <v>78.633915675446033</v>
          </cell>
          <cell r="R319">
            <v>0.18</v>
          </cell>
          <cell r="S319">
            <v>0.12</v>
          </cell>
          <cell r="T319">
            <v>0</v>
          </cell>
        </row>
        <row r="320">
          <cell r="E320">
            <v>673722</v>
          </cell>
          <cell r="F320" t="str">
            <v>HASTES FLEXIVEIS PIQUITUCHO CARTUCHO 138 UNIDADES CX24</v>
          </cell>
          <cell r="G320">
            <v>56012190</v>
          </cell>
          <cell r="H320">
            <v>7891800673722</v>
          </cell>
          <cell r="I320">
            <v>17891800673729</v>
          </cell>
          <cell r="J320" t="str">
            <v>CX</v>
          </cell>
          <cell r="K320">
            <v>0.18</v>
          </cell>
          <cell r="L320">
            <v>9.2499999999999999E-2</v>
          </cell>
          <cell r="M320">
            <v>49.487931818181821</v>
          </cell>
          <cell r="N320">
            <v>54.436725000000003</v>
          </cell>
          <cell r="O320">
            <v>60.125524638912474</v>
          </cell>
          <cell r="P320">
            <v>61.674913158453691</v>
          </cell>
          <cell r="Q320">
            <v>63.131800870858108</v>
          </cell>
          <cell r="R320">
            <v>0.18</v>
          </cell>
          <cell r="S320">
            <v>0.12</v>
          </cell>
          <cell r="T320">
            <v>0</v>
          </cell>
        </row>
        <row r="321">
          <cell r="E321">
            <v>670967</v>
          </cell>
          <cell r="F321" t="str">
            <v>ALGODÃO BOLAS 25G TOPZ (6X12) FARDO 72</v>
          </cell>
          <cell r="G321">
            <v>56012190</v>
          </cell>
          <cell r="H321">
            <v>7891800670967</v>
          </cell>
          <cell r="I321">
            <v>17891800670964</v>
          </cell>
          <cell r="J321" t="str">
            <v>CX</v>
          </cell>
          <cell r="K321">
            <v>0.18</v>
          </cell>
          <cell r="L321">
            <v>9.2499999999999999E-2</v>
          </cell>
          <cell r="M321">
            <v>159.03061363636363</v>
          </cell>
          <cell r="N321">
            <v>174.93367500000002</v>
          </cell>
          <cell r="O321">
            <v>193.21476423109596</v>
          </cell>
          <cell r="P321">
            <v>198.19376007858961</v>
          </cell>
          <cell r="Q321">
            <v>202.8755024426508</v>
          </cell>
          <cell r="R321">
            <v>0.18</v>
          </cell>
          <cell r="S321">
            <v>0.12</v>
          </cell>
          <cell r="T321">
            <v>0</v>
          </cell>
        </row>
        <row r="322">
          <cell r="E322">
            <v>670974</v>
          </cell>
          <cell r="F322" t="str">
            <v>ALGODÃO HIDRÓFILO COSMÉTICOS ROLO 90G TOPZ CX/18</v>
          </cell>
          <cell r="G322">
            <v>56012190</v>
          </cell>
          <cell r="H322">
            <v>7891800670974</v>
          </cell>
          <cell r="I322">
            <v>17891800670971</v>
          </cell>
          <cell r="J322" t="str">
            <v>CX</v>
          </cell>
          <cell r="K322">
            <v>0.18</v>
          </cell>
          <cell r="L322">
            <v>9.2499999999999999E-2</v>
          </cell>
          <cell r="M322">
            <v>118.21627840909092</v>
          </cell>
          <cell r="N322">
            <v>130.03790625000002</v>
          </cell>
          <cell r="O322">
            <v>143.62725414188611</v>
          </cell>
          <cell r="P322">
            <v>147.3284179986193</v>
          </cell>
          <cell r="Q322">
            <v>150.80861684898045</v>
          </cell>
          <cell r="R322">
            <v>0.18</v>
          </cell>
          <cell r="S322">
            <v>0.12</v>
          </cell>
          <cell r="T322">
            <v>0</v>
          </cell>
        </row>
        <row r="323">
          <cell r="E323">
            <v>670837</v>
          </cell>
          <cell r="F323" t="str">
            <v xml:space="preserve">ALGODAO HIDROFILO COSMETICOS ROLO 240G TOPZ CX24            </v>
          </cell>
          <cell r="G323">
            <v>56012190</v>
          </cell>
          <cell r="H323">
            <v>7891800670837</v>
          </cell>
          <cell r="I323">
            <v>17891800670834</v>
          </cell>
          <cell r="J323" t="str">
            <v>CX</v>
          </cell>
          <cell r="K323">
            <v>0.18</v>
          </cell>
          <cell r="L323">
            <v>9.2499999999999999E-2</v>
          </cell>
          <cell r="M323">
            <v>251.8425</v>
          </cell>
          <cell r="N323">
            <v>277.02674999999999</v>
          </cell>
          <cell r="O323">
            <v>305.9768691588784</v>
          </cell>
          <cell r="P323">
            <v>313.86165771028033</v>
          </cell>
          <cell r="Q323">
            <v>321.27571261682249</v>
          </cell>
          <cell r="R323">
            <v>0.18</v>
          </cell>
          <cell r="S323">
            <v>0.12</v>
          </cell>
          <cell r="T323">
            <v>0</v>
          </cell>
        </row>
        <row r="324">
          <cell r="E324">
            <v>670981</v>
          </cell>
          <cell r="F324" t="str">
            <v>ALGODÃO QUADRADO 200 UNIDADES CREMER CX6</v>
          </cell>
          <cell r="G324">
            <v>56012110</v>
          </cell>
          <cell r="H324">
            <v>7891800670981</v>
          </cell>
          <cell r="I324">
            <v>17891800670988</v>
          </cell>
          <cell r="J324" t="str">
            <v>CX</v>
          </cell>
          <cell r="K324">
            <v>0.18</v>
          </cell>
          <cell r="L324">
            <v>9.2499999999999999E-2</v>
          </cell>
          <cell r="M324">
            <v>126.36153409090909</v>
          </cell>
          <cell r="N324">
            <v>138.99768750000001</v>
          </cell>
          <cell r="O324">
            <v>153.52335917587084</v>
          </cell>
          <cell r="P324">
            <v>157.47953804694137</v>
          </cell>
          <cell r="Q324">
            <v>161.19952713466441</v>
          </cell>
          <cell r="R324">
            <v>0.18</v>
          </cell>
          <cell r="S324">
            <v>0.12</v>
          </cell>
          <cell r="T324">
            <v>0</v>
          </cell>
        </row>
        <row r="325">
          <cell r="E325">
            <v>670141</v>
          </cell>
          <cell r="F325" t="str">
            <v>COMPR. EST NAO ADERENTES EST RG 7,5CMX7,5CM 10UNID  CX /50</v>
          </cell>
          <cell r="G325">
            <v>30059090</v>
          </cell>
          <cell r="H325">
            <v>7891800670141</v>
          </cell>
          <cell r="I325">
            <v>17891800670148</v>
          </cell>
          <cell r="J325" t="str">
            <v>CX</v>
          </cell>
          <cell r="K325">
            <v>0.18</v>
          </cell>
          <cell r="L325">
            <v>9.2499999999999999E-2</v>
          </cell>
          <cell r="M325">
            <v>55.402414772727276</v>
          </cell>
          <cell r="N325">
            <v>60.942656250000013</v>
          </cell>
          <cell r="O325">
            <v>67.311345050977039</v>
          </cell>
          <cell r="P325">
            <v>69.045906634982998</v>
          </cell>
          <cell r="Q325">
            <v>70.67691230352591</v>
          </cell>
          <cell r="R325">
            <v>0.18</v>
          </cell>
          <cell r="S325">
            <v>0.12</v>
          </cell>
          <cell r="T325">
            <v>0</v>
          </cell>
        </row>
        <row r="326">
          <cell r="E326">
            <v>662825</v>
          </cell>
          <cell r="F326" t="str">
            <v>CURATIVO ALIVIO DOR FRIO 4 UNIDADES CREMER CX22</v>
          </cell>
          <cell r="G326">
            <v>30051090</v>
          </cell>
          <cell r="H326">
            <v>7891800662825</v>
          </cell>
          <cell r="I326">
            <v>17891800662822</v>
          </cell>
          <cell r="J326" t="str">
            <v>CX</v>
          </cell>
          <cell r="K326">
            <v>0.18</v>
          </cell>
          <cell r="L326">
            <v>9.2499999999999999E-2</v>
          </cell>
          <cell r="M326">
            <v>157.56299999999999</v>
          </cell>
          <cell r="N326">
            <v>173.3193</v>
          </cell>
          <cell r="O326">
            <v>191.4316822429906</v>
          </cell>
          <cell r="P326">
            <v>196.36472943925227</v>
          </cell>
          <cell r="Q326">
            <v>201.00326635514017</v>
          </cell>
          <cell r="R326">
            <v>0.18</v>
          </cell>
          <cell r="S326">
            <v>0.12</v>
          </cell>
          <cell r="T326">
            <v>0</v>
          </cell>
        </row>
        <row r="327">
          <cell r="E327">
            <v>662818</v>
          </cell>
          <cell r="F327" t="str">
            <v>CURATIVO ALIVIO DOR QUENTE 4 UNIDADES CREMER CX22</v>
          </cell>
          <cell r="G327">
            <v>30051090</v>
          </cell>
          <cell r="H327">
            <v>7891800662818</v>
          </cell>
          <cell r="I327">
            <v>17891800662815</v>
          </cell>
          <cell r="J327" t="str">
            <v>CX</v>
          </cell>
          <cell r="K327">
            <v>0.18</v>
          </cell>
          <cell r="L327">
            <v>9.2499999999999999E-2</v>
          </cell>
          <cell r="M327">
            <v>157.56299999999999</v>
          </cell>
          <cell r="N327">
            <v>173.3193</v>
          </cell>
          <cell r="O327">
            <v>191.4316822429906</v>
          </cell>
          <cell r="P327">
            <v>196.36472943925227</v>
          </cell>
          <cell r="Q327">
            <v>201.00326635514017</v>
          </cell>
          <cell r="R327">
            <v>0.18</v>
          </cell>
          <cell r="S327">
            <v>0.12</v>
          </cell>
          <cell r="T327">
            <v>0</v>
          </cell>
        </row>
        <row r="328">
          <cell r="E328">
            <v>662832</v>
          </cell>
          <cell r="F328" t="str">
            <v>CURATIVO ALIVIO DOR JOELHO 5 UNIDADES CREMER CX22</v>
          </cell>
          <cell r="G328">
            <v>30051090</v>
          </cell>
          <cell r="H328">
            <v>7891800662832</v>
          </cell>
          <cell r="I328">
            <v>17891800662839</v>
          </cell>
          <cell r="J328" t="str">
            <v>CX</v>
          </cell>
          <cell r="K328">
            <v>0.18</v>
          </cell>
          <cell r="L328">
            <v>9.2499999999999999E-2</v>
          </cell>
          <cell r="M328">
            <v>201.79687499999994</v>
          </cell>
          <cell r="N328">
            <v>221.9765625</v>
          </cell>
          <cell r="O328">
            <v>245.1737733644859</v>
          </cell>
          <cell r="P328">
            <v>251.49171290887844</v>
          </cell>
          <cell r="Q328">
            <v>257.43246203271019</v>
          </cell>
          <cell r="R328">
            <v>0.18</v>
          </cell>
          <cell r="S328">
            <v>0.12</v>
          </cell>
          <cell r="T328">
            <v>0</v>
          </cell>
        </row>
        <row r="329">
          <cell r="E329">
            <v>662849</v>
          </cell>
          <cell r="F329" t="str">
            <v>CURATIVO ALIVIO DOR CERVICAL 5 UNIDADES CREMER CX22</v>
          </cell>
          <cell r="G329">
            <v>30051090</v>
          </cell>
          <cell r="H329">
            <v>7891800662849</v>
          </cell>
          <cell r="I329">
            <v>17891800662846</v>
          </cell>
          <cell r="J329" t="str">
            <v>CX</v>
          </cell>
          <cell r="K329">
            <v>0.18</v>
          </cell>
          <cell r="L329">
            <v>9.2499999999999999E-2</v>
          </cell>
          <cell r="M329">
            <v>210.99881250000004</v>
          </cell>
          <cell r="N329">
            <v>232.09869375000002</v>
          </cell>
          <cell r="O329">
            <v>256.3536974299065</v>
          </cell>
          <cell r="P329">
            <v>262.95973501752331</v>
          </cell>
          <cell r="Q329">
            <v>269.17138230140188</v>
          </cell>
          <cell r="R329">
            <v>0.18</v>
          </cell>
          <cell r="S329">
            <v>0.12</v>
          </cell>
          <cell r="T329">
            <v>0</v>
          </cell>
        </row>
        <row r="330">
          <cell r="E330">
            <v>662856</v>
          </cell>
          <cell r="F330" t="str">
            <v>GEL ADESIVO ALIVIO DE FEBRE 4 UNIDADES CREMER CX20</v>
          </cell>
          <cell r="G330">
            <v>30051090</v>
          </cell>
          <cell r="H330">
            <v>7891800662856</v>
          </cell>
          <cell r="I330">
            <v>17891800662853</v>
          </cell>
          <cell r="J330" t="str">
            <v>CX</v>
          </cell>
          <cell r="K330">
            <v>0.18</v>
          </cell>
          <cell r="L330">
            <v>9.2499999999999999E-2</v>
          </cell>
          <cell r="M330">
            <v>164.51948863636366</v>
          </cell>
          <cell r="N330">
            <v>180.97143750000004</v>
          </cell>
          <cell r="O330">
            <v>199.88349086661003</v>
          </cell>
          <cell r="P330">
            <v>205.03433466971111</v>
          </cell>
          <cell r="Q330">
            <v>209.87766540994053</v>
          </cell>
          <cell r="R330">
            <v>0.18</v>
          </cell>
          <cell r="S330">
            <v>0.12</v>
          </cell>
          <cell r="T330">
            <v>0</v>
          </cell>
        </row>
        <row r="331">
          <cell r="E331">
            <v>662801</v>
          </cell>
          <cell r="F331" t="str">
            <v>DILATADOR NASAL 30 UNIDADES CREMER CX48 </v>
          </cell>
          <cell r="G331">
            <v>30051090</v>
          </cell>
          <cell r="H331">
            <v>7891800662801</v>
          </cell>
          <cell r="I331">
            <v>17891800662808</v>
          </cell>
          <cell r="J331" t="str">
            <v>CX</v>
          </cell>
          <cell r="K331">
            <v>0.18</v>
          </cell>
          <cell r="L331">
            <v>9.2499999999999999E-2</v>
          </cell>
          <cell r="M331">
            <v>687.19540909090915</v>
          </cell>
          <cell r="N331">
            <v>755.91495000000009</v>
          </cell>
          <cell r="O331">
            <v>834.91031011045027</v>
          </cell>
          <cell r="P331">
            <v>856.42530656329643</v>
          </cell>
          <cell r="Q331">
            <v>876.65582561597284</v>
          </cell>
          <cell r="R331">
            <v>0.18</v>
          </cell>
          <cell r="S331">
            <v>0.12</v>
          </cell>
          <cell r="T331">
            <v>0</v>
          </cell>
        </row>
        <row r="332">
          <cell r="E332">
            <v>664348</v>
          </cell>
          <cell r="F332" t="str">
            <v>CURATIVO SILICONE CICATRIZACAO 4 UNIDADES CREMER CX10</v>
          </cell>
          <cell r="G332">
            <v>30051020</v>
          </cell>
          <cell r="H332">
            <v>7891800664348</v>
          </cell>
          <cell r="I332">
            <v>17891800664345</v>
          </cell>
          <cell r="J332" t="str">
            <v>CX</v>
          </cell>
          <cell r="K332">
            <v>0.18</v>
          </cell>
          <cell r="L332">
            <v>9.2499999999999999E-2</v>
          </cell>
          <cell r="M332">
            <v>477.78161931818181</v>
          </cell>
          <cell r="N332">
            <v>525.55978125000001</v>
          </cell>
          <cell r="O332">
            <v>580.48234122769748</v>
          </cell>
          <cell r="P332">
            <v>595.44092463625725</v>
          </cell>
          <cell r="Q332">
            <v>609.50645828908239</v>
          </cell>
          <cell r="R332">
            <v>0.18</v>
          </cell>
          <cell r="S332">
            <v>0.12</v>
          </cell>
          <cell r="T332">
            <v>0</v>
          </cell>
        </row>
        <row r="333">
          <cell r="E333">
            <v>664423</v>
          </cell>
          <cell r="F333" t="str">
            <v>CURATIVO MICROPOROSO 10 UNIDADES CREMER CX56</v>
          </cell>
          <cell r="G333">
            <v>30051020</v>
          </cell>
          <cell r="H333">
            <v>7891800664423</v>
          </cell>
          <cell r="I333">
            <v>17891800664420</v>
          </cell>
          <cell r="J333" t="str">
            <v>CX</v>
          </cell>
          <cell r="K333">
            <v>0.18</v>
          </cell>
          <cell r="L333">
            <v>9.2499999999999999E-2</v>
          </cell>
          <cell r="M333">
            <v>141.77147727272728</v>
          </cell>
          <cell r="N333">
            <v>155.94862500000002</v>
          </cell>
          <cell r="O333">
            <v>172.24572005097701</v>
          </cell>
          <cell r="P333">
            <v>176.68435975998298</v>
          </cell>
          <cell r="Q333">
            <v>180.85800605352594</v>
          </cell>
          <cell r="R333">
            <v>0.18</v>
          </cell>
          <cell r="S333">
            <v>0.12</v>
          </cell>
          <cell r="T333">
            <v>0</v>
          </cell>
        </row>
        <row r="334">
          <cell r="E334">
            <v>664409</v>
          </cell>
          <cell r="F334" t="str">
            <v xml:space="preserve">CURATIVO FILME PROVA DAGUA 4 UNIDADES CREMER CX24 </v>
          </cell>
          <cell r="G334">
            <v>30051020</v>
          </cell>
          <cell r="H334">
            <v>7891800664409</v>
          </cell>
          <cell r="I334">
            <v>17891800664406</v>
          </cell>
          <cell r="J334" t="str">
            <v>CX</v>
          </cell>
          <cell r="K334">
            <v>0.18</v>
          </cell>
          <cell r="L334">
            <v>9.2499999999999999E-2</v>
          </cell>
          <cell r="M334">
            <v>190.02661363636361</v>
          </cell>
          <cell r="N334">
            <v>209.02927500000001</v>
          </cell>
          <cell r="O334">
            <v>230.87345581988097</v>
          </cell>
          <cell r="P334">
            <v>236.82288718139327</v>
          </cell>
          <cell r="Q334">
            <v>242.4171286108751</v>
          </cell>
          <cell r="R334">
            <v>0.18</v>
          </cell>
          <cell r="S334">
            <v>0.12</v>
          </cell>
          <cell r="T334">
            <v>0</v>
          </cell>
        </row>
        <row r="335">
          <cell r="E335">
            <v>646566</v>
          </cell>
          <cell r="F335" t="str">
            <v>TOALHINHAS UMED FEELCLEAN MAOS E ROSTINHO 16 UN (COM 24 PCS)</v>
          </cell>
          <cell r="G335">
            <v>34011190</v>
          </cell>
          <cell r="H335">
            <v>7898936110022</v>
          </cell>
          <cell r="I335">
            <v>17898936110029</v>
          </cell>
          <cell r="J335" t="str">
            <v>CX</v>
          </cell>
          <cell r="K335">
            <v>0.18</v>
          </cell>
          <cell r="L335">
            <v>0</v>
          </cell>
          <cell r="M335">
            <v>53.529600000000002</v>
          </cell>
          <cell r="N335">
            <v>58.882560000000019</v>
          </cell>
          <cell r="O335">
            <v>65.035962616822417</v>
          </cell>
          <cell r="P335">
            <v>66.71188934579439</v>
          </cell>
          <cell r="Q335">
            <v>68.287760747663569</v>
          </cell>
          <cell r="R335">
            <v>0.18</v>
          </cell>
          <cell r="S335">
            <v>0.12</v>
          </cell>
          <cell r="T335">
            <v>0</v>
          </cell>
        </row>
        <row r="336">
          <cell r="E336">
            <v>653182</v>
          </cell>
          <cell r="F336" t="str">
            <v>TOALHINHAS UMEDECIDAS FEELCLEAN BABY 50UN (COM 24 PCS)</v>
          </cell>
          <cell r="G336">
            <v>34011190</v>
          </cell>
          <cell r="H336">
            <v>7898936110169</v>
          </cell>
          <cell r="I336">
            <v>17898936110166</v>
          </cell>
          <cell r="J336" t="str">
            <v>CX</v>
          </cell>
          <cell r="K336">
            <v>0.18</v>
          </cell>
          <cell r="L336">
            <v>0</v>
          </cell>
          <cell r="M336">
            <v>109.4208</v>
          </cell>
          <cell r="N336">
            <v>120.36288</v>
          </cell>
          <cell r="O336">
            <v>132.94115887850464</v>
          </cell>
          <cell r="P336">
            <v>136.3669502803738</v>
          </cell>
          <cell r="Q336">
            <v>139.5882168224299</v>
          </cell>
          <cell r="R336">
            <v>0.18</v>
          </cell>
          <cell r="S336">
            <v>0.12</v>
          </cell>
          <cell r="T336">
            <v>0</v>
          </cell>
        </row>
        <row r="337">
          <cell r="E337">
            <v>653199</v>
          </cell>
          <cell r="F337" t="str">
            <v>TOALHINHAS UMEDECIDAS FEELCLEAN BABY 100UN (COM 24 PCS)</v>
          </cell>
          <cell r="G337">
            <v>34011190</v>
          </cell>
          <cell r="H337">
            <v>7898936110756</v>
          </cell>
          <cell r="I337">
            <v>17898936110753</v>
          </cell>
          <cell r="J337" t="str">
            <v>CX</v>
          </cell>
          <cell r="K337">
            <v>0.18</v>
          </cell>
          <cell r="L337">
            <v>0</v>
          </cell>
          <cell r="M337">
            <v>208.01760000000002</v>
          </cell>
          <cell r="N337">
            <v>228.81935999999999</v>
          </cell>
          <cell r="O337">
            <v>252.73166355140182</v>
          </cell>
          <cell r="P337">
            <v>259.24436411214953</v>
          </cell>
          <cell r="Q337">
            <v>265.368246728972</v>
          </cell>
          <cell r="R337">
            <v>0.18</v>
          </cell>
          <cell r="S337">
            <v>0.12</v>
          </cell>
          <cell r="T337">
            <v>0</v>
          </cell>
        </row>
        <row r="338">
          <cell r="E338">
            <v>646573</v>
          </cell>
          <cell r="F338" t="str">
            <v>TOALHINHAS UMEDECIDAS FEELCLEAN RECEM NASCIDO 50 UN (COM 24 PCS)</v>
          </cell>
          <cell r="G338">
            <v>34011190</v>
          </cell>
          <cell r="H338">
            <v>7898936110091</v>
          </cell>
          <cell r="I338">
            <v>17898936110098</v>
          </cell>
          <cell r="J338" t="str">
            <v>CX</v>
          </cell>
          <cell r="K338">
            <v>0.18</v>
          </cell>
          <cell r="L338">
            <v>0</v>
          </cell>
          <cell r="M338">
            <v>109.4208</v>
          </cell>
          <cell r="N338">
            <v>120.36288</v>
          </cell>
          <cell r="O338">
            <v>132.94115887850464</v>
          </cell>
          <cell r="P338">
            <v>136.3669502803738</v>
          </cell>
          <cell r="Q338">
            <v>139.5882168224299</v>
          </cell>
          <cell r="R338">
            <v>0.18</v>
          </cell>
          <cell r="S338">
            <v>0.12</v>
          </cell>
          <cell r="T338">
            <v>0</v>
          </cell>
        </row>
        <row r="339">
          <cell r="E339">
            <v>653229</v>
          </cell>
          <cell r="F339" t="str">
            <v>TOALHINHAS UMEDECIDAS FEELCLEAN RECEM NASCIDO 100 UN (COM 24 PCS)</v>
          </cell>
          <cell r="G339">
            <v>34011190</v>
          </cell>
          <cell r="H339">
            <v>7898936112569</v>
          </cell>
          <cell r="I339">
            <v>17898936112566</v>
          </cell>
          <cell r="J339" t="str">
            <v>CX</v>
          </cell>
          <cell r="K339">
            <v>0.18</v>
          </cell>
          <cell r="L339">
            <v>0</v>
          </cell>
          <cell r="M339">
            <v>208.01760000000002</v>
          </cell>
          <cell r="N339">
            <v>228.81935999999999</v>
          </cell>
          <cell r="O339">
            <v>252.73166355140182</v>
          </cell>
          <cell r="P339">
            <v>259.24436411214953</v>
          </cell>
          <cell r="Q339">
            <v>265.368246728972</v>
          </cell>
          <cell r="R339">
            <v>0.18</v>
          </cell>
          <cell r="S339">
            <v>0.12</v>
          </cell>
          <cell r="T339">
            <v>0</v>
          </cell>
        </row>
        <row r="340">
          <cell r="E340">
            <v>653250</v>
          </cell>
          <cell r="F340" t="str">
            <v>TOALHINHAS UMED PIQUITUCHO PREMIUM 60UN (COM 24 PCS)</v>
          </cell>
          <cell r="G340">
            <v>34011190</v>
          </cell>
          <cell r="H340">
            <v>7898936110558</v>
          </cell>
          <cell r="I340">
            <v>17898936110555</v>
          </cell>
          <cell r="J340" t="str">
            <v>CX</v>
          </cell>
          <cell r="K340">
            <v>0.18</v>
          </cell>
          <cell r="L340">
            <v>0</v>
          </cell>
          <cell r="M340">
            <v>108.6336</v>
          </cell>
          <cell r="N340">
            <v>119.49696000000003</v>
          </cell>
          <cell r="O340">
            <v>131.98474766355139</v>
          </cell>
          <cell r="P340">
            <v>135.38589308411213</v>
          </cell>
          <cell r="Q340">
            <v>138.58398504672897</v>
          </cell>
          <cell r="R340">
            <v>0.18</v>
          </cell>
          <cell r="S340">
            <v>0.12</v>
          </cell>
          <cell r="T340">
            <v>0</v>
          </cell>
        </row>
        <row r="341">
          <cell r="E341">
            <v>653267</v>
          </cell>
          <cell r="F341" t="str">
            <v>TOALHINHAS UMED PIQUITUCHO PREMIUM 120UN (COM 24 PCS)</v>
          </cell>
          <cell r="G341">
            <v>34011190</v>
          </cell>
          <cell r="H341">
            <v>7898936110404</v>
          </cell>
          <cell r="I341">
            <v>17898936110401</v>
          </cell>
          <cell r="J341" t="str">
            <v>CX</v>
          </cell>
          <cell r="K341">
            <v>0.18</v>
          </cell>
          <cell r="L341">
            <v>0</v>
          </cell>
          <cell r="M341">
            <v>206.44320000000002</v>
          </cell>
          <cell r="N341">
            <v>227.08752000000004</v>
          </cell>
          <cell r="O341">
            <v>250.8188411214953</v>
          </cell>
          <cell r="P341">
            <v>257.28224971962612</v>
          </cell>
          <cell r="Q341">
            <v>263.35978317757014</v>
          </cell>
          <cell r="R341">
            <v>0.18</v>
          </cell>
          <cell r="S341">
            <v>0.12</v>
          </cell>
          <cell r="T341">
            <v>0</v>
          </cell>
        </row>
        <row r="342">
          <cell r="E342">
            <v>653274</v>
          </cell>
          <cell r="F342" t="str">
            <v>TOALHINHAS UMED PIQUITUCHO PRATIC 48 (COM 48 PCS)</v>
          </cell>
          <cell r="G342">
            <v>34011190</v>
          </cell>
          <cell r="H342">
            <v>7898936111302</v>
          </cell>
          <cell r="I342">
            <v>17898936111309</v>
          </cell>
          <cell r="J342" t="str">
            <v>CX</v>
          </cell>
          <cell r="K342">
            <v>0.18</v>
          </cell>
          <cell r="L342">
            <v>0</v>
          </cell>
          <cell r="M342">
            <v>165.31200000000004</v>
          </cell>
          <cell r="N342">
            <v>181.84320000000005</v>
          </cell>
          <cell r="O342">
            <v>200.84635514018689</v>
          </cell>
          <cell r="P342">
            <v>206.02201121495324</v>
          </cell>
          <cell r="Q342">
            <v>210.88867289719627</v>
          </cell>
          <cell r="R342">
            <v>0.18</v>
          </cell>
          <cell r="S342">
            <v>0.12</v>
          </cell>
          <cell r="T342">
            <v>0</v>
          </cell>
        </row>
        <row r="343">
          <cell r="E343">
            <v>653281</v>
          </cell>
          <cell r="F343" t="str">
            <v>TOALHINHAS UMED PIQUITUCHO PRATIC 96 (COM 24 PCS).</v>
          </cell>
          <cell r="G343">
            <v>34011190</v>
          </cell>
          <cell r="H343">
            <v>7898936111340</v>
          </cell>
          <cell r="I343">
            <v>17898936111347</v>
          </cell>
          <cell r="J343" t="str">
            <v>CX</v>
          </cell>
          <cell r="K343">
            <v>0.18</v>
          </cell>
          <cell r="L343">
            <v>0</v>
          </cell>
          <cell r="M343">
            <v>156.84960000000001</v>
          </cell>
          <cell r="N343">
            <v>172.53456000000003</v>
          </cell>
          <cell r="O343">
            <v>190.56493457943921</v>
          </cell>
          <cell r="P343">
            <v>195.47564635514013</v>
          </cell>
          <cell r="Q343">
            <v>200.09318130841123</v>
          </cell>
          <cell r="R343">
            <v>0.18</v>
          </cell>
          <cell r="S343">
            <v>0.12</v>
          </cell>
          <cell r="T343">
            <v>0</v>
          </cell>
        </row>
        <row r="344">
          <cell r="E344">
            <v>653298</v>
          </cell>
          <cell r="F344" t="str">
            <v>TOALHINHAS UMED PIQUITUCHO HIDRATE 40UN (COM 24 PCS)</v>
          </cell>
          <cell r="G344">
            <v>34011190</v>
          </cell>
          <cell r="H344">
            <v>7908032300576</v>
          </cell>
          <cell r="I344">
            <v>17908032300573</v>
          </cell>
          <cell r="J344" t="str">
            <v>CX</v>
          </cell>
          <cell r="K344">
            <v>0.18</v>
          </cell>
          <cell r="L344">
            <v>0</v>
          </cell>
          <cell r="M344">
            <v>68.88000000000001</v>
          </cell>
          <cell r="N344">
            <v>75.768000000000015</v>
          </cell>
          <cell r="O344">
            <v>83.685981308411215</v>
          </cell>
          <cell r="P344">
            <v>85.842504672897192</v>
          </cell>
          <cell r="Q344">
            <v>87.870280373831775</v>
          </cell>
          <cell r="R344">
            <v>0.18</v>
          </cell>
          <cell r="S344">
            <v>0.12</v>
          </cell>
          <cell r="T344">
            <v>0</v>
          </cell>
        </row>
        <row r="345">
          <cell r="E345">
            <v>653304</v>
          </cell>
          <cell r="F345" t="str">
            <v>TOALHINHAS UMED PIQUITUCHO HIDRATE LMPM 80UN (COM 24 PCS)</v>
          </cell>
          <cell r="G345">
            <v>34011190</v>
          </cell>
          <cell r="H345">
            <v>7908032300583</v>
          </cell>
          <cell r="I345">
            <v>17908032300580</v>
          </cell>
          <cell r="J345" t="str">
            <v>CX</v>
          </cell>
          <cell r="K345">
            <v>0.18</v>
          </cell>
          <cell r="L345">
            <v>0</v>
          </cell>
          <cell r="M345">
            <v>130.67519999999999</v>
          </cell>
          <cell r="N345">
            <v>143.74271999999999</v>
          </cell>
          <cell r="O345">
            <v>158.76426168224293</v>
          </cell>
          <cell r="P345">
            <v>162.85549457943924</v>
          </cell>
          <cell r="Q345">
            <v>166.70247476635515</v>
          </cell>
          <cell r="R345">
            <v>0.18</v>
          </cell>
          <cell r="S345">
            <v>0.12</v>
          </cell>
          <cell r="T345">
            <v>0</v>
          </cell>
        </row>
        <row r="346">
          <cell r="E346">
            <v>615401</v>
          </cell>
          <cell r="F346" t="str">
            <v>LENCOS UMED FEELCLEAN REPELENTE DE INSETOS 16 UN (COM 24 PCS)</v>
          </cell>
          <cell r="G346">
            <v>38089199</v>
          </cell>
          <cell r="H346">
            <v>7898936111197</v>
          </cell>
          <cell r="I346">
            <v>17898936111194</v>
          </cell>
          <cell r="J346" t="str">
            <v>CX</v>
          </cell>
          <cell r="K346">
            <v>0.18</v>
          </cell>
          <cell r="L346">
            <v>9.2499999999999999E-2</v>
          </cell>
          <cell r="M346">
            <v>142.65204545454543</v>
          </cell>
          <cell r="N346">
            <v>156.91725000000002</v>
          </cell>
          <cell r="O346">
            <v>173.31556924384023</v>
          </cell>
          <cell r="P346">
            <v>177.78177814358531</v>
          </cell>
          <cell r="Q346">
            <v>181.9813477060323</v>
          </cell>
          <cell r="R346">
            <v>0.18</v>
          </cell>
          <cell r="S346">
            <v>0.12</v>
          </cell>
          <cell r="T346">
            <v>0</v>
          </cell>
        </row>
        <row r="347">
          <cell r="E347">
            <v>568493</v>
          </cell>
          <cell r="F347" t="str">
            <v>LENCOS UMEDECIDOS ANTISSEPTICOS FEELCLEAN 16 (COM 24 PCS)</v>
          </cell>
          <cell r="G347">
            <v>38089429</v>
          </cell>
          <cell r="H347">
            <v>7898936110480</v>
          </cell>
          <cell r="I347">
            <v>17898936110487</v>
          </cell>
          <cell r="J347" t="str">
            <v>CX</v>
          </cell>
          <cell r="K347">
            <v>0.18</v>
          </cell>
          <cell r="L347">
            <v>9.2499999999999999E-2</v>
          </cell>
          <cell r="M347">
            <v>112.71272727272729</v>
          </cell>
          <cell r="N347">
            <v>123.98400000000002</v>
          </cell>
          <cell r="O347">
            <v>136.94069668649109</v>
          </cell>
          <cell r="P347">
            <v>140.46955310110451</v>
          </cell>
          <cell r="Q347">
            <v>143.78773152081567</v>
          </cell>
          <cell r="R347">
            <v>0.18</v>
          </cell>
          <cell r="S347">
            <v>0.12</v>
          </cell>
          <cell r="T347">
            <v>0</v>
          </cell>
        </row>
        <row r="348">
          <cell r="E348">
            <v>380187</v>
          </cell>
          <cell r="F348" t="str">
            <v>FEELCLEAN TOALHAS UMEDECIDAS PARA HIGIENE 40UN (COM 24 PCS)</v>
          </cell>
          <cell r="G348">
            <v>34011190</v>
          </cell>
          <cell r="H348">
            <v>7898936110565</v>
          </cell>
          <cell r="I348">
            <v>17898936110562</v>
          </cell>
          <cell r="J348" t="str">
            <v>CX</v>
          </cell>
          <cell r="K348">
            <v>0.18</v>
          </cell>
          <cell r="L348">
            <v>0</v>
          </cell>
          <cell r="M348">
            <v>154.88160000000002</v>
          </cell>
          <cell r="N348">
            <v>170.36976000000001</v>
          </cell>
          <cell r="O348">
            <v>188.17390654205607</v>
          </cell>
          <cell r="P348">
            <v>193.02300336448596</v>
          </cell>
          <cell r="Q348">
            <v>197.58260186915891</v>
          </cell>
          <cell r="R348">
            <v>0.18</v>
          </cell>
          <cell r="S348">
            <v>0.12</v>
          </cell>
          <cell r="T348">
            <v>0</v>
          </cell>
        </row>
        <row r="349">
          <cell r="E349">
            <v>649260</v>
          </cell>
          <cell r="F349" t="str">
            <v>TOALHINHAS UMED FEELCLEAN PET 50UN (COM 24 PCS)</v>
          </cell>
          <cell r="G349">
            <v>34011900</v>
          </cell>
          <cell r="H349">
            <v>7898936111173</v>
          </cell>
          <cell r="I349">
            <v>17898936111170</v>
          </cell>
          <cell r="J349" t="str">
            <v>CX</v>
          </cell>
          <cell r="K349">
            <v>0.18</v>
          </cell>
          <cell r="L349">
            <v>0.125</v>
          </cell>
          <cell r="M349">
            <v>108.06109090909094</v>
          </cell>
          <cell r="N349">
            <v>118.86720000000003</v>
          </cell>
          <cell r="O349">
            <v>131.28917587085812</v>
          </cell>
          <cell r="P349">
            <v>134.67239694137638</v>
          </cell>
          <cell r="Q349">
            <v>137.85363466440106</v>
          </cell>
          <cell r="R349">
            <v>0.18</v>
          </cell>
          <cell r="S349">
            <v>0.12</v>
          </cell>
          <cell r="T349">
            <v>0</v>
          </cell>
        </row>
        <row r="350">
          <cell r="E350">
            <v>647426</v>
          </cell>
          <cell r="F350" t="str">
            <v>LENCOS UMEDECIDOS FEELCLEAN HOME MULTIUSO E MULTISUPERFICIES 30UN (COM 12 PCS)</v>
          </cell>
          <cell r="G350">
            <v>34011900</v>
          </cell>
          <cell r="H350">
            <v>7898936112583</v>
          </cell>
          <cell r="I350">
            <v>17898936112580</v>
          </cell>
          <cell r="J350" t="str">
            <v>CX</v>
          </cell>
          <cell r="K350">
            <v>0.18</v>
          </cell>
          <cell r="L350">
            <v>0</v>
          </cell>
          <cell r="M350">
            <v>55.103999999999992</v>
          </cell>
          <cell r="N350">
            <v>60.614399999999996</v>
          </cell>
          <cell r="O350">
            <v>66.948785046728943</v>
          </cell>
          <cell r="P350">
            <v>68.674003738317737</v>
          </cell>
          <cell r="Q350">
            <v>70.296224299065415</v>
          </cell>
          <cell r="R350">
            <v>0.18</v>
          </cell>
          <cell r="S350">
            <v>0.12</v>
          </cell>
          <cell r="T350">
            <v>0</v>
          </cell>
        </row>
        <row r="351">
          <cell r="E351">
            <v>647433</v>
          </cell>
          <cell r="F351" t="str">
            <v>LENCOS UMEDECIDOS FEELCLEAN HOME BANHEIRO 30UN (COM 12 PCS)</v>
          </cell>
          <cell r="G351">
            <v>38089419</v>
          </cell>
          <cell r="H351">
            <v>7898936112606</v>
          </cell>
          <cell r="I351">
            <v>17898936112603</v>
          </cell>
          <cell r="J351" t="str">
            <v>CX</v>
          </cell>
          <cell r="K351">
            <v>0.18</v>
          </cell>
          <cell r="L351">
            <v>9.2499999999999999E-2</v>
          </cell>
          <cell r="M351">
            <v>57.85332954545455</v>
          </cell>
          <cell r="N351">
            <v>63.638662500000017</v>
          </cell>
          <cell r="O351">
            <v>70.289091971112995</v>
          </cell>
          <cell r="P351">
            <v>72.100387802676266</v>
          </cell>
          <cell r="Q351">
            <v>73.803546569668654</v>
          </cell>
          <cell r="R351">
            <v>0.18</v>
          </cell>
          <cell r="S351">
            <v>0.12</v>
          </cell>
          <cell r="T351">
            <v>0</v>
          </cell>
        </row>
        <row r="352">
          <cell r="E352">
            <v>647440</v>
          </cell>
          <cell r="F352" t="str">
            <v>LENCOS UMEDECIDOS FEELCLEAN HOME LIMPA VIDROS 30UN (COM 12 PCS)</v>
          </cell>
          <cell r="G352">
            <v>34011900</v>
          </cell>
          <cell r="H352">
            <v>7898936112590</v>
          </cell>
          <cell r="I352">
            <v>17898936112597</v>
          </cell>
          <cell r="J352" t="str">
            <v>CX</v>
          </cell>
          <cell r="K352">
            <v>0.18</v>
          </cell>
          <cell r="L352">
            <v>0</v>
          </cell>
          <cell r="M352">
            <v>56.875200000000007</v>
          </cell>
          <cell r="N352">
            <v>62.562720000000006</v>
          </cell>
          <cell r="O352">
            <v>69.100710280373818</v>
          </cell>
          <cell r="P352">
            <v>70.881382429906537</v>
          </cell>
          <cell r="Q352">
            <v>72.555745794392536</v>
          </cell>
          <cell r="R352">
            <v>0.18</v>
          </cell>
          <cell r="S352">
            <v>0.12</v>
          </cell>
          <cell r="T352">
            <v>0</v>
          </cell>
        </row>
        <row r="353">
          <cell r="E353">
            <v>646627</v>
          </cell>
          <cell r="F353" t="str">
            <v>LENCOS UMED FEELCLEAN INTIMOS 16 UN (COM 24 PCS)</v>
          </cell>
          <cell r="G353">
            <v>34011900</v>
          </cell>
          <cell r="H353">
            <v>7898936110619</v>
          </cell>
          <cell r="I353">
            <v>17898936110616</v>
          </cell>
          <cell r="J353" t="str">
            <v>CX</v>
          </cell>
          <cell r="K353">
            <v>0.18</v>
          </cell>
          <cell r="L353">
            <v>0</v>
          </cell>
          <cell r="M353">
            <v>56.088000000000008</v>
          </cell>
          <cell r="N353">
            <v>61.69680000000001</v>
          </cell>
          <cell r="O353">
            <v>68.14429906542054</v>
          </cell>
          <cell r="P353">
            <v>69.90032523364485</v>
          </cell>
          <cell r="Q353">
            <v>71.551514018691591</v>
          </cell>
          <cell r="R353">
            <v>0.18</v>
          </cell>
          <cell r="S353">
            <v>0.12</v>
          </cell>
          <cell r="T353">
            <v>0</v>
          </cell>
        </row>
        <row r="354">
          <cell r="E354">
            <v>646610</v>
          </cell>
          <cell r="F354" t="str">
            <v>LENCOS UMED FEELCLEAN DEMAQUILANTE 16 UN (COM 24 PCS)</v>
          </cell>
          <cell r="G354">
            <v>34011900</v>
          </cell>
          <cell r="H354">
            <v>7898936110800</v>
          </cell>
          <cell r="I354">
            <v>17898936110807</v>
          </cell>
          <cell r="J354" t="str">
            <v>CX</v>
          </cell>
          <cell r="K354">
            <v>0.18</v>
          </cell>
          <cell r="L354">
            <v>0</v>
          </cell>
          <cell r="M354">
            <v>114.3408</v>
          </cell>
          <cell r="N354">
            <v>125.77488000000001</v>
          </cell>
          <cell r="O354">
            <v>138.91872897196259</v>
          </cell>
          <cell r="P354">
            <v>142.49855775700931</v>
          </cell>
          <cell r="Q354">
            <v>145.86466542056073</v>
          </cell>
          <cell r="R354">
            <v>0.18</v>
          </cell>
          <cell r="S354">
            <v>0.12</v>
          </cell>
          <cell r="T354">
            <v>0</v>
          </cell>
        </row>
        <row r="355">
          <cell r="E355">
            <v>653205</v>
          </cell>
          <cell r="F355" t="str">
            <v>TOALHINHAS UMEDECIDAS FEELCLEAN NANA NENEM 50 UN (COM 24 PCS)</v>
          </cell>
          <cell r="G355">
            <v>34011900</v>
          </cell>
          <cell r="H355">
            <v>7898936110053</v>
          </cell>
          <cell r="I355">
            <v>17898936110050</v>
          </cell>
          <cell r="J355" t="str">
            <v>CX</v>
          </cell>
          <cell r="K355">
            <v>0.18</v>
          </cell>
          <cell r="L355">
            <v>0</v>
          </cell>
          <cell r="M355">
            <v>109.4208</v>
          </cell>
          <cell r="N355">
            <v>120.36288</v>
          </cell>
          <cell r="O355">
            <v>132.94115887850464</v>
          </cell>
          <cell r="P355">
            <v>136.3669502803738</v>
          </cell>
          <cell r="Q355">
            <v>139.5882168224299</v>
          </cell>
          <cell r="R355">
            <v>0.18</v>
          </cell>
          <cell r="S355">
            <v>0.12</v>
          </cell>
          <cell r="T355">
            <v>0</v>
          </cell>
        </row>
        <row r="356">
          <cell r="E356">
            <v>646580</v>
          </cell>
          <cell r="F356" t="str">
            <v>LENCO UMEDECIDOS HIGIENICOS ECOSOFT FEELCLEAN 50UN C24PC </v>
          </cell>
          <cell r="G356">
            <v>34011900</v>
          </cell>
          <cell r="H356">
            <v>7898936110176</v>
          </cell>
          <cell r="I356">
            <v>17898936110173</v>
          </cell>
          <cell r="J356" t="str">
            <v>CX</v>
          </cell>
          <cell r="K356">
            <v>0.18</v>
          </cell>
          <cell r="L356">
            <v>0</v>
          </cell>
          <cell r="M356">
            <v>142.28640000000004</v>
          </cell>
          <cell r="N356">
            <v>156.51504000000006</v>
          </cell>
          <cell r="O356">
            <v>172.87132710280375</v>
          </cell>
          <cell r="P356">
            <v>177.32608822429907</v>
          </cell>
          <cell r="Q356">
            <v>181.51489345794397</v>
          </cell>
          <cell r="R356">
            <v>0.18</v>
          </cell>
          <cell r="S356">
            <v>0.12</v>
          </cell>
          <cell r="T356">
            <v>0</v>
          </cell>
        </row>
        <row r="357">
          <cell r="E357">
            <v>653359</v>
          </cell>
          <cell r="F357" t="str">
            <v>LENCOS UMED FEELCLEAN AGUA MICELAR 16 UN (COM 24 PCS)</v>
          </cell>
          <cell r="G357">
            <v>34011900</v>
          </cell>
          <cell r="H357">
            <v>7898936111562</v>
          </cell>
          <cell r="I357">
            <v>17898936111569</v>
          </cell>
          <cell r="J357" t="str">
            <v>CX</v>
          </cell>
          <cell r="K357">
            <v>0.18</v>
          </cell>
          <cell r="L357">
            <v>0</v>
          </cell>
          <cell r="M357">
            <v>142.68</v>
          </cell>
          <cell r="N357">
            <v>156.94800000000001</v>
          </cell>
          <cell r="O357">
            <v>173.34953271028036</v>
          </cell>
          <cell r="P357">
            <v>177.81661682242989</v>
          </cell>
          <cell r="Q357">
            <v>182.01700934579438</v>
          </cell>
          <cell r="R357">
            <v>0.18</v>
          </cell>
          <cell r="S357">
            <v>0.12</v>
          </cell>
          <cell r="T357">
            <v>0</v>
          </cell>
        </row>
        <row r="358">
          <cell r="E358">
            <v>653236</v>
          </cell>
          <cell r="F358" t="str">
            <v>TOALHINHAS UMEDECIDAS FEELCLEAN TUTTI-FRUTTI 50 UN (COM 24 PCS)</v>
          </cell>
          <cell r="G358">
            <v>34011900</v>
          </cell>
          <cell r="H358">
            <v>7898936112545</v>
          </cell>
          <cell r="I358">
            <v>17898936112542</v>
          </cell>
          <cell r="J358" t="str">
            <v>CX</v>
          </cell>
          <cell r="K358">
            <v>0.18</v>
          </cell>
          <cell r="L358">
            <v>0</v>
          </cell>
          <cell r="M358">
            <v>151.14240000000001</v>
          </cell>
          <cell r="N358">
            <v>166.25664000000003</v>
          </cell>
          <cell r="O358">
            <v>183.63095327102798</v>
          </cell>
          <cell r="P358">
            <v>188.36298168224295</v>
          </cell>
          <cell r="Q358">
            <v>192.81250093457945</v>
          </cell>
          <cell r="R358">
            <v>0.18</v>
          </cell>
          <cell r="S358">
            <v>0.12</v>
          </cell>
          <cell r="T358">
            <v>0</v>
          </cell>
        </row>
        <row r="359">
          <cell r="E359">
            <v>673490</v>
          </cell>
          <cell r="F359" t="str">
            <v>TOALHINHAS UMEDECIDAS TUTTI-FRUTTI 50UN FEELCLEAN CX/2</v>
          </cell>
          <cell r="G359">
            <v>34011900</v>
          </cell>
          <cell r="H359">
            <v>7898936112545</v>
          </cell>
          <cell r="I359">
            <v>17898936112542</v>
          </cell>
          <cell r="J359" t="str">
            <v>CX</v>
          </cell>
          <cell r="K359">
            <v>0.18</v>
          </cell>
          <cell r="L359">
            <v>0</v>
          </cell>
          <cell r="M359">
            <v>151.14240000000001</v>
          </cell>
          <cell r="N359">
            <v>166.25664000000003</v>
          </cell>
          <cell r="O359">
            <v>183.63095327102798</v>
          </cell>
          <cell r="P359">
            <v>188.36298168224295</v>
          </cell>
          <cell r="Q359">
            <v>192.81250093457945</v>
          </cell>
          <cell r="R359">
            <v>0.18</v>
          </cell>
          <cell r="S359">
            <v>0.12</v>
          </cell>
          <cell r="T359">
            <v>0</v>
          </cell>
        </row>
        <row r="360">
          <cell r="E360">
            <v>646597</v>
          </cell>
          <cell r="F360" t="str">
            <v>TOALHAS UMED BIODEGRADAVEIS FEELCLEAN ECOSOFT 50UN (COM 24 PCS)</v>
          </cell>
          <cell r="G360">
            <v>34011190</v>
          </cell>
          <cell r="H360">
            <v>7898936111159</v>
          </cell>
          <cell r="I360">
            <v>17898936111156</v>
          </cell>
          <cell r="J360" t="str">
            <v>CX</v>
          </cell>
          <cell r="K360">
            <v>0.18</v>
          </cell>
          <cell r="L360">
            <v>0</v>
          </cell>
          <cell r="M360">
            <v>131.46239999999997</v>
          </cell>
          <cell r="N360">
            <v>144.60863999999998</v>
          </cell>
          <cell r="O360">
            <v>159.72067289719621</v>
          </cell>
          <cell r="P360">
            <v>163.83655177570085</v>
          </cell>
          <cell r="Q360">
            <v>167.70670654205605</v>
          </cell>
          <cell r="R360">
            <v>0.18</v>
          </cell>
          <cell r="S360">
            <v>0.12</v>
          </cell>
          <cell r="T360">
            <v>0</v>
          </cell>
        </row>
        <row r="361">
          <cell r="E361">
            <v>653243</v>
          </cell>
          <cell r="F361" t="str">
            <v>TOALHINHAS UMEDECIDAS FEELCLEAN TUTTI-FRUTTI 100 UN (COM 24 PCS)</v>
          </cell>
          <cell r="G361">
            <v>34011190</v>
          </cell>
          <cell r="H361">
            <v>7898936112552</v>
          </cell>
          <cell r="I361">
            <v>17898936112559</v>
          </cell>
          <cell r="J361" t="str">
            <v>CX</v>
          </cell>
          <cell r="K361">
            <v>0.18</v>
          </cell>
          <cell r="L361">
            <v>0</v>
          </cell>
          <cell r="M361">
            <v>267.64800000000002</v>
          </cell>
          <cell r="N361">
            <v>294.41280000000006</v>
          </cell>
          <cell r="O361">
            <v>325.17981308411208</v>
          </cell>
          <cell r="P361">
            <v>333.55944672897192</v>
          </cell>
          <cell r="Q361">
            <v>341.43880373831774</v>
          </cell>
          <cell r="R361">
            <v>0.18</v>
          </cell>
          <cell r="S361">
            <v>0.12</v>
          </cell>
          <cell r="T361">
            <v>0</v>
          </cell>
        </row>
        <row r="362">
          <cell r="E362">
            <v>673497</v>
          </cell>
          <cell r="F362" t="str">
            <v>TOALHINHAS UMEDECIDAS TUTTI-FRUTTI 100UN FEELCLEAN CX/24</v>
          </cell>
          <cell r="G362">
            <v>34011190</v>
          </cell>
          <cell r="H362">
            <v>7898936112552</v>
          </cell>
          <cell r="I362">
            <v>17898936112559</v>
          </cell>
          <cell r="J362" t="str">
            <v>CX</v>
          </cell>
          <cell r="K362">
            <v>0.18</v>
          </cell>
          <cell r="L362">
            <v>0</v>
          </cell>
          <cell r="M362">
            <v>267.64800000000002</v>
          </cell>
          <cell r="N362">
            <v>294.41280000000006</v>
          </cell>
          <cell r="O362">
            <v>325.17981308411208</v>
          </cell>
          <cell r="P362">
            <v>333.55944672897192</v>
          </cell>
          <cell r="Q362">
            <v>341.43880373831774</v>
          </cell>
          <cell r="R362">
            <v>0.18</v>
          </cell>
          <cell r="S362">
            <v>0.12</v>
          </cell>
          <cell r="T362">
            <v>0</v>
          </cell>
        </row>
        <row r="363">
          <cell r="E363">
            <v>653311</v>
          </cell>
          <cell r="F363" t="str">
            <v>PROMOPACK T U PIQUITUCHO 60 PREMIUM L04 P03 (COM 6 KITS X 4 PCS)</v>
          </cell>
          <cell r="G363">
            <v>34011190</v>
          </cell>
          <cell r="H363">
            <v>7898936110152</v>
          </cell>
          <cell r="I363">
            <v>17898936110159</v>
          </cell>
          <cell r="J363" t="str">
            <v>CX</v>
          </cell>
          <cell r="K363">
            <v>0.18</v>
          </cell>
          <cell r="L363">
            <v>0</v>
          </cell>
          <cell r="M363">
            <v>142.82760000000005</v>
          </cell>
          <cell r="N363">
            <v>157.11036000000004</v>
          </cell>
          <cell r="O363">
            <v>173.52885981308413</v>
          </cell>
          <cell r="P363">
            <v>178.00056504672898</v>
          </cell>
          <cell r="Q363">
            <v>182.20530280373836</v>
          </cell>
          <cell r="R363">
            <v>0.18</v>
          </cell>
          <cell r="S363">
            <v>0.12</v>
          </cell>
          <cell r="T363">
            <v>0</v>
          </cell>
        </row>
        <row r="364">
          <cell r="E364">
            <v>653328</v>
          </cell>
          <cell r="F364" t="str">
            <v>PROMOPACK T U FEELCLEAN BABY 50 LMPM (COM 6 KITS X 4 PÇS)</v>
          </cell>
          <cell r="G364">
            <v>34011190</v>
          </cell>
          <cell r="H364">
            <v>7898936110190</v>
          </cell>
          <cell r="I364">
            <v>17898936110197</v>
          </cell>
          <cell r="J364" t="str">
            <v>CX</v>
          </cell>
          <cell r="K364">
            <v>0.18</v>
          </cell>
          <cell r="L364">
            <v>0</v>
          </cell>
          <cell r="M364">
            <v>150.94559999999998</v>
          </cell>
          <cell r="N364">
            <v>166.04016000000004</v>
          </cell>
          <cell r="O364">
            <v>183.39185046728971</v>
          </cell>
          <cell r="P364">
            <v>188.11771738317753</v>
          </cell>
          <cell r="Q364">
            <v>192.56144299065423</v>
          </cell>
          <cell r="R364">
            <v>0.18</v>
          </cell>
          <cell r="S364">
            <v>0.12</v>
          </cell>
          <cell r="T364">
            <v>0</v>
          </cell>
        </row>
        <row r="365">
          <cell r="E365">
            <v>653342</v>
          </cell>
          <cell r="F365" t="str">
            <v>PROMOPACK TOALHAS UMEDEC PREMIUM 4X60UN PIQUITUCHO CX/6 </v>
          </cell>
          <cell r="G365">
            <v>34011190</v>
          </cell>
          <cell r="H365">
            <v>7908032300415</v>
          </cell>
          <cell r="I365">
            <v>17908032300412</v>
          </cell>
          <cell r="J365" t="str">
            <v>CX</v>
          </cell>
          <cell r="K365">
            <v>0.18</v>
          </cell>
          <cell r="L365">
            <v>0</v>
          </cell>
          <cell r="M365">
            <v>97.760400000000004</v>
          </cell>
          <cell r="N365">
            <v>107.53644000000003</v>
          </cell>
          <cell r="O365">
            <v>118.77431775700934</v>
          </cell>
          <cell r="P365">
            <v>121.83504056074764</v>
          </cell>
          <cell r="Q365">
            <v>124.71303364485985</v>
          </cell>
          <cell r="R365">
            <v>0.18</v>
          </cell>
          <cell r="S365">
            <v>0.12</v>
          </cell>
          <cell r="T365">
            <v>0</v>
          </cell>
        </row>
        <row r="366">
          <cell r="E366">
            <v>653212</v>
          </cell>
          <cell r="F366" t="str">
            <v>TOALHINHAS UMEDECIDAS FEELCLEAN NANA NENEM 100 UN (COM 24 PCS)</v>
          </cell>
          <cell r="G366">
            <v>34011190</v>
          </cell>
          <cell r="H366">
            <v>7898936112576</v>
          </cell>
          <cell r="I366">
            <v>17898936112573</v>
          </cell>
          <cell r="J366" t="str">
            <v>CX</v>
          </cell>
          <cell r="K366">
            <v>0.18</v>
          </cell>
          <cell r="L366">
            <v>0</v>
          </cell>
          <cell r="M366">
            <v>208.01760000000002</v>
          </cell>
          <cell r="N366">
            <v>228.81935999999999</v>
          </cell>
          <cell r="O366">
            <v>252.73166355140182</v>
          </cell>
          <cell r="P366">
            <v>259.24436411214953</v>
          </cell>
          <cell r="Q366">
            <v>265.368246728972</v>
          </cell>
          <cell r="R366">
            <v>0.18</v>
          </cell>
          <cell r="S366">
            <v>0.12</v>
          </cell>
          <cell r="T366">
            <v>0</v>
          </cell>
        </row>
        <row r="367">
          <cell r="E367">
            <v>653335</v>
          </cell>
          <cell r="F367" t="str">
            <v>PROMOPACK T U FEELCLEAN NANA NENEM 50 LMPM (COM 6 KITS X 4 PÇS)</v>
          </cell>
          <cell r="G367">
            <v>34011190</v>
          </cell>
          <cell r="H367">
            <v>7908032300507</v>
          </cell>
          <cell r="I367">
            <v>17908032300504</v>
          </cell>
          <cell r="J367" t="str">
            <v>CX</v>
          </cell>
          <cell r="K367">
            <v>0.18</v>
          </cell>
          <cell r="L367">
            <v>0</v>
          </cell>
          <cell r="M367">
            <v>130.52760000000001</v>
          </cell>
          <cell r="N367">
            <v>143.58036000000001</v>
          </cell>
          <cell r="O367">
            <v>158.58493457943922</v>
          </cell>
          <cell r="P367">
            <v>162.67154635514015</v>
          </cell>
          <cell r="Q367">
            <v>166.51418130841122</v>
          </cell>
          <cell r="R367">
            <v>0.18</v>
          </cell>
          <cell r="S367">
            <v>0.12</v>
          </cell>
          <cell r="T367">
            <v>0</v>
          </cell>
        </row>
        <row r="368">
          <cell r="E368">
            <v>642582</v>
          </cell>
          <cell r="F368" t="str">
            <v>ALGODÃO DISCO BELLACOTTON 24 X 50 UN. (DISPLAY)</v>
          </cell>
          <cell r="G368">
            <v>56012110</v>
          </cell>
          <cell r="H368">
            <v>7898924640098</v>
          </cell>
          <cell r="I368">
            <v>17898947390984</v>
          </cell>
          <cell r="J368" t="str">
            <v>CX</v>
          </cell>
          <cell r="K368">
            <v>0.18</v>
          </cell>
          <cell r="L368">
            <v>9.2499999999999999E-2</v>
          </cell>
          <cell r="M368">
            <v>75.376636363636365</v>
          </cell>
          <cell r="N368">
            <v>82.914300000000011</v>
          </cell>
          <cell r="O368">
            <v>91.579090909090894</v>
          </cell>
          <cell r="P368">
            <v>93.939013636363612</v>
          </cell>
          <cell r="Q368">
            <v>96.158045454545444</v>
          </cell>
          <cell r="R368">
            <v>0.18</v>
          </cell>
          <cell r="S368">
            <v>0.12</v>
          </cell>
          <cell r="T368">
            <v>0</v>
          </cell>
        </row>
        <row r="369">
          <cell r="E369">
            <v>642607</v>
          </cell>
          <cell r="F369" t="str">
            <v>ALGODÃO DISCO BELLACOTTON 18 X 100 UN. (LV100 PG80) BELLACOTTON</v>
          </cell>
          <cell r="G369">
            <v>56012110</v>
          </cell>
          <cell r="H369">
            <v>7898947390284</v>
          </cell>
          <cell r="I369">
            <v>17898947390281</v>
          </cell>
          <cell r="J369" t="str">
            <v>CX</v>
          </cell>
          <cell r="K369">
            <v>0.18</v>
          </cell>
          <cell r="L369">
            <v>9.2499999999999999E-2</v>
          </cell>
          <cell r="M369">
            <v>136.04778409090909</v>
          </cell>
          <cell r="N369">
            <v>149.65256250000004</v>
          </cell>
          <cell r="O369">
            <v>165.29170029736616</v>
          </cell>
          <cell r="P369">
            <v>169.55114026656753</v>
          </cell>
          <cell r="Q369">
            <v>173.55628531223451</v>
          </cell>
          <cell r="R369">
            <v>0.18</v>
          </cell>
          <cell r="S369">
            <v>0.12</v>
          </cell>
          <cell r="T369">
            <v>0</v>
          </cell>
        </row>
        <row r="370">
          <cell r="E370">
            <v>642609</v>
          </cell>
          <cell r="F370" t="str">
            <v>ALGODÃO DISCO BELLACOTTON 18 X 100 UN. (ZIP) BELLACOTTON</v>
          </cell>
          <cell r="G370">
            <v>56012110</v>
          </cell>
          <cell r="H370">
            <v>7898959957451</v>
          </cell>
          <cell r="I370">
            <v>17898959957458</v>
          </cell>
          <cell r="J370" t="str">
            <v>CX</v>
          </cell>
          <cell r="K370">
            <v>0.18</v>
          </cell>
          <cell r="L370">
            <v>9.2499999999999999E-2</v>
          </cell>
          <cell r="M370">
            <v>170.12577272727273</v>
          </cell>
          <cell r="N370">
            <v>187.13835000000006</v>
          </cell>
          <cell r="O370">
            <v>206.69486406117244</v>
          </cell>
          <cell r="P370">
            <v>212.0212317119796</v>
          </cell>
          <cell r="Q370">
            <v>217.02960726423112</v>
          </cell>
          <cell r="R370">
            <v>0.18</v>
          </cell>
          <cell r="S370">
            <v>0.12</v>
          </cell>
          <cell r="T370">
            <v>0</v>
          </cell>
        </row>
        <row r="371">
          <cell r="E371">
            <v>642611</v>
          </cell>
          <cell r="F371" t="str">
            <v>ALGODÃO DISCO BELLACOTTON 30 X 150 UN. (LV150 PG100) BELLACOTTON</v>
          </cell>
          <cell r="G371">
            <v>56012110</v>
          </cell>
          <cell r="H371">
            <v>7898662061964</v>
          </cell>
          <cell r="I371">
            <v>17898662061961</v>
          </cell>
          <cell r="J371" t="str">
            <v>CX</v>
          </cell>
          <cell r="K371">
            <v>0.18</v>
          </cell>
          <cell r="L371">
            <v>9.2499999999999999E-2</v>
          </cell>
          <cell r="M371">
            <v>283.54295454545456</v>
          </cell>
          <cell r="N371">
            <v>311.89725000000004</v>
          </cell>
          <cell r="O371">
            <v>344.49144010195403</v>
          </cell>
          <cell r="P371">
            <v>353.36871951996602</v>
          </cell>
          <cell r="Q371">
            <v>361.71601210705188</v>
          </cell>
          <cell r="R371">
            <v>0.18</v>
          </cell>
          <cell r="S371">
            <v>0.12</v>
          </cell>
          <cell r="T371">
            <v>0</v>
          </cell>
        </row>
        <row r="372">
          <cell r="E372">
            <v>642713</v>
          </cell>
          <cell r="F372" t="str">
            <v>HASTE FLEX BELLACOTTON CARTUCHO 6 X 12 X 75 UN. BELLACOTTON</v>
          </cell>
          <cell r="G372">
            <v>56012190</v>
          </cell>
          <cell r="H372">
            <v>7898924640012</v>
          </cell>
          <cell r="I372">
            <v>17898924640019</v>
          </cell>
          <cell r="J372" t="str">
            <v>CX</v>
          </cell>
          <cell r="K372">
            <v>0.18</v>
          </cell>
          <cell r="L372">
            <v>9.2499999999999999E-2</v>
          </cell>
          <cell r="M372">
            <v>107.25320454545454</v>
          </cell>
          <cell r="N372">
            <v>117.97852500000002</v>
          </cell>
          <cell r="O372">
            <v>130.30763169073913</v>
          </cell>
          <cell r="P372">
            <v>133.66555912276971</v>
          </cell>
          <cell r="Q372">
            <v>136.82301327527614</v>
          </cell>
          <cell r="R372">
            <v>0.18</v>
          </cell>
          <cell r="S372">
            <v>0.12</v>
          </cell>
          <cell r="T372">
            <v>0</v>
          </cell>
        </row>
        <row r="373">
          <cell r="E373">
            <v>642520</v>
          </cell>
          <cell r="F373" t="str">
            <v>ALGODÃO BOLA BELLACOTTON 4 X 12 X 50G</v>
          </cell>
          <cell r="G373">
            <v>56012110</v>
          </cell>
          <cell r="H373" t="str">
            <v>78989246400 4</v>
          </cell>
          <cell r="I373">
            <v>17898924640071</v>
          </cell>
          <cell r="J373" t="str">
            <v>CX</v>
          </cell>
          <cell r="K373">
            <v>0.18</v>
          </cell>
          <cell r="L373">
            <v>9.2499999999999999E-2</v>
          </cell>
          <cell r="M373">
            <v>123.63177272727273</v>
          </cell>
          <cell r="N373">
            <v>135.99494999999999</v>
          </cell>
          <cell r="O373">
            <v>150.20682667799483</v>
          </cell>
          <cell r="P373">
            <v>154.07754105777394</v>
          </cell>
          <cell r="Q373">
            <v>157.71716801189467</v>
          </cell>
          <cell r="R373">
            <v>0.18</v>
          </cell>
          <cell r="S373">
            <v>0.12</v>
          </cell>
          <cell r="T373">
            <v>0</v>
          </cell>
        </row>
        <row r="374">
          <cell r="E374">
            <v>642551</v>
          </cell>
          <cell r="F374" t="str">
            <v>ALGODÃO BOLA BELLACOTTON 20 X 95G</v>
          </cell>
          <cell r="G374">
            <v>56012110</v>
          </cell>
          <cell r="H374">
            <v>7898947389547</v>
          </cell>
          <cell r="I374">
            <v>17898947389544</v>
          </cell>
          <cell r="J374" t="str">
            <v>CX</v>
          </cell>
          <cell r="K374">
            <v>0.18</v>
          </cell>
          <cell r="L374">
            <v>9.2499999999999999E-2</v>
          </cell>
          <cell r="M374">
            <v>91.13880681818182</v>
          </cell>
          <cell r="N374">
            <v>100.25268750000001</v>
          </cell>
          <cell r="O374">
            <v>110.72939146134237</v>
          </cell>
          <cell r="P374">
            <v>113.58280270284619</v>
          </cell>
          <cell r="Q374">
            <v>116.26586103440953</v>
          </cell>
          <cell r="R374">
            <v>0.18</v>
          </cell>
          <cell r="S374">
            <v>0.12</v>
          </cell>
          <cell r="T374">
            <v>0</v>
          </cell>
        </row>
        <row r="375">
          <cell r="E375">
            <v>642568</v>
          </cell>
          <cell r="F375" t="str">
            <v>ALGODÃO DISCO BELLACOTTON POTE FT 12 X 30 UN.</v>
          </cell>
          <cell r="G375">
            <v>56012110</v>
          </cell>
          <cell r="H375">
            <v>7898924640104</v>
          </cell>
          <cell r="I375">
            <v>17898924640101</v>
          </cell>
          <cell r="J375" t="str">
            <v>CX</v>
          </cell>
          <cell r="K375">
            <v>0.18</v>
          </cell>
          <cell r="L375">
            <v>9.2499999999999999E-2</v>
          </cell>
          <cell r="M375">
            <v>69.917113636363638</v>
          </cell>
          <cell r="N375">
            <v>76.908825000000022</v>
          </cell>
          <cell r="O375">
            <v>84.946025913338971</v>
          </cell>
          <cell r="P375">
            <v>87.135019658028881</v>
          </cell>
          <cell r="Q375">
            <v>89.193327209005943</v>
          </cell>
          <cell r="R375">
            <v>0.18</v>
          </cell>
          <cell r="S375">
            <v>0.12</v>
          </cell>
          <cell r="T375">
            <v>0</v>
          </cell>
        </row>
        <row r="376">
          <cell r="E376">
            <v>642636</v>
          </cell>
          <cell r="F376" t="str">
            <v>ALGODÃO QUADRADO BELLACOTTON BABY 12 X 50 UN.</v>
          </cell>
          <cell r="G376">
            <v>56012110</v>
          </cell>
          <cell r="H376">
            <v>7898924640951</v>
          </cell>
          <cell r="I376">
            <v>17898924640958</v>
          </cell>
          <cell r="J376" t="str">
            <v>CX</v>
          </cell>
          <cell r="K376">
            <v>0.18</v>
          </cell>
          <cell r="L376">
            <v>9.2499999999999999E-2</v>
          </cell>
          <cell r="M376">
            <v>83.301750000000013</v>
          </cell>
          <cell r="N376">
            <v>91.631925000000038</v>
          </cell>
          <cell r="O376">
            <v>101.2077336448598</v>
          </cell>
          <cell r="P376">
            <v>103.81577908878504</v>
          </cell>
          <cell r="Q376">
            <v>106.26812032710282</v>
          </cell>
          <cell r="R376">
            <v>0.18</v>
          </cell>
          <cell r="S376">
            <v>0.12</v>
          </cell>
          <cell r="T376">
            <v>0</v>
          </cell>
        </row>
        <row r="377">
          <cell r="E377">
            <v>642650</v>
          </cell>
          <cell r="F377" t="str">
            <v>ALGODÃO QUADRADINHO BELLACOTTON 24X250 UN</v>
          </cell>
          <cell r="G377">
            <v>56012110</v>
          </cell>
          <cell r="H377">
            <v>7898959957864</v>
          </cell>
          <cell r="I377">
            <v>17898959957861</v>
          </cell>
          <cell r="J377" t="str">
            <v>CX</v>
          </cell>
          <cell r="K377">
            <v>0.18</v>
          </cell>
          <cell r="L377">
            <v>9.2499999999999999E-2</v>
          </cell>
          <cell r="M377">
            <v>183.68652272727275</v>
          </cell>
          <cell r="N377">
            <v>202.05517500000002</v>
          </cell>
          <cell r="O377">
            <v>223.17054163126588</v>
          </cell>
          <cell r="P377">
            <v>228.92147481945619</v>
          </cell>
          <cell r="Q377">
            <v>234.32906871282924</v>
          </cell>
          <cell r="R377">
            <v>0.18</v>
          </cell>
          <cell r="S377">
            <v>0.12</v>
          </cell>
          <cell r="T377">
            <v>0</v>
          </cell>
        </row>
        <row r="378">
          <cell r="E378">
            <v>642674</v>
          </cell>
          <cell r="F378" t="str">
            <v>HASTE FLEX MAQ. BELLACOTTON 24 X 75 UN.</v>
          </cell>
          <cell r="G378">
            <v>56012190</v>
          </cell>
          <cell r="H378">
            <v>7898959957536</v>
          </cell>
          <cell r="I378">
            <v>17898959957533</v>
          </cell>
          <cell r="J378" t="str">
            <v>CX</v>
          </cell>
          <cell r="K378">
            <v>0.18</v>
          </cell>
          <cell r="L378">
            <v>9.2499999999999999E-2</v>
          </cell>
          <cell r="M378">
            <v>50.192386363636373</v>
          </cell>
          <cell r="N378">
            <v>55.211625000000012</v>
          </cell>
          <cell r="O378">
            <v>60.981403993203045</v>
          </cell>
          <cell r="P378">
            <v>62.552847865335593</v>
          </cell>
          <cell r="Q378">
            <v>64.03047419286321</v>
          </cell>
          <cell r="R378">
            <v>0.18</v>
          </cell>
          <cell r="S378">
            <v>0.12</v>
          </cell>
          <cell r="T378">
            <v>0</v>
          </cell>
        </row>
        <row r="379">
          <cell r="E379">
            <v>642698</v>
          </cell>
          <cell r="F379" t="str">
            <v>HASTE FLEX BABY BELLACOTTON 12 X 50</v>
          </cell>
          <cell r="G379">
            <v>56012190</v>
          </cell>
          <cell r="H379">
            <v>7898924640043</v>
          </cell>
          <cell r="I379">
            <v>17898924640040</v>
          </cell>
          <cell r="J379" t="str">
            <v>CX</v>
          </cell>
          <cell r="K379">
            <v>0.18</v>
          </cell>
          <cell r="L379">
            <v>9.2499999999999999E-2</v>
          </cell>
          <cell r="M379">
            <v>41.738931818181818</v>
          </cell>
          <cell r="N379">
            <v>45.912825000000005</v>
          </cell>
          <cell r="O379">
            <v>50.710851741716212</v>
          </cell>
          <cell r="P379">
            <v>52.017631382752754</v>
          </cell>
          <cell r="Q379">
            <v>53.246394328802047</v>
          </cell>
          <cell r="R379">
            <v>0.18</v>
          </cell>
          <cell r="S379">
            <v>0.12</v>
          </cell>
          <cell r="T379">
            <v>0</v>
          </cell>
        </row>
        <row r="380">
          <cell r="E380">
            <v>642704</v>
          </cell>
          <cell r="F380" t="str">
            <v>HASTE FLEX ECO PAPEL BELLACOTTON 24 X 75 UN.</v>
          </cell>
          <cell r="G380">
            <v>56012190</v>
          </cell>
          <cell r="H380">
            <v>7898959957857</v>
          </cell>
          <cell r="I380">
            <v>17898959957854</v>
          </cell>
          <cell r="J380" t="str">
            <v>CX</v>
          </cell>
          <cell r="K380">
            <v>0.18</v>
          </cell>
          <cell r="L380">
            <v>9.2499999999999999E-2</v>
          </cell>
          <cell r="M380">
            <v>55.828022727272725</v>
          </cell>
          <cell r="N380">
            <v>61.410824999999996</v>
          </cell>
          <cell r="O380">
            <v>67.828438827527592</v>
          </cell>
          <cell r="P380">
            <v>69.576325520390796</v>
          </cell>
          <cell r="Q380">
            <v>71.219860768903999</v>
          </cell>
          <cell r="R380">
            <v>0.18</v>
          </cell>
          <cell r="S380">
            <v>0.12</v>
          </cell>
          <cell r="T380">
            <v>0</v>
          </cell>
        </row>
        <row r="381">
          <cell r="E381">
            <v>642711</v>
          </cell>
          <cell r="F381" t="str">
            <v>HASTE FLEX BELLACOTTON CARTUCHO 6X12XL75P65UN.</v>
          </cell>
          <cell r="G381">
            <v>56012190</v>
          </cell>
          <cell r="H381">
            <v>7898924640227</v>
          </cell>
          <cell r="I381">
            <v>17898924640224</v>
          </cell>
          <cell r="J381" t="str">
            <v>CX</v>
          </cell>
          <cell r="K381">
            <v>0.18</v>
          </cell>
          <cell r="L381">
            <v>9.2499999999999999E-2</v>
          </cell>
          <cell r="M381">
            <v>93.5163409090909</v>
          </cell>
          <cell r="N381">
            <v>102.867975</v>
          </cell>
          <cell r="O381">
            <v>113.61798428207304</v>
          </cell>
          <cell r="P381">
            <v>116.54583233857261</v>
          </cell>
          <cell r="Q381">
            <v>119.2988834961767</v>
          </cell>
          <cell r="R381">
            <v>0.18</v>
          </cell>
          <cell r="S381">
            <v>0.12</v>
          </cell>
          <cell r="T381">
            <v>0</v>
          </cell>
        </row>
        <row r="382">
          <cell r="E382">
            <v>642728</v>
          </cell>
          <cell r="F382" t="str">
            <v>HASTE FLEX BELLACOTTON CARTUCHO 24X150</v>
          </cell>
          <cell r="G382">
            <v>56012190</v>
          </cell>
          <cell r="H382">
            <v>7898947389691</v>
          </cell>
          <cell r="I382">
            <v>17898947389698</v>
          </cell>
          <cell r="J382" t="str">
            <v>CX</v>
          </cell>
          <cell r="K382">
            <v>0.18</v>
          </cell>
          <cell r="L382">
            <v>9.2499999999999999E-2</v>
          </cell>
          <cell r="M382">
            <v>69.388772727272737</v>
          </cell>
          <cell r="N382">
            <v>76.32765000000002</v>
          </cell>
          <cell r="O382">
            <v>84.304116397621044</v>
          </cell>
          <cell r="P382">
            <v>86.476568627867437</v>
          </cell>
          <cell r="Q382">
            <v>88.519322217502122</v>
          </cell>
          <cell r="R382">
            <v>0.18</v>
          </cell>
          <cell r="S382">
            <v>0.12</v>
          </cell>
          <cell r="T382">
            <v>0</v>
          </cell>
        </row>
        <row r="383">
          <cell r="E383">
            <v>642735</v>
          </cell>
          <cell r="F383" t="str">
            <v>HASTE FLEX BELLACOTTON POTE FT 12 X 150 UN.</v>
          </cell>
          <cell r="G383">
            <v>56012190</v>
          </cell>
          <cell r="H383">
            <v>7898924640029</v>
          </cell>
          <cell r="I383">
            <v>17898924640026</v>
          </cell>
          <cell r="J383" t="str">
            <v>CX</v>
          </cell>
          <cell r="K383">
            <v>0.18</v>
          </cell>
          <cell r="L383">
            <v>9.2499999999999999E-2</v>
          </cell>
          <cell r="M383">
            <v>53.714659090909088</v>
          </cell>
          <cell r="N383">
            <v>59.086125000000003</v>
          </cell>
          <cell r="O383">
            <v>65.260800764655897</v>
          </cell>
          <cell r="P383">
            <v>66.94252139974509</v>
          </cell>
          <cell r="Q383">
            <v>68.523840802888685</v>
          </cell>
          <cell r="R383">
            <v>0.18</v>
          </cell>
          <cell r="S383">
            <v>0.12</v>
          </cell>
          <cell r="T383">
            <v>0</v>
          </cell>
        </row>
        <row r="384">
          <cell r="E384">
            <v>642988</v>
          </cell>
          <cell r="F384" t="str">
            <v>ABSORVENTES PARA SEIOS BELLACOTTON 12 X 12 UN.</v>
          </cell>
          <cell r="G384">
            <v>96190000</v>
          </cell>
          <cell r="H384">
            <v>7898959957215</v>
          </cell>
          <cell r="I384">
            <v>17898959957212</v>
          </cell>
          <cell r="J384" t="str">
            <v>CX</v>
          </cell>
          <cell r="K384">
            <v>0.18</v>
          </cell>
          <cell r="L384">
            <v>9.2499999999999999E-2</v>
          </cell>
          <cell r="M384">
            <v>62.168113636363628</v>
          </cell>
          <cell r="N384">
            <v>68.38492500000001</v>
          </cell>
          <cell r="O384">
            <v>75.531353016142717</v>
          </cell>
          <cell r="P384">
            <v>77.477737882327943</v>
          </cell>
          <cell r="Q384">
            <v>79.307920666949855</v>
          </cell>
          <cell r="R384">
            <v>0.18</v>
          </cell>
          <cell r="S384">
            <v>0.12</v>
          </cell>
          <cell r="T384">
            <v>0</v>
          </cell>
        </row>
        <row r="385">
          <cell r="E385">
            <v>642971</v>
          </cell>
          <cell r="F385" t="str">
            <v xml:space="preserve">ABSORVENTES PARA SEIOS BELLACOTTON 12 X 30 UN. (LV30 PG24) </v>
          </cell>
          <cell r="G385">
            <v>96190000</v>
          </cell>
          <cell r="H385">
            <v>7898959957543</v>
          </cell>
          <cell r="I385">
            <v>17898959957540</v>
          </cell>
          <cell r="J385" t="str">
            <v>CX</v>
          </cell>
          <cell r="K385">
            <v>0.18</v>
          </cell>
          <cell r="L385">
            <v>9.2499999999999999E-2</v>
          </cell>
          <cell r="M385">
            <v>124.68845454545453</v>
          </cell>
          <cell r="N385">
            <v>137.15729999999999</v>
          </cell>
          <cell r="O385">
            <v>151.49064570943074</v>
          </cell>
          <cell r="P385">
            <v>155.39444311809683</v>
          </cell>
          <cell r="Q385">
            <v>159.06517799490229</v>
          </cell>
          <cell r="R385">
            <v>0.18</v>
          </cell>
          <cell r="S385">
            <v>0.12</v>
          </cell>
          <cell r="T385">
            <v>0</v>
          </cell>
        </row>
        <row r="386">
          <cell r="E386">
            <v>652758</v>
          </cell>
          <cell r="F386" t="str">
            <v>REF 470 MICROPO. BELLACOTTON 25MMX4,5M 48 UN RV</v>
          </cell>
          <cell r="G386">
            <v>30051090</v>
          </cell>
          <cell r="H386">
            <v>7898947389622</v>
          </cell>
          <cell r="I386">
            <v>17898947389629</v>
          </cell>
          <cell r="J386" t="str">
            <v>CX</v>
          </cell>
          <cell r="K386">
            <v>0.18</v>
          </cell>
          <cell r="L386">
            <v>9.2499999999999999E-2</v>
          </cell>
          <cell r="M386">
            <v>213.44972727272727</v>
          </cell>
          <cell r="N386">
            <v>234.79470000000003</v>
          </cell>
          <cell r="O386">
            <v>266.81215909090906</v>
          </cell>
          <cell r="P386">
            <v>271.08115363636364</v>
          </cell>
          <cell r="Q386">
            <v>277.48464545454544</v>
          </cell>
          <cell r="R386">
            <v>0.18</v>
          </cell>
          <cell r="S386">
            <v>0.12</v>
          </cell>
          <cell r="T386">
            <v>0</v>
          </cell>
        </row>
        <row r="387">
          <cell r="E387">
            <v>642643</v>
          </cell>
          <cell r="F387" t="str">
            <v>ALGODAO QUADRADO BABY BELLACOTTON 100 UN. (LV100PG85)</v>
          </cell>
          <cell r="G387">
            <v>56012110</v>
          </cell>
          <cell r="H387">
            <v>7898662061889</v>
          </cell>
          <cell r="I387">
            <v>17898662061886</v>
          </cell>
          <cell r="J387" t="str">
            <v>CX</v>
          </cell>
          <cell r="K387">
            <v>0.18</v>
          </cell>
          <cell r="L387">
            <v>9.2499999999999999E-2</v>
          </cell>
          <cell r="M387">
            <v>141.59536363636363</v>
          </cell>
          <cell r="N387">
            <v>155.75489999999999</v>
          </cell>
          <cell r="O387">
            <v>172.03175021240438</v>
          </cell>
          <cell r="P387">
            <v>176.46487608326251</v>
          </cell>
          <cell r="Q387">
            <v>180.63333772302462</v>
          </cell>
          <cell r="R387">
            <v>0.18</v>
          </cell>
          <cell r="S387">
            <v>0.12</v>
          </cell>
          <cell r="T387">
            <v>0</v>
          </cell>
        </row>
        <row r="388">
          <cell r="E388">
            <v>663549</v>
          </cell>
          <cell r="F388" t="str">
            <v>ALGODÃO HIDROFILO BELLACOTTON 4 X 12 X 25G</v>
          </cell>
          <cell r="G388">
            <v>56012110</v>
          </cell>
          <cell r="H388">
            <v>7898924640050</v>
          </cell>
          <cell r="I388">
            <v>17898924640057</v>
          </cell>
          <cell r="J388" t="str">
            <v>CX</v>
          </cell>
          <cell r="K388">
            <v>0.18</v>
          </cell>
          <cell r="L388">
            <v>9.2499999999999999E-2</v>
          </cell>
          <cell r="M388">
            <v>77.842227272727285</v>
          </cell>
          <cell r="N388">
            <v>85.626449999999991</v>
          </cell>
          <cell r="O388">
            <v>94.574668649107878</v>
          </cell>
          <cell r="P388">
            <v>97.011785110450276</v>
          </cell>
          <cell r="Q388">
            <v>99.303402081563291</v>
          </cell>
          <cell r="R388">
            <v>0.18</v>
          </cell>
          <cell r="S388">
            <v>0.12</v>
          </cell>
          <cell r="T388">
            <v>0</v>
          </cell>
        </row>
        <row r="389">
          <cell r="E389">
            <v>663778</v>
          </cell>
          <cell r="F389" t="str">
            <v>ALGODÃO HIDROFILO BELLACOTTON 20 X 50G</v>
          </cell>
          <cell r="G389">
            <v>56012110</v>
          </cell>
          <cell r="H389">
            <v>7898947389493</v>
          </cell>
          <cell r="I389">
            <v>17898947389490</v>
          </cell>
          <cell r="J389" t="str">
            <v>CX</v>
          </cell>
          <cell r="K389">
            <v>0.18</v>
          </cell>
          <cell r="L389">
            <v>9.2499999999999999E-2</v>
          </cell>
          <cell r="M389">
            <v>57.090170454545458</v>
          </cell>
          <cell r="N389">
            <v>62.799187500000016</v>
          </cell>
          <cell r="O389">
            <v>69.361889337298209</v>
          </cell>
          <cell r="P389">
            <v>71.149291870220907</v>
          </cell>
          <cell r="Q389">
            <v>72.829983804163135</v>
          </cell>
          <cell r="R389">
            <v>0.18</v>
          </cell>
          <cell r="S389">
            <v>0.12</v>
          </cell>
          <cell r="T389">
            <v>0</v>
          </cell>
        </row>
        <row r="390">
          <cell r="E390">
            <v>668926</v>
          </cell>
          <cell r="F390" t="str">
            <v>CURATIVO TRANSPARENTE VARIADO 30 UNIDADES BELLACOTTON CX24</v>
          </cell>
          <cell r="G390">
            <v>30051090</v>
          </cell>
          <cell r="H390">
            <v>7898924640654</v>
          </cell>
          <cell r="I390">
            <v>17898924640651</v>
          </cell>
          <cell r="J390" t="str">
            <v>CX</v>
          </cell>
          <cell r="K390">
            <v>0.18</v>
          </cell>
          <cell r="L390">
            <v>9.2499999999999999E-2</v>
          </cell>
          <cell r="M390">
            <v>167.13184090909093</v>
          </cell>
          <cell r="N390">
            <v>183.84502500000008</v>
          </cell>
          <cell r="O390">
            <v>203.05737680543751</v>
          </cell>
          <cell r="P390">
            <v>208.29000920773146</v>
          </cell>
          <cell r="Q390">
            <v>213.21024564570939</v>
          </cell>
          <cell r="R390">
            <v>0.18</v>
          </cell>
          <cell r="S390">
            <v>0.12</v>
          </cell>
          <cell r="T390">
            <v>0</v>
          </cell>
        </row>
        <row r="391">
          <cell r="E391">
            <v>675108</v>
          </cell>
          <cell r="F391" t="str">
            <v xml:space="preserve">ALGODAO BOLAS 50G GALINHA PINTADINHA CX36                  </v>
          </cell>
          <cell r="G391">
            <v>56012110</v>
          </cell>
          <cell r="H391" t="str">
            <v>7891800675108</v>
          </cell>
          <cell r="I391">
            <v>17891800675105</v>
          </cell>
          <cell r="J391" t="str">
            <v>CX</v>
          </cell>
          <cell r="K391">
            <v>0.18</v>
          </cell>
          <cell r="L391">
            <v>9.2499999999999999E-2</v>
          </cell>
          <cell r="M391">
            <v>108.57405681818184</v>
          </cell>
          <cell r="N391">
            <v>119.43146250000004</v>
          </cell>
          <cell r="O391">
            <v>131.91240548003398</v>
          </cell>
          <cell r="P391">
            <v>135.31168669817333</v>
          </cell>
          <cell r="Q391">
            <v>138.50802575403571</v>
          </cell>
          <cell r="R391">
            <v>0.18</v>
          </cell>
          <cell r="S391">
            <v>0.12</v>
          </cell>
          <cell r="T391">
            <v>0</v>
          </cell>
        </row>
        <row r="392">
          <cell r="E392">
            <v>675085</v>
          </cell>
          <cell r="F392" t="str">
            <v xml:space="preserve">ALGODAO QUADRADO 50UNID GALINHA PINTADINHA CX24             </v>
          </cell>
          <cell r="G392">
            <v>56012110</v>
          </cell>
          <cell r="H392" t="str">
            <v>7891800675085</v>
          </cell>
          <cell r="I392" t="str">
            <v xml:space="preserve">17891800675082 </v>
          </cell>
          <cell r="J392" t="str">
            <v>CX</v>
          </cell>
          <cell r="K392">
            <v>0.18</v>
          </cell>
          <cell r="L392">
            <v>9.2499999999999999E-2</v>
          </cell>
          <cell r="M392">
            <v>177.17031818181823</v>
          </cell>
          <cell r="N392">
            <v>194.88735000000008</v>
          </cell>
          <cell r="O392">
            <v>215.25365760407817</v>
          </cell>
          <cell r="P392">
            <v>220.80057878079865</v>
          </cell>
          <cell r="Q392">
            <v>226.01634048428215</v>
          </cell>
          <cell r="R392">
            <v>0.18</v>
          </cell>
          <cell r="S392">
            <v>0.12</v>
          </cell>
          <cell r="T392">
            <v>0</v>
          </cell>
        </row>
        <row r="393">
          <cell r="E393">
            <v>675092</v>
          </cell>
          <cell r="F393" t="str">
            <v>ALGODAO QUADRADO 100UNID GALINHA PINTADINHA LMPM - CX12</v>
          </cell>
          <cell r="G393">
            <v>56012110</v>
          </cell>
          <cell r="H393" t="str">
            <v>7891800675092</v>
          </cell>
          <cell r="I393" t="str">
            <v xml:space="preserve">17891800675099 </v>
          </cell>
          <cell r="J393" t="str">
            <v>CX</v>
          </cell>
          <cell r="K393">
            <v>0.18</v>
          </cell>
          <cell r="L393">
            <v>9.2499999999999999E-2</v>
          </cell>
          <cell r="M393">
            <v>159.64701136363638</v>
          </cell>
          <cell r="N393">
            <v>175.61171250000004</v>
          </cell>
          <cell r="O393">
            <v>193.96365866610023</v>
          </cell>
          <cell r="P393">
            <v>198.96195294711123</v>
          </cell>
          <cell r="Q393">
            <v>203.66184159940525</v>
          </cell>
          <cell r="R393">
            <v>0.18</v>
          </cell>
          <cell r="S393">
            <v>0.12</v>
          </cell>
          <cell r="T393">
            <v>0</v>
          </cell>
        </row>
        <row r="394">
          <cell r="E394">
            <v>675061</v>
          </cell>
          <cell r="F394" t="str">
            <v>HASTES FLEXIVEIS DE SEGURANCA 50UNID GALINHA PINTADINHA CX12</v>
          </cell>
          <cell r="G394">
            <v>56012190</v>
          </cell>
          <cell r="H394" t="str">
            <v>7891800675061</v>
          </cell>
          <cell r="I394" t="str">
            <v xml:space="preserve">17891800675068 </v>
          </cell>
          <cell r="J394" t="str">
            <v>CX</v>
          </cell>
          <cell r="K394">
            <v>0.18</v>
          </cell>
          <cell r="L394">
            <v>9.2499999999999999E-2</v>
          </cell>
          <cell r="M394">
            <v>53.362431818181818</v>
          </cell>
          <cell r="N394">
            <v>58.698675000000009</v>
          </cell>
          <cell r="O394">
            <v>64.832861087510594</v>
          </cell>
          <cell r="P394">
            <v>66.503554046304146</v>
          </cell>
          <cell r="Q394">
            <v>68.074504141886152</v>
          </cell>
          <cell r="R394">
            <v>0.18</v>
          </cell>
          <cell r="S394">
            <v>0.12</v>
          </cell>
          <cell r="T394">
            <v>0</v>
          </cell>
        </row>
        <row r="395">
          <cell r="E395">
            <v>675078</v>
          </cell>
          <cell r="F395" t="str">
            <v xml:space="preserve">HASTES FLEXIVEIS GALINHA PINTADINHA CARTUCHO 68 UNID CX60   </v>
          </cell>
          <cell r="G395">
            <v>56012190</v>
          </cell>
          <cell r="H395" t="str">
            <v>7891800675078</v>
          </cell>
          <cell r="I395" t="str">
            <v xml:space="preserve">17891800675075 </v>
          </cell>
          <cell r="J395" t="str">
            <v>CX</v>
          </cell>
          <cell r="K395">
            <v>0.18</v>
          </cell>
          <cell r="L395">
            <v>9.2499999999999999E-2</v>
          </cell>
          <cell r="M395">
            <v>110.9515909090909</v>
          </cell>
          <cell r="N395">
            <v>122.04675000000002</v>
          </cell>
          <cell r="O395">
            <v>134.80099830076463</v>
          </cell>
          <cell r="P395">
            <v>138.2747163338997</v>
          </cell>
          <cell r="Q395">
            <v>141.5410482158029</v>
          </cell>
          <cell r="R395">
            <v>0.18</v>
          </cell>
          <cell r="S395">
            <v>0.12</v>
          </cell>
          <cell r="T395">
            <v>0</v>
          </cell>
        </row>
        <row r="396">
          <cell r="E396">
            <v>666243</v>
          </cell>
          <cell r="F396" t="str">
            <v>TOALHAS UMEDECIDAS PROMO 4X50UN PATRULHA CANINA CHASE TOPZ CX C/6</v>
          </cell>
          <cell r="G396">
            <v>34011190</v>
          </cell>
          <cell r="H396" t="str">
            <v>7891800666243</v>
          </cell>
          <cell r="I396">
            <v>17891800666240</v>
          </cell>
          <cell r="J396" t="str">
            <v>CX</v>
          </cell>
          <cell r="K396">
            <v>0.18</v>
          </cell>
          <cell r="L396">
            <v>0</v>
          </cell>
          <cell r="M396">
            <v>89.59320000000001</v>
          </cell>
          <cell r="N396">
            <v>98.552520000000015</v>
          </cell>
          <cell r="O396">
            <v>108.85155140186913</v>
          </cell>
          <cell r="P396">
            <v>111.65657214953269</v>
          </cell>
          <cell r="Q396">
            <v>114.29412897196262</v>
          </cell>
          <cell r="R396">
            <v>0.18</v>
          </cell>
          <cell r="S396">
            <v>0.12</v>
          </cell>
          <cell r="T396">
            <v>0</v>
          </cell>
        </row>
        <row r="397">
          <cell r="E397">
            <v>805963</v>
          </cell>
          <cell r="F397" t="str">
            <v>COMPRESSA DE GAZE TIPO IRIS BOBINA 91CMX91M CREMER CX6</v>
          </cell>
          <cell r="G397">
            <v>30059090</v>
          </cell>
          <cell r="H397" t="str">
            <v>7891800805963</v>
          </cell>
          <cell r="I397" t="str">
            <v>17891800805960</v>
          </cell>
          <cell r="J397" t="str">
            <v>CX</v>
          </cell>
          <cell r="K397">
            <v>0.18</v>
          </cell>
          <cell r="L397">
            <v>9.2499999999999999E-2</v>
          </cell>
          <cell r="M397">
            <v>650.47571590909104</v>
          </cell>
          <cell r="N397">
            <v>715.52328750000004</v>
          </cell>
          <cell r="O397">
            <v>790.29759876805417</v>
          </cell>
          <cell r="P397">
            <v>810.6629599670772</v>
          </cell>
          <cell r="Q397">
            <v>829.81247870645711</v>
          </cell>
          <cell r="R397">
            <v>0.18</v>
          </cell>
          <cell r="S397">
            <v>0.12</v>
          </cell>
          <cell r="T397">
            <v>0</v>
          </cell>
        </row>
        <row r="398">
          <cell r="E398">
            <v>805970</v>
          </cell>
          <cell r="F398" t="str">
            <v>COMPRESSA DE GAZE TIPO ESTRELA 7,5X7,5CM 500UNID CREMER CX14</v>
          </cell>
          <cell r="G398">
            <v>30059090</v>
          </cell>
          <cell r="H398">
            <v>7891800805970</v>
          </cell>
          <cell r="I398" t="str">
            <v>17891800805977</v>
          </cell>
          <cell r="J398" t="str">
            <v>CX</v>
          </cell>
          <cell r="K398">
            <v>0.18</v>
          </cell>
          <cell r="L398">
            <v>9.2499999999999999E-2</v>
          </cell>
          <cell r="M398">
            <v>614.65126704545457</v>
          </cell>
          <cell r="N398">
            <v>676.11639375000004</v>
          </cell>
          <cell r="O398">
            <v>746.77256743840246</v>
          </cell>
          <cell r="P398">
            <v>766.01632206085378</v>
          </cell>
          <cell r="Q398">
            <v>784.11119581032278</v>
          </cell>
          <cell r="R398">
            <v>0.18</v>
          </cell>
          <cell r="S398">
            <v>0.12</v>
          </cell>
          <cell r="T398">
            <v>0</v>
          </cell>
        </row>
        <row r="399">
          <cell r="E399">
            <v>805987</v>
          </cell>
          <cell r="F399" t="str">
            <v>CURATIVO CIRURGICO EST ETO 15CMX30CM CREMER CX60</v>
          </cell>
          <cell r="G399">
            <v>30059090</v>
          </cell>
          <cell r="H399" t="str">
            <v>7891800805987</v>
          </cell>
          <cell r="I399" t="str">
            <v>17891800805984</v>
          </cell>
          <cell r="J399" t="str">
            <v>CX</v>
          </cell>
          <cell r="K399">
            <v>0.18</v>
          </cell>
          <cell r="L399">
            <v>9.2499999999999999E-2</v>
          </cell>
          <cell r="M399">
            <v>341.66045454545451</v>
          </cell>
          <cell r="N399">
            <v>375.82650000000001</v>
          </cell>
          <cell r="O399">
            <v>415.10148683092592</v>
          </cell>
          <cell r="P399">
            <v>425.79833283772291</v>
          </cell>
          <cell r="Q399">
            <v>435.85656117247248</v>
          </cell>
          <cell r="R399">
            <v>0.18</v>
          </cell>
          <cell r="S399">
            <v>0.12</v>
          </cell>
          <cell r="T399">
            <v>0</v>
          </cell>
        </row>
        <row r="400">
          <cell r="E400">
            <v>806069</v>
          </cell>
          <cell r="F400" t="str">
            <v>TOALHA PREMIUM ESTAMPADA 70CMX1M 2UNID CREMER CX11</v>
          </cell>
          <cell r="G400">
            <v>62092000</v>
          </cell>
          <cell r="H400" t="str">
            <v>7891800806069</v>
          </cell>
          <cell r="I400" t="str">
            <v>17891800806066</v>
          </cell>
          <cell r="J400" t="str">
            <v>CX</v>
          </cell>
          <cell r="K400">
            <v>0.18</v>
          </cell>
          <cell r="L400">
            <v>9.2499999999999999E-2</v>
          </cell>
          <cell r="M400">
            <v>315.12599999999998</v>
          </cell>
          <cell r="N400">
            <v>346.6386</v>
          </cell>
          <cell r="O400">
            <v>382.86336448598121</v>
          </cell>
          <cell r="P400">
            <v>392.72945887850454</v>
          </cell>
          <cell r="Q400">
            <v>402.00653271028034</v>
          </cell>
          <cell r="R400">
            <v>0.18</v>
          </cell>
          <cell r="S400">
            <v>0.12</v>
          </cell>
          <cell r="T400">
            <v>0</v>
          </cell>
        </row>
        <row r="401">
          <cell r="E401">
            <v>806083</v>
          </cell>
          <cell r="F401" t="str">
            <v>ATADURA DE CREPOM 8CMX1,8M CREMER 24X6PC CX144</v>
          </cell>
          <cell r="G401">
            <v>30059090</v>
          </cell>
          <cell r="H401" t="str">
            <v>7891800806083</v>
          </cell>
          <cell r="I401" t="str">
            <v>17891800806080</v>
          </cell>
          <cell r="J401" t="str">
            <v>CX</v>
          </cell>
          <cell r="K401">
            <v>0.18</v>
          </cell>
          <cell r="L401">
            <v>9.2499999999999999E-2</v>
          </cell>
          <cell r="M401">
            <v>305.38104545454547</v>
          </cell>
          <cell r="N401">
            <v>335.91915000000006</v>
          </cell>
          <cell r="O401">
            <v>371.02370008496172</v>
          </cell>
          <cell r="P401">
            <v>380.584695433305</v>
          </cell>
          <cell r="Q401">
            <v>389.57488508920994</v>
          </cell>
          <cell r="R401">
            <v>0.18</v>
          </cell>
          <cell r="S401">
            <v>0.12</v>
          </cell>
          <cell r="T401">
            <v>0</v>
          </cell>
        </row>
        <row r="402">
          <cell r="E402">
            <v>806090</v>
          </cell>
          <cell r="F402" t="str">
            <v>ATADURA DE CREPOM 10CMX1,8M CREMER 18PC/6UNID CX108</v>
          </cell>
          <cell r="G402">
            <v>30059090</v>
          </cell>
          <cell r="H402" t="str">
            <v>7891800806090</v>
          </cell>
          <cell r="I402" t="str">
            <v>17891800806097</v>
          </cell>
          <cell r="J402" t="str">
            <v>CX</v>
          </cell>
          <cell r="K402">
            <v>0.18</v>
          </cell>
          <cell r="L402">
            <v>9.2499999999999999E-2</v>
          </cell>
          <cell r="M402">
            <v>282.92655681818178</v>
          </cell>
          <cell r="N402">
            <v>311.21921250000003</v>
          </cell>
          <cell r="O402">
            <v>343.74254566694975</v>
          </cell>
          <cell r="P402">
            <v>352.60052665144423</v>
          </cell>
          <cell r="Q402">
            <v>360.92967295029734</v>
          </cell>
          <cell r="R402">
            <v>0.18</v>
          </cell>
          <cell r="S402">
            <v>0.12</v>
          </cell>
          <cell r="T402">
            <v>0</v>
          </cell>
        </row>
        <row r="403">
          <cell r="E403">
            <v>806106</v>
          </cell>
          <cell r="F403" t="str">
            <v>ATADURA DE CREPOM 12CMX1,8M CREMER 18PC/06ENV CX108</v>
          </cell>
          <cell r="G403">
            <v>30059090</v>
          </cell>
          <cell r="H403" t="str">
            <v>7891800806106</v>
          </cell>
          <cell r="I403" t="str">
            <v>17891800806103</v>
          </cell>
          <cell r="J403" t="str">
            <v>CX</v>
          </cell>
          <cell r="K403">
            <v>0.18</v>
          </cell>
          <cell r="L403">
            <v>9.2499999999999999E-2</v>
          </cell>
          <cell r="M403">
            <v>335.23230681818183</v>
          </cell>
          <cell r="N403">
            <v>368.75553750000006</v>
          </cell>
          <cell r="O403">
            <v>407.29158772302458</v>
          </cell>
          <cell r="P403">
            <v>417.78717863742565</v>
          </cell>
          <cell r="Q403">
            <v>427.65616710917595</v>
          </cell>
          <cell r="R403">
            <v>0.18</v>
          </cell>
          <cell r="S403">
            <v>0.12</v>
          </cell>
          <cell r="T403">
            <v>0</v>
          </cell>
        </row>
        <row r="404">
          <cell r="E404">
            <v>806113</v>
          </cell>
          <cell r="F404" t="str">
            <v>ATADURA DE CREPOM TIPO CYSNE 10CMX1,80M 14PC/6UNID CX84</v>
          </cell>
          <cell r="G404">
            <v>30059090</v>
          </cell>
          <cell r="H404" t="str">
            <v>7891800806113</v>
          </cell>
          <cell r="I404" t="str">
            <v>17891800806110</v>
          </cell>
          <cell r="J404" t="str">
            <v>CX</v>
          </cell>
          <cell r="K404">
            <v>0.18</v>
          </cell>
          <cell r="L404">
            <v>9.2499999999999999E-2</v>
          </cell>
          <cell r="M404">
            <v>136.8402954545455</v>
          </cell>
          <cell r="N404">
            <v>150.52432500000003</v>
          </cell>
          <cell r="O404">
            <v>166.25456457094305</v>
          </cell>
          <cell r="P404">
            <v>170.53881681180968</v>
          </cell>
          <cell r="Q404">
            <v>174.56729279949025</v>
          </cell>
          <cell r="R404">
            <v>0.18</v>
          </cell>
          <cell r="S404">
            <v>0.12</v>
          </cell>
          <cell r="T404">
            <v>0</v>
          </cell>
        </row>
        <row r="405">
          <cell r="E405">
            <v>806120</v>
          </cell>
          <cell r="F405" t="str">
            <v>ATADURA DE CREPOM TIPO CYSNE 12CMX1,80M 14PC/6UNID CX84</v>
          </cell>
          <cell r="G405">
            <v>30059090</v>
          </cell>
          <cell r="H405" t="str">
            <v>7891800806120</v>
          </cell>
          <cell r="I405" t="str">
            <v>17891800806127</v>
          </cell>
          <cell r="J405" t="str">
            <v>CX</v>
          </cell>
          <cell r="K405">
            <v>0.18</v>
          </cell>
          <cell r="L405">
            <v>9.2499999999999999E-2</v>
          </cell>
          <cell r="M405">
            <v>162.11260227272729</v>
          </cell>
          <cell r="N405">
            <v>178.32386250000002</v>
          </cell>
          <cell r="O405">
            <v>196.95923640611718</v>
          </cell>
          <cell r="P405">
            <v>202.03472442119789</v>
          </cell>
          <cell r="Q405">
            <v>206.80719822642308</v>
          </cell>
          <cell r="R405">
            <v>0.18</v>
          </cell>
          <cell r="S405">
            <v>0.12</v>
          </cell>
          <cell r="T405">
            <v>0</v>
          </cell>
        </row>
        <row r="406">
          <cell r="E406">
            <v>806137</v>
          </cell>
          <cell r="F406" t="str">
            <v>ATADURA DE CREPOM TIPO CYSNE 10CMX1,80M CREMER 18PC/12UNID CX216</v>
          </cell>
          <cell r="G406">
            <v>30059090</v>
          </cell>
          <cell r="H406" t="str">
            <v>7891800806137</v>
          </cell>
          <cell r="I406" t="str">
            <v>17891800806134</v>
          </cell>
          <cell r="J406" t="str">
            <v>CX</v>
          </cell>
          <cell r="K406">
            <v>0.18</v>
          </cell>
          <cell r="L406">
            <v>9.2499999999999999E-2</v>
          </cell>
          <cell r="M406">
            <v>329.28847159090913</v>
          </cell>
          <cell r="N406">
            <v>362.21731875000006</v>
          </cell>
          <cell r="O406">
            <v>400.07010567119789</v>
          </cell>
          <cell r="P406">
            <v>410.37960454810946</v>
          </cell>
          <cell r="Q406">
            <v>420.07361095475778</v>
          </cell>
          <cell r="R406">
            <v>0.18</v>
          </cell>
          <cell r="S406">
            <v>0.12</v>
          </cell>
          <cell r="T406">
            <v>0</v>
          </cell>
        </row>
        <row r="407">
          <cell r="E407">
            <v>806144</v>
          </cell>
          <cell r="F407" t="str">
            <v>ATADURA DE CREPOM TIPO CYSNE 20CMX1,80M CREMER 9PC/12UNID CX108</v>
          </cell>
          <cell r="G407">
            <v>30059090</v>
          </cell>
          <cell r="H407" t="str">
            <v>7891800806144</v>
          </cell>
          <cell r="I407" t="str">
            <v>17891800806141</v>
          </cell>
          <cell r="J407" t="str">
            <v>CX</v>
          </cell>
          <cell r="K407">
            <v>0.18</v>
          </cell>
          <cell r="L407">
            <v>9.2499999999999999E-2</v>
          </cell>
          <cell r="M407">
            <v>157.90788920454546</v>
          </cell>
          <cell r="N407">
            <v>173.69867812499999</v>
          </cell>
          <cell r="O407">
            <v>191.85070651019535</v>
          </cell>
          <cell r="P407">
            <v>196.79455163949655</v>
          </cell>
          <cell r="Q407">
            <v>201.44324183570515</v>
          </cell>
          <cell r="R407">
            <v>0.18</v>
          </cell>
          <cell r="S407">
            <v>0.12</v>
          </cell>
          <cell r="T407">
            <v>0</v>
          </cell>
        </row>
        <row r="408">
          <cell r="E408">
            <v>806151</v>
          </cell>
          <cell r="F408" t="str">
            <v>ATADURA DE CREPOM TIP CYSNE 25CMX1,80M CREMER 16PC/06UN CX96</v>
          </cell>
          <cell r="G408">
            <v>30059090</v>
          </cell>
          <cell r="H408" t="str">
            <v>7891800806151</v>
          </cell>
          <cell r="I408" t="str">
            <v>17891800806158</v>
          </cell>
          <cell r="J408" t="str">
            <v>CX</v>
          </cell>
          <cell r="K408">
            <v>0.18</v>
          </cell>
          <cell r="L408">
            <v>9.2499999999999999E-2</v>
          </cell>
          <cell r="M408">
            <v>378.99654545454547</v>
          </cell>
          <cell r="N408">
            <v>416.89620000000002</v>
          </cell>
          <cell r="O408">
            <v>460.46309260832612</v>
          </cell>
          <cell r="P408">
            <v>472.32887230246382</v>
          </cell>
          <cell r="Q408">
            <v>483.48624723874258</v>
          </cell>
          <cell r="R408">
            <v>0.18</v>
          </cell>
          <cell r="S408">
            <v>0.12</v>
          </cell>
          <cell r="T408">
            <v>0</v>
          </cell>
        </row>
        <row r="409">
          <cell r="E409">
            <v>806212</v>
          </cell>
          <cell r="F409" t="str">
            <v>ATADURA DE CREPOM TIPO CYSNE 20CMX1,25M CREMER 14PC/12UN CX168</v>
          </cell>
          <cell r="G409">
            <v>30059090</v>
          </cell>
          <cell r="H409" t="str">
            <v>7891800806212</v>
          </cell>
          <cell r="I409" t="str">
            <v>17891800806219</v>
          </cell>
          <cell r="J409" t="str">
            <v>CX</v>
          </cell>
          <cell r="K409">
            <v>0.18</v>
          </cell>
          <cell r="L409">
            <v>9.2499999999999999E-2</v>
          </cell>
          <cell r="M409">
            <v>378.98186931818185</v>
          </cell>
          <cell r="N409">
            <v>416.88005624999994</v>
          </cell>
          <cell r="O409">
            <v>460.44526178844512</v>
          </cell>
          <cell r="P409">
            <v>472.31058199607048</v>
          </cell>
          <cell r="Q409">
            <v>483.4675248778675</v>
          </cell>
          <cell r="R409">
            <v>0.18</v>
          </cell>
          <cell r="S409">
            <v>0.12</v>
          </cell>
          <cell r="T409">
            <v>0</v>
          </cell>
        </row>
        <row r="410">
          <cell r="E410">
            <v>806229</v>
          </cell>
          <cell r="F410" t="str">
            <v>ROLO DENTAL 1 CREMER 100UNID CX54</v>
          </cell>
          <cell r="G410">
            <v>30059090</v>
          </cell>
          <cell r="H410" t="str">
            <v>7891800806229</v>
          </cell>
          <cell r="I410" t="str">
            <v>17891800806226</v>
          </cell>
          <cell r="J410" t="str">
            <v>CX</v>
          </cell>
          <cell r="K410">
            <v>0.18</v>
          </cell>
          <cell r="L410">
            <v>9.2499999999999999E-2</v>
          </cell>
          <cell r="M410">
            <v>105.80026704545456</v>
          </cell>
          <cell r="N410">
            <v>116.38029375000001</v>
          </cell>
          <cell r="O410">
            <v>128.54238052251483</v>
          </cell>
          <cell r="P410">
            <v>131.8548187898258</v>
          </cell>
          <cell r="Q410">
            <v>134.96949954864061</v>
          </cell>
          <cell r="R410">
            <v>0.18</v>
          </cell>
          <cell r="S410">
            <v>0.12</v>
          </cell>
          <cell r="T410">
            <v>0</v>
          </cell>
        </row>
        <row r="411">
          <cell r="E411">
            <v>807936</v>
          </cell>
          <cell r="F411" t="str">
            <v>FRALDA DESCARTAVEL INFANTIL PIQUITUCHO MEGA M 34 x 8</v>
          </cell>
          <cell r="G411">
            <v>96190000</v>
          </cell>
          <cell r="H411">
            <v>7891800807936</v>
          </cell>
          <cell r="I411">
            <v>17891800807933</v>
          </cell>
          <cell r="J411" t="str">
            <v>CX</v>
          </cell>
          <cell r="K411">
            <v>0.18</v>
          </cell>
          <cell r="L411">
            <v>9.2499999999999999E-2</v>
          </cell>
          <cell r="M411">
            <v>111.06900000000002</v>
          </cell>
          <cell r="N411">
            <v>122.17590000000003</v>
          </cell>
          <cell r="O411">
            <v>138.83625000000004</v>
          </cell>
          <cell r="P411">
            <v>141.05763000000002</v>
          </cell>
          <cell r="Q411">
            <v>144.38970000000003</v>
          </cell>
          <cell r="R411">
            <v>0.18</v>
          </cell>
          <cell r="S411">
            <v>0.12</v>
          </cell>
          <cell r="T411">
            <v>0</v>
          </cell>
        </row>
        <row r="412">
          <cell r="E412">
            <v>807943</v>
          </cell>
          <cell r="F412" t="str">
            <v>FRALDA DESCARTAVEL INFANTIL PIQUITUCHO MEGA G 30 x 8</v>
          </cell>
          <cell r="G412">
            <v>96190000</v>
          </cell>
          <cell r="H412">
            <v>7891800807943</v>
          </cell>
          <cell r="I412">
            <v>17891800807940</v>
          </cell>
          <cell r="J412" t="str">
            <v>CX</v>
          </cell>
          <cell r="K412">
            <v>0.18</v>
          </cell>
          <cell r="L412">
            <v>9.2499999999999999E-2</v>
          </cell>
          <cell r="M412">
            <v>111.06900000000002</v>
          </cell>
          <cell r="N412">
            <v>122.17590000000003</v>
          </cell>
          <cell r="O412">
            <v>138.83625000000004</v>
          </cell>
          <cell r="P412">
            <v>141.05763000000002</v>
          </cell>
          <cell r="Q412">
            <v>144.38970000000003</v>
          </cell>
          <cell r="R412">
            <v>0.18</v>
          </cell>
          <cell r="S412">
            <v>0.12</v>
          </cell>
          <cell r="T412">
            <v>0</v>
          </cell>
        </row>
        <row r="413">
          <cell r="E413">
            <v>807950</v>
          </cell>
          <cell r="F413" t="str">
            <v>FRALDA DESCARTAVEL INFANTIL PIQUITUCHO MEGA EG  24 x 8</v>
          </cell>
          <cell r="G413">
            <v>96190000</v>
          </cell>
          <cell r="H413">
            <v>7891800807950</v>
          </cell>
          <cell r="I413">
            <v>17891800807957</v>
          </cell>
          <cell r="J413" t="str">
            <v>CX</v>
          </cell>
          <cell r="K413">
            <v>0.18</v>
          </cell>
          <cell r="L413">
            <v>9.2499999999999999E-2</v>
          </cell>
          <cell r="M413">
            <v>111.06900000000002</v>
          </cell>
          <cell r="N413">
            <v>122.17590000000003</v>
          </cell>
          <cell r="O413">
            <v>138.83625000000004</v>
          </cell>
          <cell r="P413">
            <v>141.05763000000002</v>
          </cell>
          <cell r="Q413">
            <v>144.38970000000003</v>
          </cell>
          <cell r="R413">
            <v>0.18</v>
          </cell>
          <cell r="S413">
            <v>0.12</v>
          </cell>
          <cell r="T413">
            <v>0</v>
          </cell>
        </row>
        <row r="414">
          <cell r="E414">
            <v>807967</v>
          </cell>
          <cell r="F414" t="str">
            <v>FRALDA DESCARTAVEL INFANTIL PIQUITUCHO MEGA EEG 20 x 8</v>
          </cell>
          <cell r="G414">
            <v>96190000</v>
          </cell>
          <cell r="H414">
            <v>7891800807967</v>
          </cell>
          <cell r="I414">
            <v>17891800807964</v>
          </cell>
          <cell r="J414" t="str">
            <v>CX</v>
          </cell>
          <cell r="K414">
            <v>0.18</v>
          </cell>
          <cell r="L414">
            <v>9.2499999999999999E-2</v>
          </cell>
          <cell r="M414">
            <v>111.06900000000002</v>
          </cell>
          <cell r="N414">
            <v>122.17590000000003</v>
          </cell>
          <cell r="O414">
            <v>138.83625000000004</v>
          </cell>
          <cell r="P414">
            <v>141.05763000000002</v>
          </cell>
          <cell r="Q414">
            <v>144.38970000000003</v>
          </cell>
          <cell r="R414">
            <v>0.18</v>
          </cell>
          <cell r="S414">
            <v>0.12</v>
          </cell>
          <cell r="T414">
            <v>0</v>
          </cell>
        </row>
        <row r="415">
          <cell r="E415">
            <v>807974</v>
          </cell>
          <cell r="F415" t="str">
            <v>FRALDA DESCARTAVEL INFANTIL SHORTS PIQUITUCHO JUMBINHO M 20 x 8</v>
          </cell>
          <cell r="G415">
            <v>96190000</v>
          </cell>
          <cell r="H415">
            <v>7891800807974</v>
          </cell>
          <cell r="I415">
            <v>17891800807971</v>
          </cell>
          <cell r="J415" t="str">
            <v>CX</v>
          </cell>
          <cell r="K415">
            <v>0.18</v>
          </cell>
          <cell r="L415">
            <v>9.2499999999999999E-2</v>
          </cell>
          <cell r="M415">
            <v>104.43538636363637</v>
          </cell>
          <cell r="N415">
            <v>114.87892499999998</v>
          </cell>
          <cell r="O415">
            <v>130.54423295454544</v>
          </cell>
          <cell r="P415">
            <v>132.63294068181818</v>
          </cell>
          <cell r="Q415">
            <v>135.76600227272726</v>
          </cell>
          <cell r="R415">
            <v>0.18</v>
          </cell>
          <cell r="S415">
            <v>0.12</v>
          </cell>
          <cell r="T415">
            <v>0</v>
          </cell>
        </row>
        <row r="416">
          <cell r="E416">
            <v>807981</v>
          </cell>
          <cell r="F416" t="str">
            <v>FRALDA DESCARTAVEL INFANTIL SHORTS PIQUITUCHO JUMBINHO G 18 x 8</v>
          </cell>
          <cell r="G416">
            <v>96190000</v>
          </cell>
          <cell r="H416">
            <v>7891800807981</v>
          </cell>
          <cell r="I416">
            <v>17891800807988</v>
          </cell>
          <cell r="J416" t="str">
            <v>CX</v>
          </cell>
          <cell r="K416">
            <v>0.18</v>
          </cell>
          <cell r="L416">
            <v>9.2499999999999999E-2</v>
          </cell>
          <cell r="M416">
            <v>104.43538636363637</v>
          </cell>
          <cell r="N416">
            <v>114.87892499999998</v>
          </cell>
          <cell r="O416">
            <v>130.54423295454544</v>
          </cell>
          <cell r="P416">
            <v>132.63294068181818</v>
          </cell>
          <cell r="Q416">
            <v>135.76600227272726</v>
          </cell>
          <cell r="R416">
            <v>0.18</v>
          </cell>
          <cell r="S416">
            <v>0.12</v>
          </cell>
          <cell r="T416">
            <v>0</v>
          </cell>
        </row>
        <row r="417">
          <cell r="E417">
            <v>807998</v>
          </cell>
          <cell r="F417" t="str">
            <v>FRALDA DESCARTAVEL INFANTIL SHORTS PIQUITUCHO JUMBINHO EG 14 x 8</v>
          </cell>
          <cell r="G417">
            <v>96190000</v>
          </cell>
          <cell r="H417">
            <v>7891800807998</v>
          </cell>
          <cell r="I417">
            <v>17891800807995</v>
          </cell>
          <cell r="J417" t="str">
            <v>CX</v>
          </cell>
          <cell r="K417">
            <v>0.18</v>
          </cell>
          <cell r="L417">
            <v>9.2499999999999999E-2</v>
          </cell>
          <cell r="M417">
            <v>104.43538636363637</v>
          </cell>
          <cell r="N417">
            <v>114.87892499999998</v>
          </cell>
          <cell r="O417">
            <v>130.54423295454544</v>
          </cell>
          <cell r="P417">
            <v>132.63294068181818</v>
          </cell>
          <cell r="Q417">
            <v>135.76600227272726</v>
          </cell>
          <cell r="R417">
            <v>0.18</v>
          </cell>
          <cell r="S417">
            <v>0.12</v>
          </cell>
          <cell r="T417">
            <v>0</v>
          </cell>
        </row>
        <row r="418">
          <cell r="E418">
            <v>808001</v>
          </cell>
          <cell r="F418" t="str">
            <v>FRALDA DESCARTAVEL INFANTIL SHORTS PIQUITUCHO JUMBINHO EEG  12 x 8</v>
          </cell>
          <cell r="G418">
            <v>96190000</v>
          </cell>
          <cell r="H418">
            <v>7891800808001</v>
          </cell>
          <cell r="I418">
            <v>17891800808008</v>
          </cell>
          <cell r="J418" t="str">
            <v>CX</v>
          </cell>
          <cell r="K418">
            <v>0.18</v>
          </cell>
          <cell r="L418">
            <v>9.2499999999999999E-2</v>
          </cell>
          <cell r="M418">
            <v>127.36022727272726</v>
          </cell>
          <cell r="N418">
            <v>140.09624999999997</v>
          </cell>
          <cell r="O418">
            <v>159.20028409090907</v>
          </cell>
          <cell r="P418">
            <v>161.74748863636358</v>
          </cell>
          <cell r="Q418">
            <v>165.56829545454542</v>
          </cell>
          <cell r="R418">
            <v>0.18</v>
          </cell>
          <cell r="S418">
            <v>0.12</v>
          </cell>
          <cell r="T418">
            <v>0</v>
          </cell>
        </row>
      </sheetData>
      <sheetData sheetId="2">
        <row r="2">
          <cell r="A2">
            <v>477979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0E5B-353E-41CB-89B1-B8F42BE77A48}">
  <dimension ref="E7:P330"/>
  <sheetViews>
    <sheetView tabSelected="1" workbookViewId="0">
      <selection activeCell="H4" sqref="H4"/>
    </sheetView>
  </sheetViews>
  <sheetFormatPr defaultRowHeight="15" x14ac:dyDescent="0.25"/>
  <cols>
    <col min="5" max="5" width="19.42578125" bestFit="1" customWidth="1"/>
    <col min="7" max="7" width="61.85546875" bestFit="1" customWidth="1"/>
    <col min="8" max="8" width="13.28515625" customWidth="1"/>
    <col min="9" max="9" width="17.5703125" bestFit="1" customWidth="1"/>
    <col min="10" max="10" width="14.85546875" bestFit="1" customWidth="1"/>
    <col min="11" max="11" width="18.5703125" bestFit="1" customWidth="1"/>
    <col min="12" max="15" width="13.28515625" customWidth="1"/>
    <col min="16" max="16" width="16.7109375" bestFit="1" customWidth="1"/>
  </cols>
  <sheetData>
    <row r="7" spans="5:16" x14ac:dyDescent="0.25">
      <c r="G7" s="10" t="s">
        <v>376</v>
      </c>
    </row>
    <row r="8" spans="5:16" ht="22.5" x14ac:dyDescent="0.25">
      <c r="E8" s="1" t="s">
        <v>0</v>
      </c>
      <c r="F8" s="1" t="s">
        <v>1</v>
      </c>
      <c r="G8" s="1" t="s">
        <v>2</v>
      </c>
      <c r="H8" s="2" t="s">
        <v>3</v>
      </c>
      <c r="I8" s="3" t="s">
        <v>4</v>
      </c>
      <c r="J8" s="3" t="s">
        <v>379</v>
      </c>
      <c r="K8" s="4" t="s">
        <v>5</v>
      </c>
      <c r="L8" s="8" t="s">
        <v>375</v>
      </c>
      <c r="M8" s="8" t="s">
        <v>424</v>
      </c>
      <c r="N8" s="8" t="s">
        <v>425</v>
      </c>
      <c r="O8" s="8" t="s">
        <v>395</v>
      </c>
      <c r="P8" s="8" t="s">
        <v>380</v>
      </c>
    </row>
    <row r="9" spans="5:16" x14ac:dyDescent="0.25">
      <c r="E9" s="6" t="s">
        <v>12</v>
      </c>
      <c r="F9" s="6">
        <v>156775</v>
      </c>
      <c r="G9" s="6" t="s">
        <v>13</v>
      </c>
      <c r="H9" s="5">
        <v>24</v>
      </c>
      <c r="I9" s="6">
        <v>7891800102871</v>
      </c>
      <c r="J9" s="6"/>
      <c r="K9" s="6">
        <v>17891800156772</v>
      </c>
      <c r="L9" s="9">
        <v>0</v>
      </c>
      <c r="M9" s="7">
        <v>247.41506957118423</v>
      </c>
      <c r="N9" s="7">
        <f>M9/H9</f>
        <v>10.308961232132676</v>
      </c>
      <c r="O9" s="7"/>
      <c r="P9" s="7"/>
    </row>
    <row r="10" spans="5:16" x14ac:dyDescent="0.25">
      <c r="E10" s="6" t="s">
        <v>12</v>
      </c>
      <c r="F10" s="6">
        <v>156799</v>
      </c>
      <c r="G10" s="6" t="s">
        <v>14</v>
      </c>
      <c r="H10" s="5">
        <v>16</v>
      </c>
      <c r="I10" s="6">
        <v>7891800102895</v>
      </c>
      <c r="J10" s="6"/>
      <c r="K10" s="6">
        <v>17891800156796</v>
      </c>
      <c r="L10" s="9">
        <v>0</v>
      </c>
      <c r="M10" s="7">
        <v>244.66027408535336</v>
      </c>
      <c r="N10" s="7">
        <f t="shared" ref="N10:N73" si="0">M10/H10</f>
        <v>15.291267130334585</v>
      </c>
      <c r="O10" s="7"/>
      <c r="P10" s="7"/>
    </row>
    <row r="11" spans="5:16" x14ac:dyDescent="0.25">
      <c r="E11" s="6" t="s">
        <v>12</v>
      </c>
      <c r="F11" s="6">
        <v>172058</v>
      </c>
      <c r="G11" s="6" t="s">
        <v>15</v>
      </c>
      <c r="H11" s="5">
        <v>12</v>
      </c>
      <c r="I11" s="6">
        <v>7891800102864</v>
      </c>
      <c r="J11" s="6"/>
      <c r="K11" s="6">
        <v>17891800172055</v>
      </c>
      <c r="L11" s="9">
        <v>0</v>
      </c>
      <c r="M11" s="7">
        <v>225.33366200507123</v>
      </c>
      <c r="N11" s="7">
        <f t="shared" si="0"/>
        <v>18.777805167089269</v>
      </c>
      <c r="O11" s="7"/>
      <c r="P11" s="7"/>
    </row>
    <row r="12" spans="5:16" x14ac:dyDescent="0.25">
      <c r="E12" s="6" t="s">
        <v>12</v>
      </c>
      <c r="F12" s="6">
        <v>156836</v>
      </c>
      <c r="G12" s="6" t="s">
        <v>16</v>
      </c>
      <c r="H12" s="5">
        <v>24</v>
      </c>
      <c r="I12" s="6">
        <v>7891800000832</v>
      </c>
      <c r="J12" s="6"/>
      <c r="K12" s="6">
        <v>17891800156833</v>
      </c>
      <c r="L12" s="9">
        <v>0</v>
      </c>
      <c r="M12" s="7">
        <v>308.36491969519199</v>
      </c>
      <c r="N12" s="7">
        <f t="shared" si="0"/>
        <v>12.848538320632999</v>
      </c>
      <c r="O12" s="7"/>
      <c r="P12" s="7"/>
    </row>
    <row r="13" spans="5:16" x14ac:dyDescent="0.25">
      <c r="E13" s="6" t="s">
        <v>12</v>
      </c>
      <c r="F13" s="6">
        <v>156850</v>
      </c>
      <c r="G13" s="6" t="s">
        <v>17</v>
      </c>
      <c r="H13" s="5">
        <v>16</v>
      </c>
      <c r="I13" s="6">
        <v>7891800000856</v>
      </c>
      <c r="J13" s="6"/>
      <c r="K13" s="6">
        <v>17891800156857</v>
      </c>
      <c r="L13" s="9">
        <v>0</v>
      </c>
      <c r="M13" s="7">
        <v>297.51791246973301</v>
      </c>
      <c r="N13" s="7">
        <f t="shared" si="0"/>
        <v>18.594869529358313</v>
      </c>
      <c r="O13" s="7"/>
      <c r="P13" s="7"/>
    </row>
    <row r="14" spans="5:16" x14ac:dyDescent="0.25">
      <c r="E14" s="6" t="s">
        <v>12</v>
      </c>
      <c r="F14" s="6">
        <v>156867</v>
      </c>
      <c r="G14" s="6" t="s">
        <v>18</v>
      </c>
      <c r="H14" s="5">
        <v>12</v>
      </c>
      <c r="I14" s="6">
        <v>7891800000863</v>
      </c>
      <c r="J14" s="6"/>
      <c r="K14" s="6">
        <v>17891800156864</v>
      </c>
      <c r="L14" s="9">
        <v>0</v>
      </c>
      <c r="M14" s="7">
        <v>275.95302905721337</v>
      </c>
      <c r="N14" s="7">
        <f t="shared" si="0"/>
        <v>22.99608575476778</v>
      </c>
      <c r="O14" s="7"/>
      <c r="P14" s="7"/>
    </row>
    <row r="15" spans="5:16" x14ac:dyDescent="0.25">
      <c r="E15" s="6" t="s">
        <v>12</v>
      </c>
      <c r="F15" s="6">
        <v>156812</v>
      </c>
      <c r="G15" s="6" t="s">
        <v>19</v>
      </c>
      <c r="H15" s="5">
        <v>40</v>
      </c>
      <c r="I15" s="6">
        <v>7891800000818</v>
      </c>
      <c r="J15" s="6"/>
      <c r="K15" s="6">
        <v>17891800156819</v>
      </c>
      <c r="L15" s="9">
        <v>0</v>
      </c>
      <c r="M15" s="7">
        <v>355.11035559538448</v>
      </c>
      <c r="N15" s="7">
        <f t="shared" si="0"/>
        <v>8.8777588898846123</v>
      </c>
      <c r="O15" s="7"/>
      <c r="P15" s="7"/>
    </row>
    <row r="16" spans="5:16" x14ac:dyDescent="0.25">
      <c r="E16" s="6" t="s">
        <v>12</v>
      </c>
      <c r="F16" s="6">
        <v>156829</v>
      </c>
      <c r="G16" s="6" t="s">
        <v>20</v>
      </c>
      <c r="H16" s="5">
        <v>30</v>
      </c>
      <c r="I16" s="6">
        <v>7891800000825</v>
      </c>
      <c r="J16" s="6"/>
      <c r="K16" s="6">
        <v>17891800156826</v>
      </c>
      <c r="L16" s="9">
        <v>0</v>
      </c>
      <c r="M16" s="7">
        <v>323.15042359179984</v>
      </c>
      <c r="N16" s="7">
        <f t="shared" si="0"/>
        <v>10.771680786393327</v>
      </c>
      <c r="O16" s="7"/>
      <c r="P16" s="7"/>
    </row>
    <row r="17" spans="5:16" x14ac:dyDescent="0.25">
      <c r="E17" s="6" t="s">
        <v>21</v>
      </c>
      <c r="F17" s="6">
        <v>198157</v>
      </c>
      <c r="G17" s="6" t="s">
        <v>22</v>
      </c>
      <c r="H17" s="5">
        <v>24</v>
      </c>
      <c r="I17" s="6">
        <v>7891800002027</v>
      </c>
      <c r="J17" s="6"/>
      <c r="K17" s="6">
        <v>17891800198154</v>
      </c>
      <c r="L17" s="9">
        <v>0</v>
      </c>
      <c r="M17" s="7">
        <v>377.87110471133201</v>
      </c>
      <c r="N17" s="7">
        <f t="shared" si="0"/>
        <v>15.744629362972168</v>
      </c>
      <c r="O17" s="7"/>
      <c r="P17" s="7"/>
    </row>
    <row r="18" spans="5:16" x14ac:dyDescent="0.25">
      <c r="E18" s="6" t="s">
        <v>21</v>
      </c>
      <c r="F18" s="6">
        <v>198164</v>
      </c>
      <c r="G18" s="6" t="s">
        <v>23</v>
      </c>
      <c r="H18" s="5">
        <v>16</v>
      </c>
      <c r="I18" s="6">
        <v>7891800002034</v>
      </c>
      <c r="J18" s="6"/>
      <c r="K18" s="6">
        <v>17891800198161</v>
      </c>
      <c r="L18" s="9">
        <v>0</v>
      </c>
      <c r="M18" s="7">
        <v>461.78382209834575</v>
      </c>
      <c r="N18" s="7">
        <f t="shared" si="0"/>
        <v>28.861488881146609</v>
      </c>
      <c r="O18" s="7"/>
      <c r="P18" s="7"/>
    </row>
    <row r="19" spans="5:16" x14ac:dyDescent="0.25">
      <c r="E19" s="6" t="s">
        <v>21</v>
      </c>
      <c r="F19" s="6">
        <v>218350</v>
      </c>
      <c r="G19" s="6" t="s">
        <v>24</v>
      </c>
      <c r="H19" s="5">
        <v>24</v>
      </c>
      <c r="I19" s="6">
        <v>7891800218374</v>
      </c>
      <c r="J19" s="6"/>
      <c r="K19" s="6">
        <v>0</v>
      </c>
      <c r="L19" s="9">
        <v>0</v>
      </c>
      <c r="M19" s="7">
        <v>335.38699307828426</v>
      </c>
      <c r="N19" s="7">
        <f t="shared" si="0"/>
        <v>13.974458044928511</v>
      </c>
      <c r="O19" s="7"/>
      <c r="P19" s="7"/>
    </row>
    <row r="20" spans="5:16" x14ac:dyDescent="0.25">
      <c r="E20" s="6" t="s">
        <v>21</v>
      </c>
      <c r="F20" s="6">
        <v>805857</v>
      </c>
      <c r="G20" s="6" t="s">
        <v>25</v>
      </c>
      <c r="H20" s="5">
        <v>120</v>
      </c>
      <c r="I20" s="6">
        <v>7891800002812</v>
      </c>
      <c r="J20" s="6"/>
      <c r="K20" s="6">
        <v>17891800198123</v>
      </c>
      <c r="L20" s="9">
        <v>0</v>
      </c>
      <c r="M20" s="7">
        <v>315.33238137572749</v>
      </c>
      <c r="N20" s="7">
        <f t="shared" si="0"/>
        <v>2.6277698447977289</v>
      </c>
      <c r="O20" s="7"/>
      <c r="P20" s="7"/>
    </row>
    <row r="21" spans="5:16" x14ac:dyDescent="0.25">
      <c r="E21" s="6" t="s">
        <v>21</v>
      </c>
      <c r="F21" s="6">
        <v>805543</v>
      </c>
      <c r="G21" s="6" t="s">
        <v>26</v>
      </c>
      <c r="H21" s="5">
        <v>80</v>
      </c>
      <c r="I21" s="6">
        <v>7891800002829</v>
      </c>
      <c r="J21" s="6"/>
      <c r="K21" s="6">
        <v>17891800198130</v>
      </c>
      <c r="L21" s="9">
        <v>0</v>
      </c>
      <c r="M21" s="7">
        <v>369.42705767867665</v>
      </c>
      <c r="N21" s="7">
        <f t="shared" si="0"/>
        <v>4.6178382209834581</v>
      </c>
      <c r="O21" s="7"/>
      <c r="P21" s="7"/>
    </row>
    <row r="22" spans="5:16" x14ac:dyDescent="0.25">
      <c r="E22" s="6" t="s">
        <v>27</v>
      </c>
      <c r="F22" s="6">
        <v>198508</v>
      </c>
      <c r="G22" s="6" t="s">
        <v>28</v>
      </c>
      <c r="H22" s="5">
        <v>72</v>
      </c>
      <c r="I22" s="6">
        <v>7891800000696</v>
      </c>
      <c r="J22" s="6"/>
      <c r="K22" s="6">
        <v>17891800198505</v>
      </c>
      <c r="L22" s="9">
        <v>0</v>
      </c>
      <c r="M22" s="7">
        <v>330.05893414611</v>
      </c>
      <c r="N22" s="7">
        <f t="shared" si="0"/>
        <v>4.5841518631404163</v>
      </c>
      <c r="O22" s="7"/>
      <c r="P22" s="7"/>
    </row>
    <row r="23" spans="5:16" x14ac:dyDescent="0.25">
      <c r="E23" s="6" t="s">
        <v>27</v>
      </c>
      <c r="F23" s="6">
        <v>806151</v>
      </c>
      <c r="G23" s="6" t="s">
        <v>29</v>
      </c>
      <c r="H23" s="5">
        <v>96</v>
      </c>
      <c r="I23" s="6">
        <v>7891800000702</v>
      </c>
      <c r="J23" s="11">
        <v>7891800806151</v>
      </c>
      <c r="K23" s="6">
        <v>17891800198512</v>
      </c>
      <c r="L23" s="9">
        <v>0</v>
      </c>
      <c r="M23" s="7">
        <v>555.78593139383418</v>
      </c>
      <c r="N23" s="7">
        <f t="shared" si="0"/>
        <v>5.7894367853524393</v>
      </c>
      <c r="O23" s="7"/>
      <c r="P23" s="7"/>
    </row>
    <row r="24" spans="5:16" x14ac:dyDescent="0.25">
      <c r="E24" s="6" t="s">
        <v>27</v>
      </c>
      <c r="F24" s="6">
        <v>198522</v>
      </c>
      <c r="G24" s="6" t="s">
        <v>30</v>
      </c>
      <c r="H24" s="5">
        <v>72</v>
      </c>
      <c r="I24" s="6">
        <v>7891800000719</v>
      </c>
      <c r="J24" s="6"/>
      <c r="K24" s="6">
        <v>17891800198529</v>
      </c>
      <c r="L24" s="9">
        <v>0</v>
      </c>
      <c r="M24" s="7">
        <v>489.6648976064356</v>
      </c>
      <c r="N24" s="7">
        <f t="shared" si="0"/>
        <v>6.8009013556449389</v>
      </c>
      <c r="O24" s="7"/>
      <c r="P24" s="7"/>
    </row>
    <row r="25" spans="5:16" x14ac:dyDescent="0.25">
      <c r="E25" s="6" t="s">
        <v>27</v>
      </c>
      <c r="F25" s="6">
        <v>806137</v>
      </c>
      <c r="G25" s="6" t="s">
        <v>31</v>
      </c>
      <c r="H25" s="5">
        <v>216</v>
      </c>
      <c r="I25" s="6">
        <v>7891800165623</v>
      </c>
      <c r="J25" s="11">
        <v>7891800806137</v>
      </c>
      <c r="K25" s="6">
        <v>17891800165866</v>
      </c>
      <c r="L25" s="9">
        <v>0</v>
      </c>
      <c r="M25" s="7">
        <v>482.88551809052365</v>
      </c>
      <c r="N25" s="7">
        <f t="shared" si="0"/>
        <v>2.2355811022709426</v>
      </c>
      <c r="O25" s="7"/>
      <c r="P25" s="7"/>
    </row>
    <row r="26" spans="5:16" x14ac:dyDescent="0.25">
      <c r="E26" s="6" t="s">
        <v>27</v>
      </c>
      <c r="F26" s="6">
        <v>173765</v>
      </c>
      <c r="G26" s="6" t="s">
        <v>32</v>
      </c>
      <c r="H26" s="5">
        <v>144</v>
      </c>
      <c r="I26" s="6">
        <v>7891800165661</v>
      </c>
      <c r="J26" s="11"/>
      <c r="K26" s="6">
        <v>17891800173762</v>
      </c>
      <c r="L26" s="9">
        <v>0</v>
      </c>
      <c r="M26" s="7">
        <v>458.54431735243998</v>
      </c>
      <c r="N26" s="7">
        <f t="shared" si="0"/>
        <v>3.184335537169722</v>
      </c>
      <c r="O26" s="7"/>
      <c r="P26" s="7"/>
    </row>
    <row r="27" spans="5:16" x14ac:dyDescent="0.25">
      <c r="E27" s="6" t="s">
        <v>27</v>
      </c>
      <c r="F27" s="6">
        <v>806144</v>
      </c>
      <c r="G27" s="6" t="s">
        <v>33</v>
      </c>
      <c r="H27" s="5">
        <v>108</v>
      </c>
      <c r="I27" s="6">
        <v>7891800165685</v>
      </c>
      <c r="J27" s="11">
        <v>7891800806144</v>
      </c>
      <c r="K27" s="6">
        <v>17891800165927</v>
      </c>
      <c r="L27" s="9">
        <v>0</v>
      </c>
      <c r="M27" s="7">
        <v>231.56423460779024</v>
      </c>
      <c r="N27" s="7">
        <f t="shared" si="0"/>
        <v>2.1441132834054653</v>
      </c>
      <c r="O27" s="7"/>
      <c r="P27" s="7"/>
    </row>
    <row r="28" spans="5:16" x14ac:dyDescent="0.25">
      <c r="E28" s="6" t="s">
        <v>27</v>
      </c>
      <c r="F28" s="6">
        <v>165968</v>
      </c>
      <c r="G28" s="6" t="s">
        <v>34</v>
      </c>
      <c r="H28" s="5">
        <v>72</v>
      </c>
      <c r="I28" s="6">
        <v>7891800165722</v>
      </c>
      <c r="J28" s="11"/>
      <c r="K28" s="6">
        <v>17891800165965</v>
      </c>
      <c r="L28" s="9">
        <v>0</v>
      </c>
      <c r="M28" s="7">
        <v>223.33265583281752</v>
      </c>
      <c r="N28" s="7">
        <f t="shared" si="0"/>
        <v>3.1018424421224657</v>
      </c>
      <c r="O28" s="7"/>
      <c r="P28" s="7"/>
    </row>
    <row r="29" spans="5:16" x14ac:dyDescent="0.25">
      <c r="E29" s="6" t="s">
        <v>27</v>
      </c>
      <c r="F29" s="6">
        <v>156645</v>
      </c>
      <c r="G29" s="6" t="s">
        <v>35</v>
      </c>
      <c r="H29" s="5">
        <v>144</v>
      </c>
      <c r="I29" s="6">
        <v>7891800113389</v>
      </c>
      <c r="J29" s="11"/>
      <c r="K29" s="6">
        <v>17891800156642</v>
      </c>
      <c r="L29" s="9">
        <v>0</v>
      </c>
      <c r="M29" s="7">
        <v>257.49253979545648</v>
      </c>
      <c r="N29" s="7">
        <f t="shared" si="0"/>
        <v>1.7881426374684477</v>
      </c>
      <c r="O29" s="7"/>
      <c r="P29" s="7"/>
    </row>
    <row r="30" spans="5:16" x14ac:dyDescent="0.25">
      <c r="E30" s="6" t="s">
        <v>27</v>
      </c>
      <c r="F30" s="6">
        <v>156683</v>
      </c>
      <c r="G30" s="6" t="s">
        <v>36</v>
      </c>
      <c r="H30" s="5">
        <v>144</v>
      </c>
      <c r="I30" s="6">
        <v>7891800113365</v>
      </c>
      <c r="J30" s="11"/>
      <c r="K30" s="6">
        <v>17891800156680</v>
      </c>
      <c r="L30" s="9">
        <v>0</v>
      </c>
      <c r="M30" s="7">
        <v>366.21982428100267</v>
      </c>
      <c r="N30" s="7">
        <f t="shared" si="0"/>
        <v>2.5431932241736295</v>
      </c>
      <c r="O30" s="7"/>
      <c r="P30" s="7"/>
    </row>
    <row r="31" spans="5:16" x14ac:dyDescent="0.25">
      <c r="E31" s="6" t="s">
        <v>27</v>
      </c>
      <c r="F31" s="6">
        <v>806212</v>
      </c>
      <c r="G31" s="6" t="s">
        <v>37</v>
      </c>
      <c r="H31" s="5">
        <v>144</v>
      </c>
      <c r="I31" s="6">
        <v>7891800113358</v>
      </c>
      <c r="J31" s="11">
        <v>7891800806212</v>
      </c>
      <c r="K31" s="6">
        <v>17891800156703</v>
      </c>
      <c r="L31" s="9">
        <v>0</v>
      </c>
      <c r="M31" s="7">
        <v>555.75846742664316</v>
      </c>
      <c r="N31" s="7">
        <f t="shared" si="0"/>
        <v>3.8594338015739109</v>
      </c>
      <c r="O31" s="7"/>
      <c r="P31" s="7"/>
    </row>
    <row r="32" spans="5:16" x14ac:dyDescent="0.25">
      <c r="E32" s="6" t="s">
        <v>27</v>
      </c>
      <c r="F32" s="6">
        <v>806090</v>
      </c>
      <c r="G32" s="6" t="s">
        <v>38</v>
      </c>
      <c r="H32" s="5">
        <v>72</v>
      </c>
      <c r="I32" s="6">
        <v>7891800000474</v>
      </c>
      <c r="J32" s="11">
        <v>7891800806090</v>
      </c>
      <c r="K32" s="6">
        <v>17891800198550</v>
      </c>
      <c r="L32" s="9">
        <v>0</v>
      </c>
      <c r="M32" s="7">
        <v>276.59574468085106</v>
      </c>
      <c r="N32" s="7">
        <f t="shared" si="0"/>
        <v>3.8416075650118202</v>
      </c>
      <c r="O32" s="7"/>
      <c r="P32" s="7"/>
    </row>
    <row r="33" spans="5:16" x14ac:dyDescent="0.25">
      <c r="E33" s="6" t="s">
        <v>27</v>
      </c>
      <c r="F33" s="6">
        <v>806106</v>
      </c>
      <c r="G33" s="6" t="s">
        <v>39</v>
      </c>
      <c r="H33" s="5">
        <v>72</v>
      </c>
      <c r="I33" s="6">
        <v>7891800000481</v>
      </c>
      <c r="J33" s="11">
        <v>7891800806106</v>
      </c>
      <c r="K33" s="6">
        <v>17891800198567</v>
      </c>
      <c r="L33" s="9">
        <v>0</v>
      </c>
      <c r="M33" s="7">
        <v>327.72470690403821</v>
      </c>
      <c r="N33" s="7">
        <f t="shared" si="0"/>
        <v>4.5517320403338637</v>
      </c>
      <c r="O33" s="7"/>
      <c r="P33" s="7"/>
    </row>
    <row r="34" spans="5:16" x14ac:dyDescent="0.25">
      <c r="E34" s="6" t="s">
        <v>27</v>
      </c>
      <c r="F34" s="6">
        <v>198577</v>
      </c>
      <c r="G34" s="6" t="s">
        <v>40</v>
      </c>
      <c r="H34" s="5">
        <v>72</v>
      </c>
      <c r="I34" s="6">
        <v>7891800000498</v>
      </c>
      <c r="J34" s="11"/>
      <c r="K34" s="6">
        <v>17891800198574</v>
      </c>
      <c r="L34" s="9">
        <v>0</v>
      </c>
      <c r="M34" s="7">
        <v>400.56448111159358</v>
      </c>
      <c r="N34" s="7">
        <f t="shared" si="0"/>
        <v>5.5633955709943557</v>
      </c>
      <c r="O34" s="7"/>
      <c r="P34" s="7"/>
    </row>
    <row r="35" spans="5:16" x14ac:dyDescent="0.25">
      <c r="E35" s="6" t="s">
        <v>27</v>
      </c>
      <c r="F35" s="6">
        <v>198584</v>
      </c>
      <c r="G35" s="6" t="s">
        <v>41</v>
      </c>
      <c r="H35" s="5">
        <v>72</v>
      </c>
      <c r="I35" s="6">
        <v>7891800000504</v>
      </c>
      <c r="J35" s="11"/>
      <c r="K35" s="6">
        <v>17891800198581</v>
      </c>
      <c r="L35" s="9">
        <v>0</v>
      </c>
      <c r="M35" s="7">
        <v>546.22429242490034</v>
      </c>
      <c r="N35" s="7">
        <f t="shared" si="0"/>
        <v>7.5864485059013935</v>
      </c>
      <c r="O35" s="7"/>
      <c r="P35" s="7"/>
    </row>
    <row r="36" spans="5:16" x14ac:dyDescent="0.25">
      <c r="E36" s="6" t="s">
        <v>27</v>
      </c>
      <c r="F36" s="6">
        <v>806083</v>
      </c>
      <c r="G36" s="6" t="s">
        <v>42</v>
      </c>
      <c r="H36" s="5">
        <v>144</v>
      </c>
      <c r="I36" s="6">
        <v>7891800000467</v>
      </c>
      <c r="J36" s="11">
        <v>7891800806083</v>
      </c>
      <c r="K36" s="6">
        <v>17891800198543</v>
      </c>
      <c r="L36" s="9">
        <v>0</v>
      </c>
      <c r="M36" s="7">
        <v>447.82644116537944</v>
      </c>
      <c r="N36" s="7">
        <f t="shared" si="0"/>
        <v>3.1099058414262459</v>
      </c>
      <c r="O36" s="7"/>
      <c r="P36" s="7"/>
    </row>
    <row r="37" spans="5:16" x14ac:dyDescent="0.25">
      <c r="E37" s="6" t="s">
        <v>43</v>
      </c>
      <c r="F37" s="6">
        <v>386707</v>
      </c>
      <c r="G37" s="6" t="s">
        <v>44</v>
      </c>
      <c r="H37" s="5">
        <v>12</v>
      </c>
      <c r="I37" s="6">
        <v>7891800386707</v>
      </c>
      <c r="J37" s="11"/>
      <c r="K37" s="6">
        <v>17891800386704</v>
      </c>
      <c r="L37" s="9">
        <v>0</v>
      </c>
      <c r="M37" s="7">
        <v>211.12924778125583</v>
      </c>
      <c r="N37" s="7">
        <f t="shared" si="0"/>
        <v>17.594103981771319</v>
      </c>
      <c r="O37" s="7"/>
      <c r="P37" s="7"/>
    </row>
    <row r="38" spans="5:16" x14ac:dyDescent="0.25">
      <c r="E38" s="6" t="s">
        <v>46</v>
      </c>
      <c r="F38" s="6">
        <v>158441</v>
      </c>
      <c r="G38" s="6" t="s">
        <v>47</v>
      </c>
      <c r="H38" s="5">
        <v>8</v>
      </c>
      <c r="I38" s="6">
        <v>7891800001310</v>
      </c>
      <c r="J38" s="11"/>
      <c r="K38" s="6">
        <v>17891800158448</v>
      </c>
      <c r="L38" s="9">
        <v>0</v>
      </c>
      <c r="M38" s="7">
        <v>796.56633219977994</v>
      </c>
      <c r="N38" s="7">
        <f t="shared" si="0"/>
        <v>99.570791524972492</v>
      </c>
      <c r="O38" s="7"/>
      <c r="P38" s="7"/>
    </row>
    <row r="39" spans="5:16" x14ac:dyDescent="0.25">
      <c r="E39" s="6" t="s">
        <v>48</v>
      </c>
      <c r="F39" s="6">
        <v>194586</v>
      </c>
      <c r="G39" s="6" t="s">
        <v>49</v>
      </c>
      <c r="H39" s="5">
        <v>240</v>
      </c>
      <c r="I39" s="6">
        <v>7891800197549</v>
      </c>
      <c r="J39" s="11"/>
      <c r="K39" s="6">
        <v>17891800194583</v>
      </c>
      <c r="L39" s="9">
        <v>0</v>
      </c>
      <c r="M39" s="7">
        <v>444.21077209022638</v>
      </c>
      <c r="N39" s="7">
        <f t="shared" si="0"/>
        <v>1.8508782170426099</v>
      </c>
      <c r="O39" s="7"/>
      <c r="P39" s="7"/>
    </row>
    <row r="40" spans="5:16" x14ac:dyDescent="0.25">
      <c r="E40" s="6" t="s">
        <v>48</v>
      </c>
      <c r="F40" s="6">
        <v>194654</v>
      </c>
      <c r="G40" s="6" t="s">
        <v>50</v>
      </c>
      <c r="H40" s="5">
        <v>500</v>
      </c>
      <c r="I40" s="6">
        <v>7891800197600</v>
      </c>
      <c r="J40" s="11"/>
      <c r="K40" s="6">
        <v>17891800194651</v>
      </c>
      <c r="L40" s="9">
        <v>0</v>
      </c>
      <c r="M40" s="7">
        <v>586.47013272571064</v>
      </c>
      <c r="N40" s="7">
        <f t="shared" si="0"/>
        <v>1.1729402654514214</v>
      </c>
      <c r="O40" s="7"/>
      <c r="P40" s="7"/>
    </row>
    <row r="41" spans="5:16" x14ac:dyDescent="0.25">
      <c r="E41" s="6" t="s">
        <v>48</v>
      </c>
      <c r="F41" s="6">
        <v>194579</v>
      </c>
      <c r="G41" s="6" t="s">
        <v>51</v>
      </c>
      <c r="H41" s="5">
        <v>240</v>
      </c>
      <c r="I41" s="6">
        <v>7891800197532</v>
      </c>
      <c r="J41" s="11"/>
      <c r="K41" s="6">
        <v>17891800194576</v>
      </c>
      <c r="L41" s="9">
        <v>0</v>
      </c>
      <c r="M41" s="7">
        <v>475.20222130582351</v>
      </c>
      <c r="N41" s="7">
        <f t="shared" si="0"/>
        <v>1.9800092554409312</v>
      </c>
      <c r="O41" s="7"/>
      <c r="P41" s="7"/>
    </row>
    <row r="42" spans="5:16" x14ac:dyDescent="0.25">
      <c r="E42" s="6" t="s">
        <v>48</v>
      </c>
      <c r="F42" s="6">
        <v>309980</v>
      </c>
      <c r="G42" s="6" t="s">
        <v>52</v>
      </c>
      <c r="H42" s="5">
        <v>144</v>
      </c>
      <c r="I42" s="6">
        <v>7891800310016</v>
      </c>
      <c r="J42" s="11"/>
      <c r="K42" s="6">
        <v>17891800309987</v>
      </c>
      <c r="L42" s="9">
        <v>0</v>
      </c>
      <c r="M42" s="7">
        <v>539.25121635139112</v>
      </c>
      <c r="N42" s="7">
        <f t="shared" si="0"/>
        <v>3.7448001135513271</v>
      </c>
      <c r="O42" s="7"/>
      <c r="P42" s="7"/>
    </row>
    <row r="43" spans="5:16" x14ac:dyDescent="0.25">
      <c r="E43" s="6" t="s">
        <v>48</v>
      </c>
      <c r="F43" s="6">
        <v>303032</v>
      </c>
      <c r="G43" s="6" t="s">
        <v>53</v>
      </c>
      <c r="H43" s="5">
        <v>240</v>
      </c>
      <c r="I43" s="6">
        <v>7891800303117</v>
      </c>
      <c r="J43" s="11"/>
      <c r="K43" s="6">
        <v>17891800303039</v>
      </c>
      <c r="L43" s="9">
        <v>0</v>
      </c>
      <c r="M43" s="7">
        <v>532.01987820108502</v>
      </c>
      <c r="N43" s="7">
        <f t="shared" si="0"/>
        <v>2.2167494925045208</v>
      </c>
      <c r="O43" s="7"/>
      <c r="P43" s="7"/>
    </row>
    <row r="44" spans="5:16" x14ac:dyDescent="0.25">
      <c r="E44" s="6" t="s">
        <v>48</v>
      </c>
      <c r="F44" s="6">
        <v>303063</v>
      </c>
      <c r="G44" s="6" t="s">
        <v>54</v>
      </c>
      <c r="H44" s="5">
        <v>144</v>
      </c>
      <c r="I44" s="6">
        <v>7891800303131</v>
      </c>
      <c r="J44" s="11"/>
      <c r="K44" s="6">
        <v>17891800303060</v>
      </c>
      <c r="L44" s="9">
        <v>0</v>
      </c>
      <c r="M44" s="7">
        <v>467.97088315551753</v>
      </c>
      <c r="N44" s="7">
        <f t="shared" si="0"/>
        <v>3.2497977996910938</v>
      </c>
      <c r="O44" s="7"/>
      <c r="P44" s="7"/>
    </row>
    <row r="45" spans="5:16" x14ac:dyDescent="0.25">
      <c r="E45" s="6" t="s">
        <v>48</v>
      </c>
      <c r="F45" s="6">
        <v>328219</v>
      </c>
      <c r="G45" s="6" t="s">
        <v>55</v>
      </c>
      <c r="H45" s="5">
        <v>180</v>
      </c>
      <c r="I45" s="6">
        <v>7891800328219</v>
      </c>
      <c r="J45" s="11"/>
      <c r="K45" s="6">
        <v>17891800328216</v>
      </c>
      <c r="L45" s="9">
        <v>0</v>
      </c>
      <c r="M45" s="7">
        <v>449.37916316368108</v>
      </c>
      <c r="N45" s="7">
        <f t="shared" si="0"/>
        <v>2.4965509064648947</v>
      </c>
      <c r="O45" s="7"/>
      <c r="P45" s="7"/>
    </row>
    <row r="46" spans="5:16" x14ac:dyDescent="0.25">
      <c r="E46" s="6" t="s">
        <v>56</v>
      </c>
      <c r="F46" s="6">
        <v>304077</v>
      </c>
      <c r="G46" s="6" t="s">
        <v>57</v>
      </c>
      <c r="H46" s="5">
        <v>144</v>
      </c>
      <c r="I46" s="6">
        <v>7891800311303</v>
      </c>
      <c r="J46" s="11"/>
      <c r="K46" s="6">
        <v>17891800304074</v>
      </c>
      <c r="L46" s="9">
        <v>0</v>
      </c>
      <c r="M46" s="7">
        <v>929.74347646791546</v>
      </c>
      <c r="N46" s="7">
        <f t="shared" si="0"/>
        <v>6.4565519199160795</v>
      </c>
      <c r="O46" s="42"/>
      <c r="P46" s="7"/>
    </row>
    <row r="47" spans="5:16" x14ac:dyDescent="0.25">
      <c r="E47" s="6" t="s">
        <v>56</v>
      </c>
      <c r="F47" s="6">
        <v>304084</v>
      </c>
      <c r="G47" s="6" t="s">
        <v>58</v>
      </c>
      <c r="H47" s="5">
        <v>48</v>
      </c>
      <c r="I47" s="6">
        <v>7891800311310</v>
      </c>
      <c r="J47" s="11"/>
      <c r="K47" s="6">
        <v>17891800304081</v>
      </c>
      <c r="L47" s="9">
        <v>0</v>
      </c>
      <c r="M47" s="7">
        <v>505.16062221423408</v>
      </c>
      <c r="N47" s="7">
        <f t="shared" si="0"/>
        <v>10.524179629463211</v>
      </c>
      <c r="O47" s="7"/>
      <c r="P47" s="7"/>
    </row>
    <row r="48" spans="5:16" x14ac:dyDescent="0.25">
      <c r="E48" s="6" t="s">
        <v>46</v>
      </c>
      <c r="F48" s="6">
        <v>158304</v>
      </c>
      <c r="G48" s="6" t="s">
        <v>59</v>
      </c>
      <c r="H48" s="5">
        <v>5</v>
      </c>
      <c r="I48" s="6">
        <v>7891800002379</v>
      </c>
      <c r="J48" s="11"/>
      <c r="K48" s="6">
        <v>17891800158301</v>
      </c>
      <c r="L48" s="9">
        <v>0</v>
      </c>
      <c r="M48" s="7">
        <v>1063.7707334055071</v>
      </c>
      <c r="N48" s="7">
        <f t="shared" si="0"/>
        <v>212.75414668110142</v>
      </c>
      <c r="O48" s="7"/>
      <c r="P48" s="7"/>
    </row>
    <row r="49" spans="5:16" x14ac:dyDescent="0.25">
      <c r="E49" s="6" t="s">
        <v>46</v>
      </c>
      <c r="F49" s="6">
        <v>805963</v>
      </c>
      <c r="G49" s="6" t="s">
        <v>60</v>
      </c>
      <c r="H49" s="5">
        <v>6</v>
      </c>
      <c r="I49" s="6">
        <v>7891800002515</v>
      </c>
      <c r="J49" s="11">
        <v>7891800805963</v>
      </c>
      <c r="K49" s="6">
        <v>17891800158325</v>
      </c>
      <c r="L49" s="9">
        <v>0</v>
      </c>
      <c r="M49" s="7">
        <v>953.89098064840175</v>
      </c>
      <c r="N49" s="7">
        <f t="shared" si="0"/>
        <v>158.98183010806696</v>
      </c>
      <c r="O49" s="7"/>
      <c r="P49" s="7"/>
    </row>
    <row r="50" spans="5:16" x14ac:dyDescent="0.25">
      <c r="E50" s="6" t="s">
        <v>61</v>
      </c>
      <c r="F50" s="6">
        <v>310047</v>
      </c>
      <c r="G50" s="6" t="s">
        <v>62</v>
      </c>
      <c r="H50" s="5">
        <v>144</v>
      </c>
      <c r="I50" s="6">
        <v>7891800310160</v>
      </c>
      <c r="J50" s="11"/>
      <c r="K50" s="6">
        <v>17891800310044</v>
      </c>
      <c r="L50" s="9">
        <v>0</v>
      </c>
      <c r="M50" s="7">
        <v>833.66998389956427</v>
      </c>
      <c r="N50" s="7">
        <f t="shared" si="0"/>
        <v>5.7893748881914187</v>
      </c>
      <c r="O50" s="7"/>
      <c r="P50" s="7"/>
    </row>
    <row r="51" spans="5:16" x14ac:dyDescent="0.25">
      <c r="E51" s="6" t="s">
        <v>61</v>
      </c>
      <c r="F51" s="6">
        <v>805987</v>
      </c>
      <c r="G51" s="6" t="s">
        <v>63</v>
      </c>
      <c r="H51" s="5">
        <v>60</v>
      </c>
      <c r="I51" s="6">
        <v>7891800310054</v>
      </c>
      <c r="J51" s="11">
        <v>7891800805987</v>
      </c>
      <c r="K51" s="6">
        <v>17891800310051</v>
      </c>
      <c r="L51" s="9">
        <v>0</v>
      </c>
      <c r="M51" s="7">
        <v>531.3742230090935</v>
      </c>
      <c r="N51" s="7">
        <f t="shared" si="0"/>
        <v>8.8562370501515577</v>
      </c>
      <c r="O51" s="7"/>
      <c r="P51" s="7"/>
    </row>
    <row r="52" spans="5:16" x14ac:dyDescent="0.25">
      <c r="E52" s="6" t="s">
        <v>48</v>
      </c>
      <c r="F52" s="6">
        <v>197082</v>
      </c>
      <c r="G52" s="6" t="s">
        <v>64</v>
      </c>
      <c r="H52" s="5">
        <v>100</v>
      </c>
      <c r="I52" s="6">
        <v>7891800197600</v>
      </c>
      <c r="J52" s="11"/>
      <c r="K52" s="6">
        <v>17891800197089</v>
      </c>
      <c r="L52" s="9">
        <v>0</v>
      </c>
      <c r="M52" s="7">
        <v>133.43540634493232</v>
      </c>
      <c r="N52" s="7">
        <f t="shared" si="0"/>
        <v>1.3343540634493232</v>
      </c>
      <c r="O52" s="7"/>
      <c r="P52" s="7"/>
    </row>
    <row r="53" spans="5:16" x14ac:dyDescent="0.25">
      <c r="E53" s="6" t="s">
        <v>48</v>
      </c>
      <c r="F53" s="6">
        <v>197075</v>
      </c>
      <c r="G53" s="6" t="s">
        <v>65</v>
      </c>
      <c r="H53" s="5">
        <v>50</v>
      </c>
      <c r="I53" s="6">
        <v>7891800197549</v>
      </c>
      <c r="J53" s="11"/>
      <c r="K53" s="6">
        <v>17891800197072</v>
      </c>
      <c r="L53" s="9">
        <v>0</v>
      </c>
      <c r="M53" s="7">
        <v>95.234140818762157</v>
      </c>
      <c r="N53" s="7">
        <f t="shared" si="0"/>
        <v>1.9046828163752432</v>
      </c>
      <c r="O53" s="7"/>
      <c r="P53" s="7"/>
    </row>
    <row r="54" spans="5:16" x14ac:dyDescent="0.25">
      <c r="E54" s="6" t="s">
        <v>48</v>
      </c>
      <c r="F54" s="6">
        <v>201680</v>
      </c>
      <c r="G54" s="6" t="s">
        <v>66</v>
      </c>
      <c r="H54" s="5">
        <v>100</v>
      </c>
      <c r="I54" s="6">
        <v>7891800197594</v>
      </c>
      <c r="J54" s="11"/>
      <c r="K54" s="6">
        <v>17891800201687</v>
      </c>
      <c r="L54" s="9">
        <v>0</v>
      </c>
      <c r="M54" s="7">
        <v>114.06575058518409</v>
      </c>
      <c r="N54" s="7">
        <f t="shared" si="0"/>
        <v>1.1406575058518409</v>
      </c>
      <c r="O54" s="7"/>
      <c r="P54" s="7"/>
    </row>
    <row r="55" spans="5:16" x14ac:dyDescent="0.25">
      <c r="E55" s="6" t="s">
        <v>48</v>
      </c>
      <c r="F55" s="6">
        <v>201673</v>
      </c>
      <c r="G55" s="6" t="s">
        <v>67</v>
      </c>
      <c r="H55" s="5">
        <v>50</v>
      </c>
      <c r="I55" s="6">
        <v>7891800197532</v>
      </c>
      <c r="J55" s="11"/>
      <c r="K55" s="6">
        <v>17891800201670</v>
      </c>
      <c r="L55" s="9">
        <v>0</v>
      </c>
      <c r="M55" s="7">
        <v>112.98965859853141</v>
      </c>
      <c r="N55" s="7">
        <f t="shared" si="0"/>
        <v>2.2597931719706281</v>
      </c>
      <c r="O55" s="7"/>
      <c r="P55" s="7"/>
    </row>
    <row r="56" spans="5:16" x14ac:dyDescent="0.25">
      <c r="E56" s="6" t="s">
        <v>46</v>
      </c>
      <c r="F56" s="6">
        <v>198669</v>
      </c>
      <c r="G56" s="6" t="s">
        <v>68</v>
      </c>
      <c r="H56" s="5">
        <v>50</v>
      </c>
      <c r="I56" s="6">
        <v>7891800203707</v>
      </c>
      <c r="J56" s="11"/>
      <c r="K56" s="6">
        <v>17891800198666</v>
      </c>
      <c r="L56" s="9">
        <v>0</v>
      </c>
      <c r="M56" s="7">
        <v>75.864485059013958</v>
      </c>
      <c r="N56" s="7">
        <f t="shared" si="0"/>
        <v>1.5172897011802791</v>
      </c>
      <c r="O56" s="7"/>
      <c r="P56" s="7"/>
    </row>
    <row r="57" spans="5:16" x14ac:dyDescent="0.25">
      <c r="E57" s="6" t="s">
        <v>46</v>
      </c>
      <c r="F57" s="6">
        <v>198652</v>
      </c>
      <c r="G57" s="6" t="s">
        <v>69</v>
      </c>
      <c r="H57" s="5">
        <v>80</v>
      </c>
      <c r="I57" s="6">
        <v>7891800203608</v>
      </c>
      <c r="J57" s="11"/>
      <c r="K57" s="6">
        <v>17891800198659</v>
      </c>
      <c r="L57" s="9">
        <v>0</v>
      </c>
      <c r="M57" s="7">
        <v>75.7568758603487</v>
      </c>
      <c r="N57" s="7">
        <f t="shared" si="0"/>
        <v>0.94696094825435873</v>
      </c>
      <c r="O57" s="7"/>
      <c r="P57" s="7"/>
    </row>
    <row r="58" spans="5:16" x14ac:dyDescent="0.25">
      <c r="E58" s="6" t="s">
        <v>70</v>
      </c>
      <c r="F58" s="6">
        <v>342291</v>
      </c>
      <c r="G58" s="6" t="s">
        <v>71</v>
      </c>
      <c r="H58" s="5">
        <v>110</v>
      </c>
      <c r="I58" s="6">
        <v>7891800342000</v>
      </c>
      <c r="J58" s="11"/>
      <c r="K58" s="6">
        <v>17891800342298</v>
      </c>
      <c r="L58" s="9">
        <v>0</v>
      </c>
      <c r="M58" s="7">
        <v>312.49711292393823</v>
      </c>
      <c r="N58" s="7">
        <f t="shared" si="0"/>
        <v>2.8408828447630747</v>
      </c>
      <c r="O58" s="7"/>
      <c r="P58" s="7"/>
    </row>
    <row r="59" spans="5:16" x14ac:dyDescent="0.25">
      <c r="E59" s="6" t="s">
        <v>70</v>
      </c>
      <c r="F59" s="6">
        <v>342338</v>
      </c>
      <c r="G59" s="6" t="s">
        <v>72</v>
      </c>
      <c r="H59" s="5">
        <v>32</v>
      </c>
      <c r="I59" s="6">
        <v>7891800341935</v>
      </c>
      <c r="J59" s="11"/>
      <c r="K59" s="6">
        <v>17891800342335</v>
      </c>
      <c r="L59" s="9">
        <v>0</v>
      </c>
      <c r="M59" s="7">
        <v>233.12456798843658</v>
      </c>
      <c r="N59" s="7">
        <f t="shared" si="0"/>
        <v>7.2851427496386432</v>
      </c>
      <c r="O59" s="7"/>
      <c r="P59" s="7"/>
    </row>
    <row r="60" spans="5:16" x14ac:dyDescent="0.25">
      <c r="E60" s="6" t="s">
        <v>73</v>
      </c>
      <c r="F60" s="6">
        <v>342352</v>
      </c>
      <c r="G60" s="6" t="s">
        <v>74</v>
      </c>
      <c r="H60" s="5">
        <v>88</v>
      </c>
      <c r="I60" s="6">
        <v>7891800341966</v>
      </c>
      <c r="J60" s="11"/>
      <c r="K60" s="6">
        <v>17891800342359</v>
      </c>
      <c r="L60" s="9">
        <v>0</v>
      </c>
      <c r="M60" s="7">
        <v>297.34573775186857</v>
      </c>
      <c r="N60" s="7">
        <f t="shared" si="0"/>
        <v>3.3789288380894154</v>
      </c>
      <c r="O60" s="7"/>
      <c r="P60" s="7"/>
    </row>
    <row r="61" spans="5:16" x14ac:dyDescent="0.25">
      <c r="E61" s="6" t="s">
        <v>75</v>
      </c>
      <c r="F61" s="6">
        <v>342307</v>
      </c>
      <c r="G61" s="6" t="s">
        <v>76</v>
      </c>
      <c r="H61" s="5">
        <v>110</v>
      </c>
      <c r="I61" s="6">
        <v>7891800341997</v>
      </c>
      <c r="J61" s="11"/>
      <c r="K61" s="6">
        <v>17891800342304</v>
      </c>
      <c r="L61" s="9">
        <v>0</v>
      </c>
      <c r="M61" s="7">
        <v>312.49711292393823</v>
      </c>
      <c r="N61" s="7">
        <f t="shared" si="0"/>
        <v>2.8408828447630747</v>
      </c>
      <c r="O61" s="7"/>
      <c r="P61" s="7"/>
    </row>
    <row r="62" spans="5:16" x14ac:dyDescent="0.25">
      <c r="E62" s="6" t="s">
        <v>75</v>
      </c>
      <c r="F62" s="6">
        <v>342321</v>
      </c>
      <c r="G62" s="6" t="s">
        <v>77</v>
      </c>
      <c r="H62" s="5">
        <v>32</v>
      </c>
      <c r="I62" s="6">
        <v>7891800341942</v>
      </c>
      <c r="J62" s="11"/>
      <c r="K62" s="6">
        <v>17891800342328</v>
      </c>
      <c r="L62" s="9">
        <v>0</v>
      </c>
      <c r="M62" s="7">
        <v>233.12456798843658</v>
      </c>
      <c r="N62" s="7">
        <f t="shared" si="0"/>
        <v>7.2851427496386432</v>
      </c>
      <c r="O62" s="7"/>
      <c r="P62" s="7"/>
    </row>
    <row r="63" spans="5:16" x14ac:dyDescent="0.25">
      <c r="E63" s="6" t="s">
        <v>78</v>
      </c>
      <c r="F63" s="6">
        <v>540406</v>
      </c>
      <c r="G63" s="6" t="s">
        <v>79</v>
      </c>
      <c r="H63" s="5">
        <v>110</v>
      </c>
      <c r="I63" s="6">
        <v>7891800540406</v>
      </c>
      <c r="J63" s="11"/>
      <c r="K63" s="6">
        <v>17891800540403</v>
      </c>
      <c r="L63" s="9">
        <v>0</v>
      </c>
      <c r="M63" s="7">
        <v>359.15110725141125</v>
      </c>
      <c r="N63" s="7">
        <f t="shared" si="0"/>
        <v>3.2650100659219206</v>
      </c>
      <c r="O63" s="7"/>
      <c r="P63" s="7"/>
    </row>
    <row r="64" spans="5:16" x14ac:dyDescent="0.25">
      <c r="E64" s="6" t="s">
        <v>78</v>
      </c>
      <c r="F64" s="6">
        <v>540413</v>
      </c>
      <c r="G64" s="6" t="s">
        <v>80</v>
      </c>
      <c r="H64" s="5">
        <v>32</v>
      </c>
      <c r="I64" s="6">
        <v>7891800540413</v>
      </c>
      <c r="J64" s="11"/>
      <c r="K64" s="6">
        <v>17891800540410</v>
      </c>
      <c r="L64" s="9">
        <v>0</v>
      </c>
      <c r="M64" s="7">
        <v>225.20453096667285</v>
      </c>
      <c r="N64" s="7">
        <f t="shared" si="0"/>
        <v>7.0376415927085265</v>
      </c>
      <c r="O64" s="7"/>
      <c r="P64" s="7"/>
    </row>
    <row r="65" spans="5:16" x14ac:dyDescent="0.25">
      <c r="E65" s="6" t="s">
        <v>81</v>
      </c>
      <c r="F65" s="6">
        <v>375282</v>
      </c>
      <c r="G65" s="6" t="s">
        <v>82</v>
      </c>
      <c r="H65" s="5">
        <v>32</v>
      </c>
      <c r="I65" s="6">
        <v>7891800375282</v>
      </c>
      <c r="J65" s="11"/>
      <c r="K65" s="6">
        <v>17891800375289</v>
      </c>
      <c r="L65" s="9">
        <v>0</v>
      </c>
      <c r="M65" s="7">
        <v>391.88015631784634</v>
      </c>
      <c r="N65" s="7">
        <f t="shared" si="0"/>
        <v>12.246254884932698</v>
      </c>
      <c r="O65" s="7"/>
      <c r="P65" s="7" t="s">
        <v>422</v>
      </c>
    </row>
    <row r="66" spans="5:16" x14ac:dyDescent="0.25">
      <c r="E66" s="6" t="s">
        <v>83</v>
      </c>
      <c r="F66" s="6">
        <v>372847</v>
      </c>
      <c r="G66" s="6" t="s">
        <v>84</v>
      </c>
      <c r="H66" s="5">
        <v>32</v>
      </c>
      <c r="I66" s="6">
        <v>7891800372847</v>
      </c>
      <c r="J66" s="11"/>
      <c r="K66" s="6">
        <v>17891800372844</v>
      </c>
      <c r="L66" s="9">
        <v>0</v>
      </c>
      <c r="M66" s="7">
        <v>232.64220581849762</v>
      </c>
      <c r="N66" s="7">
        <f t="shared" si="0"/>
        <v>7.2700689318280505</v>
      </c>
      <c r="O66" s="7"/>
      <c r="P66" s="7"/>
    </row>
    <row r="67" spans="5:16" x14ac:dyDescent="0.25">
      <c r="E67" s="6" t="s">
        <v>85</v>
      </c>
      <c r="F67" s="6">
        <v>801958</v>
      </c>
      <c r="G67" s="6" t="s">
        <v>86</v>
      </c>
      <c r="H67" s="5">
        <v>72</v>
      </c>
      <c r="I67" s="6">
        <v>7891800276534</v>
      </c>
      <c r="J67" s="12"/>
      <c r="K67" s="6">
        <v>17891800364825</v>
      </c>
      <c r="L67" s="9">
        <v>0</v>
      </c>
      <c r="M67" s="7">
        <v>1394.6152147018736</v>
      </c>
      <c r="N67" s="7">
        <f t="shared" si="0"/>
        <v>19.369655759748245</v>
      </c>
      <c r="O67" s="7"/>
      <c r="P67" s="7"/>
    </row>
    <row r="68" spans="5:16" x14ac:dyDescent="0.25">
      <c r="E68" s="6" t="s">
        <v>85</v>
      </c>
      <c r="F68" s="6">
        <v>675467</v>
      </c>
      <c r="G68" s="6" t="s">
        <v>87</v>
      </c>
      <c r="H68" s="5">
        <v>6</v>
      </c>
      <c r="I68" s="6">
        <v>7891800001655</v>
      </c>
      <c r="J68" s="11"/>
      <c r="K68" s="6">
        <v>17891800210443</v>
      </c>
      <c r="L68" s="9">
        <v>0</v>
      </c>
      <c r="M68" s="7">
        <v>1161.1462972777078</v>
      </c>
      <c r="N68" s="7">
        <f t="shared" si="0"/>
        <v>193.52438287961797</v>
      </c>
      <c r="O68" s="7"/>
      <c r="P68" s="7"/>
    </row>
    <row r="69" spans="5:16" x14ac:dyDescent="0.25">
      <c r="E69" s="6" t="s">
        <v>85</v>
      </c>
      <c r="F69" s="6">
        <v>198966</v>
      </c>
      <c r="G69" s="6" t="s">
        <v>88</v>
      </c>
      <c r="H69" s="5">
        <v>72</v>
      </c>
      <c r="I69" s="6">
        <v>7891800001679</v>
      </c>
      <c r="J69" s="11"/>
      <c r="K69" s="6">
        <v>17891800198963</v>
      </c>
      <c r="L69" s="9">
        <v>0</v>
      </c>
      <c r="M69" s="7">
        <v>2158.554437866344</v>
      </c>
      <c r="N69" s="7">
        <f t="shared" si="0"/>
        <v>29.979922748143665</v>
      </c>
      <c r="O69" s="7"/>
      <c r="P69" s="7"/>
    </row>
    <row r="70" spans="5:16" x14ac:dyDescent="0.25">
      <c r="E70" s="6" t="s">
        <v>85</v>
      </c>
      <c r="F70" s="6">
        <v>199024</v>
      </c>
      <c r="G70" s="6" t="s">
        <v>89</v>
      </c>
      <c r="H70" s="5">
        <v>144</v>
      </c>
      <c r="I70" s="6">
        <v>7891800001662</v>
      </c>
      <c r="J70" s="11"/>
      <c r="K70" s="6">
        <v>17891800199021</v>
      </c>
      <c r="L70" s="9">
        <v>0</v>
      </c>
      <c r="M70" s="7">
        <v>2274.7723724248335</v>
      </c>
      <c r="N70" s="7">
        <f t="shared" si="0"/>
        <v>15.797030364061344</v>
      </c>
      <c r="O70" s="7"/>
      <c r="P70" s="7"/>
    </row>
    <row r="71" spans="5:16" x14ac:dyDescent="0.25">
      <c r="E71" s="6" t="s">
        <v>85</v>
      </c>
      <c r="F71" s="6">
        <v>801996</v>
      </c>
      <c r="G71" s="6" t="s">
        <v>90</v>
      </c>
      <c r="H71" s="5">
        <v>72</v>
      </c>
      <c r="I71" s="6">
        <v>7891800364798</v>
      </c>
      <c r="J71" s="11"/>
      <c r="K71" s="6">
        <v>17891800364795</v>
      </c>
      <c r="L71" s="9">
        <v>0</v>
      </c>
      <c r="M71" s="7">
        <v>279.69782917076463</v>
      </c>
      <c r="N71" s="7">
        <f t="shared" si="0"/>
        <v>3.8846920718161755</v>
      </c>
      <c r="O71" s="7"/>
      <c r="P71" s="7"/>
    </row>
    <row r="72" spans="5:16" s="17" customFormat="1" x14ac:dyDescent="0.25">
      <c r="E72" s="13" t="s">
        <v>85</v>
      </c>
      <c r="F72" s="13">
        <v>802016</v>
      </c>
      <c r="G72" s="13" t="s">
        <v>91</v>
      </c>
      <c r="H72" s="14">
        <v>24</v>
      </c>
      <c r="I72" s="13">
        <v>7891800276534</v>
      </c>
      <c r="J72" s="15"/>
      <c r="K72" s="13">
        <v>17891800364825</v>
      </c>
      <c r="L72" s="16">
        <v>0</v>
      </c>
      <c r="M72" s="18">
        <v>492.24751837440198</v>
      </c>
      <c r="N72" s="7">
        <f t="shared" si="0"/>
        <v>20.510313265600082</v>
      </c>
      <c r="O72" s="7"/>
      <c r="P72" s="7"/>
    </row>
    <row r="73" spans="5:16" x14ac:dyDescent="0.25">
      <c r="E73" s="6" t="s">
        <v>85</v>
      </c>
      <c r="F73" s="6">
        <v>802009</v>
      </c>
      <c r="G73" s="6" t="s">
        <v>92</v>
      </c>
      <c r="H73" s="5">
        <v>48</v>
      </c>
      <c r="I73" s="6">
        <v>7891800364804</v>
      </c>
      <c r="J73" s="11"/>
      <c r="K73" s="6">
        <v>17891800364801</v>
      </c>
      <c r="L73" s="9">
        <v>0</v>
      </c>
      <c r="M73" s="7">
        <v>323.86064430299058</v>
      </c>
      <c r="N73" s="7">
        <f t="shared" si="0"/>
        <v>6.7470967563123034</v>
      </c>
      <c r="O73" s="7"/>
      <c r="P73" s="7"/>
    </row>
    <row r="74" spans="5:16" ht="18.75" customHeight="1" x14ac:dyDescent="0.25">
      <c r="E74" s="6" t="s">
        <v>85</v>
      </c>
      <c r="F74" s="6">
        <v>801842</v>
      </c>
      <c r="G74" s="6" t="s">
        <v>93</v>
      </c>
      <c r="H74" s="5">
        <v>96</v>
      </c>
      <c r="I74" s="6">
        <v>7891800364781</v>
      </c>
      <c r="J74" s="11"/>
      <c r="K74" s="6">
        <v>17891800364788</v>
      </c>
      <c r="L74" s="9">
        <v>0</v>
      </c>
      <c r="M74" s="7">
        <v>239.66720726728488</v>
      </c>
      <c r="N74" s="7">
        <f t="shared" ref="N74:N137" si="1">M74/H74</f>
        <v>2.4965334090342175</v>
      </c>
      <c r="O74" s="7"/>
      <c r="P74" s="7"/>
    </row>
    <row r="75" spans="5:16" x14ac:dyDescent="0.25">
      <c r="E75" s="6" t="s">
        <v>45</v>
      </c>
      <c r="F75" s="6">
        <v>162486</v>
      </c>
      <c r="G75" s="6" t="s">
        <v>94</v>
      </c>
      <c r="H75" s="5">
        <v>48</v>
      </c>
      <c r="I75" s="6">
        <v>7891800001839</v>
      </c>
      <c r="J75" s="11"/>
      <c r="K75" s="6">
        <v>17891800162483</v>
      </c>
      <c r="L75" s="9">
        <v>3.2501250000000002E-2</v>
      </c>
      <c r="M75" s="7">
        <v>352.52353544405543</v>
      </c>
      <c r="N75" s="7">
        <f t="shared" si="1"/>
        <v>7.3442403217511547</v>
      </c>
      <c r="O75" s="7"/>
      <c r="P75" s="7"/>
    </row>
    <row r="76" spans="5:16" x14ac:dyDescent="0.25">
      <c r="E76" s="6" t="s">
        <v>45</v>
      </c>
      <c r="F76" s="6">
        <v>346053</v>
      </c>
      <c r="G76" s="6" t="s">
        <v>95</v>
      </c>
      <c r="H76" s="5">
        <v>20</v>
      </c>
      <c r="I76" s="6">
        <v>7891800346053</v>
      </c>
      <c r="J76" s="11"/>
      <c r="K76" s="6">
        <v>17891800346050</v>
      </c>
      <c r="L76" s="9">
        <v>3.2501250000000002E-2</v>
      </c>
      <c r="M76" s="7">
        <v>57.556748367069794</v>
      </c>
      <c r="N76" s="7">
        <f t="shared" si="1"/>
        <v>2.8778374183534896</v>
      </c>
      <c r="O76" s="7"/>
      <c r="P76" s="7"/>
    </row>
    <row r="77" spans="5:16" x14ac:dyDescent="0.25">
      <c r="E77" s="6" t="s">
        <v>45</v>
      </c>
      <c r="F77" s="6">
        <v>346022</v>
      </c>
      <c r="G77" s="6" t="s">
        <v>96</v>
      </c>
      <c r="H77" s="5">
        <v>20</v>
      </c>
      <c r="I77" s="6">
        <v>7891800346022</v>
      </c>
      <c r="J77" s="11"/>
      <c r="K77" s="6">
        <v>17891800346029</v>
      </c>
      <c r="L77" s="9">
        <v>3.2501250000000002E-2</v>
      </c>
      <c r="M77" s="7">
        <v>57.556748367069794</v>
      </c>
      <c r="N77" s="7">
        <f t="shared" si="1"/>
        <v>2.8778374183534896</v>
      </c>
      <c r="O77" s="7"/>
      <c r="P77" s="7"/>
    </row>
    <row r="78" spans="5:16" x14ac:dyDescent="0.25">
      <c r="E78" s="6" t="s">
        <v>45</v>
      </c>
      <c r="F78" s="6">
        <v>346046</v>
      </c>
      <c r="G78" s="6" t="s">
        <v>97</v>
      </c>
      <c r="H78" s="5">
        <v>20</v>
      </c>
      <c r="I78" s="6">
        <v>7891800346046</v>
      </c>
      <c r="J78" s="11"/>
      <c r="K78" s="6">
        <v>17891800346043</v>
      </c>
      <c r="L78" s="9">
        <v>3.2501250000000002E-2</v>
      </c>
      <c r="M78" s="7">
        <v>57.556748367069794</v>
      </c>
      <c r="N78" s="7">
        <f t="shared" si="1"/>
        <v>2.8778374183534896</v>
      </c>
      <c r="O78" s="7"/>
      <c r="P78" s="7"/>
    </row>
    <row r="79" spans="5:16" x14ac:dyDescent="0.25">
      <c r="E79" s="6" t="s">
        <v>45</v>
      </c>
      <c r="F79" s="6">
        <v>668247</v>
      </c>
      <c r="G79" s="6" t="s">
        <v>98</v>
      </c>
      <c r="H79" s="5">
        <v>56</v>
      </c>
      <c r="I79" s="6">
        <v>7891800001792</v>
      </c>
      <c r="J79" s="11"/>
      <c r="K79" s="6">
        <v>17891800162452</v>
      </c>
      <c r="L79" s="9">
        <v>3.2501250000000002E-2</v>
      </c>
      <c r="M79" s="7">
        <v>329.76182777320986</v>
      </c>
      <c r="N79" s="7">
        <f t="shared" si="1"/>
        <v>5.8886040673787479</v>
      </c>
      <c r="O79" s="7"/>
      <c r="P79" s="7"/>
    </row>
    <row r="80" spans="5:16" x14ac:dyDescent="0.25">
      <c r="E80" s="6" t="s">
        <v>45</v>
      </c>
      <c r="F80" s="6">
        <v>668247</v>
      </c>
      <c r="G80" s="6" t="s">
        <v>99</v>
      </c>
      <c r="H80" s="5">
        <v>56</v>
      </c>
      <c r="I80" s="6">
        <v>7891800668247</v>
      </c>
      <c r="J80" s="11"/>
      <c r="K80" s="6">
        <v>17891800668244</v>
      </c>
      <c r="L80" s="9">
        <v>3.2501250000000002E-2</v>
      </c>
      <c r="M80" s="7">
        <v>329.76182777320986</v>
      </c>
      <c r="N80" s="7">
        <f t="shared" si="1"/>
        <v>5.8886040673787479</v>
      </c>
      <c r="O80" s="7"/>
      <c r="P80" s="7"/>
    </row>
    <row r="81" spans="5:16" x14ac:dyDescent="0.25">
      <c r="E81" s="6" t="s">
        <v>45</v>
      </c>
      <c r="F81" s="6">
        <v>668315</v>
      </c>
      <c r="G81" s="6" t="s">
        <v>100</v>
      </c>
      <c r="H81" s="5">
        <v>48</v>
      </c>
      <c r="I81" s="6">
        <v>7891800001808</v>
      </c>
      <c r="J81" s="11"/>
      <c r="K81" s="6">
        <v>17891800162469</v>
      </c>
      <c r="L81" s="9">
        <v>3.2501250000000002E-2</v>
      </c>
      <c r="M81" s="7">
        <v>327.98338891917115</v>
      </c>
      <c r="N81" s="7">
        <f t="shared" si="1"/>
        <v>6.8329872691493989</v>
      </c>
      <c r="O81" s="7"/>
      <c r="P81" s="7"/>
    </row>
    <row r="82" spans="5:16" x14ac:dyDescent="0.25">
      <c r="E82" s="6" t="s">
        <v>45</v>
      </c>
      <c r="F82" s="6">
        <v>668315</v>
      </c>
      <c r="G82" s="6" t="s">
        <v>101</v>
      </c>
      <c r="H82" s="5">
        <v>48</v>
      </c>
      <c r="I82" s="6">
        <v>7891800668315</v>
      </c>
      <c r="J82" s="11"/>
      <c r="K82" s="6">
        <v>17891800668312</v>
      </c>
      <c r="L82" s="9">
        <v>3.2501250000000002E-2</v>
      </c>
      <c r="M82" s="7">
        <v>327.98338891917115</v>
      </c>
      <c r="N82" s="7">
        <f t="shared" si="1"/>
        <v>6.8329872691493989</v>
      </c>
      <c r="O82" s="7"/>
      <c r="P82" s="7"/>
    </row>
    <row r="83" spans="5:16" x14ac:dyDescent="0.25">
      <c r="E83" s="6" t="s">
        <v>102</v>
      </c>
      <c r="F83" s="6">
        <v>578263</v>
      </c>
      <c r="G83" s="6" t="s">
        <v>103</v>
      </c>
      <c r="H83" s="5">
        <v>32</v>
      </c>
      <c r="I83" s="6">
        <v>7891800578263</v>
      </c>
      <c r="J83" s="11"/>
      <c r="K83" s="6">
        <v>17891800578260</v>
      </c>
      <c r="L83" s="9">
        <v>0</v>
      </c>
      <c r="M83" s="7">
        <v>315.42408312763359</v>
      </c>
      <c r="N83" s="7">
        <f t="shared" si="1"/>
        <v>9.8570025977385498</v>
      </c>
      <c r="O83" s="7"/>
      <c r="P83" s="7"/>
    </row>
    <row r="84" spans="5:16" x14ac:dyDescent="0.25">
      <c r="E84" s="6" t="s">
        <v>104</v>
      </c>
      <c r="F84" s="6">
        <v>372762</v>
      </c>
      <c r="G84" s="6" t="s">
        <v>105</v>
      </c>
      <c r="H84" s="5">
        <v>12</v>
      </c>
      <c r="I84" s="6">
        <v>7891800357363</v>
      </c>
      <c r="J84" s="11"/>
      <c r="K84" s="6">
        <v>17891800372769</v>
      </c>
      <c r="L84" s="9">
        <v>0</v>
      </c>
      <c r="M84" s="7">
        <v>286.92916732107062</v>
      </c>
      <c r="N84" s="7">
        <f t="shared" si="1"/>
        <v>23.910763943422552</v>
      </c>
      <c r="O84" s="7"/>
      <c r="P84" s="7"/>
    </row>
    <row r="85" spans="5:16" x14ac:dyDescent="0.25">
      <c r="E85" s="6" t="s">
        <v>104</v>
      </c>
      <c r="F85" s="6">
        <v>372779</v>
      </c>
      <c r="G85" s="6" t="s">
        <v>106</v>
      </c>
      <c r="H85" s="5">
        <v>12</v>
      </c>
      <c r="I85" s="6">
        <v>7891800357356</v>
      </c>
      <c r="J85" s="11"/>
      <c r="K85" s="6">
        <v>17891800372776</v>
      </c>
      <c r="L85" s="9">
        <v>0</v>
      </c>
      <c r="M85" s="7">
        <v>286.92916732107062</v>
      </c>
      <c r="N85" s="7">
        <f t="shared" si="1"/>
        <v>23.910763943422552</v>
      </c>
      <c r="O85" s="7"/>
      <c r="P85" s="7"/>
    </row>
    <row r="86" spans="5:16" x14ac:dyDescent="0.25">
      <c r="E86" s="6" t="s">
        <v>104</v>
      </c>
      <c r="F86" s="6">
        <v>367133</v>
      </c>
      <c r="G86" s="6" t="s">
        <v>107</v>
      </c>
      <c r="H86" s="5">
        <v>12</v>
      </c>
      <c r="I86" s="6">
        <v>7891800357349</v>
      </c>
      <c r="J86" s="11"/>
      <c r="K86" s="6">
        <v>17891800367130</v>
      </c>
      <c r="L86" s="9">
        <v>0</v>
      </c>
      <c r="M86" s="7">
        <v>286.92916732107062</v>
      </c>
      <c r="N86" s="7">
        <f t="shared" si="1"/>
        <v>23.910763943422552</v>
      </c>
      <c r="O86" s="7"/>
      <c r="P86" s="7"/>
    </row>
    <row r="87" spans="5:16" x14ac:dyDescent="0.25">
      <c r="E87" s="6" t="s">
        <v>108</v>
      </c>
      <c r="F87" s="6">
        <v>375992</v>
      </c>
      <c r="G87" s="6" t="s">
        <v>109</v>
      </c>
      <c r="H87" s="5">
        <v>12</v>
      </c>
      <c r="I87" s="6">
        <v>7891800332629</v>
      </c>
      <c r="J87" s="11"/>
      <c r="K87" s="6">
        <v>17891800375999</v>
      </c>
      <c r="L87" s="9">
        <v>0</v>
      </c>
      <c r="M87" s="7">
        <v>328.38023064693186</v>
      </c>
      <c r="N87" s="7">
        <f t="shared" si="1"/>
        <v>27.365019220577654</v>
      </c>
      <c r="O87" s="7"/>
      <c r="P87" s="7"/>
    </row>
    <row r="88" spans="5:16" x14ac:dyDescent="0.25">
      <c r="E88" s="6" t="s">
        <v>108</v>
      </c>
      <c r="F88" s="6">
        <v>379433</v>
      </c>
      <c r="G88" s="6" t="s">
        <v>110</v>
      </c>
      <c r="H88" s="5">
        <v>12</v>
      </c>
      <c r="I88" s="6">
        <v>7891800332803</v>
      </c>
      <c r="J88" s="11"/>
      <c r="K88" s="6">
        <v>17891800379430</v>
      </c>
      <c r="L88" s="9">
        <v>0</v>
      </c>
      <c r="M88" s="7">
        <v>373.18870097114944</v>
      </c>
      <c r="N88" s="7">
        <f t="shared" si="1"/>
        <v>31.099058414262455</v>
      </c>
      <c r="O88" s="7"/>
      <c r="P88" s="7"/>
    </row>
    <row r="89" spans="5:16" x14ac:dyDescent="0.25">
      <c r="E89" s="6" t="s">
        <v>108</v>
      </c>
      <c r="F89" s="6">
        <v>372816</v>
      </c>
      <c r="G89" s="6" t="s">
        <v>111</v>
      </c>
      <c r="H89" s="5">
        <v>12</v>
      </c>
      <c r="I89" s="6">
        <v>7891800332681</v>
      </c>
      <c r="J89" s="11"/>
      <c r="K89" s="6">
        <v>17891800372813</v>
      </c>
      <c r="L89" s="9">
        <v>0</v>
      </c>
      <c r="M89" s="7">
        <v>365.69910074404669</v>
      </c>
      <c r="N89" s="7">
        <f t="shared" si="1"/>
        <v>30.474925062003891</v>
      </c>
      <c r="O89" s="7"/>
      <c r="P89" s="7"/>
    </row>
    <row r="90" spans="5:16" x14ac:dyDescent="0.25">
      <c r="E90" s="6" t="s">
        <v>108</v>
      </c>
      <c r="F90" s="6">
        <v>372809</v>
      </c>
      <c r="G90" s="6" t="s">
        <v>112</v>
      </c>
      <c r="H90" s="5">
        <v>12</v>
      </c>
      <c r="I90" s="6">
        <v>7891800332667</v>
      </c>
      <c r="J90" s="11"/>
      <c r="K90" s="6">
        <v>17891800372806</v>
      </c>
      <c r="L90" s="9">
        <v>0</v>
      </c>
      <c r="M90" s="7">
        <v>365.69910074404669</v>
      </c>
      <c r="N90" s="7">
        <f t="shared" si="1"/>
        <v>30.474925062003891</v>
      </c>
      <c r="O90" s="7"/>
      <c r="P90" s="7"/>
    </row>
    <row r="91" spans="5:16" x14ac:dyDescent="0.25">
      <c r="E91" s="6" t="s">
        <v>108</v>
      </c>
      <c r="F91" s="6">
        <v>376005</v>
      </c>
      <c r="G91" s="6" t="s">
        <v>113</v>
      </c>
      <c r="H91" s="5">
        <v>12</v>
      </c>
      <c r="I91" s="6">
        <v>7891800332650</v>
      </c>
      <c r="J91" s="11"/>
      <c r="K91" s="6">
        <v>17891800376002</v>
      </c>
      <c r="L91" s="9">
        <v>0</v>
      </c>
      <c r="M91" s="7">
        <v>332.2541617988814</v>
      </c>
      <c r="N91" s="7">
        <f t="shared" si="1"/>
        <v>27.687846816573451</v>
      </c>
      <c r="O91" s="7"/>
      <c r="P91" s="7"/>
    </row>
    <row r="92" spans="5:16" x14ac:dyDescent="0.25">
      <c r="E92" s="6" t="s">
        <v>114</v>
      </c>
      <c r="F92" s="6">
        <v>367102</v>
      </c>
      <c r="G92" s="6" t="s">
        <v>115</v>
      </c>
      <c r="H92" s="5">
        <v>12</v>
      </c>
      <c r="I92" s="6">
        <v>7891800358469</v>
      </c>
      <c r="J92" s="11"/>
      <c r="K92" s="6">
        <v>17891800367109</v>
      </c>
      <c r="L92" s="9">
        <v>0</v>
      </c>
      <c r="M92" s="7">
        <v>148.11330104287495</v>
      </c>
      <c r="N92" s="7">
        <f t="shared" si="1"/>
        <v>12.342775086906245</v>
      </c>
      <c r="O92" s="7"/>
      <c r="P92" s="7"/>
    </row>
    <row r="93" spans="5:16" x14ac:dyDescent="0.25">
      <c r="E93" s="6" t="s">
        <v>114</v>
      </c>
      <c r="F93" s="6">
        <v>367119</v>
      </c>
      <c r="G93" s="6" t="s">
        <v>116</v>
      </c>
      <c r="H93" s="5">
        <v>12</v>
      </c>
      <c r="I93" s="6">
        <v>7891800358476</v>
      </c>
      <c r="J93" s="11"/>
      <c r="K93" s="6">
        <v>17891800367116</v>
      </c>
      <c r="L93" s="9">
        <v>0</v>
      </c>
      <c r="M93" s="7">
        <v>148.11330104287495</v>
      </c>
      <c r="N93" s="7">
        <f t="shared" si="1"/>
        <v>12.342775086906245</v>
      </c>
      <c r="O93" s="7"/>
      <c r="P93" s="7"/>
    </row>
    <row r="94" spans="5:16" x14ac:dyDescent="0.25">
      <c r="E94" s="6" t="s">
        <v>114</v>
      </c>
      <c r="F94" s="6">
        <v>372823</v>
      </c>
      <c r="G94" s="6" t="s">
        <v>117</v>
      </c>
      <c r="H94" s="5">
        <v>12</v>
      </c>
      <c r="I94" s="6">
        <v>7891800357318</v>
      </c>
      <c r="J94" s="11"/>
      <c r="K94" s="6">
        <v>17891800372820</v>
      </c>
      <c r="L94" s="9">
        <v>0</v>
      </c>
      <c r="M94" s="7">
        <v>148.11330104287495</v>
      </c>
      <c r="N94" s="7">
        <f t="shared" si="1"/>
        <v>12.342775086906245</v>
      </c>
      <c r="O94" s="7"/>
      <c r="P94" s="7"/>
    </row>
    <row r="95" spans="5:16" x14ac:dyDescent="0.25">
      <c r="E95" s="6" t="s">
        <v>118</v>
      </c>
      <c r="F95" s="6">
        <v>332865</v>
      </c>
      <c r="G95" s="6" t="s">
        <v>119</v>
      </c>
      <c r="H95" s="5">
        <v>12</v>
      </c>
      <c r="I95" s="6">
        <v>7891800332865</v>
      </c>
      <c r="J95" s="11"/>
      <c r="K95" s="6">
        <v>17891800332862</v>
      </c>
      <c r="L95" s="9">
        <v>0</v>
      </c>
      <c r="M95" s="7">
        <v>344.39247940832377</v>
      </c>
      <c r="N95" s="7">
        <f t="shared" si="1"/>
        <v>28.699373284026979</v>
      </c>
      <c r="O95" s="7"/>
      <c r="P95" s="7"/>
    </row>
    <row r="96" spans="5:16" x14ac:dyDescent="0.25">
      <c r="E96" s="6" t="s">
        <v>118</v>
      </c>
      <c r="F96" s="6">
        <v>332902</v>
      </c>
      <c r="G96" s="6" t="s">
        <v>120</v>
      </c>
      <c r="H96" s="5">
        <v>12</v>
      </c>
      <c r="I96" s="6">
        <v>7891800332902</v>
      </c>
      <c r="J96" s="11"/>
      <c r="K96" s="6">
        <v>17891800332909</v>
      </c>
      <c r="L96" s="9">
        <v>0</v>
      </c>
      <c r="M96" s="7">
        <v>384.68136338860012</v>
      </c>
      <c r="N96" s="7">
        <f t="shared" si="1"/>
        <v>32.056780282383343</v>
      </c>
      <c r="O96" s="7"/>
      <c r="P96" s="7"/>
    </row>
    <row r="97" spans="5:16" x14ac:dyDescent="0.25">
      <c r="E97" s="6" t="s">
        <v>118</v>
      </c>
      <c r="F97" s="6">
        <v>332926</v>
      </c>
      <c r="G97" s="6" t="s">
        <v>121</v>
      </c>
      <c r="H97" s="5">
        <v>12</v>
      </c>
      <c r="I97" s="6">
        <v>7891800332926</v>
      </c>
      <c r="J97" s="11"/>
      <c r="K97" s="6">
        <v>17891800332923</v>
      </c>
      <c r="L97" s="9">
        <v>0</v>
      </c>
      <c r="M97" s="7">
        <v>384.68136338860012</v>
      </c>
      <c r="N97" s="7">
        <f t="shared" si="1"/>
        <v>32.056780282383343</v>
      </c>
      <c r="O97" s="7"/>
      <c r="P97" s="7"/>
    </row>
    <row r="98" spans="5:16" x14ac:dyDescent="0.25">
      <c r="E98" s="6" t="s">
        <v>122</v>
      </c>
      <c r="F98" s="6">
        <v>156898</v>
      </c>
      <c r="G98" s="6" t="s">
        <v>123</v>
      </c>
      <c r="H98" s="5">
        <v>20</v>
      </c>
      <c r="I98" s="6">
        <v>7891800000955</v>
      </c>
      <c r="J98" s="11"/>
      <c r="K98" s="6">
        <v>17891800156895</v>
      </c>
      <c r="L98" s="9">
        <v>0</v>
      </c>
      <c r="M98" s="7">
        <v>74.044724272687802</v>
      </c>
      <c r="N98" s="7">
        <f t="shared" si="1"/>
        <v>3.7022362136343903</v>
      </c>
      <c r="O98" s="7"/>
      <c r="P98" s="7"/>
    </row>
    <row r="99" spans="5:16" x14ac:dyDescent="0.25">
      <c r="E99" s="6" t="s">
        <v>122</v>
      </c>
      <c r="F99" s="6">
        <v>156911</v>
      </c>
      <c r="G99" s="6" t="s">
        <v>124</v>
      </c>
      <c r="H99" s="5">
        <v>20</v>
      </c>
      <c r="I99" s="6">
        <v>7891800000979</v>
      </c>
      <c r="J99" s="11"/>
      <c r="K99" s="6">
        <v>17891800156918</v>
      </c>
      <c r="L99" s="9">
        <v>0</v>
      </c>
      <c r="M99" s="7">
        <v>101.5089014329136</v>
      </c>
      <c r="N99" s="7">
        <f t="shared" si="1"/>
        <v>5.0754450716456798</v>
      </c>
      <c r="O99" s="7"/>
      <c r="P99" s="7"/>
    </row>
    <row r="100" spans="5:16" x14ac:dyDescent="0.25">
      <c r="E100" s="6" t="s">
        <v>122</v>
      </c>
      <c r="F100" s="6">
        <v>156928</v>
      </c>
      <c r="G100" s="6" t="s">
        <v>125</v>
      </c>
      <c r="H100" s="5">
        <v>20</v>
      </c>
      <c r="I100" s="6">
        <v>7891800000986</v>
      </c>
      <c r="J100" s="11"/>
      <c r="K100" s="6">
        <v>17891800156925</v>
      </c>
      <c r="L100" s="9">
        <v>0</v>
      </c>
      <c r="M100" s="7">
        <v>192.40524721349917</v>
      </c>
      <c r="N100" s="7">
        <f t="shared" si="1"/>
        <v>9.6202623606749587</v>
      </c>
      <c r="O100" s="7"/>
      <c r="P100" s="7"/>
    </row>
    <row r="101" spans="5:16" x14ac:dyDescent="0.25">
      <c r="E101" s="6" t="s">
        <v>122</v>
      </c>
      <c r="F101" s="6">
        <v>156881</v>
      </c>
      <c r="G101" s="6" t="s">
        <v>126</v>
      </c>
      <c r="H101" s="5">
        <v>20</v>
      </c>
      <c r="I101" s="6">
        <v>7891800000948</v>
      </c>
      <c r="J101" s="11"/>
      <c r="K101" s="6">
        <v>17891800156888</v>
      </c>
      <c r="L101" s="9">
        <v>0</v>
      </c>
      <c r="M101" s="7">
        <v>53.804599332634005</v>
      </c>
      <c r="N101" s="7">
        <f t="shared" si="1"/>
        <v>2.6902299666317004</v>
      </c>
      <c r="O101" s="7"/>
      <c r="P101" s="7"/>
    </row>
    <row r="102" spans="5:16" x14ac:dyDescent="0.25">
      <c r="E102" s="6" t="s">
        <v>122</v>
      </c>
      <c r="F102" s="6">
        <v>216080</v>
      </c>
      <c r="G102" s="6" t="s">
        <v>127</v>
      </c>
      <c r="H102" s="5">
        <v>20</v>
      </c>
      <c r="I102" s="6">
        <v>7891800216363</v>
      </c>
      <c r="J102" s="11"/>
      <c r="K102" s="6">
        <v>17891800216087</v>
      </c>
      <c r="L102" s="9">
        <v>0</v>
      </c>
      <c r="M102" s="7">
        <v>49.283543204515851</v>
      </c>
      <c r="N102" s="7">
        <f t="shared" si="1"/>
        <v>2.4641771602257925</v>
      </c>
      <c r="O102" s="7"/>
      <c r="P102" s="7"/>
    </row>
    <row r="103" spans="5:16" x14ac:dyDescent="0.25">
      <c r="E103" s="6" t="s">
        <v>122</v>
      </c>
      <c r="F103" s="6">
        <v>214352</v>
      </c>
      <c r="G103" s="6" t="s">
        <v>128</v>
      </c>
      <c r="H103" s="5">
        <v>20</v>
      </c>
      <c r="I103" s="6">
        <v>7891800216387</v>
      </c>
      <c r="J103" s="11"/>
      <c r="K103" s="6">
        <v>17891800214359</v>
      </c>
      <c r="L103" s="9">
        <v>0</v>
      </c>
      <c r="M103" s="7">
        <v>66.326530612244895</v>
      </c>
      <c r="N103" s="7">
        <f t="shared" si="1"/>
        <v>3.3163265306122449</v>
      </c>
      <c r="O103" s="7"/>
      <c r="P103" s="7"/>
    </row>
    <row r="104" spans="5:16" x14ac:dyDescent="0.25">
      <c r="E104" s="6" t="s">
        <v>122</v>
      </c>
      <c r="F104" s="6">
        <v>216097</v>
      </c>
      <c r="G104" s="6" t="s">
        <v>129</v>
      </c>
      <c r="H104" s="5">
        <v>20</v>
      </c>
      <c r="I104" s="6">
        <v>7891800216394</v>
      </c>
      <c r="J104" s="11"/>
      <c r="K104" s="6">
        <v>17891800216094</v>
      </c>
      <c r="L104" s="9">
        <v>0</v>
      </c>
      <c r="M104" s="7">
        <v>109.85670864090318</v>
      </c>
      <c r="N104" s="7">
        <f t="shared" si="1"/>
        <v>5.4928354320451591</v>
      </c>
      <c r="O104" s="7"/>
      <c r="P104" s="7"/>
    </row>
    <row r="105" spans="5:16" x14ac:dyDescent="0.25">
      <c r="E105" s="6" t="s">
        <v>130</v>
      </c>
      <c r="F105" s="6">
        <v>350142</v>
      </c>
      <c r="G105" s="6" t="s">
        <v>131</v>
      </c>
      <c r="H105" s="5">
        <v>72</v>
      </c>
      <c r="I105" s="6">
        <v>7891800350142</v>
      </c>
      <c r="J105" s="11"/>
      <c r="K105" s="6">
        <v>17896227620011</v>
      </c>
      <c r="L105" s="9">
        <v>0</v>
      </c>
      <c r="M105" s="7">
        <v>173.36684063920751</v>
      </c>
      <c r="N105" s="7">
        <f t="shared" si="1"/>
        <v>2.40787278665566</v>
      </c>
      <c r="O105" s="7"/>
      <c r="P105" s="7"/>
    </row>
    <row r="106" spans="5:16" x14ac:dyDescent="0.25">
      <c r="E106" s="6" t="s">
        <v>132</v>
      </c>
      <c r="F106" s="6">
        <v>410020</v>
      </c>
      <c r="G106" s="6" t="s">
        <v>133</v>
      </c>
      <c r="H106" s="5">
        <v>60</v>
      </c>
      <c r="I106" s="6">
        <v>7898935462047</v>
      </c>
      <c r="J106" s="11"/>
      <c r="K106" s="6">
        <v>17898935462044</v>
      </c>
      <c r="L106" s="9">
        <v>0</v>
      </c>
      <c r="M106" s="7">
        <v>200.54611702556727</v>
      </c>
      <c r="N106" s="7">
        <f t="shared" si="1"/>
        <v>3.3424352837594546</v>
      </c>
      <c r="O106" s="7"/>
      <c r="P106" s="7"/>
    </row>
    <row r="107" spans="5:16" x14ac:dyDescent="0.25">
      <c r="E107" s="6" t="s">
        <v>134</v>
      </c>
      <c r="F107" s="6">
        <v>410068</v>
      </c>
      <c r="G107" s="6" t="s">
        <v>135</v>
      </c>
      <c r="H107" s="5">
        <v>36</v>
      </c>
      <c r="I107" s="6">
        <v>7898935462023</v>
      </c>
      <c r="J107" s="11"/>
      <c r="K107" s="6">
        <v>17898935462020</v>
      </c>
      <c r="L107" s="9">
        <v>0</v>
      </c>
      <c r="M107" s="7">
        <v>299.23591671972804</v>
      </c>
      <c r="N107" s="7">
        <f t="shared" si="1"/>
        <v>8.3121087977702235</v>
      </c>
      <c r="O107" s="7"/>
      <c r="P107" s="7"/>
    </row>
    <row r="108" spans="5:16" x14ac:dyDescent="0.25">
      <c r="E108" s="6" t="s">
        <v>136</v>
      </c>
      <c r="F108" s="6">
        <v>365658</v>
      </c>
      <c r="G108" s="6" t="s">
        <v>137</v>
      </c>
      <c r="H108" s="5">
        <v>72</v>
      </c>
      <c r="I108" s="6">
        <v>7891800365658</v>
      </c>
      <c r="J108" s="11"/>
      <c r="K108" s="6">
        <v>17891800365655</v>
      </c>
      <c r="L108" s="9">
        <v>0</v>
      </c>
      <c r="M108" s="7">
        <v>346.59140251845417</v>
      </c>
      <c r="N108" s="7">
        <f t="shared" si="1"/>
        <v>4.8137694794229748</v>
      </c>
      <c r="O108" s="7"/>
      <c r="P108" s="7"/>
    </row>
    <row r="109" spans="5:16" x14ac:dyDescent="0.25">
      <c r="E109" s="6" t="s">
        <v>136</v>
      </c>
      <c r="F109" s="6">
        <v>365665</v>
      </c>
      <c r="G109" s="6" t="s">
        <v>138</v>
      </c>
      <c r="H109" s="5">
        <v>48</v>
      </c>
      <c r="I109" s="6">
        <v>7891800365665</v>
      </c>
      <c r="J109" s="11"/>
      <c r="K109" s="6">
        <v>17891800365662</v>
      </c>
      <c r="L109" s="9">
        <v>0</v>
      </c>
      <c r="M109" s="7">
        <v>400.56448111159358</v>
      </c>
      <c r="N109" s="7">
        <f t="shared" si="1"/>
        <v>8.3450933564915335</v>
      </c>
      <c r="O109" s="7"/>
      <c r="P109" s="7"/>
    </row>
    <row r="110" spans="5:16" x14ac:dyDescent="0.25">
      <c r="E110" s="6" t="s">
        <v>136</v>
      </c>
      <c r="F110" s="6">
        <v>228045</v>
      </c>
      <c r="G110" s="6" t="s">
        <v>139</v>
      </c>
      <c r="H110" s="5">
        <v>24</v>
      </c>
      <c r="I110" s="6">
        <v>7891800228106</v>
      </c>
      <c r="J110" s="11"/>
      <c r="K110" s="6">
        <v>17891800228042</v>
      </c>
      <c r="L110" s="9">
        <v>0</v>
      </c>
      <c r="M110" s="7">
        <v>684.65276558790174</v>
      </c>
      <c r="N110" s="7">
        <f t="shared" si="1"/>
        <v>28.527198566162571</v>
      </c>
      <c r="O110" s="7"/>
      <c r="P110" s="7"/>
    </row>
    <row r="111" spans="5:16" x14ac:dyDescent="0.25">
      <c r="E111" s="6" t="s">
        <v>136</v>
      </c>
      <c r="F111" s="6">
        <v>228038</v>
      </c>
      <c r="G111" s="6" t="s">
        <v>140</v>
      </c>
      <c r="H111" s="5">
        <v>36</v>
      </c>
      <c r="I111" s="6">
        <v>7891800228090</v>
      </c>
      <c r="J111" s="11"/>
      <c r="K111" s="6">
        <v>17891800228035</v>
      </c>
      <c r="L111" s="9">
        <v>0</v>
      </c>
      <c r="M111" s="7">
        <v>495.37559704732962</v>
      </c>
      <c r="N111" s="7">
        <f t="shared" si="1"/>
        <v>13.760433251314712</v>
      </c>
      <c r="O111" s="7"/>
      <c r="P111" s="7"/>
    </row>
    <row r="112" spans="5:16" x14ac:dyDescent="0.25">
      <c r="E112" s="6" t="s">
        <v>130</v>
      </c>
      <c r="F112" s="6">
        <v>410075</v>
      </c>
      <c r="G112" s="6" t="s">
        <v>141</v>
      </c>
      <c r="H112" s="5">
        <v>32</v>
      </c>
      <c r="I112" s="6">
        <v>7896004802336</v>
      </c>
      <c r="J112" s="11"/>
      <c r="K112" s="6">
        <v>27896004802330</v>
      </c>
      <c r="L112" s="9">
        <v>0</v>
      </c>
      <c r="M112" s="7">
        <v>145.65981131330676</v>
      </c>
      <c r="N112" s="7">
        <f t="shared" si="1"/>
        <v>4.5518691035408363</v>
      </c>
      <c r="O112" s="7"/>
      <c r="P112" s="7"/>
    </row>
    <row r="113" spans="5:16" x14ac:dyDescent="0.25">
      <c r="E113" s="6" t="s">
        <v>130</v>
      </c>
      <c r="F113" s="6">
        <v>410013</v>
      </c>
      <c r="G113" s="6" t="s">
        <v>142</v>
      </c>
      <c r="H113" s="5">
        <v>32</v>
      </c>
      <c r="I113" s="6">
        <v>7896004816562</v>
      </c>
      <c r="J113" s="11"/>
      <c r="K113" s="6">
        <v>17896004816569</v>
      </c>
      <c r="L113" s="9">
        <v>0</v>
      </c>
      <c r="M113" s="7">
        <v>136.16025840156937</v>
      </c>
      <c r="N113" s="7">
        <f t="shared" si="1"/>
        <v>4.2550080750490427</v>
      </c>
      <c r="O113" s="7"/>
      <c r="P113" s="7"/>
    </row>
    <row r="114" spans="5:16" x14ac:dyDescent="0.25">
      <c r="E114" s="6" t="s">
        <v>130</v>
      </c>
      <c r="F114" s="6">
        <v>410082</v>
      </c>
      <c r="G114" s="6" t="s">
        <v>143</v>
      </c>
      <c r="H114" s="5">
        <v>60</v>
      </c>
      <c r="I114" s="6">
        <v>7896004814162</v>
      </c>
      <c r="J114" s="11"/>
      <c r="K114" s="6">
        <v>27896004802347</v>
      </c>
      <c r="L114" s="9">
        <v>0</v>
      </c>
      <c r="M114" s="7">
        <v>131.27854371081546</v>
      </c>
      <c r="N114" s="7">
        <f t="shared" si="1"/>
        <v>2.187975728513591</v>
      </c>
      <c r="O114" s="7"/>
      <c r="P114" s="7"/>
    </row>
    <row r="115" spans="5:16" x14ac:dyDescent="0.25">
      <c r="E115" s="6" t="s">
        <v>130</v>
      </c>
      <c r="F115" s="6">
        <v>410006</v>
      </c>
      <c r="G115" s="6" t="s">
        <v>144</v>
      </c>
      <c r="H115" s="5">
        <v>60</v>
      </c>
      <c r="I115" s="6">
        <v>7896004814162</v>
      </c>
      <c r="J115" s="11"/>
      <c r="K115" s="6">
        <v>17896004814169</v>
      </c>
      <c r="L115" s="9">
        <v>0</v>
      </c>
      <c r="M115" s="7">
        <v>131.27854371081546</v>
      </c>
      <c r="N115" s="7">
        <f t="shared" si="1"/>
        <v>2.187975728513591</v>
      </c>
      <c r="O115" s="7"/>
      <c r="P115" s="7"/>
    </row>
    <row r="116" spans="5:16" x14ac:dyDescent="0.25">
      <c r="E116" s="6" t="s">
        <v>130</v>
      </c>
      <c r="F116" s="6">
        <v>540109</v>
      </c>
      <c r="G116" s="6" t="s">
        <v>145</v>
      </c>
      <c r="H116" s="5">
        <v>36</v>
      </c>
      <c r="I116" s="6">
        <v>7891800540109</v>
      </c>
      <c r="J116" s="11"/>
      <c r="K116" s="6">
        <v>17891800540106</v>
      </c>
      <c r="L116" s="9">
        <v>0</v>
      </c>
      <c r="M116" s="7">
        <v>300.02754612903942</v>
      </c>
      <c r="N116" s="7">
        <f t="shared" si="1"/>
        <v>8.3340985035844284</v>
      </c>
      <c r="O116" s="7"/>
      <c r="P116" s="7"/>
    </row>
    <row r="117" spans="5:16" x14ac:dyDescent="0.25">
      <c r="E117" s="6" t="s">
        <v>146</v>
      </c>
      <c r="F117" s="6">
        <v>410051</v>
      </c>
      <c r="G117" s="6" t="s">
        <v>147</v>
      </c>
      <c r="H117" s="5">
        <v>36</v>
      </c>
      <c r="I117" s="6">
        <v>7896004800851</v>
      </c>
      <c r="J117" s="11"/>
      <c r="K117" s="6">
        <v>17896004800858</v>
      </c>
      <c r="L117" s="9">
        <v>0</v>
      </c>
      <c r="M117" s="7">
        <v>237.09300808877927</v>
      </c>
      <c r="N117" s="7">
        <f t="shared" si="1"/>
        <v>6.5859168913549802</v>
      </c>
      <c r="O117" s="7"/>
      <c r="P117" s="7"/>
    </row>
    <row r="118" spans="5:16" x14ac:dyDescent="0.25">
      <c r="E118" s="6" t="s">
        <v>148</v>
      </c>
      <c r="F118" s="6">
        <v>411010</v>
      </c>
      <c r="G118" s="6" t="s">
        <v>149</v>
      </c>
      <c r="H118" s="5">
        <v>12</v>
      </c>
      <c r="I118" s="6">
        <v>7896004818412</v>
      </c>
      <c r="J118" s="11"/>
      <c r="K118" s="6">
        <v>17896004818419</v>
      </c>
      <c r="L118" s="9">
        <v>3.2501250000000002E-2</v>
      </c>
      <c r="M118" s="7">
        <v>114.66311286850642</v>
      </c>
      <c r="N118" s="7">
        <f t="shared" si="1"/>
        <v>9.5552594057088687</v>
      </c>
      <c r="O118" s="7"/>
      <c r="P118" s="7"/>
    </row>
    <row r="119" spans="5:16" x14ac:dyDescent="0.25">
      <c r="E119" s="6" t="s">
        <v>148</v>
      </c>
      <c r="F119" s="6">
        <v>411331</v>
      </c>
      <c r="G119" s="6" t="s">
        <v>150</v>
      </c>
      <c r="H119" s="5">
        <v>12</v>
      </c>
      <c r="I119" s="6">
        <v>7898935462252</v>
      </c>
      <c r="J119" s="11"/>
      <c r="K119" s="6">
        <v>17898935462259</v>
      </c>
      <c r="L119" s="9">
        <v>3.2501250000000002E-2</v>
      </c>
      <c r="M119" s="7">
        <v>114.66311286850642</v>
      </c>
      <c r="N119" s="7">
        <f t="shared" si="1"/>
        <v>9.5552594057088687</v>
      </c>
      <c r="O119" s="7"/>
      <c r="P119" s="7"/>
    </row>
    <row r="120" spans="5:16" x14ac:dyDescent="0.25">
      <c r="E120" s="6" t="s">
        <v>148</v>
      </c>
      <c r="F120" s="6">
        <v>411188</v>
      </c>
      <c r="G120" s="6" t="s">
        <v>151</v>
      </c>
      <c r="H120" s="5">
        <v>12</v>
      </c>
      <c r="I120" s="6">
        <v>7898935462832</v>
      </c>
      <c r="J120" s="11"/>
      <c r="K120" s="6">
        <v>17898935462839</v>
      </c>
      <c r="L120" s="9">
        <v>3.2501250000000002E-2</v>
      </c>
      <c r="M120" s="7">
        <v>199.86650160290466</v>
      </c>
      <c r="N120" s="7">
        <f t="shared" si="1"/>
        <v>16.655541800242055</v>
      </c>
      <c r="O120" s="7"/>
      <c r="P120" s="7"/>
    </row>
    <row r="121" spans="5:16" x14ac:dyDescent="0.25">
      <c r="E121" s="6" t="s">
        <v>148</v>
      </c>
      <c r="F121" s="6">
        <v>411485</v>
      </c>
      <c r="G121" s="6" t="s">
        <v>152</v>
      </c>
      <c r="H121" s="5">
        <v>12</v>
      </c>
      <c r="I121" s="6">
        <v>7898935462313</v>
      </c>
      <c r="J121" s="11"/>
      <c r="K121" s="6">
        <v>17898935462310</v>
      </c>
      <c r="L121" s="9">
        <v>3.2501250000000002E-2</v>
      </c>
      <c r="M121" s="7">
        <v>199.86650160290466</v>
      </c>
      <c r="N121" s="7">
        <f t="shared" si="1"/>
        <v>16.655541800242055</v>
      </c>
      <c r="O121" s="7"/>
      <c r="P121" s="7"/>
    </row>
    <row r="122" spans="5:16" x14ac:dyDescent="0.25">
      <c r="E122" s="6" t="s">
        <v>148</v>
      </c>
      <c r="F122" s="6">
        <v>630602</v>
      </c>
      <c r="G122" s="6" t="s">
        <v>153</v>
      </c>
      <c r="H122" s="5">
        <v>12</v>
      </c>
      <c r="I122" s="6">
        <v>7891800630602</v>
      </c>
      <c r="J122" s="11"/>
      <c r="K122" s="6">
        <v>17891800630609</v>
      </c>
      <c r="L122" s="9">
        <v>3.2501250000000002E-2</v>
      </c>
      <c r="M122" s="7">
        <v>114.66311286850642</v>
      </c>
      <c r="N122" s="7">
        <f t="shared" si="1"/>
        <v>9.5552594057088687</v>
      </c>
      <c r="O122" s="7"/>
      <c r="P122" s="7"/>
    </row>
    <row r="123" spans="5:16" x14ac:dyDescent="0.25">
      <c r="E123" s="6" t="s">
        <v>148</v>
      </c>
      <c r="F123" s="6">
        <v>630619</v>
      </c>
      <c r="G123" s="6" t="s">
        <v>154</v>
      </c>
      <c r="H123" s="5">
        <v>12</v>
      </c>
      <c r="I123" s="6">
        <v>7891800630619</v>
      </c>
      <c r="J123" s="11"/>
      <c r="K123" s="6">
        <v>17891800630616</v>
      </c>
      <c r="L123" s="9">
        <v>3.2501250000000002E-2</v>
      </c>
      <c r="M123" s="7">
        <v>199.86650160290466</v>
      </c>
      <c r="N123" s="7">
        <f t="shared" si="1"/>
        <v>16.655541800242055</v>
      </c>
      <c r="O123" s="7"/>
      <c r="P123" s="7"/>
    </row>
    <row r="124" spans="5:16" x14ac:dyDescent="0.25">
      <c r="E124" s="6" t="s">
        <v>75</v>
      </c>
      <c r="F124" s="6">
        <v>410587</v>
      </c>
      <c r="G124" s="6" t="s">
        <v>155</v>
      </c>
      <c r="H124" s="5">
        <v>48</v>
      </c>
      <c r="I124" s="6">
        <v>7896004817613</v>
      </c>
      <c r="J124" s="11"/>
      <c r="K124" s="6">
        <v>17896004817610</v>
      </c>
      <c r="L124" s="9">
        <v>0</v>
      </c>
      <c r="M124" s="7">
        <v>271.55883630047765</v>
      </c>
      <c r="N124" s="7">
        <f t="shared" si="1"/>
        <v>5.6574757562599514</v>
      </c>
      <c r="O124" s="7"/>
      <c r="P124" s="7" t="s">
        <v>423</v>
      </c>
    </row>
    <row r="125" spans="5:16" x14ac:dyDescent="0.25">
      <c r="E125" s="6" t="s">
        <v>70</v>
      </c>
      <c r="F125" s="6">
        <v>410488</v>
      </c>
      <c r="G125" s="6" t="s">
        <v>156</v>
      </c>
      <c r="H125" s="5">
        <v>96</v>
      </c>
      <c r="I125" s="6">
        <v>7896004802398</v>
      </c>
      <c r="J125" s="11"/>
      <c r="K125" s="6">
        <v>17896004802395</v>
      </c>
      <c r="L125" s="9">
        <v>0</v>
      </c>
      <c r="M125" s="7">
        <v>230.11289622231871</v>
      </c>
      <c r="N125" s="7">
        <f t="shared" si="1"/>
        <v>2.3970093356491531</v>
      </c>
      <c r="O125" s="7"/>
      <c r="P125" s="7"/>
    </row>
    <row r="126" spans="5:16" x14ac:dyDescent="0.25">
      <c r="E126" s="6" t="s">
        <v>70</v>
      </c>
      <c r="F126" s="6">
        <v>410495</v>
      </c>
      <c r="G126" s="6" t="s">
        <v>157</v>
      </c>
      <c r="H126" s="5">
        <v>48</v>
      </c>
      <c r="I126" s="6">
        <v>7896004802374</v>
      </c>
      <c r="J126" s="11"/>
      <c r="K126" s="6">
        <v>27896004802378</v>
      </c>
      <c r="L126" s="9">
        <v>0</v>
      </c>
      <c r="M126" s="7">
        <v>306.81534723441217</v>
      </c>
      <c r="N126" s="7">
        <f t="shared" si="1"/>
        <v>6.3919864007169203</v>
      </c>
      <c r="O126" s="7"/>
      <c r="P126" s="7"/>
    </row>
    <row r="127" spans="5:16" x14ac:dyDescent="0.25">
      <c r="E127" s="6" t="s">
        <v>70</v>
      </c>
      <c r="F127" s="6">
        <v>410532</v>
      </c>
      <c r="G127" s="6" t="s">
        <v>158</v>
      </c>
      <c r="H127" s="5">
        <v>96</v>
      </c>
      <c r="I127" s="6">
        <v>7896004816678</v>
      </c>
      <c r="J127" s="11"/>
      <c r="K127" s="6">
        <v>17896004816675</v>
      </c>
      <c r="L127" s="9">
        <v>0</v>
      </c>
      <c r="M127" s="7">
        <v>223.13843435229978</v>
      </c>
      <c r="N127" s="7">
        <f t="shared" si="1"/>
        <v>2.3243586911697895</v>
      </c>
      <c r="O127" s="7"/>
      <c r="P127" s="7"/>
    </row>
    <row r="128" spans="5:16" x14ac:dyDescent="0.25">
      <c r="E128" s="6" t="s">
        <v>70</v>
      </c>
      <c r="F128" s="6">
        <v>410549</v>
      </c>
      <c r="G128" s="6" t="s">
        <v>159</v>
      </c>
      <c r="H128" s="5">
        <v>48</v>
      </c>
      <c r="I128" s="6">
        <v>7896004816661</v>
      </c>
      <c r="J128" s="11"/>
      <c r="K128" s="6">
        <v>17896004816668</v>
      </c>
      <c r="L128" s="9">
        <v>0</v>
      </c>
      <c r="M128" s="7">
        <v>270.83152409900129</v>
      </c>
      <c r="N128" s="7">
        <f t="shared" si="1"/>
        <v>5.6423234187291937</v>
      </c>
      <c r="O128" s="7"/>
      <c r="P128" s="7"/>
    </row>
    <row r="129" spans="5:16" x14ac:dyDescent="0.25">
      <c r="E129" s="6" t="s">
        <v>160</v>
      </c>
      <c r="F129" s="6">
        <v>617320</v>
      </c>
      <c r="G129" s="6" t="s">
        <v>161</v>
      </c>
      <c r="H129" s="5">
        <v>24</v>
      </c>
      <c r="I129" s="6">
        <v>7891800617320</v>
      </c>
      <c r="J129" s="11"/>
      <c r="K129" s="6">
        <v>17891800617327</v>
      </c>
      <c r="L129" s="9">
        <v>0</v>
      </c>
      <c r="M129" s="7">
        <v>173.10296416943703</v>
      </c>
      <c r="N129" s="7">
        <f t="shared" si="1"/>
        <v>7.2126235070598765</v>
      </c>
      <c r="O129" s="7"/>
      <c r="P129" s="7"/>
    </row>
    <row r="130" spans="5:16" x14ac:dyDescent="0.25">
      <c r="E130" s="6" t="s">
        <v>160</v>
      </c>
      <c r="F130" s="6">
        <v>627985</v>
      </c>
      <c r="G130" s="6" t="s">
        <v>162</v>
      </c>
      <c r="H130" s="5">
        <v>24</v>
      </c>
      <c r="I130" s="6">
        <v>7891800627985</v>
      </c>
      <c r="J130" s="11"/>
      <c r="K130" s="6">
        <v>17891800627982</v>
      </c>
      <c r="L130" s="9">
        <v>0</v>
      </c>
      <c r="M130" s="7">
        <v>294.22138420585628</v>
      </c>
      <c r="N130" s="7">
        <f t="shared" si="1"/>
        <v>12.259224341910679</v>
      </c>
      <c r="O130" s="7"/>
      <c r="P130" s="7"/>
    </row>
    <row r="131" spans="5:16" x14ac:dyDescent="0.25">
      <c r="E131" s="6" t="s">
        <v>118</v>
      </c>
      <c r="F131" s="6">
        <v>618761</v>
      </c>
      <c r="G131" s="6" t="s">
        <v>163</v>
      </c>
      <c r="H131" s="5">
        <v>12</v>
      </c>
      <c r="I131" s="6">
        <v>7891800618761</v>
      </c>
      <c r="J131" s="11"/>
      <c r="K131" s="6">
        <v>17891800617368</v>
      </c>
      <c r="L131" s="9">
        <v>0</v>
      </c>
      <c r="M131" s="7">
        <v>175.87647429851401</v>
      </c>
      <c r="N131" s="7">
        <f t="shared" si="1"/>
        <v>14.656372858209501</v>
      </c>
      <c r="O131" s="7"/>
      <c r="P131" s="7"/>
    </row>
    <row r="132" spans="5:16" x14ac:dyDescent="0.25">
      <c r="E132" s="6" t="s">
        <v>85</v>
      </c>
      <c r="F132" s="6">
        <v>802771</v>
      </c>
      <c r="G132" s="6" t="s">
        <v>164</v>
      </c>
      <c r="H132" s="5">
        <v>48</v>
      </c>
      <c r="I132" s="6">
        <v>7891800628401</v>
      </c>
      <c r="J132" s="11"/>
      <c r="K132" s="6">
        <v>17891800628408</v>
      </c>
      <c r="L132" s="9">
        <v>0</v>
      </c>
      <c r="M132" s="7">
        <v>160.12248761391882</v>
      </c>
      <c r="N132" s="7">
        <f t="shared" si="1"/>
        <v>3.3358851586233089</v>
      </c>
      <c r="O132" s="7"/>
      <c r="P132" s="7"/>
    </row>
    <row r="133" spans="5:16" x14ac:dyDescent="0.25">
      <c r="E133" s="6" t="s">
        <v>85</v>
      </c>
      <c r="F133" s="6">
        <v>801897</v>
      </c>
      <c r="G133" s="6" t="s">
        <v>165</v>
      </c>
      <c r="H133" s="5">
        <v>96</v>
      </c>
      <c r="I133" s="6">
        <v>7891800628418</v>
      </c>
      <c r="J133" s="11"/>
      <c r="K133" s="6">
        <v>17891800628415</v>
      </c>
      <c r="L133" s="9">
        <v>0</v>
      </c>
      <c r="M133" s="7">
        <v>141.52761808456049</v>
      </c>
      <c r="N133" s="7">
        <f t="shared" si="1"/>
        <v>1.4742460217141717</v>
      </c>
      <c r="O133" s="7"/>
      <c r="P133" s="7"/>
    </row>
    <row r="134" spans="5:16" x14ac:dyDescent="0.25">
      <c r="E134" s="6" t="s">
        <v>85</v>
      </c>
      <c r="F134" s="6">
        <v>802788</v>
      </c>
      <c r="G134" s="6" t="s">
        <v>166</v>
      </c>
      <c r="H134" s="5">
        <v>72</v>
      </c>
      <c r="I134" s="6">
        <v>7891800628425</v>
      </c>
      <c r="J134" s="11"/>
      <c r="K134" s="6">
        <v>17891800628422</v>
      </c>
      <c r="L134" s="9">
        <v>0</v>
      </c>
      <c r="M134" s="7">
        <v>165.029467073055</v>
      </c>
      <c r="N134" s="7">
        <f t="shared" si="1"/>
        <v>2.2920759315702082</v>
      </c>
      <c r="O134" s="7"/>
      <c r="P134" s="7"/>
    </row>
    <row r="135" spans="5:16" x14ac:dyDescent="0.25">
      <c r="E135" s="6" t="s">
        <v>85</v>
      </c>
      <c r="F135" s="6">
        <v>802795</v>
      </c>
      <c r="G135" s="6" t="s">
        <v>167</v>
      </c>
      <c r="H135" s="5">
        <v>144</v>
      </c>
      <c r="I135" s="6">
        <v>7891800628432</v>
      </c>
      <c r="J135" s="11"/>
      <c r="K135" s="6">
        <v>17891800628439</v>
      </c>
      <c r="L135" s="9">
        <v>0</v>
      </c>
      <c r="M135" s="7">
        <v>763.9392231644706</v>
      </c>
      <c r="N135" s="7">
        <f t="shared" si="1"/>
        <v>5.3051334941977126</v>
      </c>
      <c r="O135" s="7"/>
      <c r="P135" s="7"/>
    </row>
    <row r="136" spans="5:16" x14ac:dyDescent="0.25">
      <c r="E136" s="6" t="s">
        <v>48</v>
      </c>
      <c r="F136" s="6">
        <v>626179</v>
      </c>
      <c r="G136" s="6" t="s">
        <v>168</v>
      </c>
      <c r="H136" s="5">
        <v>100</v>
      </c>
      <c r="I136" s="6" t="s">
        <v>372</v>
      </c>
      <c r="J136" s="11"/>
      <c r="K136" s="6" t="s">
        <v>374</v>
      </c>
      <c r="L136" s="9">
        <v>0</v>
      </c>
      <c r="M136" s="7">
        <v>120.34487855803255</v>
      </c>
      <c r="N136" s="7">
        <f t="shared" si="1"/>
        <v>1.2034487855803255</v>
      </c>
      <c r="O136" s="7"/>
      <c r="P136" s="7"/>
    </row>
    <row r="137" spans="5:16" x14ac:dyDescent="0.25">
      <c r="E137" s="6" t="s">
        <v>48</v>
      </c>
      <c r="F137" s="6">
        <v>631784</v>
      </c>
      <c r="G137" s="6" t="s">
        <v>169</v>
      </c>
      <c r="H137" s="5">
        <v>50</v>
      </c>
      <c r="I137" s="6">
        <v>7891800631784</v>
      </c>
      <c r="J137" s="11"/>
      <c r="K137" s="6">
        <v>17891800631781</v>
      </c>
      <c r="L137" s="9">
        <v>0</v>
      </c>
      <c r="M137" s="7">
        <v>56.494829299265703</v>
      </c>
      <c r="N137" s="7">
        <f t="shared" si="1"/>
        <v>1.1298965859853141</v>
      </c>
      <c r="O137" s="7"/>
      <c r="P137" s="7"/>
    </row>
    <row r="138" spans="5:16" x14ac:dyDescent="0.25">
      <c r="E138" s="6" t="s">
        <v>48</v>
      </c>
      <c r="F138" s="6">
        <v>631791</v>
      </c>
      <c r="G138" s="6" t="s">
        <v>170</v>
      </c>
      <c r="H138" s="5">
        <v>100</v>
      </c>
      <c r="I138" s="6">
        <v>7891800631791</v>
      </c>
      <c r="J138" s="11"/>
      <c r="K138" s="6">
        <v>17891800631798</v>
      </c>
      <c r="L138" s="9">
        <v>0</v>
      </c>
      <c r="M138" s="7">
        <v>77.478623038992964</v>
      </c>
      <c r="N138" s="7">
        <f t="shared" ref="N138:N185" si="2">M138/H138</f>
        <v>0.77478623038992966</v>
      </c>
      <c r="O138" s="7"/>
      <c r="P138" s="7"/>
    </row>
    <row r="139" spans="5:16" x14ac:dyDescent="0.25">
      <c r="E139" s="6" t="s">
        <v>46</v>
      </c>
      <c r="F139" s="6">
        <v>631814</v>
      </c>
      <c r="G139" s="6" t="s">
        <v>171</v>
      </c>
      <c r="H139" s="5">
        <v>80</v>
      </c>
      <c r="I139" s="6">
        <v>7891800631814</v>
      </c>
      <c r="J139" s="11"/>
      <c r="K139" s="6">
        <v>17891800631811</v>
      </c>
      <c r="L139" s="9">
        <v>0</v>
      </c>
      <c r="M139" s="7">
        <v>44.765426644751493</v>
      </c>
      <c r="N139" s="7">
        <f t="shared" si="2"/>
        <v>0.55956783305939362</v>
      </c>
      <c r="O139" s="7"/>
      <c r="P139" s="7"/>
    </row>
    <row r="140" spans="5:16" x14ac:dyDescent="0.25">
      <c r="E140" s="6" t="s">
        <v>46</v>
      </c>
      <c r="F140" s="6">
        <v>631807</v>
      </c>
      <c r="G140" s="6" t="s">
        <v>172</v>
      </c>
      <c r="H140" s="5">
        <v>50</v>
      </c>
      <c r="I140" s="6">
        <v>7891800631807</v>
      </c>
      <c r="J140" s="11"/>
      <c r="K140" s="6">
        <v>17891800631804</v>
      </c>
      <c r="L140" s="9">
        <v>0</v>
      </c>
      <c r="M140" s="7">
        <v>48.42413939937061</v>
      </c>
      <c r="N140" s="7">
        <f t="shared" si="2"/>
        <v>0.96848278798741216</v>
      </c>
      <c r="O140" s="7"/>
      <c r="P140" s="7"/>
    </row>
    <row r="141" spans="5:16" x14ac:dyDescent="0.25">
      <c r="E141" s="6" t="s">
        <v>114</v>
      </c>
      <c r="F141" s="6">
        <v>637694</v>
      </c>
      <c r="G141" s="6" t="s">
        <v>173</v>
      </c>
      <c r="H141" s="5">
        <v>12</v>
      </c>
      <c r="I141" s="6">
        <v>7891800637694</v>
      </c>
      <c r="J141" s="11"/>
      <c r="K141" s="6">
        <v>17891800637691</v>
      </c>
      <c r="L141" s="9">
        <v>0</v>
      </c>
      <c r="M141" s="7">
        <v>163.47989461227522</v>
      </c>
      <c r="N141" s="7">
        <f t="shared" si="2"/>
        <v>13.623324551022934</v>
      </c>
      <c r="O141" s="7"/>
      <c r="P141" s="7"/>
    </row>
    <row r="142" spans="5:16" x14ac:dyDescent="0.25">
      <c r="E142" s="6" t="s">
        <v>118</v>
      </c>
      <c r="F142" s="6">
        <v>637724</v>
      </c>
      <c r="G142" s="6" t="s">
        <v>174</v>
      </c>
      <c r="H142" s="5">
        <v>12</v>
      </c>
      <c r="I142" s="6">
        <v>7891800637724</v>
      </c>
      <c r="J142" s="11"/>
      <c r="K142" s="6">
        <v>17891800637721</v>
      </c>
      <c r="L142" s="9">
        <v>0</v>
      </c>
      <c r="M142" s="7">
        <v>423.03328179290162</v>
      </c>
      <c r="N142" s="7">
        <f t="shared" si="2"/>
        <v>35.252773482741802</v>
      </c>
      <c r="O142" s="7"/>
      <c r="P142" s="7"/>
    </row>
    <row r="143" spans="5:16" x14ac:dyDescent="0.25">
      <c r="E143" s="6" t="s">
        <v>118</v>
      </c>
      <c r="F143" s="6">
        <v>644203</v>
      </c>
      <c r="G143" s="6" t="s">
        <v>175</v>
      </c>
      <c r="H143" s="5">
        <v>12</v>
      </c>
      <c r="I143" s="6">
        <v>7891800644203</v>
      </c>
      <c r="J143" s="11"/>
      <c r="K143" s="6">
        <v>17891800644200</v>
      </c>
      <c r="L143" s="9">
        <v>0</v>
      </c>
      <c r="M143" s="7">
        <v>672.6435790168573</v>
      </c>
      <c r="N143" s="7">
        <f t="shared" si="2"/>
        <v>56.053631584738106</v>
      </c>
      <c r="O143" s="7"/>
      <c r="P143" s="7"/>
    </row>
    <row r="144" spans="5:16" x14ac:dyDescent="0.25">
      <c r="E144" s="6" t="s">
        <v>118</v>
      </c>
      <c r="F144" s="6">
        <v>644210</v>
      </c>
      <c r="G144" s="6" t="s">
        <v>176</v>
      </c>
      <c r="H144" s="5">
        <v>12</v>
      </c>
      <c r="I144" s="6">
        <v>7891800644210</v>
      </c>
      <c r="J144" s="11"/>
      <c r="K144" s="6">
        <v>17891800644217</v>
      </c>
      <c r="L144" s="9">
        <v>0</v>
      </c>
      <c r="M144" s="7">
        <v>672.6435790168573</v>
      </c>
      <c r="N144" s="7">
        <f t="shared" si="2"/>
        <v>56.053631584738106</v>
      </c>
      <c r="O144" s="7"/>
      <c r="P144" s="7"/>
    </row>
    <row r="145" spans="5:16" x14ac:dyDescent="0.25">
      <c r="E145" s="6" t="s">
        <v>180</v>
      </c>
      <c r="F145" s="6">
        <v>637892</v>
      </c>
      <c r="G145" s="6" t="s">
        <v>181</v>
      </c>
      <c r="H145" s="5">
        <v>72</v>
      </c>
      <c r="I145" s="6">
        <v>7891800637892</v>
      </c>
      <c r="J145" s="11"/>
      <c r="K145" s="6">
        <v>17891800637899</v>
      </c>
      <c r="L145" s="9">
        <v>0</v>
      </c>
      <c r="M145" s="7">
        <v>325.35968722700596</v>
      </c>
      <c r="N145" s="7">
        <f t="shared" si="2"/>
        <v>4.5188845448195272</v>
      </c>
      <c r="O145" s="7"/>
      <c r="P145" s="7"/>
    </row>
    <row r="146" spans="5:16" x14ac:dyDescent="0.25">
      <c r="E146" s="6" t="s">
        <v>182</v>
      </c>
      <c r="F146" s="6">
        <v>638875</v>
      </c>
      <c r="G146" s="6" t="s">
        <v>183</v>
      </c>
      <c r="H146" s="5">
        <v>24</v>
      </c>
      <c r="I146" s="6">
        <v>7891800638875</v>
      </c>
      <c r="J146" s="11"/>
      <c r="K146" s="6">
        <v>17891800638872</v>
      </c>
      <c r="L146" s="9">
        <v>0</v>
      </c>
      <c r="M146" s="7">
        <v>182.59128829522675</v>
      </c>
      <c r="N146" s="7">
        <f t="shared" si="2"/>
        <v>7.6079703456344481</v>
      </c>
      <c r="O146" s="7"/>
      <c r="P146" s="7"/>
    </row>
    <row r="147" spans="5:16" x14ac:dyDescent="0.25">
      <c r="E147" s="6" t="s">
        <v>185</v>
      </c>
      <c r="F147" s="6">
        <v>644470</v>
      </c>
      <c r="G147" s="6" t="s">
        <v>186</v>
      </c>
      <c r="H147" s="5">
        <v>24</v>
      </c>
      <c r="I147" s="6">
        <v>7891800644470</v>
      </c>
      <c r="J147" s="11"/>
      <c r="K147" s="6">
        <v>17891800644477</v>
      </c>
      <c r="L147" s="9">
        <v>0</v>
      </c>
      <c r="M147" s="7">
        <v>201.70268197817839</v>
      </c>
      <c r="N147" s="7">
        <f t="shared" si="2"/>
        <v>8.4042784157574335</v>
      </c>
      <c r="O147" s="7"/>
      <c r="P147" s="7"/>
    </row>
    <row r="148" spans="5:16" x14ac:dyDescent="0.25">
      <c r="E148" s="6" t="s">
        <v>187</v>
      </c>
      <c r="F148" s="6">
        <v>644463</v>
      </c>
      <c r="G148" s="6" t="s">
        <v>188</v>
      </c>
      <c r="H148" s="5">
        <v>24</v>
      </c>
      <c r="I148" s="6">
        <v>7891800644463</v>
      </c>
      <c r="J148" s="11"/>
      <c r="K148" s="6">
        <v>17891800644460</v>
      </c>
      <c r="L148" s="9">
        <v>0</v>
      </c>
      <c r="M148" s="7">
        <v>322.31107184221071</v>
      </c>
      <c r="N148" s="7">
        <f t="shared" si="2"/>
        <v>13.429627993425447</v>
      </c>
      <c r="O148" s="7"/>
      <c r="P148" s="7"/>
    </row>
    <row r="149" spans="5:16" x14ac:dyDescent="0.25">
      <c r="E149" s="6" t="s">
        <v>182</v>
      </c>
      <c r="F149" s="6">
        <v>644487</v>
      </c>
      <c r="G149" s="6" t="s">
        <v>189</v>
      </c>
      <c r="H149" s="5">
        <v>24</v>
      </c>
      <c r="I149" s="6">
        <v>7891800644487</v>
      </c>
      <c r="J149" s="11"/>
      <c r="K149" s="6">
        <v>17891800644484</v>
      </c>
      <c r="L149" s="9">
        <v>0</v>
      </c>
      <c r="M149" s="7">
        <v>236.30980026892857</v>
      </c>
      <c r="N149" s="7">
        <f t="shared" si="2"/>
        <v>9.8462416778720243</v>
      </c>
      <c r="O149" s="7"/>
      <c r="P149" s="7"/>
    </row>
    <row r="150" spans="5:16" x14ac:dyDescent="0.25">
      <c r="E150" s="6" t="s">
        <v>190</v>
      </c>
      <c r="F150" s="6">
        <v>644494</v>
      </c>
      <c r="G150" s="6" t="s">
        <v>191</v>
      </c>
      <c r="H150" s="5">
        <v>24</v>
      </c>
      <c r="I150" s="6">
        <v>7891800644494</v>
      </c>
      <c r="J150" s="11"/>
      <c r="K150" s="6">
        <v>17891800644491</v>
      </c>
      <c r="L150" s="9">
        <v>0</v>
      </c>
      <c r="M150" s="7">
        <v>292.86919508739345</v>
      </c>
      <c r="N150" s="7">
        <f t="shared" si="2"/>
        <v>12.202883128641394</v>
      </c>
      <c r="O150" s="7"/>
      <c r="P150" s="7"/>
    </row>
    <row r="151" spans="5:16" x14ac:dyDescent="0.25">
      <c r="E151" s="6" t="s">
        <v>192</v>
      </c>
      <c r="F151" s="6">
        <v>644456</v>
      </c>
      <c r="G151" s="6" t="s">
        <v>193</v>
      </c>
      <c r="H151" s="5">
        <v>64</v>
      </c>
      <c r="I151" s="6">
        <v>7891800644456</v>
      </c>
      <c r="J151" s="11"/>
      <c r="K151" s="6">
        <v>17891800644453</v>
      </c>
      <c r="L151" s="9">
        <v>0</v>
      </c>
      <c r="M151" s="7">
        <v>178.37300770754825</v>
      </c>
      <c r="N151" s="7">
        <f t="shared" si="2"/>
        <v>2.7870782454304415</v>
      </c>
      <c r="O151" s="7"/>
      <c r="P151" s="7"/>
    </row>
    <row r="152" spans="5:16" x14ac:dyDescent="0.25">
      <c r="E152" s="6" t="s">
        <v>114</v>
      </c>
      <c r="F152" s="6">
        <v>645347</v>
      </c>
      <c r="G152" s="6" t="s">
        <v>194</v>
      </c>
      <c r="H152" s="5">
        <v>12</v>
      </c>
      <c r="I152" s="6">
        <v>7891800645347</v>
      </c>
      <c r="J152" s="11"/>
      <c r="K152" s="6">
        <v>17891800645344</v>
      </c>
      <c r="L152" s="9">
        <v>0</v>
      </c>
      <c r="M152" s="7">
        <v>148.11330104287495</v>
      </c>
      <c r="N152" s="7">
        <f t="shared" si="2"/>
        <v>12.342775086906245</v>
      </c>
      <c r="O152" s="7"/>
      <c r="P152" s="7"/>
    </row>
    <row r="153" spans="5:16" x14ac:dyDescent="0.25">
      <c r="E153" s="6" t="s">
        <v>118</v>
      </c>
      <c r="F153" s="6">
        <v>645354</v>
      </c>
      <c r="G153" s="6" t="s">
        <v>195</v>
      </c>
      <c r="H153" s="5">
        <v>12</v>
      </c>
      <c r="I153" s="6">
        <v>7891800645354</v>
      </c>
      <c r="J153" s="11"/>
      <c r="K153" s="6">
        <v>17891800645351</v>
      </c>
      <c r="L153" s="9">
        <v>0</v>
      </c>
      <c r="M153" s="7">
        <v>332.12503076048313</v>
      </c>
      <c r="N153" s="7">
        <f t="shared" si="2"/>
        <v>27.677085896706927</v>
      </c>
      <c r="O153" s="7"/>
      <c r="P153" s="7"/>
    </row>
    <row r="154" spans="5:16" x14ac:dyDescent="0.25">
      <c r="E154" s="6" t="s">
        <v>196</v>
      </c>
      <c r="F154" s="6">
        <v>646085</v>
      </c>
      <c r="G154" s="6" t="s">
        <v>197</v>
      </c>
      <c r="H154" s="5">
        <v>36</v>
      </c>
      <c r="I154" s="6">
        <v>7891800646085</v>
      </c>
      <c r="J154" s="11"/>
      <c r="K154" s="6">
        <v>17891800646082</v>
      </c>
      <c r="L154" s="9">
        <v>0</v>
      </c>
      <c r="M154" s="7">
        <v>176.13754357179761</v>
      </c>
      <c r="N154" s="7">
        <f t="shared" si="2"/>
        <v>4.892709543661045</v>
      </c>
      <c r="O154" s="7"/>
      <c r="P154" s="7"/>
    </row>
    <row r="155" spans="5:16" x14ac:dyDescent="0.25">
      <c r="E155" s="6" t="s">
        <v>198</v>
      </c>
      <c r="F155" s="6">
        <v>645958</v>
      </c>
      <c r="G155" s="6" t="s">
        <v>199</v>
      </c>
      <c r="H155" s="5">
        <v>24</v>
      </c>
      <c r="I155" s="6">
        <v>7891800645958</v>
      </c>
      <c r="J155" s="11"/>
      <c r="K155" s="6">
        <v>17891800645955</v>
      </c>
      <c r="L155" s="9">
        <v>0</v>
      </c>
      <c r="M155" s="7">
        <v>65.705240972850348</v>
      </c>
      <c r="N155" s="7">
        <f t="shared" si="2"/>
        <v>2.7377183738687645</v>
      </c>
      <c r="O155" s="7"/>
      <c r="P155" s="7"/>
    </row>
    <row r="156" spans="5:16" x14ac:dyDescent="0.25">
      <c r="E156" s="6" t="s">
        <v>177</v>
      </c>
      <c r="F156" s="6">
        <v>651317</v>
      </c>
      <c r="G156" s="6" t="s">
        <v>200</v>
      </c>
      <c r="H156" s="5">
        <v>36</v>
      </c>
      <c r="I156" s="6">
        <v>7891800645989</v>
      </c>
      <c r="J156" s="11"/>
      <c r="K156" s="6">
        <v>17891800645986</v>
      </c>
      <c r="L156" s="9">
        <v>0</v>
      </c>
      <c r="M156" s="7">
        <v>164.65891713678158</v>
      </c>
      <c r="N156" s="7">
        <f t="shared" si="2"/>
        <v>4.5738588093550439</v>
      </c>
      <c r="O156" s="7"/>
      <c r="P156" s="7"/>
    </row>
    <row r="157" spans="5:16" x14ac:dyDescent="0.25">
      <c r="E157" s="6" t="s">
        <v>134</v>
      </c>
      <c r="F157" s="6">
        <v>646030</v>
      </c>
      <c r="G157" s="6" t="s">
        <v>201</v>
      </c>
      <c r="H157" s="5">
        <v>36</v>
      </c>
      <c r="I157" s="6">
        <v>7891800646030</v>
      </c>
      <c r="J157" s="11"/>
      <c r="K157" s="6">
        <v>17891800646037</v>
      </c>
      <c r="L157" s="9">
        <v>0</v>
      </c>
      <c r="M157" s="7">
        <v>246.98837570517239</v>
      </c>
      <c r="N157" s="7">
        <f t="shared" si="2"/>
        <v>6.8607882140325662</v>
      </c>
      <c r="O157" s="7"/>
      <c r="P157" s="7"/>
    </row>
    <row r="158" spans="5:16" x14ac:dyDescent="0.25">
      <c r="E158" s="6" t="s">
        <v>178</v>
      </c>
      <c r="F158" s="6">
        <v>646047</v>
      </c>
      <c r="G158" s="6" t="s">
        <v>202</v>
      </c>
      <c r="H158" s="5">
        <v>12</v>
      </c>
      <c r="I158" s="6">
        <v>7891800646047</v>
      </c>
      <c r="J158" s="11"/>
      <c r="K158" s="6">
        <v>17891800646044</v>
      </c>
      <c r="L158" s="9">
        <v>0</v>
      </c>
      <c r="M158" s="7">
        <v>73.753473300850075</v>
      </c>
      <c r="N158" s="7">
        <f t="shared" si="2"/>
        <v>6.1461227750708396</v>
      </c>
      <c r="O158" s="7"/>
      <c r="P158" s="7"/>
    </row>
    <row r="159" spans="5:16" x14ac:dyDescent="0.25">
      <c r="E159" s="6" t="s">
        <v>132</v>
      </c>
      <c r="F159" s="6">
        <v>646054</v>
      </c>
      <c r="G159" s="6" t="s">
        <v>203</v>
      </c>
      <c r="H159" s="5">
        <v>60</v>
      </c>
      <c r="I159" s="6">
        <v>7891800646054</v>
      </c>
      <c r="J159" s="11"/>
      <c r="K159" s="6">
        <v>17891800646051</v>
      </c>
      <c r="L159" s="9">
        <v>0</v>
      </c>
      <c r="M159" s="7">
        <v>150.40958776917543</v>
      </c>
      <c r="N159" s="7">
        <f t="shared" si="2"/>
        <v>2.5068264628195904</v>
      </c>
      <c r="O159" s="7"/>
      <c r="P159" s="7"/>
    </row>
    <row r="160" spans="5:16" x14ac:dyDescent="0.25">
      <c r="E160" s="6" t="s">
        <v>204</v>
      </c>
      <c r="F160" s="6">
        <v>645798</v>
      </c>
      <c r="G160" s="6" t="s">
        <v>205</v>
      </c>
      <c r="H160" s="5">
        <v>24</v>
      </c>
      <c r="I160" s="6">
        <v>7891800645798</v>
      </c>
      <c r="J160" s="11"/>
      <c r="K160" s="6">
        <v>17891800645795</v>
      </c>
      <c r="L160" s="9">
        <v>0</v>
      </c>
      <c r="M160" s="7">
        <v>143.8126760249134</v>
      </c>
      <c r="N160" s="7">
        <f t="shared" si="2"/>
        <v>5.992194834371392</v>
      </c>
      <c r="O160" s="7"/>
      <c r="P160" s="7"/>
    </row>
    <row r="161" spans="5:16" x14ac:dyDescent="0.25">
      <c r="E161" s="6" t="s">
        <v>204</v>
      </c>
      <c r="F161" s="6">
        <v>645804</v>
      </c>
      <c r="G161" s="6" t="s">
        <v>206</v>
      </c>
      <c r="H161" s="5">
        <v>24</v>
      </c>
      <c r="I161" s="6">
        <v>7891800645804</v>
      </c>
      <c r="J161" s="11"/>
      <c r="K161" s="6">
        <v>17891800645801</v>
      </c>
      <c r="L161" s="9">
        <v>0</v>
      </c>
      <c r="M161" s="7">
        <v>273.90377562176167</v>
      </c>
      <c r="N161" s="7">
        <f t="shared" si="2"/>
        <v>11.412657317573403</v>
      </c>
      <c r="O161" s="7"/>
      <c r="P161" s="7"/>
    </row>
    <row r="162" spans="5:16" x14ac:dyDescent="0.25">
      <c r="E162" s="6" t="s">
        <v>204</v>
      </c>
      <c r="F162" s="6">
        <v>646153</v>
      </c>
      <c r="G162" s="6" t="s">
        <v>207</v>
      </c>
      <c r="H162" s="5">
        <v>24</v>
      </c>
      <c r="I162" s="6">
        <v>7891800646153</v>
      </c>
      <c r="J162" s="11"/>
      <c r="K162" s="6">
        <v>17891800646150</v>
      </c>
      <c r="L162" s="9">
        <v>0</v>
      </c>
      <c r="M162" s="7">
        <v>143.8126760249134</v>
      </c>
      <c r="N162" s="7">
        <f t="shared" si="2"/>
        <v>5.992194834371392</v>
      </c>
      <c r="O162" s="7"/>
      <c r="P162" s="7"/>
    </row>
    <row r="163" spans="5:16" x14ac:dyDescent="0.25">
      <c r="E163" s="6" t="s">
        <v>204</v>
      </c>
      <c r="F163" s="6">
        <v>646160</v>
      </c>
      <c r="G163" s="6" t="s">
        <v>208</v>
      </c>
      <c r="H163" s="5">
        <v>24</v>
      </c>
      <c r="I163" s="6">
        <v>7891800646160</v>
      </c>
      <c r="J163" s="11"/>
      <c r="K163" s="6">
        <v>17891800646167</v>
      </c>
      <c r="L163" s="9">
        <v>0</v>
      </c>
      <c r="M163" s="7">
        <v>273.90377562176167</v>
      </c>
      <c r="N163" s="7">
        <f t="shared" si="2"/>
        <v>11.412657317573403</v>
      </c>
      <c r="O163" s="7"/>
      <c r="P163" s="7"/>
    </row>
    <row r="164" spans="5:16" x14ac:dyDescent="0.25">
      <c r="E164" s="6" t="s">
        <v>118</v>
      </c>
      <c r="F164" s="6">
        <v>646009</v>
      </c>
      <c r="G164" s="6" t="s">
        <v>209</v>
      </c>
      <c r="H164" s="5">
        <v>12</v>
      </c>
      <c r="I164" s="6">
        <v>7891800646009</v>
      </c>
      <c r="J164" s="11"/>
      <c r="K164" s="6">
        <v>17891800646006</v>
      </c>
      <c r="L164" s="9">
        <v>0</v>
      </c>
      <c r="M164" s="7">
        <v>377.83741835348906</v>
      </c>
      <c r="N164" s="7">
        <f t="shared" si="2"/>
        <v>31.486451529457423</v>
      </c>
      <c r="O164" s="7"/>
      <c r="P164" s="7"/>
    </row>
    <row r="165" spans="5:16" x14ac:dyDescent="0.25">
      <c r="E165" s="6" t="s">
        <v>108</v>
      </c>
      <c r="F165" s="6">
        <v>646016</v>
      </c>
      <c r="G165" s="6" t="s">
        <v>210</v>
      </c>
      <c r="H165" s="5">
        <v>12</v>
      </c>
      <c r="I165" s="6">
        <v>7891800646016</v>
      </c>
      <c r="J165" s="11"/>
      <c r="K165" s="6">
        <v>17891800646013</v>
      </c>
      <c r="L165" s="9">
        <v>0</v>
      </c>
      <c r="M165" s="7">
        <v>366.60301801283509</v>
      </c>
      <c r="N165" s="7">
        <f t="shared" si="2"/>
        <v>30.550251501069592</v>
      </c>
      <c r="O165" s="7"/>
      <c r="P165" s="7"/>
    </row>
    <row r="166" spans="5:16" x14ac:dyDescent="0.25">
      <c r="E166" s="6" t="s">
        <v>114</v>
      </c>
      <c r="F166" s="6">
        <v>646023</v>
      </c>
      <c r="G166" s="6" t="s">
        <v>211</v>
      </c>
      <c r="H166" s="5">
        <v>12</v>
      </c>
      <c r="I166" s="6">
        <v>7891800646023</v>
      </c>
      <c r="J166" s="11"/>
      <c r="K166" s="6">
        <v>17891800646020</v>
      </c>
      <c r="L166" s="9">
        <v>0</v>
      </c>
      <c r="M166" s="7">
        <v>163.35076357387683</v>
      </c>
      <c r="N166" s="7">
        <f t="shared" si="2"/>
        <v>13.612563631156403</v>
      </c>
      <c r="O166" s="7"/>
      <c r="P166" s="7"/>
    </row>
    <row r="167" spans="5:16" x14ac:dyDescent="0.25">
      <c r="E167" s="6" t="s">
        <v>78</v>
      </c>
      <c r="F167" s="6">
        <v>645774</v>
      </c>
      <c r="G167" s="6" t="s">
        <v>212</v>
      </c>
      <c r="H167" s="5">
        <v>56</v>
      </c>
      <c r="I167" s="6">
        <v>7891800645774</v>
      </c>
      <c r="J167" s="11"/>
      <c r="K167" s="6">
        <v>17891800645771</v>
      </c>
      <c r="L167" s="9">
        <v>0</v>
      </c>
      <c r="M167" s="7">
        <v>199.4644106459408</v>
      </c>
      <c r="N167" s="7">
        <f t="shared" si="2"/>
        <v>3.5618644758203715</v>
      </c>
      <c r="O167" s="7"/>
      <c r="P167" s="7"/>
    </row>
    <row r="168" spans="5:16" x14ac:dyDescent="0.25">
      <c r="E168" s="6" t="s">
        <v>78</v>
      </c>
      <c r="F168" s="6">
        <v>645781</v>
      </c>
      <c r="G168" s="6" t="s">
        <v>213</v>
      </c>
      <c r="H168" s="5">
        <v>32</v>
      </c>
      <c r="I168" s="6">
        <v>7891800645781</v>
      </c>
      <c r="J168" s="11"/>
      <c r="K168" s="6">
        <v>17891800645788</v>
      </c>
      <c r="L168" s="9">
        <v>0</v>
      </c>
      <c r="M168" s="7">
        <v>225.20453096667285</v>
      </c>
      <c r="N168" s="7">
        <f t="shared" si="2"/>
        <v>7.0376415927085265</v>
      </c>
      <c r="O168" s="7"/>
      <c r="P168" s="7"/>
    </row>
    <row r="169" spans="5:16" x14ac:dyDescent="0.25">
      <c r="E169" s="6" t="s">
        <v>214</v>
      </c>
      <c r="F169" s="6">
        <v>650853</v>
      </c>
      <c r="G169" s="6" t="s">
        <v>215</v>
      </c>
      <c r="H169" s="5">
        <v>12</v>
      </c>
      <c r="I169" s="6">
        <v>7891800650853</v>
      </c>
      <c r="J169" s="11"/>
      <c r="K169" s="6">
        <v>17891800650850</v>
      </c>
      <c r="L169" s="9">
        <v>0.14300550000000001</v>
      </c>
      <c r="M169" s="7">
        <v>172.54321375449231</v>
      </c>
      <c r="N169" s="7">
        <f t="shared" si="2"/>
        <v>14.378601146207693</v>
      </c>
      <c r="O169" s="7"/>
      <c r="P169" s="7"/>
    </row>
    <row r="170" spans="5:16" x14ac:dyDescent="0.25">
      <c r="E170" s="6" t="s">
        <v>216</v>
      </c>
      <c r="F170" s="6">
        <v>650860</v>
      </c>
      <c r="G170" s="6" t="s">
        <v>217</v>
      </c>
      <c r="H170" s="5">
        <v>12</v>
      </c>
      <c r="I170" s="6">
        <v>7891800650860</v>
      </c>
      <c r="J170" s="11"/>
      <c r="K170" s="6">
        <v>17891800650867</v>
      </c>
      <c r="L170" s="9">
        <v>0.14300550000000001</v>
      </c>
      <c r="M170" s="7">
        <v>171.95425023789511</v>
      </c>
      <c r="N170" s="7">
        <f t="shared" si="2"/>
        <v>14.329520853157925</v>
      </c>
      <c r="O170" s="7"/>
      <c r="P170" s="7"/>
    </row>
    <row r="171" spans="5:16" x14ac:dyDescent="0.25">
      <c r="E171" s="6" t="s">
        <v>204</v>
      </c>
      <c r="F171" s="6">
        <v>650907</v>
      </c>
      <c r="G171" s="6" t="s">
        <v>218</v>
      </c>
      <c r="H171" s="5">
        <v>24</v>
      </c>
      <c r="I171" s="6">
        <v>7891800650907</v>
      </c>
      <c r="J171" s="11"/>
      <c r="K171" s="6">
        <v>17891800650904</v>
      </c>
      <c r="L171" s="9">
        <v>0</v>
      </c>
      <c r="M171" s="7">
        <v>143.8126760249134</v>
      </c>
      <c r="N171" s="7">
        <f t="shared" si="2"/>
        <v>5.992194834371392</v>
      </c>
      <c r="O171" s="7"/>
      <c r="P171" s="7"/>
    </row>
    <row r="172" spans="5:16" x14ac:dyDescent="0.25">
      <c r="E172" s="6" t="s">
        <v>204</v>
      </c>
      <c r="F172" s="6">
        <v>650914</v>
      </c>
      <c r="G172" s="6" t="s">
        <v>219</v>
      </c>
      <c r="H172" s="5">
        <v>24</v>
      </c>
      <c r="I172" s="6">
        <v>7891800650914</v>
      </c>
      <c r="J172" s="11"/>
      <c r="K172" s="6">
        <v>17891800650911</v>
      </c>
      <c r="L172" s="9">
        <v>0</v>
      </c>
      <c r="M172" s="7">
        <v>273.90377562176167</v>
      </c>
      <c r="N172" s="7">
        <f t="shared" si="2"/>
        <v>11.412657317573403</v>
      </c>
      <c r="O172" s="7"/>
      <c r="P172" s="7"/>
    </row>
    <row r="173" spans="5:16" x14ac:dyDescent="0.25">
      <c r="E173" s="6" t="s">
        <v>108</v>
      </c>
      <c r="F173" s="6">
        <v>646511</v>
      </c>
      <c r="G173" s="6" t="s">
        <v>220</v>
      </c>
      <c r="H173" s="5">
        <v>10</v>
      </c>
      <c r="I173" s="6">
        <v>7891800646511</v>
      </c>
      <c r="J173" s="11"/>
      <c r="K173" s="6">
        <v>17891800646518</v>
      </c>
      <c r="L173" s="9">
        <v>0</v>
      </c>
      <c r="M173" s="7">
        <v>457.76953112205018</v>
      </c>
      <c r="N173" s="7">
        <f t="shared" si="2"/>
        <v>45.776953112205021</v>
      </c>
      <c r="O173" s="7"/>
      <c r="P173" s="7"/>
    </row>
    <row r="174" spans="5:16" x14ac:dyDescent="0.25">
      <c r="E174" s="6" t="s">
        <v>108</v>
      </c>
      <c r="F174" s="6">
        <v>646504</v>
      </c>
      <c r="G174" s="6" t="s">
        <v>221</v>
      </c>
      <c r="H174" s="5">
        <v>10</v>
      </c>
      <c r="I174" s="6">
        <v>7891800646504</v>
      </c>
      <c r="J174" s="11"/>
      <c r="K174" s="6">
        <v>17891800646501</v>
      </c>
      <c r="L174" s="9">
        <v>0</v>
      </c>
      <c r="M174" s="7">
        <v>413.00410447729854</v>
      </c>
      <c r="N174" s="7">
        <f t="shared" si="2"/>
        <v>41.300410447729853</v>
      </c>
      <c r="O174" s="7"/>
      <c r="P174" s="7"/>
    </row>
    <row r="175" spans="5:16" x14ac:dyDescent="0.25">
      <c r="E175" s="6" t="s">
        <v>118</v>
      </c>
      <c r="F175" s="6">
        <v>646481</v>
      </c>
      <c r="G175" s="6" t="s">
        <v>222</v>
      </c>
      <c r="H175" s="5">
        <v>10</v>
      </c>
      <c r="I175" s="6">
        <v>7891800645381</v>
      </c>
      <c r="J175" s="11"/>
      <c r="K175" s="6">
        <v>17891800645388</v>
      </c>
      <c r="L175" s="9">
        <v>0</v>
      </c>
      <c r="M175" s="7">
        <v>389.54529916827022</v>
      </c>
      <c r="N175" s="7">
        <f t="shared" si="2"/>
        <v>38.95452991682702</v>
      </c>
      <c r="O175" s="7"/>
      <c r="P175" s="7"/>
    </row>
    <row r="176" spans="5:16" x14ac:dyDescent="0.25">
      <c r="E176" s="6" t="s">
        <v>223</v>
      </c>
      <c r="F176" s="6">
        <v>648607</v>
      </c>
      <c r="G176" s="6" t="s">
        <v>224</v>
      </c>
      <c r="H176" s="5">
        <v>32</v>
      </c>
      <c r="I176" s="6">
        <v>7891800648607</v>
      </c>
      <c r="J176" s="11"/>
      <c r="K176" s="6">
        <v>17891800648604</v>
      </c>
      <c r="L176" s="9">
        <v>0</v>
      </c>
      <c r="M176" s="7">
        <v>351.23642444343477</v>
      </c>
      <c r="N176" s="7">
        <f t="shared" si="2"/>
        <v>10.976138263857337</v>
      </c>
      <c r="O176" s="7"/>
      <c r="P176" s="7"/>
    </row>
    <row r="177" spans="5:16" x14ac:dyDescent="0.25">
      <c r="E177" s="6" t="s">
        <v>225</v>
      </c>
      <c r="F177" s="6">
        <v>647938</v>
      </c>
      <c r="G177" s="6" t="s">
        <v>226</v>
      </c>
      <c r="H177" s="5">
        <v>24</v>
      </c>
      <c r="I177" s="6">
        <v>7891800647938</v>
      </c>
      <c r="J177" s="11"/>
      <c r="K177" s="6">
        <v>17891800647935</v>
      </c>
      <c r="L177" s="9">
        <v>0</v>
      </c>
      <c r="M177" s="7">
        <v>670.72297003907954</v>
      </c>
      <c r="N177" s="7">
        <f t="shared" si="2"/>
        <v>27.946790418294981</v>
      </c>
      <c r="O177" s="7"/>
      <c r="P177" s="7"/>
    </row>
    <row r="178" spans="5:16" x14ac:dyDescent="0.25">
      <c r="E178" s="6" t="s">
        <v>225</v>
      </c>
      <c r="F178" s="6">
        <v>647945</v>
      </c>
      <c r="G178" s="6" t="s">
        <v>227</v>
      </c>
      <c r="H178" s="5">
        <v>24</v>
      </c>
      <c r="I178" s="6">
        <v>7891800647945</v>
      </c>
      <c r="J178" s="11"/>
      <c r="K178" s="6">
        <v>17891800647942</v>
      </c>
      <c r="L178" s="9">
        <v>0</v>
      </c>
      <c r="M178" s="7">
        <v>670.72297003907954</v>
      </c>
      <c r="N178" s="7">
        <f t="shared" si="2"/>
        <v>27.946790418294981</v>
      </c>
      <c r="O178" s="7"/>
      <c r="P178" s="7"/>
    </row>
    <row r="179" spans="5:16" x14ac:dyDescent="0.25">
      <c r="E179" s="6" t="s">
        <v>225</v>
      </c>
      <c r="F179" s="6">
        <v>647921</v>
      </c>
      <c r="G179" s="6" t="s">
        <v>228</v>
      </c>
      <c r="H179" s="5">
        <v>24</v>
      </c>
      <c r="I179" s="6">
        <v>7891800647921</v>
      </c>
      <c r="J179" s="11"/>
      <c r="K179" s="6">
        <v>17891800647928</v>
      </c>
      <c r="L179" s="9">
        <v>0</v>
      </c>
      <c r="M179" s="7">
        <v>670.72297003907954</v>
      </c>
      <c r="N179" s="7">
        <f t="shared" si="2"/>
        <v>27.946790418294981</v>
      </c>
      <c r="O179" s="7"/>
      <c r="P179" s="7"/>
    </row>
    <row r="180" spans="5:16" x14ac:dyDescent="0.25">
      <c r="E180" s="6" t="s">
        <v>225</v>
      </c>
      <c r="F180" s="6">
        <v>647983</v>
      </c>
      <c r="G180" s="6" t="s">
        <v>229</v>
      </c>
      <c r="H180" s="5">
        <v>12</v>
      </c>
      <c r="I180" s="6">
        <v>7891800647983</v>
      </c>
      <c r="J180" s="11"/>
      <c r="K180" s="6">
        <v>17891800647980</v>
      </c>
      <c r="L180" s="9">
        <v>0</v>
      </c>
      <c r="M180" s="7">
        <v>322.61181068171953</v>
      </c>
      <c r="N180" s="7">
        <f t="shared" si="2"/>
        <v>26.884317556809961</v>
      </c>
      <c r="O180" s="7"/>
      <c r="P180" s="7"/>
    </row>
    <row r="181" spans="5:16" x14ac:dyDescent="0.25">
      <c r="E181" s="6" t="s">
        <v>225</v>
      </c>
      <c r="F181" s="6">
        <v>647976</v>
      </c>
      <c r="G181" s="6" t="s">
        <v>230</v>
      </c>
      <c r="H181" s="5">
        <v>12</v>
      </c>
      <c r="I181" s="6">
        <v>7891800647976</v>
      </c>
      <c r="J181" s="11"/>
      <c r="K181" s="6">
        <v>17891800647973</v>
      </c>
      <c r="L181" s="9">
        <v>0</v>
      </c>
      <c r="M181" s="7">
        <v>322.61181068171953</v>
      </c>
      <c r="N181" s="7">
        <f t="shared" si="2"/>
        <v>26.884317556809961</v>
      </c>
      <c r="O181" s="7"/>
      <c r="P181" s="7"/>
    </row>
    <row r="182" spans="5:16" x14ac:dyDescent="0.25">
      <c r="E182" s="6" t="s">
        <v>225</v>
      </c>
      <c r="F182" s="6">
        <v>647969</v>
      </c>
      <c r="G182" s="6" t="s">
        <v>231</v>
      </c>
      <c r="H182" s="5">
        <v>12</v>
      </c>
      <c r="I182" s="6">
        <v>7891800647969</v>
      </c>
      <c r="J182" s="11"/>
      <c r="K182" s="6">
        <v>17891800647966</v>
      </c>
      <c r="L182" s="9">
        <v>0</v>
      </c>
      <c r="M182" s="7">
        <v>322.61181068171953</v>
      </c>
      <c r="N182" s="7">
        <f t="shared" si="2"/>
        <v>26.884317556809961</v>
      </c>
      <c r="O182" s="7"/>
      <c r="P182" s="7"/>
    </row>
    <row r="183" spans="5:16" x14ac:dyDescent="0.25">
      <c r="E183" s="6" t="s">
        <v>225</v>
      </c>
      <c r="F183" s="6">
        <v>647952</v>
      </c>
      <c r="G183" s="6" t="s">
        <v>232</v>
      </c>
      <c r="H183" s="5">
        <v>48</v>
      </c>
      <c r="I183" s="6">
        <v>7891800647952</v>
      </c>
      <c r="J183" s="11"/>
      <c r="K183" s="6">
        <v>17891800647959</v>
      </c>
      <c r="L183" s="9">
        <v>0</v>
      </c>
      <c r="M183" s="7">
        <v>1031.5892314372559</v>
      </c>
      <c r="N183" s="7">
        <f t="shared" si="2"/>
        <v>21.491442321609497</v>
      </c>
      <c r="O183" s="7"/>
      <c r="P183" s="7"/>
    </row>
    <row r="184" spans="5:16" x14ac:dyDescent="0.25">
      <c r="E184" s="6" t="s">
        <v>225</v>
      </c>
      <c r="F184" s="6">
        <v>649093</v>
      </c>
      <c r="G184" s="6" t="s">
        <v>233</v>
      </c>
      <c r="H184" s="5">
        <v>24</v>
      </c>
      <c r="I184" s="6">
        <v>7891800649093</v>
      </c>
      <c r="J184" s="11"/>
      <c r="K184" s="6">
        <v>17891800649090</v>
      </c>
      <c r="L184" s="9">
        <v>0</v>
      </c>
      <c r="M184" s="7">
        <v>269.10908402210231</v>
      </c>
      <c r="N184" s="7">
        <f t="shared" si="2"/>
        <v>11.21287850092093</v>
      </c>
      <c r="O184" s="7"/>
      <c r="P184" s="7"/>
    </row>
    <row r="185" spans="5:16" x14ac:dyDescent="0.25">
      <c r="E185" s="6" t="s">
        <v>225</v>
      </c>
      <c r="F185" s="6">
        <v>662924</v>
      </c>
      <c r="G185" s="6" t="s">
        <v>234</v>
      </c>
      <c r="H185" s="5">
        <v>24</v>
      </c>
      <c r="I185" s="6">
        <v>7891800662924</v>
      </c>
      <c r="J185" s="11"/>
      <c r="K185" s="6">
        <v>17891800662921</v>
      </c>
      <c r="L185" s="9">
        <v>0</v>
      </c>
      <c r="M185" s="7">
        <v>1670.8296553734049</v>
      </c>
      <c r="N185" s="7">
        <f t="shared" si="2"/>
        <v>69.617902307225208</v>
      </c>
      <c r="O185" s="7"/>
      <c r="P185" s="7"/>
    </row>
    <row r="186" spans="5:16" x14ac:dyDescent="0.25">
      <c r="E186" s="6" t="s">
        <v>225</v>
      </c>
      <c r="F186" s="6">
        <v>662931</v>
      </c>
      <c r="G186" s="6" t="s">
        <v>235</v>
      </c>
      <c r="H186" s="5">
        <v>24</v>
      </c>
      <c r="I186" s="6">
        <v>7891800662931</v>
      </c>
      <c r="J186" s="11"/>
      <c r="K186" s="6">
        <v>17891800662938</v>
      </c>
      <c r="L186" s="9">
        <v>0</v>
      </c>
      <c r="M186" s="7">
        <v>1670.8296553734049</v>
      </c>
      <c r="N186" s="7">
        <f t="shared" ref="N186:N249" si="3">M186/H186</f>
        <v>69.617902307225208</v>
      </c>
      <c r="O186" s="7"/>
      <c r="P186" s="7"/>
    </row>
    <row r="187" spans="5:16" x14ac:dyDescent="0.25">
      <c r="E187" s="6" t="s">
        <v>225</v>
      </c>
      <c r="F187" s="6">
        <v>662948</v>
      </c>
      <c r="G187" s="6" t="s">
        <v>236</v>
      </c>
      <c r="H187" s="5">
        <v>24</v>
      </c>
      <c r="I187" s="6">
        <v>7891800662948</v>
      </c>
      <c r="J187" s="11"/>
      <c r="K187" s="6">
        <v>17891800662945</v>
      </c>
      <c r="L187" s="9">
        <v>0</v>
      </c>
      <c r="M187" s="7">
        <v>1160.7468519322624</v>
      </c>
      <c r="N187" s="7">
        <f t="shared" si="3"/>
        <v>48.36445216384427</v>
      </c>
      <c r="O187" s="7"/>
      <c r="P187" s="7"/>
    </row>
    <row r="188" spans="5:16" x14ac:dyDescent="0.25">
      <c r="E188" s="6" t="s">
        <v>225</v>
      </c>
      <c r="F188" s="6">
        <v>662894</v>
      </c>
      <c r="G188" s="6" t="s">
        <v>237</v>
      </c>
      <c r="H188" s="5">
        <v>24</v>
      </c>
      <c r="I188" s="6">
        <v>7891800662894</v>
      </c>
      <c r="J188" s="11"/>
      <c r="K188" s="6">
        <v>17891800662891</v>
      </c>
      <c r="L188" s="9">
        <v>0</v>
      </c>
      <c r="M188" s="7">
        <v>2931.5895253940917</v>
      </c>
      <c r="N188" s="7">
        <f t="shared" si="3"/>
        <v>122.14956355808715</v>
      </c>
      <c r="O188" s="7"/>
      <c r="P188" s="7"/>
    </row>
    <row r="189" spans="5:16" x14ac:dyDescent="0.25">
      <c r="E189" s="6" t="s">
        <v>225</v>
      </c>
      <c r="F189" s="6">
        <v>662900</v>
      </c>
      <c r="G189" s="6" t="s">
        <v>238</v>
      </c>
      <c r="H189" s="5">
        <v>24</v>
      </c>
      <c r="I189" s="6">
        <v>7891800662900</v>
      </c>
      <c r="J189" s="11"/>
      <c r="K189" s="6">
        <v>17891800662907</v>
      </c>
      <c r="L189" s="9">
        <v>0</v>
      </c>
      <c r="M189" s="7">
        <v>2931.5895253940917</v>
      </c>
      <c r="N189" s="7">
        <f t="shared" si="3"/>
        <v>122.14956355808715</v>
      </c>
      <c r="O189" s="7"/>
      <c r="P189" s="7"/>
    </row>
    <row r="190" spans="5:16" x14ac:dyDescent="0.25">
      <c r="E190" s="6" t="s">
        <v>225</v>
      </c>
      <c r="F190" s="6">
        <v>662955</v>
      </c>
      <c r="G190" s="6" t="s">
        <v>239</v>
      </c>
      <c r="H190" s="5">
        <v>24</v>
      </c>
      <c r="I190" s="6">
        <v>7891800662955</v>
      </c>
      <c r="J190" s="11"/>
      <c r="K190" s="6">
        <v>17891800662952</v>
      </c>
      <c r="L190" s="9">
        <v>0</v>
      </c>
      <c r="M190" s="7">
        <v>773.84932696482861</v>
      </c>
      <c r="N190" s="7">
        <f t="shared" si="3"/>
        <v>32.243721956867859</v>
      </c>
      <c r="O190" s="7"/>
      <c r="P190" s="7"/>
    </row>
    <row r="191" spans="5:16" x14ac:dyDescent="0.25">
      <c r="E191" s="6" t="s">
        <v>225</v>
      </c>
      <c r="F191" s="6">
        <v>662962</v>
      </c>
      <c r="G191" s="6" t="s">
        <v>240</v>
      </c>
      <c r="H191" s="5">
        <v>24</v>
      </c>
      <c r="I191" s="6">
        <v>7891800662962</v>
      </c>
      <c r="J191" s="11"/>
      <c r="K191" s="6">
        <v>17891800662969</v>
      </c>
      <c r="L191" s="9">
        <v>0</v>
      </c>
      <c r="M191" s="7">
        <v>879.35087611735116</v>
      </c>
      <c r="N191" s="7">
        <f t="shared" si="3"/>
        <v>36.639619838222963</v>
      </c>
      <c r="O191" s="7"/>
      <c r="P191" s="7"/>
    </row>
    <row r="192" spans="5:16" x14ac:dyDescent="0.25">
      <c r="E192" s="6" t="s">
        <v>225</v>
      </c>
      <c r="F192" s="6">
        <v>662917</v>
      </c>
      <c r="G192" s="6" t="s">
        <v>241</v>
      </c>
      <c r="H192" s="5">
        <v>24</v>
      </c>
      <c r="I192" s="6">
        <v>7891800662917</v>
      </c>
      <c r="J192" s="11"/>
      <c r="K192" s="6">
        <v>17891800662914</v>
      </c>
      <c r="L192" s="9">
        <v>0</v>
      </c>
      <c r="M192" s="7">
        <v>1456.1333043855841</v>
      </c>
      <c r="N192" s="7">
        <f t="shared" si="3"/>
        <v>60.672221016066004</v>
      </c>
      <c r="O192" s="7"/>
      <c r="P192" s="7"/>
    </row>
    <row r="193" spans="5:16" x14ac:dyDescent="0.25">
      <c r="E193" s="6" t="s">
        <v>242</v>
      </c>
      <c r="F193" s="6">
        <v>648539</v>
      </c>
      <c r="G193" s="6" t="s">
        <v>243</v>
      </c>
      <c r="H193" s="5">
        <v>12</v>
      </c>
      <c r="I193" s="6">
        <v>7891800648539</v>
      </c>
      <c r="J193" s="11"/>
      <c r="K193" s="6">
        <v>17891800648536</v>
      </c>
      <c r="L193" s="9">
        <v>0</v>
      </c>
      <c r="M193" s="7">
        <v>101.23873410428418</v>
      </c>
      <c r="N193" s="7">
        <f t="shared" si="3"/>
        <v>8.4365611753570153</v>
      </c>
      <c r="O193" s="7"/>
      <c r="P193" s="7"/>
    </row>
    <row r="194" spans="5:16" x14ac:dyDescent="0.25">
      <c r="E194" s="6" t="s">
        <v>242</v>
      </c>
      <c r="F194" s="6">
        <v>647341</v>
      </c>
      <c r="G194" s="6" t="s">
        <v>244</v>
      </c>
      <c r="H194" s="5">
        <v>12</v>
      </c>
      <c r="I194" s="6">
        <v>7891800647341</v>
      </c>
      <c r="J194" s="11"/>
      <c r="K194" s="6">
        <v>17891800647348</v>
      </c>
      <c r="L194" s="9">
        <v>0</v>
      </c>
      <c r="M194" s="7">
        <v>202.6065992469666</v>
      </c>
      <c r="N194" s="7">
        <f t="shared" si="3"/>
        <v>16.883883270580551</v>
      </c>
      <c r="O194" s="7"/>
      <c r="P194" s="7"/>
    </row>
    <row r="195" spans="5:16" x14ac:dyDescent="0.25">
      <c r="E195" s="6" t="s">
        <v>177</v>
      </c>
      <c r="F195" s="6">
        <v>649314</v>
      </c>
      <c r="G195" s="6" t="s">
        <v>245</v>
      </c>
      <c r="H195" s="5">
        <v>40</v>
      </c>
      <c r="I195" s="6">
        <v>7891800649314</v>
      </c>
      <c r="J195" s="11"/>
      <c r="K195" s="6">
        <v>17891800649311</v>
      </c>
      <c r="L195" s="9">
        <v>0</v>
      </c>
      <c r="M195" s="7">
        <v>166.6819700716886</v>
      </c>
      <c r="N195" s="7">
        <f t="shared" si="3"/>
        <v>4.1670492517922151</v>
      </c>
      <c r="O195" s="7"/>
      <c r="P195" s="7"/>
    </row>
    <row r="196" spans="5:16" x14ac:dyDescent="0.25">
      <c r="E196" s="6" t="s">
        <v>177</v>
      </c>
      <c r="F196" s="6">
        <v>649321</v>
      </c>
      <c r="G196" s="6" t="s">
        <v>246</v>
      </c>
      <c r="H196" s="5">
        <v>30</v>
      </c>
      <c r="I196" s="6">
        <v>7891800649321</v>
      </c>
      <c r="J196" s="11"/>
      <c r="K196" s="6">
        <v>17891800649328</v>
      </c>
      <c r="L196" s="9">
        <v>0</v>
      </c>
      <c r="M196" s="7">
        <v>220.99654343277976</v>
      </c>
      <c r="N196" s="7">
        <f t="shared" si="3"/>
        <v>7.366551447759325</v>
      </c>
      <c r="O196" s="7"/>
      <c r="P196" s="7"/>
    </row>
    <row r="197" spans="5:16" x14ac:dyDescent="0.25">
      <c r="E197" s="6" t="s">
        <v>177</v>
      </c>
      <c r="F197" s="6">
        <v>649345</v>
      </c>
      <c r="G197" s="6" t="s">
        <v>247</v>
      </c>
      <c r="H197" s="5">
        <v>36</v>
      </c>
      <c r="I197" s="6">
        <v>7891800649338</v>
      </c>
      <c r="J197" s="11"/>
      <c r="K197" s="6">
        <v>17891800649342</v>
      </c>
      <c r="L197" s="9">
        <v>0</v>
      </c>
      <c r="M197" s="7">
        <v>142.88910838071669</v>
      </c>
      <c r="N197" s="7">
        <f t="shared" si="3"/>
        <v>3.9691418994643524</v>
      </c>
      <c r="O197" s="7"/>
      <c r="P197" s="7"/>
    </row>
    <row r="198" spans="5:16" x14ac:dyDescent="0.25">
      <c r="E198" s="6" t="s">
        <v>177</v>
      </c>
      <c r="F198" s="6">
        <v>649352</v>
      </c>
      <c r="G198" s="6" t="s">
        <v>248</v>
      </c>
      <c r="H198" s="5">
        <v>20</v>
      </c>
      <c r="I198" s="6">
        <v>7891800649352</v>
      </c>
      <c r="J198" s="11"/>
      <c r="K198" s="6">
        <v>17891800649359</v>
      </c>
      <c r="L198" s="9">
        <v>0</v>
      </c>
      <c r="M198" s="7">
        <v>140.51422015278234</v>
      </c>
      <c r="N198" s="7">
        <f t="shared" si="3"/>
        <v>7.0257110076391172</v>
      </c>
      <c r="O198" s="7"/>
      <c r="P198" s="7"/>
    </row>
    <row r="199" spans="5:16" x14ac:dyDescent="0.25">
      <c r="E199" s="6" t="s">
        <v>160</v>
      </c>
      <c r="F199" s="6">
        <v>651430</v>
      </c>
      <c r="G199" s="6" t="s">
        <v>249</v>
      </c>
      <c r="H199" s="5">
        <v>24</v>
      </c>
      <c r="I199" s="6">
        <v>7891800651430</v>
      </c>
      <c r="J199" s="11"/>
      <c r="K199" s="6">
        <v>17891800651437</v>
      </c>
      <c r="L199" s="9">
        <v>0</v>
      </c>
      <c r="M199" s="7">
        <v>149.61795835986402</v>
      </c>
      <c r="N199" s="7">
        <f t="shared" si="3"/>
        <v>6.2340815983276672</v>
      </c>
      <c r="O199" s="7"/>
      <c r="P199" s="7"/>
    </row>
    <row r="200" spans="5:16" x14ac:dyDescent="0.25">
      <c r="E200" s="6" t="s">
        <v>177</v>
      </c>
      <c r="F200" s="6">
        <v>651317</v>
      </c>
      <c r="G200" s="6" t="s">
        <v>250</v>
      </c>
      <c r="H200" s="5">
        <v>36</v>
      </c>
      <c r="I200" s="6">
        <v>7891800651317</v>
      </c>
      <c r="J200" s="11"/>
      <c r="K200" s="6">
        <v>17891800651314</v>
      </c>
      <c r="L200" s="9">
        <v>0</v>
      </c>
      <c r="M200" s="7">
        <v>164.65891713678158</v>
      </c>
      <c r="N200" s="7">
        <f t="shared" si="3"/>
        <v>4.5738588093550439</v>
      </c>
      <c r="O200" s="7"/>
      <c r="P200" s="7"/>
    </row>
    <row r="201" spans="5:16" x14ac:dyDescent="0.25">
      <c r="E201" s="6" t="s">
        <v>251</v>
      </c>
      <c r="F201" s="6">
        <v>649505</v>
      </c>
      <c r="G201" s="6" t="s">
        <v>252</v>
      </c>
      <c r="H201" s="5">
        <v>24</v>
      </c>
      <c r="I201" s="6">
        <v>7891800649505</v>
      </c>
      <c r="J201" s="11"/>
      <c r="K201" s="6">
        <v>17891800649502</v>
      </c>
      <c r="L201" s="9">
        <v>0</v>
      </c>
      <c r="M201" s="7">
        <v>121.3831760944223</v>
      </c>
      <c r="N201" s="7">
        <f t="shared" si="3"/>
        <v>5.057632337267596</v>
      </c>
      <c r="O201" s="7"/>
      <c r="P201" s="7"/>
    </row>
    <row r="202" spans="5:16" x14ac:dyDescent="0.25">
      <c r="E202" s="6" t="s">
        <v>251</v>
      </c>
      <c r="F202" s="6">
        <v>649529</v>
      </c>
      <c r="G202" s="6" t="s">
        <v>253</v>
      </c>
      <c r="H202" s="5">
        <v>60</v>
      </c>
      <c r="I202" s="6">
        <v>7891800649529</v>
      </c>
      <c r="J202" s="11"/>
      <c r="K202" s="6">
        <v>17891800649526</v>
      </c>
      <c r="L202" s="9">
        <v>0</v>
      </c>
      <c r="M202" s="7">
        <v>130.61885253638923</v>
      </c>
      <c r="N202" s="7">
        <f t="shared" si="3"/>
        <v>2.1769808756064872</v>
      </c>
      <c r="O202" s="7"/>
      <c r="P202" s="7"/>
    </row>
    <row r="203" spans="5:16" x14ac:dyDescent="0.25">
      <c r="E203" s="6" t="s">
        <v>251</v>
      </c>
      <c r="F203" s="6">
        <v>649536</v>
      </c>
      <c r="G203" s="6" t="s">
        <v>254</v>
      </c>
      <c r="H203" s="5">
        <v>60</v>
      </c>
      <c r="I203" s="6">
        <v>7891800649529</v>
      </c>
      <c r="J203" s="11"/>
      <c r="K203" s="6">
        <v>17891800649533</v>
      </c>
      <c r="L203" s="9">
        <v>0</v>
      </c>
      <c r="M203" s="7">
        <v>133.25761723409406</v>
      </c>
      <c r="N203" s="7">
        <f t="shared" si="3"/>
        <v>2.220960287234901</v>
      </c>
      <c r="O203" s="7"/>
      <c r="P203" s="7"/>
    </row>
    <row r="204" spans="5:16" x14ac:dyDescent="0.25">
      <c r="E204" s="6" t="s">
        <v>251</v>
      </c>
      <c r="F204" s="6">
        <v>649543</v>
      </c>
      <c r="G204" s="6" t="s">
        <v>255</v>
      </c>
      <c r="H204" s="5">
        <v>30</v>
      </c>
      <c r="I204" s="6">
        <v>7891800649543</v>
      </c>
      <c r="J204" s="11"/>
      <c r="K204" s="6">
        <v>17891800649540</v>
      </c>
      <c r="L204" s="9">
        <v>0</v>
      </c>
      <c r="M204" s="7">
        <v>106.86997025704571</v>
      </c>
      <c r="N204" s="7">
        <f t="shared" si="3"/>
        <v>3.5623323419015236</v>
      </c>
      <c r="O204" s="7"/>
      <c r="P204" s="7"/>
    </row>
    <row r="205" spans="5:16" x14ac:dyDescent="0.25">
      <c r="E205" s="6" t="s">
        <v>160</v>
      </c>
      <c r="F205" s="6">
        <v>652192</v>
      </c>
      <c r="G205" s="6" t="s">
        <v>256</v>
      </c>
      <c r="H205" s="5">
        <v>21</v>
      </c>
      <c r="I205" s="6">
        <v>7891800617320</v>
      </c>
      <c r="J205" s="11"/>
      <c r="K205" s="6">
        <v>17891800652199</v>
      </c>
      <c r="L205" s="9">
        <v>0</v>
      </c>
      <c r="M205" s="7">
        <v>302.93018729651487</v>
      </c>
      <c r="N205" s="7">
        <f t="shared" si="3"/>
        <v>14.425247014119757</v>
      </c>
      <c r="O205" s="7"/>
      <c r="P205" s="7"/>
    </row>
    <row r="206" spans="5:16" x14ac:dyDescent="0.25">
      <c r="E206" s="6" t="s">
        <v>196</v>
      </c>
      <c r="F206" s="6">
        <v>652994</v>
      </c>
      <c r="G206" s="6" t="s">
        <v>257</v>
      </c>
      <c r="H206" s="5">
        <v>24</v>
      </c>
      <c r="I206" s="6">
        <v>7891800652994</v>
      </c>
      <c r="J206" s="11"/>
      <c r="K206" s="6">
        <v>17891800652991</v>
      </c>
      <c r="L206" s="9">
        <v>0</v>
      </c>
      <c r="M206" s="7">
        <v>216.90645815133726</v>
      </c>
      <c r="N206" s="7">
        <f t="shared" si="3"/>
        <v>9.0377690896390526</v>
      </c>
      <c r="O206" s="7"/>
      <c r="P206" s="7"/>
    </row>
    <row r="207" spans="5:16" x14ac:dyDescent="0.25">
      <c r="E207" s="6" t="s">
        <v>179</v>
      </c>
      <c r="F207" s="6">
        <v>652260</v>
      </c>
      <c r="G207" s="6" t="s">
        <v>258</v>
      </c>
      <c r="H207" s="5">
        <v>12</v>
      </c>
      <c r="I207" s="6">
        <v>7891800652260</v>
      </c>
      <c r="J207" s="11"/>
      <c r="K207" s="6">
        <v>17891800652267</v>
      </c>
      <c r="L207" s="9">
        <v>0</v>
      </c>
      <c r="M207" s="7">
        <v>224.55634427684117</v>
      </c>
      <c r="N207" s="7">
        <f t="shared" si="3"/>
        <v>18.713028689736763</v>
      </c>
      <c r="O207" s="7"/>
      <c r="P207" s="7"/>
    </row>
    <row r="208" spans="5:16" x14ac:dyDescent="0.25">
      <c r="E208" s="6" t="s">
        <v>179</v>
      </c>
      <c r="F208" s="6">
        <v>652321</v>
      </c>
      <c r="G208" s="6" t="s">
        <v>259</v>
      </c>
      <c r="H208" s="5">
        <v>24</v>
      </c>
      <c r="I208" s="6">
        <v>7891800652321</v>
      </c>
      <c r="J208" s="11"/>
      <c r="K208" s="6">
        <v>17891800652328</v>
      </c>
      <c r="L208" s="9">
        <v>0</v>
      </c>
      <c r="M208" s="7">
        <v>204.76814054189504</v>
      </c>
      <c r="N208" s="7">
        <f t="shared" si="3"/>
        <v>8.5320058559122938</v>
      </c>
      <c r="O208" s="7"/>
      <c r="P208" s="7"/>
    </row>
    <row r="209" spans="5:16" x14ac:dyDescent="0.25">
      <c r="E209" s="6" t="s">
        <v>160</v>
      </c>
      <c r="F209" s="6">
        <v>652987</v>
      </c>
      <c r="G209" s="6" t="s">
        <v>260</v>
      </c>
      <c r="H209" s="5">
        <v>24</v>
      </c>
      <c r="I209" s="6">
        <v>7891800652987</v>
      </c>
      <c r="J209" s="11"/>
      <c r="K209" s="6">
        <v>17891800652984</v>
      </c>
      <c r="L209" s="9">
        <v>0</v>
      </c>
      <c r="M209" s="7">
        <v>216.64258168156684</v>
      </c>
      <c r="N209" s="7">
        <f t="shared" si="3"/>
        <v>9.026774236731951</v>
      </c>
      <c r="O209" s="7"/>
      <c r="P209" s="7"/>
    </row>
    <row r="210" spans="5:16" x14ac:dyDescent="0.25">
      <c r="E210" s="6" t="s">
        <v>27</v>
      </c>
      <c r="F210" s="6">
        <v>664201</v>
      </c>
      <c r="G210" s="6" t="s">
        <v>261</v>
      </c>
      <c r="H210" s="5">
        <v>72</v>
      </c>
      <c r="I210" s="6">
        <v>7891800000641</v>
      </c>
      <c r="J210" s="11"/>
      <c r="K210" s="6">
        <v>17891800664208</v>
      </c>
      <c r="L210" s="9">
        <v>0</v>
      </c>
      <c r="M210" s="7">
        <v>111.56921717614988</v>
      </c>
      <c r="N210" s="7">
        <f t="shared" si="3"/>
        <v>1.5495724607798593</v>
      </c>
      <c r="O210" s="7"/>
      <c r="P210" s="7"/>
    </row>
    <row r="211" spans="5:16" x14ac:dyDescent="0.25">
      <c r="E211" s="6" t="s">
        <v>27</v>
      </c>
      <c r="F211" s="6">
        <v>664218</v>
      </c>
      <c r="G211" s="6" t="s">
        <v>262</v>
      </c>
      <c r="H211" s="5">
        <v>72</v>
      </c>
      <c r="I211" s="6">
        <v>7891800000658</v>
      </c>
      <c r="J211" s="11"/>
      <c r="K211" s="6">
        <v>17891800664215</v>
      </c>
      <c r="L211" s="9">
        <v>0</v>
      </c>
      <c r="M211" s="7">
        <v>142.56066639174711</v>
      </c>
      <c r="N211" s="7">
        <f t="shared" si="3"/>
        <v>1.9800092554409321</v>
      </c>
      <c r="O211" s="7"/>
      <c r="P211" s="7"/>
    </row>
    <row r="212" spans="5:16" x14ac:dyDescent="0.25">
      <c r="E212" s="6" t="s">
        <v>27</v>
      </c>
      <c r="F212" s="6">
        <v>806113</v>
      </c>
      <c r="G212" s="6" t="s">
        <v>263</v>
      </c>
      <c r="H212" s="5">
        <v>84</v>
      </c>
      <c r="I212" s="6">
        <v>7891800000665</v>
      </c>
      <c r="J212" s="11">
        <v>7891800806113</v>
      </c>
      <c r="K212" s="6">
        <v>17891800664222</v>
      </c>
      <c r="L212" s="9">
        <v>0</v>
      </c>
      <c r="M212" s="7">
        <v>200.66963367099183</v>
      </c>
      <c r="N212" s="7">
        <f t="shared" si="3"/>
        <v>2.3889242103689505</v>
      </c>
      <c r="O212" s="7"/>
      <c r="P212" s="7"/>
    </row>
    <row r="213" spans="5:16" x14ac:dyDescent="0.25">
      <c r="E213" s="6" t="s">
        <v>27</v>
      </c>
      <c r="F213" s="6">
        <v>806120</v>
      </c>
      <c r="G213" s="6" t="s">
        <v>264</v>
      </c>
      <c r="H213" s="5">
        <v>84</v>
      </c>
      <c r="I213" s="6">
        <v>7891800000672</v>
      </c>
      <c r="J213" s="11">
        <v>7891800806120</v>
      </c>
      <c r="K213" s="6">
        <v>17891800664239</v>
      </c>
      <c r="L213" s="9">
        <v>0</v>
      </c>
      <c r="M213" s="7">
        <v>237.73024169131008</v>
      </c>
      <c r="N213" s="7">
        <f t="shared" si="3"/>
        <v>2.8301219248965488</v>
      </c>
      <c r="O213" s="7"/>
      <c r="P213" s="7"/>
    </row>
    <row r="214" spans="5:16" x14ac:dyDescent="0.25">
      <c r="E214" s="6" t="s">
        <v>27</v>
      </c>
      <c r="F214" s="6">
        <v>661958</v>
      </c>
      <c r="G214" s="6" t="s">
        <v>265</v>
      </c>
      <c r="H214" s="5">
        <v>72</v>
      </c>
      <c r="I214" s="6">
        <v>7891800000689</v>
      </c>
      <c r="J214" s="11"/>
      <c r="K214" s="6">
        <v>17891800661955</v>
      </c>
      <c r="L214" s="9">
        <v>0</v>
      </c>
      <c r="M214" s="7">
        <v>252.58031110711704</v>
      </c>
      <c r="N214" s="7">
        <f t="shared" si="3"/>
        <v>3.5080598764877369</v>
      </c>
      <c r="O214" s="7"/>
      <c r="P214" s="7"/>
    </row>
    <row r="215" spans="5:16" x14ac:dyDescent="0.25">
      <c r="E215" s="6" t="s">
        <v>108</v>
      </c>
      <c r="F215" s="6">
        <v>661965</v>
      </c>
      <c r="G215" s="6" t="s">
        <v>266</v>
      </c>
      <c r="H215" s="5">
        <v>12</v>
      </c>
      <c r="I215" s="6">
        <v>7891800359251</v>
      </c>
      <c r="J215" s="11"/>
      <c r="K215" s="6">
        <v>17891800661962</v>
      </c>
      <c r="L215" s="9">
        <v>0</v>
      </c>
      <c r="M215" s="7">
        <v>341.68072760195895</v>
      </c>
      <c r="N215" s="7">
        <f t="shared" si="3"/>
        <v>28.473393966829914</v>
      </c>
      <c r="O215" s="7"/>
      <c r="P215" s="7"/>
    </row>
    <row r="216" spans="5:16" x14ac:dyDescent="0.25">
      <c r="E216" s="6" t="s">
        <v>108</v>
      </c>
      <c r="F216" s="6">
        <v>661972</v>
      </c>
      <c r="G216" s="6" t="s">
        <v>267</v>
      </c>
      <c r="H216" s="5">
        <v>12</v>
      </c>
      <c r="I216" s="6">
        <v>7891800359565</v>
      </c>
      <c r="J216" s="11"/>
      <c r="K216" s="6">
        <v>17891800661979</v>
      </c>
      <c r="L216" s="9">
        <v>0</v>
      </c>
      <c r="M216" s="7">
        <v>341.68072760195895</v>
      </c>
      <c r="N216" s="7">
        <f t="shared" si="3"/>
        <v>28.473393966829914</v>
      </c>
      <c r="O216" s="7"/>
      <c r="P216" s="7"/>
    </row>
    <row r="217" spans="5:16" x14ac:dyDescent="0.25">
      <c r="E217" s="6" t="s">
        <v>118</v>
      </c>
      <c r="F217" s="6">
        <v>664249</v>
      </c>
      <c r="G217" s="6" t="s">
        <v>268</v>
      </c>
      <c r="H217" s="5">
        <v>12</v>
      </c>
      <c r="I217" s="6">
        <v>7891800359589</v>
      </c>
      <c r="J217" s="11"/>
      <c r="K217" s="6">
        <v>17891800664246</v>
      </c>
      <c r="L217" s="9">
        <v>0</v>
      </c>
      <c r="M217" s="7">
        <v>333.80373425966144</v>
      </c>
      <c r="N217" s="7">
        <f t="shared" si="3"/>
        <v>27.816977854971785</v>
      </c>
      <c r="O217" s="7"/>
      <c r="P217" s="7"/>
    </row>
    <row r="218" spans="5:16" x14ac:dyDescent="0.25">
      <c r="E218" s="6" t="s">
        <v>108</v>
      </c>
      <c r="F218" s="6">
        <v>664256</v>
      </c>
      <c r="G218" s="6" t="s">
        <v>269</v>
      </c>
      <c r="H218" s="5">
        <v>6</v>
      </c>
      <c r="I218" s="6">
        <v>7891800645361</v>
      </c>
      <c r="J218" s="11"/>
      <c r="K218" s="6">
        <v>17891800664253</v>
      </c>
      <c r="L218" s="9">
        <v>0</v>
      </c>
      <c r="M218" s="7">
        <v>404.50297778274245</v>
      </c>
      <c r="N218" s="7">
        <f t="shared" si="3"/>
        <v>67.417162963790403</v>
      </c>
      <c r="O218" s="7"/>
      <c r="P218" s="7"/>
    </row>
    <row r="219" spans="5:16" x14ac:dyDescent="0.25">
      <c r="E219" s="6" t="s">
        <v>108</v>
      </c>
      <c r="F219" s="6">
        <v>664263</v>
      </c>
      <c r="G219" s="6" t="s">
        <v>270</v>
      </c>
      <c r="H219" s="5">
        <v>6</v>
      </c>
      <c r="I219" s="6">
        <v>7891800332643</v>
      </c>
      <c r="J219" s="11"/>
      <c r="K219" s="6">
        <v>17891800664260</v>
      </c>
      <c r="L219" s="9">
        <v>0</v>
      </c>
      <c r="M219" s="7">
        <v>414.38150222021414</v>
      </c>
      <c r="N219" s="7">
        <f t="shared" si="3"/>
        <v>69.063583703369019</v>
      </c>
      <c r="O219" s="7"/>
      <c r="P219" s="7"/>
    </row>
    <row r="220" spans="5:16" x14ac:dyDescent="0.25">
      <c r="E220" s="6" t="s">
        <v>118</v>
      </c>
      <c r="F220" s="6">
        <v>664294</v>
      </c>
      <c r="G220" s="6" t="s">
        <v>271</v>
      </c>
      <c r="H220" s="5">
        <v>6</v>
      </c>
      <c r="I220" s="6">
        <v>7891800625974</v>
      </c>
      <c r="J220" s="11"/>
      <c r="K220" s="6">
        <v>17891800664291</v>
      </c>
      <c r="L220" s="9">
        <v>0</v>
      </c>
      <c r="M220" s="7">
        <v>223.20299987149895</v>
      </c>
      <c r="N220" s="7">
        <f t="shared" si="3"/>
        <v>37.20049997858316</v>
      </c>
      <c r="O220" s="7"/>
      <c r="P220" s="7"/>
    </row>
    <row r="221" spans="5:16" x14ac:dyDescent="0.25">
      <c r="E221" s="6" t="s">
        <v>118</v>
      </c>
      <c r="F221" s="6">
        <v>664300</v>
      </c>
      <c r="G221" s="6" t="s">
        <v>272</v>
      </c>
      <c r="H221" s="5">
        <v>6</v>
      </c>
      <c r="I221" s="6">
        <v>7891800625428</v>
      </c>
      <c r="J221" s="11"/>
      <c r="K221" s="6">
        <v>17891800664307</v>
      </c>
      <c r="L221" s="9">
        <v>0</v>
      </c>
      <c r="M221" s="7">
        <v>223.20299987149895</v>
      </c>
      <c r="N221" s="7">
        <f t="shared" si="3"/>
        <v>37.20049997858316</v>
      </c>
      <c r="O221" s="7"/>
      <c r="P221" s="7"/>
    </row>
    <row r="222" spans="5:16" x14ac:dyDescent="0.25">
      <c r="E222" s="6" t="s">
        <v>46</v>
      </c>
      <c r="F222" s="6">
        <v>664317</v>
      </c>
      <c r="G222" s="6" t="s">
        <v>273</v>
      </c>
      <c r="H222" s="5">
        <v>12</v>
      </c>
      <c r="I222" s="6">
        <v>7891800001426</v>
      </c>
      <c r="J222" s="11"/>
      <c r="K222" s="6">
        <v>17891800664314</v>
      </c>
      <c r="L222" s="9">
        <v>0</v>
      </c>
      <c r="M222" s="7">
        <v>542.86688542654406</v>
      </c>
      <c r="N222" s="7">
        <f t="shared" si="3"/>
        <v>45.238907118878672</v>
      </c>
      <c r="O222" s="7"/>
      <c r="P222" s="7"/>
    </row>
    <row r="223" spans="5:16" x14ac:dyDescent="0.25">
      <c r="E223" s="6" t="s">
        <v>46</v>
      </c>
      <c r="F223" s="6">
        <v>664324</v>
      </c>
      <c r="G223" s="6" t="s">
        <v>274</v>
      </c>
      <c r="H223" s="5">
        <v>12</v>
      </c>
      <c r="I223" s="6">
        <v>7891800001372</v>
      </c>
      <c r="J223" s="11"/>
      <c r="K223" s="6">
        <v>17891800664321</v>
      </c>
      <c r="L223" s="9">
        <v>0</v>
      </c>
      <c r="M223" s="7">
        <v>636.09949515013227</v>
      </c>
      <c r="N223" s="7">
        <f t="shared" si="3"/>
        <v>53.008291262511023</v>
      </c>
      <c r="O223" s="7"/>
      <c r="P223" s="7"/>
    </row>
    <row r="224" spans="5:16" x14ac:dyDescent="0.25">
      <c r="E224" s="6" t="s">
        <v>46</v>
      </c>
      <c r="F224" s="6">
        <v>805970</v>
      </c>
      <c r="G224" s="6" t="s">
        <v>275</v>
      </c>
      <c r="H224" s="5">
        <v>12</v>
      </c>
      <c r="I224" s="6">
        <v>7891800001259</v>
      </c>
      <c r="J224" s="11">
        <v>7891800805970</v>
      </c>
      <c r="K224" s="6">
        <v>17891800664338</v>
      </c>
      <c r="L224" s="9">
        <v>0</v>
      </c>
      <c r="M224" s="7">
        <v>901.3561698600181</v>
      </c>
      <c r="N224" s="7">
        <f t="shared" si="3"/>
        <v>75.113014155001508</v>
      </c>
      <c r="O224" s="7"/>
      <c r="P224" s="7"/>
    </row>
    <row r="225" spans="5:16" x14ac:dyDescent="0.25">
      <c r="E225" s="6" t="s">
        <v>85</v>
      </c>
      <c r="F225" s="6">
        <v>802672</v>
      </c>
      <c r="G225" s="6" t="s">
        <v>276</v>
      </c>
      <c r="H225" s="5">
        <v>72</v>
      </c>
      <c r="I225" s="6">
        <v>7891800276527</v>
      </c>
      <c r="J225" s="11"/>
      <c r="K225" s="6">
        <v>17891800662990</v>
      </c>
      <c r="L225" s="9">
        <v>0</v>
      </c>
      <c r="M225" s="7">
        <v>800.35417599279731</v>
      </c>
      <c r="N225" s="7">
        <f t="shared" si="3"/>
        <v>11.116030222122184</v>
      </c>
      <c r="O225" s="7"/>
      <c r="P225" s="7"/>
    </row>
    <row r="226" spans="5:16" x14ac:dyDescent="0.25">
      <c r="E226" s="6" t="s">
        <v>85</v>
      </c>
      <c r="F226" s="6">
        <v>802856</v>
      </c>
      <c r="G226" s="6" t="s">
        <v>277</v>
      </c>
      <c r="H226" s="5">
        <v>36</v>
      </c>
      <c r="I226" s="6">
        <v>7891800257199</v>
      </c>
      <c r="J226" s="11"/>
      <c r="K226" s="6">
        <v>17891800663003</v>
      </c>
      <c r="L226" s="9">
        <v>0</v>
      </c>
      <c r="M226" s="7">
        <v>483.8540008785111</v>
      </c>
      <c r="N226" s="7">
        <f t="shared" si="3"/>
        <v>13.440388913291976</v>
      </c>
      <c r="O226" s="7"/>
      <c r="P226" s="7"/>
    </row>
    <row r="227" spans="5:16" x14ac:dyDescent="0.25">
      <c r="E227" s="6" t="s">
        <v>278</v>
      </c>
      <c r="F227" s="6">
        <v>802689</v>
      </c>
      <c r="G227" s="6" t="s">
        <v>279</v>
      </c>
      <c r="H227" s="5">
        <v>36</v>
      </c>
      <c r="I227" s="6">
        <v>7891800227154</v>
      </c>
      <c r="J227" s="11"/>
      <c r="K227" s="6">
        <v>17891800663010</v>
      </c>
      <c r="L227" s="9">
        <v>0</v>
      </c>
      <c r="M227" s="7">
        <v>810.4263969878665</v>
      </c>
      <c r="N227" s="7">
        <f t="shared" si="3"/>
        <v>22.51184436077407</v>
      </c>
      <c r="O227" s="7"/>
      <c r="P227" s="7"/>
    </row>
    <row r="228" spans="5:16" x14ac:dyDescent="0.25">
      <c r="E228" s="6" t="s">
        <v>85</v>
      </c>
      <c r="F228" s="6">
        <v>663020</v>
      </c>
      <c r="G228" s="6" t="s">
        <v>280</v>
      </c>
      <c r="H228" s="5">
        <v>36</v>
      </c>
      <c r="I228" s="6">
        <v>7891800365856</v>
      </c>
      <c r="J228" s="11"/>
      <c r="K228" s="6">
        <v>17891800663027</v>
      </c>
      <c r="L228" s="9">
        <v>0</v>
      </c>
      <c r="M228" s="7">
        <v>433.8802890183606</v>
      </c>
      <c r="N228" s="7">
        <f t="shared" si="3"/>
        <v>12.052230250510016</v>
      </c>
      <c r="O228" s="7"/>
      <c r="P228" s="7"/>
    </row>
    <row r="229" spans="5:16" x14ac:dyDescent="0.25">
      <c r="E229" s="6" t="s">
        <v>281</v>
      </c>
      <c r="F229" s="6">
        <v>802931</v>
      </c>
      <c r="G229" s="6" t="s">
        <v>282</v>
      </c>
      <c r="H229" s="5">
        <v>72</v>
      </c>
      <c r="I229" s="6">
        <v>7891800669299</v>
      </c>
      <c r="J229" s="11"/>
      <c r="K229" s="6">
        <v>17891800669296</v>
      </c>
      <c r="L229" s="9">
        <v>0</v>
      </c>
      <c r="M229" s="7">
        <v>200.6696336709918</v>
      </c>
      <c r="N229" s="7">
        <f t="shared" si="3"/>
        <v>2.7870782454304415</v>
      </c>
      <c r="O229" s="7"/>
      <c r="P229" s="7"/>
    </row>
    <row r="230" spans="5:16" x14ac:dyDescent="0.25">
      <c r="E230" s="6" t="s">
        <v>281</v>
      </c>
      <c r="F230" s="6">
        <v>802948</v>
      </c>
      <c r="G230" s="6" t="s">
        <v>283</v>
      </c>
      <c r="H230" s="5">
        <v>48</v>
      </c>
      <c r="I230" s="6">
        <v>7891800669510</v>
      </c>
      <c r="J230" s="11"/>
      <c r="K230" s="6">
        <v>17891800669517</v>
      </c>
      <c r="L230" s="9">
        <v>0</v>
      </c>
      <c r="M230" s="7">
        <v>222.62191019870647</v>
      </c>
      <c r="N230" s="7">
        <f t="shared" si="3"/>
        <v>4.6379564624730518</v>
      </c>
      <c r="O230" s="7"/>
      <c r="P230" s="7"/>
    </row>
    <row r="231" spans="5:16" x14ac:dyDescent="0.25">
      <c r="E231" s="6" t="s">
        <v>281</v>
      </c>
      <c r="F231" s="6">
        <v>802955</v>
      </c>
      <c r="G231" s="6" t="s">
        <v>284</v>
      </c>
      <c r="H231" s="5">
        <v>36</v>
      </c>
      <c r="I231" s="6">
        <v>7891800669527</v>
      </c>
      <c r="J231" s="11"/>
      <c r="K231" s="6">
        <v>17891800669524</v>
      </c>
      <c r="L231" s="9">
        <v>0</v>
      </c>
      <c r="M231" s="7">
        <v>275.04911178842502</v>
      </c>
      <c r="N231" s="7">
        <f t="shared" si="3"/>
        <v>7.6402531052340281</v>
      </c>
      <c r="O231" s="7"/>
      <c r="P231" s="7"/>
    </row>
    <row r="232" spans="5:16" x14ac:dyDescent="0.25">
      <c r="E232" s="6" t="s">
        <v>85</v>
      </c>
      <c r="F232" s="6">
        <v>802863</v>
      </c>
      <c r="G232" s="6" t="s">
        <v>285</v>
      </c>
      <c r="H232" s="5">
        <v>36</v>
      </c>
      <c r="I232" s="6">
        <v>7891800670608</v>
      </c>
      <c r="J232" s="11"/>
      <c r="K232" s="6">
        <v>17891800670605</v>
      </c>
      <c r="L232" s="9">
        <v>0</v>
      </c>
      <c r="M232" s="7">
        <v>307.59013346480214</v>
      </c>
      <c r="N232" s="7">
        <f t="shared" si="3"/>
        <v>8.544170374022281</v>
      </c>
      <c r="O232" s="7"/>
      <c r="P232" s="7"/>
    </row>
    <row r="233" spans="5:16" x14ac:dyDescent="0.25">
      <c r="E233" s="6" t="s">
        <v>21</v>
      </c>
      <c r="F233" s="6">
        <v>668131</v>
      </c>
      <c r="G233" s="6" t="s">
        <v>286</v>
      </c>
      <c r="H233" s="5">
        <v>8</v>
      </c>
      <c r="I233" s="6">
        <v>7891800668131</v>
      </c>
      <c r="J233" s="11"/>
      <c r="K233" s="6">
        <v>17891800668138</v>
      </c>
      <c r="L233" s="9">
        <v>0</v>
      </c>
      <c r="M233" s="7">
        <v>220.42481108161039</v>
      </c>
      <c r="N233" s="7">
        <f t="shared" si="3"/>
        <v>27.553101385201298</v>
      </c>
      <c r="O233" s="7"/>
      <c r="P233" s="7"/>
    </row>
    <row r="234" spans="5:16" x14ac:dyDescent="0.25">
      <c r="E234" s="6" t="s">
        <v>21</v>
      </c>
      <c r="F234" s="6">
        <v>668179</v>
      </c>
      <c r="G234" s="6" t="s">
        <v>287</v>
      </c>
      <c r="H234" s="5">
        <v>24</v>
      </c>
      <c r="I234" s="6">
        <v>7891800668179</v>
      </c>
      <c r="J234" s="11"/>
      <c r="K234" s="6">
        <v>17891800668176</v>
      </c>
      <c r="L234" s="9">
        <v>0</v>
      </c>
      <c r="M234" s="7">
        <v>102.38407027094752</v>
      </c>
      <c r="N234" s="7">
        <f t="shared" si="3"/>
        <v>4.2660029279561469</v>
      </c>
      <c r="O234" s="7"/>
      <c r="P234" s="7"/>
    </row>
    <row r="235" spans="5:16" x14ac:dyDescent="0.25">
      <c r="E235" s="6" t="s">
        <v>21</v>
      </c>
      <c r="F235" s="6">
        <v>668223</v>
      </c>
      <c r="G235" s="6" t="s">
        <v>288</v>
      </c>
      <c r="H235" s="5">
        <v>24</v>
      </c>
      <c r="I235" s="6">
        <v>7891800668179</v>
      </c>
      <c r="J235" s="11"/>
      <c r="K235" s="6">
        <v>17891800668220</v>
      </c>
      <c r="L235" s="9">
        <v>0</v>
      </c>
      <c r="M235" s="7">
        <v>105.81446437796377</v>
      </c>
      <c r="N235" s="7">
        <f t="shared" si="3"/>
        <v>4.4089360157484903</v>
      </c>
      <c r="O235" s="7"/>
      <c r="P235" s="7"/>
    </row>
    <row r="236" spans="5:16" x14ac:dyDescent="0.25">
      <c r="E236" s="6" t="s">
        <v>21</v>
      </c>
      <c r="F236" s="6">
        <v>668209</v>
      </c>
      <c r="G236" s="6" t="s">
        <v>289</v>
      </c>
      <c r="H236" s="5">
        <v>40</v>
      </c>
      <c r="I236" s="6">
        <v>7891800668209</v>
      </c>
      <c r="J236" s="11"/>
      <c r="K236" s="6">
        <v>17891800668206</v>
      </c>
      <c r="L236" s="9">
        <v>0</v>
      </c>
      <c r="M236" s="7">
        <v>99.393470280215368</v>
      </c>
      <c r="N236" s="7">
        <f t="shared" si="3"/>
        <v>2.4848367570053842</v>
      </c>
      <c r="O236" s="7"/>
      <c r="P236" s="7"/>
    </row>
    <row r="237" spans="5:16" x14ac:dyDescent="0.25">
      <c r="E237" s="6" t="s">
        <v>21</v>
      </c>
      <c r="F237" s="6">
        <v>668216</v>
      </c>
      <c r="G237" s="6" t="s">
        <v>290</v>
      </c>
      <c r="H237" s="5">
        <v>40</v>
      </c>
      <c r="I237" s="6">
        <v>7891800668209</v>
      </c>
      <c r="J237" s="11"/>
      <c r="K237" s="6">
        <v>17891800668213</v>
      </c>
      <c r="L237" s="9">
        <v>0</v>
      </c>
      <c r="M237" s="7">
        <v>100.27305851278362</v>
      </c>
      <c r="N237" s="7">
        <f t="shared" si="3"/>
        <v>2.5068264628195904</v>
      </c>
      <c r="O237" s="7"/>
      <c r="P237" s="7"/>
    </row>
    <row r="238" spans="5:16" x14ac:dyDescent="0.25">
      <c r="E238" s="6" t="s">
        <v>291</v>
      </c>
      <c r="F238" s="6">
        <v>665017</v>
      </c>
      <c r="G238" s="6" t="s">
        <v>292</v>
      </c>
      <c r="H238" s="5">
        <v>72</v>
      </c>
      <c r="I238" s="6">
        <v>7891800665017</v>
      </c>
      <c r="J238" s="11"/>
      <c r="K238" s="6">
        <v>17891800665014</v>
      </c>
      <c r="L238" s="9">
        <v>0</v>
      </c>
      <c r="M238" s="7">
        <v>310.68927838636176</v>
      </c>
      <c r="N238" s="7">
        <f t="shared" si="3"/>
        <v>4.3151288664772469</v>
      </c>
      <c r="O238" s="7"/>
      <c r="P238" s="7"/>
    </row>
    <row r="239" spans="5:16" x14ac:dyDescent="0.25">
      <c r="E239" s="6" t="s">
        <v>291</v>
      </c>
      <c r="F239" s="6">
        <v>665024</v>
      </c>
      <c r="G239" s="6" t="s">
        <v>293</v>
      </c>
      <c r="H239" s="5">
        <v>48</v>
      </c>
      <c r="I239" s="6">
        <v>7891800665024</v>
      </c>
      <c r="J239" s="11"/>
      <c r="K239" s="6">
        <v>17891800665021</v>
      </c>
      <c r="L239" s="9">
        <v>0</v>
      </c>
      <c r="M239" s="7">
        <v>338.68866695614417</v>
      </c>
      <c r="N239" s="7">
        <f t="shared" si="3"/>
        <v>7.05601389491967</v>
      </c>
      <c r="O239" s="7"/>
      <c r="P239" s="7" t="s">
        <v>423</v>
      </c>
    </row>
    <row r="240" spans="5:16" x14ac:dyDescent="0.25">
      <c r="E240" s="6" t="s">
        <v>291</v>
      </c>
      <c r="F240" s="6">
        <v>665437</v>
      </c>
      <c r="G240" s="6" t="s">
        <v>294</v>
      </c>
      <c r="H240" s="5">
        <v>24</v>
      </c>
      <c r="I240" s="6">
        <v>7891800664997</v>
      </c>
      <c r="J240" s="11"/>
      <c r="K240" s="6">
        <v>17891800665434</v>
      </c>
      <c r="L240" s="9">
        <v>0</v>
      </c>
      <c r="M240" s="7">
        <v>300.10053323769938</v>
      </c>
      <c r="N240" s="7">
        <f t="shared" si="3"/>
        <v>12.50418888490414</v>
      </c>
      <c r="O240" s="7"/>
      <c r="P240" s="7"/>
    </row>
    <row r="241" spans="5:16" x14ac:dyDescent="0.25">
      <c r="E241" s="6" t="s">
        <v>291</v>
      </c>
      <c r="F241" s="6">
        <v>665444</v>
      </c>
      <c r="G241" s="6" t="s">
        <v>295</v>
      </c>
      <c r="H241" s="5">
        <v>12</v>
      </c>
      <c r="I241" s="6">
        <v>7891800665444</v>
      </c>
      <c r="J241" s="11"/>
      <c r="K241" s="6">
        <v>17891800665441</v>
      </c>
      <c r="L241" s="9">
        <v>0</v>
      </c>
      <c r="M241" s="7">
        <v>266.00993910054251</v>
      </c>
      <c r="N241" s="7">
        <f t="shared" si="3"/>
        <v>22.167494925045208</v>
      </c>
      <c r="O241" s="7"/>
      <c r="P241" s="7"/>
    </row>
    <row r="242" spans="5:16" x14ac:dyDescent="0.25">
      <c r="E242" s="6" t="s">
        <v>296</v>
      </c>
      <c r="F242" s="6">
        <v>662115</v>
      </c>
      <c r="G242" s="6" t="s">
        <v>297</v>
      </c>
      <c r="H242" s="5">
        <v>36</v>
      </c>
      <c r="I242" s="6">
        <v>7891800662115</v>
      </c>
      <c r="J242" s="11"/>
      <c r="K242" s="6">
        <v>17891800662112</v>
      </c>
      <c r="L242" s="9">
        <v>0</v>
      </c>
      <c r="M242" s="7">
        <v>817.78686617657081</v>
      </c>
      <c r="N242" s="7">
        <f t="shared" si="3"/>
        <v>22.716301838238078</v>
      </c>
      <c r="O242" s="7"/>
      <c r="P242" s="7"/>
    </row>
    <row r="243" spans="5:16" x14ac:dyDescent="0.25">
      <c r="E243" s="6" t="s">
        <v>296</v>
      </c>
      <c r="F243" s="6">
        <v>662146</v>
      </c>
      <c r="G243" s="6" t="s">
        <v>298</v>
      </c>
      <c r="H243" s="5">
        <v>72</v>
      </c>
      <c r="I243" s="6">
        <v>7891800662146</v>
      </c>
      <c r="J243" s="11"/>
      <c r="K243" s="6">
        <v>17891800662143</v>
      </c>
      <c r="L243" s="9">
        <v>0</v>
      </c>
      <c r="M243" s="7">
        <v>284.80243161094228</v>
      </c>
      <c r="N243" s="7">
        <f t="shared" si="3"/>
        <v>3.9555893279297538</v>
      </c>
      <c r="O243" s="7"/>
      <c r="P243" s="7"/>
    </row>
    <row r="244" spans="5:16" x14ac:dyDescent="0.25">
      <c r="E244" s="6" t="s">
        <v>296</v>
      </c>
      <c r="F244" s="6">
        <v>662153</v>
      </c>
      <c r="G244" s="6" t="s">
        <v>299</v>
      </c>
      <c r="H244" s="5">
        <v>48</v>
      </c>
      <c r="I244" s="6">
        <v>7891800662153</v>
      </c>
      <c r="J244" s="11"/>
      <c r="K244" s="6">
        <v>17891800662150</v>
      </c>
      <c r="L244" s="9">
        <v>0</v>
      </c>
      <c r="M244" s="7">
        <v>329.57012592270951</v>
      </c>
      <c r="N244" s="7">
        <f t="shared" si="3"/>
        <v>6.8660442900564478</v>
      </c>
      <c r="O244" s="7"/>
      <c r="P244" s="7"/>
    </row>
    <row r="245" spans="5:16" x14ac:dyDescent="0.25">
      <c r="E245" s="6" t="s">
        <v>296</v>
      </c>
      <c r="F245" s="6">
        <v>662139</v>
      </c>
      <c r="G245" s="6" t="s">
        <v>300</v>
      </c>
      <c r="H245" s="5">
        <v>36</v>
      </c>
      <c r="I245" s="6">
        <v>7891800662139</v>
      </c>
      <c r="J245" s="11"/>
      <c r="K245" s="6">
        <v>17891800662136</v>
      </c>
      <c r="L245" s="9">
        <v>0</v>
      </c>
      <c r="M245" s="7">
        <v>412.64654798089452</v>
      </c>
      <c r="N245" s="7">
        <f t="shared" si="3"/>
        <v>11.462404110580403</v>
      </c>
      <c r="O245" s="7"/>
      <c r="P245" s="7"/>
    </row>
    <row r="246" spans="5:16" x14ac:dyDescent="0.25">
      <c r="E246" s="6" t="s">
        <v>296</v>
      </c>
      <c r="F246" s="6">
        <v>662122</v>
      </c>
      <c r="G246" s="6" t="s">
        <v>301</v>
      </c>
      <c r="H246" s="5">
        <v>24</v>
      </c>
      <c r="I246" s="6">
        <v>7891800662122</v>
      </c>
      <c r="J246" s="11"/>
      <c r="K246" s="6">
        <v>17891800662129</v>
      </c>
      <c r="L246" s="9">
        <v>0</v>
      </c>
      <c r="M246" s="7">
        <v>487.6791141988711</v>
      </c>
      <c r="N246" s="7">
        <f t="shared" si="3"/>
        <v>20.319963091619631</v>
      </c>
      <c r="O246" s="7"/>
      <c r="P246" s="7"/>
    </row>
    <row r="247" spans="5:16" x14ac:dyDescent="0.25">
      <c r="E247" s="6" t="s">
        <v>296</v>
      </c>
      <c r="F247" s="6">
        <v>662160</v>
      </c>
      <c r="G247" s="6" t="s">
        <v>302</v>
      </c>
      <c r="H247" s="5">
        <v>72</v>
      </c>
      <c r="I247" s="6">
        <v>7891800662160</v>
      </c>
      <c r="J247" s="11"/>
      <c r="K247" s="6">
        <v>17891800662167</v>
      </c>
      <c r="L247" s="9">
        <v>0</v>
      </c>
      <c r="M247" s="7">
        <v>502.83626352306442</v>
      </c>
      <c r="N247" s="7">
        <f t="shared" si="3"/>
        <v>6.9838369933758946</v>
      </c>
      <c r="O247" s="7"/>
      <c r="P247" s="7"/>
    </row>
    <row r="248" spans="5:16" x14ac:dyDescent="0.25">
      <c r="E248" s="6" t="s">
        <v>296</v>
      </c>
      <c r="F248" s="6">
        <v>662177</v>
      </c>
      <c r="G248" s="6" t="s">
        <v>303</v>
      </c>
      <c r="H248" s="5">
        <v>48</v>
      </c>
      <c r="I248" s="6">
        <v>7891800662177</v>
      </c>
      <c r="J248" s="11"/>
      <c r="K248" s="6">
        <v>17891800662174</v>
      </c>
      <c r="L248" s="9">
        <v>0</v>
      </c>
      <c r="M248" s="7">
        <v>612.59764616163784</v>
      </c>
      <c r="N248" s="7">
        <f t="shared" si="3"/>
        <v>12.762450961700788</v>
      </c>
      <c r="O248" s="7"/>
      <c r="P248" s="7"/>
    </row>
    <row r="249" spans="5:16" x14ac:dyDescent="0.25">
      <c r="E249" s="6" t="s">
        <v>296</v>
      </c>
      <c r="F249" s="6">
        <v>662108</v>
      </c>
      <c r="G249" s="6" t="s">
        <v>304</v>
      </c>
      <c r="H249" s="5">
        <v>24</v>
      </c>
      <c r="I249" s="6">
        <v>7891800662108</v>
      </c>
      <c r="J249" s="11"/>
      <c r="K249" s="6">
        <v>17891800662105</v>
      </c>
      <c r="L249" s="9">
        <v>0</v>
      </c>
      <c r="M249" s="7">
        <v>1004.122954585349</v>
      </c>
      <c r="N249" s="7">
        <f t="shared" si="3"/>
        <v>41.838456441056209</v>
      </c>
      <c r="O249" s="7"/>
      <c r="P249" s="7"/>
    </row>
    <row r="250" spans="5:16" x14ac:dyDescent="0.25">
      <c r="E250" s="6" t="s">
        <v>296</v>
      </c>
      <c r="F250" s="6">
        <v>666090</v>
      </c>
      <c r="G250" s="6" t="s">
        <v>305</v>
      </c>
      <c r="H250" s="5">
        <v>96</v>
      </c>
      <c r="I250" s="6">
        <v>7891800666090</v>
      </c>
      <c r="J250" s="11"/>
      <c r="K250" s="6">
        <v>17891800666097</v>
      </c>
      <c r="L250" s="9">
        <v>0</v>
      </c>
      <c r="M250" s="7">
        <v>301.65010569847925</v>
      </c>
      <c r="N250" s="7">
        <f t="shared" ref="N250:N312" si="4">M250/H250</f>
        <v>3.1421886010258255</v>
      </c>
      <c r="O250" s="7"/>
      <c r="P250" s="7"/>
    </row>
    <row r="251" spans="5:16" x14ac:dyDescent="0.25">
      <c r="E251" s="6" t="s">
        <v>296</v>
      </c>
      <c r="F251" s="6">
        <v>665512</v>
      </c>
      <c r="G251" s="6" t="s">
        <v>306</v>
      </c>
      <c r="H251" s="5">
        <v>48</v>
      </c>
      <c r="I251" s="6">
        <v>7891800665512</v>
      </c>
      <c r="J251" s="11"/>
      <c r="K251" s="6">
        <v>17891800665519</v>
      </c>
      <c r="L251" s="9">
        <v>0</v>
      </c>
      <c r="M251" s="7">
        <v>147.72590792767994</v>
      </c>
      <c r="N251" s="7">
        <f t="shared" si="4"/>
        <v>3.0776230818266654</v>
      </c>
      <c r="O251" s="7"/>
      <c r="P251" s="7"/>
    </row>
    <row r="252" spans="5:16" x14ac:dyDescent="0.25">
      <c r="E252" s="6" t="s">
        <v>296</v>
      </c>
      <c r="F252" s="6">
        <v>665529</v>
      </c>
      <c r="G252" s="6" t="s">
        <v>307</v>
      </c>
      <c r="H252" s="5">
        <v>72</v>
      </c>
      <c r="I252" s="6">
        <v>7891800665529</v>
      </c>
      <c r="J252" s="11"/>
      <c r="K252" s="6">
        <v>17891800665526</v>
      </c>
      <c r="L252" s="9">
        <v>0</v>
      </c>
      <c r="M252" s="7">
        <v>156.5068185387658</v>
      </c>
      <c r="N252" s="7">
        <f t="shared" si="4"/>
        <v>2.1737058130384139</v>
      </c>
      <c r="O252" s="7"/>
      <c r="P252" s="7"/>
    </row>
    <row r="253" spans="5:16" x14ac:dyDescent="0.25">
      <c r="E253" s="6" t="s">
        <v>296</v>
      </c>
      <c r="F253" s="6">
        <v>665536</v>
      </c>
      <c r="G253" s="6" t="s">
        <v>308</v>
      </c>
      <c r="H253" s="5">
        <v>36</v>
      </c>
      <c r="I253" s="6">
        <v>7891800665536</v>
      </c>
      <c r="J253" s="11"/>
      <c r="K253" s="6">
        <v>17891800665533</v>
      </c>
      <c r="L253" s="9">
        <v>0</v>
      </c>
      <c r="M253" s="7">
        <v>179.75040545046369</v>
      </c>
      <c r="N253" s="7">
        <f t="shared" si="4"/>
        <v>4.9930668180684359</v>
      </c>
      <c r="O253" s="7"/>
      <c r="P253" s="7"/>
    </row>
    <row r="254" spans="5:16" x14ac:dyDescent="0.25">
      <c r="E254" s="6" t="s">
        <v>291</v>
      </c>
      <c r="F254" s="6">
        <v>665543</v>
      </c>
      <c r="G254" s="6" t="s">
        <v>309</v>
      </c>
      <c r="H254" s="5">
        <v>48</v>
      </c>
      <c r="I254" s="6">
        <v>7891800665543</v>
      </c>
      <c r="J254" s="11"/>
      <c r="K254" s="6">
        <v>17891800665540</v>
      </c>
      <c r="L254" s="9">
        <v>0</v>
      </c>
      <c r="M254" s="7">
        <v>169.41992237859796</v>
      </c>
      <c r="N254" s="7">
        <f t="shared" si="4"/>
        <v>3.529581716220791</v>
      </c>
      <c r="O254" s="7"/>
      <c r="P254" s="7"/>
    </row>
    <row r="255" spans="5:16" x14ac:dyDescent="0.25">
      <c r="E255" s="6" t="s">
        <v>73</v>
      </c>
      <c r="F255" s="6">
        <v>666137</v>
      </c>
      <c r="G255" s="6" t="s">
        <v>310</v>
      </c>
      <c r="H255" s="5">
        <v>20</v>
      </c>
      <c r="I255" s="6">
        <v>7891800666137</v>
      </c>
      <c r="J255" s="11"/>
      <c r="K255" s="6">
        <v>17891800666134</v>
      </c>
      <c r="L255" s="9">
        <v>0</v>
      </c>
      <c r="M255" s="7">
        <v>597.37299174989141</v>
      </c>
      <c r="N255" s="7">
        <f t="shared" si="4"/>
        <v>29.86864958749457</v>
      </c>
      <c r="O255" s="7"/>
      <c r="P255" s="7"/>
    </row>
    <row r="256" spans="5:16" x14ac:dyDescent="0.25">
      <c r="E256" s="6" t="s">
        <v>108</v>
      </c>
      <c r="F256" s="6">
        <v>672657</v>
      </c>
      <c r="G256" s="6" t="s">
        <v>311</v>
      </c>
      <c r="H256" s="5">
        <v>12</v>
      </c>
      <c r="I256" s="6">
        <v>7891800672657</v>
      </c>
      <c r="J256" s="11"/>
      <c r="K256" s="6">
        <v>17891800672654</v>
      </c>
      <c r="L256" s="9">
        <v>0</v>
      </c>
      <c r="M256" s="7">
        <v>217.45666866277358</v>
      </c>
      <c r="N256" s="7">
        <f t="shared" si="4"/>
        <v>18.121389055231131</v>
      </c>
      <c r="O256" s="7"/>
      <c r="P256" s="7"/>
    </row>
    <row r="257" spans="5:16" x14ac:dyDescent="0.25">
      <c r="E257" s="6" t="s">
        <v>132</v>
      </c>
      <c r="F257" s="6">
        <v>673715</v>
      </c>
      <c r="G257" s="6" t="s">
        <v>312</v>
      </c>
      <c r="H257" s="5">
        <v>60</v>
      </c>
      <c r="I257" s="6">
        <v>7891800673715</v>
      </c>
      <c r="J257" s="11"/>
      <c r="K257" s="6">
        <v>17891800673712</v>
      </c>
      <c r="L257" s="9">
        <v>0</v>
      </c>
      <c r="M257" s="7">
        <v>97.634293815078792</v>
      </c>
      <c r="N257" s="7">
        <f t="shared" si="4"/>
        <v>1.6272382302513131</v>
      </c>
      <c r="O257" s="7"/>
      <c r="P257" s="7"/>
    </row>
    <row r="258" spans="5:16" x14ac:dyDescent="0.25">
      <c r="E258" s="6" t="s">
        <v>132</v>
      </c>
      <c r="F258" s="6">
        <v>673722</v>
      </c>
      <c r="G258" s="6" t="s">
        <v>313</v>
      </c>
      <c r="H258" s="5">
        <v>24</v>
      </c>
      <c r="I258" s="6">
        <v>7891800673722</v>
      </c>
      <c r="J258" s="11"/>
      <c r="K258" s="6">
        <v>17891800673729</v>
      </c>
      <c r="L258" s="9">
        <v>0</v>
      </c>
      <c r="M258" s="7">
        <v>78.635187991604013</v>
      </c>
      <c r="N258" s="7">
        <f t="shared" si="4"/>
        <v>3.2764661663168337</v>
      </c>
      <c r="O258" s="7"/>
      <c r="P258" s="7"/>
    </row>
    <row r="259" spans="5:16" x14ac:dyDescent="0.25">
      <c r="E259" s="6" t="s">
        <v>177</v>
      </c>
      <c r="F259" s="6">
        <v>670967</v>
      </c>
      <c r="G259" s="6" t="s">
        <v>314</v>
      </c>
      <c r="H259" s="5">
        <v>72</v>
      </c>
      <c r="I259" s="6">
        <v>7891800670967</v>
      </c>
      <c r="J259" s="11"/>
      <c r="K259" s="6">
        <v>17891800670964</v>
      </c>
      <c r="L259" s="9">
        <v>0</v>
      </c>
      <c r="M259" s="7">
        <v>157.53425245297854</v>
      </c>
      <c r="N259" s="7">
        <f t="shared" si="4"/>
        <v>2.1879757285135906</v>
      </c>
      <c r="O259" s="7"/>
      <c r="P259" s="7"/>
    </row>
    <row r="260" spans="5:16" x14ac:dyDescent="0.25">
      <c r="E260" s="6" t="s">
        <v>21</v>
      </c>
      <c r="F260" s="6">
        <v>670837</v>
      </c>
      <c r="G260" s="6" t="s">
        <v>315</v>
      </c>
      <c r="H260" s="5">
        <v>24</v>
      </c>
      <c r="I260" s="6">
        <v>7891800670837</v>
      </c>
      <c r="J260" s="11"/>
      <c r="K260" s="6">
        <v>17891800670834</v>
      </c>
      <c r="L260" s="9">
        <v>0</v>
      </c>
      <c r="M260" s="7">
        <v>343.30328717139872</v>
      </c>
      <c r="N260" s="7">
        <f t="shared" si="4"/>
        <v>14.304303632141613</v>
      </c>
      <c r="O260" s="7"/>
      <c r="P260" s="7"/>
    </row>
    <row r="261" spans="5:16" x14ac:dyDescent="0.25">
      <c r="E261" s="6" t="s">
        <v>179</v>
      </c>
      <c r="F261" s="6">
        <v>670981</v>
      </c>
      <c r="G261" s="6" t="s">
        <v>316</v>
      </c>
      <c r="H261" s="5">
        <v>6</v>
      </c>
      <c r="I261" s="6">
        <v>7891800670981</v>
      </c>
      <c r="J261" s="11"/>
      <c r="K261" s="6">
        <v>17891800670988</v>
      </c>
      <c r="L261" s="9">
        <v>0</v>
      </c>
      <c r="M261" s="7">
        <v>198.30316703251819</v>
      </c>
      <c r="N261" s="7">
        <f t="shared" si="4"/>
        <v>33.050527838753034</v>
      </c>
      <c r="O261" s="7"/>
      <c r="P261" s="7"/>
    </row>
    <row r="262" spans="5:16" x14ac:dyDescent="0.25">
      <c r="E262" s="6" t="s">
        <v>48</v>
      </c>
      <c r="F262" s="6">
        <v>670141</v>
      </c>
      <c r="G262" s="6" t="s">
        <v>317</v>
      </c>
      <c r="H262" s="5">
        <v>50</v>
      </c>
      <c r="I262" s="6">
        <v>7891800670141</v>
      </c>
      <c r="J262" s="11"/>
      <c r="K262" s="6">
        <v>17891800670148</v>
      </c>
      <c r="L262" s="9">
        <v>0</v>
      </c>
      <c r="M262" s="7">
        <v>81.244944992277354</v>
      </c>
      <c r="N262" s="7">
        <f t="shared" si="4"/>
        <v>1.6248988998455471</v>
      </c>
      <c r="O262" s="7"/>
      <c r="P262" s="7"/>
    </row>
    <row r="263" spans="5:16" x14ac:dyDescent="0.25">
      <c r="E263" s="6" t="s">
        <v>204</v>
      </c>
      <c r="F263" s="6">
        <v>653182</v>
      </c>
      <c r="G263" s="6" t="s">
        <v>318</v>
      </c>
      <c r="H263" s="5">
        <v>24</v>
      </c>
      <c r="I263" s="6">
        <v>7898936110169</v>
      </c>
      <c r="J263" s="11"/>
      <c r="K263" s="6">
        <v>17898936110166</v>
      </c>
      <c r="L263" s="9">
        <v>0</v>
      </c>
      <c r="M263" s="7">
        <v>158.32588186228992</v>
      </c>
      <c r="N263" s="7">
        <f t="shared" si="4"/>
        <v>6.5969117442620799</v>
      </c>
      <c r="O263" s="7"/>
      <c r="P263" s="7"/>
    </row>
    <row r="264" spans="5:16" x14ac:dyDescent="0.25">
      <c r="E264" s="6" t="s">
        <v>204</v>
      </c>
      <c r="F264" s="6">
        <v>653199</v>
      </c>
      <c r="G264" s="6" t="s">
        <v>319</v>
      </c>
      <c r="H264" s="5">
        <v>24</v>
      </c>
      <c r="I264" s="6">
        <v>7898936110756</v>
      </c>
      <c r="J264" s="11"/>
      <c r="K264" s="6">
        <v>17898936110753</v>
      </c>
      <c r="L264" s="9">
        <v>0</v>
      </c>
      <c r="M264" s="7">
        <v>301.34692847789182</v>
      </c>
      <c r="N264" s="7">
        <f t="shared" si="4"/>
        <v>12.556122019912159</v>
      </c>
      <c r="O264" s="7"/>
      <c r="P264" s="7"/>
    </row>
    <row r="265" spans="5:16" x14ac:dyDescent="0.25">
      <c r="E265" s="6" t="s">
        <v>204</v>
      </c>
      <c r="F265" s="6">
        <v>646573</v>
      </c>
      <c r="G265" s="6" t="s">
        <v>320</v>
      </c>
      <c r="H265" s="5">
        <v>24</v>
      </c>
      <c r="I265" s="6">
        <v>7898936110091</v>
      </c>
      <c r="J265" s="11"/>
      <c r="K265" s="6">
        <v>17898936110098</v>
      </c>
      <c r="L265" s="9">
        <v>0</v>
      </c>
      <c r="M265" s="7">
        <v>158.32588186228992</v>
      </c>
      <c r="N265" s="7">
        <f t="shared" si="4"/>
        <v>6.5969117442620799</v>
      </c>
      <c r="O265" s="7"/>
      <c r="P265" s="7"/>
    </row>
    <row r="266" spans="5:16" x14ac:dyDescent="0.25">
      <c r="E266" s="6" t="s">
        <v>204</v>
      </c>
      <c r="F266" s="6">
        <v>812152</v>
      </c>
      <c r="G266" s="6" t="s">
        <v>321</v>
      </c>
      <c r="H266" s="5">
        <v>24</v>
      </c>
      <c r="I266" s="6">
        <v>7898936112569</v>
      </c>
      <c r="J266" s="11"/>
      <c r="K266" s="6">
        <v>17898936112566</v>
      </c>
      <c r="L266" s="9">
        <v>0</v>
      </c>
      <c r="M266" s="7">
        <v>301.34692847789182</v>
      </c>
      <c r="N266" s="7">
        <f t="shared" si="4"/>
        <v>12.556122019912159</v>
      </c>
      <c r="O266" s="7"/>
      <c r="P266" s="7"/>
    </row>
    <row r="267" spans="5:16" x14ac:dyDescent="0.25">
      <c r="E267" s="6" t="s">
        <v>322</v>
      </c>
      <c r="F267" s="6">
        <v>653250</v>
      </c>
      <c r="G267" s="6" t="s">
        <v>323</v>
      </c>
      <c r="H267" s="5">
        <v>24</v>
      </c>
      <c r="I267" s="6">
        <v>7898936110558</v>
      </c>
      <c r="J267" s="11"/>
      <c r="K267" s="6">
        <v>17898936110555</v>
      </c>
      <c r="L267" s="9">
        <v>0</v>
      </c>
      <c r="M267" s="7">
        <v>157.27037598320803</v>
      </c>
      <c r="N267" s="7">
        <f t="shared" si="4"/>
        <v>6.5529323326336675</v>
      </c>
      <c r="O267" s="7"/>
      <c r="P267" s="7"/>
    </row>
    <row r="268" spans="5:16" x14ac:dyDescent="0.25">
      <c r="E268" s="6" t="s">
        <v>322</v>
      </c>
      <c r="F268" s="6">
        <v>653267</v>
      </c>
      <c r="G268" s="6" t="s">
        <v>324</v>
      </c>
      <c r="H268" s="5">
        <v>24</v>
      </c>
      <c r="I268" s="6">
        <v>7898936110404</v>
      </c>
      <c r="J268" s="11"/>
      <c r="K268" s="6">
        <v>17898936110401</v>
      </c>
      <c r="L268" s="9">
        <v>0</v>
      </c>
      <c r="M268" s="7">
        <v>298.97204024995756</v>
      </c>
      <c r="N268" s="7">
        <f t="shared" si="4"/>
        <v>12.457168343748231</v>
      </c>
      <c r="O268" s="7"/>
      <c r="P268" s="7"/>
    </row>
    <row r="269" spans="5:16" x14ac:dyDescent="0.25">
      <c r="E269" s="6" t="s">
        <v>322</v>
      </c>
      <c r="F269" s="6">
        <v>653274</v>
      </c>
      <c r="G269" s="6" t="s">
        <v>325</v>
      </c>
      <c r="H269" s="5">
        <v>48</v>
      </c>
      <c r="I269" s="6">
        <v>7898936111302</v>
      </c>
      <c r="J269" s="11"/>
      <c r="K269" s="6">
        <v>17898936111309</v>
      </c>
      <c r="L269" s="9">
        <v>0</v>
      </c>
      <c r="M269" s="7">
        <v>239.59983455159883</v>
      </c>
      <c r="N269" s="7">
        <f t="shared" si="4"/>
        <v>4.991663219824976</v>
      </c>
      <c r="O269" s="7"/>
      <c r="P269" s="7"/>
    </row>
    <row r="270" spans="5:16" x14ac:dyDescent="0.25">
      <c r="E270" s="6" t="s">
        <v>322</v>
      </c>
      <c r="F270" s="6">
        <v>653281</v>
      </c>
      <c r="G270" s="6" t="s">
        <v>326</v>
      </c>
      <c r="H270" s="5">
        <v>24</v>
      </c>
      <c r="I270" s="6">
        <v>7898936111340</v>
      </c>
      <c r="J270" s="11"/>
      <c r="K270" s="6">
        <v>17898936111347</v>
      </c>
      <c r="L270" s="9">
        <v>0</v>
      </c>
      <c r="M270" s="7">
        <v>227.19764047238607</v>
      </c>
      <c r="N270" s="7">
        <f t="shared" si="4"/>
        <v>9.4665683530160862</v>
      </c>
      <c r="O270" s="7"/>
      <c r="P270" s="7"/>
    </row>
    <row r="271" spans="5:16" x14ac:dyDescent="0.25">
      <c r="E271" s="6" t="s">
        <v>322</v>
      </c>
      <c r="F271" s="6">
        <v>653298</v>
      </c>
      <c r="G271" s="6" t="s">
        <v>327</v>
      </c>
      <c r="H271" s="5">
        <v>24</v>
      </c>
      <c r="I271" s="6">
        <v>7908032300576</v>
      </c>
      <c r="J271" s="11"/>
      <c r="K271" s="6">
        <v>17908032300573</v>
      </c>
      <c r="L271" s="9">
        <v>0</v>
      </c>
      <c r="M271" s="7">
        <v>99.745305573242661</v>
      </c>
      <c r="N271" s="7">
        <f t="shared" si="4"/>
        <v>4.1560543988851109</v>
      </c>
      <c r="O271" s="7"/>
      <c r="P271" s="7"/>
    </row>
    <row r="272" spans="5:16" x14ac:dyDescent="0.25">
      <c r="E272" s="6" t="s">
        <v>322</v>
      </c>
      <c r="F272" s="6">
        <v>653304</v>
      </c>
      <c r="G272" s="6" t="s">
        <v>328</v>
      </c>
      <c r="H272" s="5">
        <v>24</v>
      </c>
      <c r="I272" s="6">
        <v>7908032300583</v>
      </c>
      <c r="J272" s="11"/>
      <c r="K272" s="6">
        <v>17908032300580</v>
      </c>
      <c r="L272" s="9">
        <v>0</v>
      </c>
      <c r="M272" s="7">
        <v>189.19942882543648</v>
      </c>
      <c r="N272" s="7">
        <f t="shared" si="4"/>
        <v>7.8833095343931872</v>
      </c>
      <c r="O272" s="7"/>
      <c r="P272" s="7"/>
    </row>
    <row r="273" spans="5:16" x14ac:dyDescent="0.25">
      <c r="E273" s="6" t="s">
        <v>329</v>
      </c>
      <c r="F273" s="6">
        <v>615401</v>
      </c>
      <c r="G273" s="6" t="s">
        <v>330</v>
      </c>
      <c r="H273" s="5">
        <v>24</v>
      </c>
      <c r="I273" s="6">
        <v>7898936111197</v>
      </c>
      <c r="J273" s="11"/>
      <c r="K273" s="6">
        <v>17898936111194</v>
      </c>
      <c r="L273" s="9">
        <v>0</v>
      </c>
      <c r="M273" s="7">
        <v>230.89191104917288</v>
      </c>
      <c r="N273" s="7">
        <f t="shared" si="4"/>
        <v>9.6204962937155365</v>
      </c>
      <c r="O273" s="7"/>
      <c r="P273" s="7"/>
    </row>
    <row r="274" spans="5:16" x14ac:dyDescent="0.25">
      <c r="E274" s="6" t="s">
        <v>331</v>
      </c>
      <c r="F274" s="6">
        <v>380187</v>
      </c>
      <c r="G274" s="6" t="s">
        <v>332</v>
      </c>
      <c r="H274" s="5">
        <v>24</v>
      </c>
      <c r="I274" s="6">
        <v>7898936110565</v>
      </c>
      <c r="J274" s="11"/>
      <c r="K274" s="6">
        <v>17898936110562</v>
      </c>
      <c r="L274" s="9">
        <v>0</v>
      </c>
      <c r="M274" s="7">
        <v>224.29499930491076</v>
      </c>
      <c r="N274" s="7">
        <f t="shared" si="4"/>
        <v>9.3456249710379478</v>
      </c>
      <c r="O274" s="7"/>
      <c r="P274" s="7"/>
    </row>
    <row r="275" spans="5:16" x14ac:dyDescent="0.25">
      <c r="E275" s="6" t="s">
        <v>329</v>
      </c>
      <c r="F275" s="6">
        <v>649260</v>
      </c>
      <c r="G275" s="6" t="s">
        <v>333</v>
      </c>
      <c r="H275" s="5">
        <v>24</v>
      </c>
      <c r="I275" s="6">
        <v>7898936111173</v>
      </c>
      <c r="J275" s="11"/>
      <c r="K275" s="6">
        <v>17898936111170</v>
      </c>
      <c r="L275" s="9">
        <v>0</v>
      </c>
      <c r="M275" s="7">
        <v>182.33864061140395</v>
      </c>
      <c r="N275" s="7">
        <f t="shared" si="4"/>
        <v>7.5974433588084977</v>
      </c>
      <c r="O275" s="7"/>
      <c r="P275" s="7"/>
    </row>
    <row r="276" spans="5:16" x14ac:dyDescent="0.25">
      <c r="E276" s="6" t="s">
        <v>329</v>
      </c>
      <c r="F276" s="6">
        <v>647426</v>
      </c>
      <c r="G276" s="6" t="s">
        <v>334</v>
      </c>
      <c r="H276" s="5">
        <v>12</v>
      </c>
      <c r="I276" s="6">
        <v>7898936112583</v>
      </c>
      <c r="J276" s="11"/>
      <c r="K276" s="6">
        <v>17898936112580</v>
      </c>
      <c r="L276" s="9">
        <v>0</v>
      </c>
      <c r="M276" s="7">
        <v>79.822632105571174</v>
      </c>
      <c r="N276" s="7">
        <f t="shared" si="4"/>
        <v>6.6518860087975975</v>
      </c>
      <c r="O276" s="7"/>
      <c r="P276" s="7"/>
    </row>
    <row r="277" spans="5:16" x14ac:dyDescent="0.25">
      <c r="E277" s="6" t="s">
        <v>329</v>
      </c>
      <c r="F277" s="6">
        <v>647433</v>
      </c>
      <c r="G277" s="6" t="s">
        <v>335</v>
      </c>
      <c r="H277" s="5">
        <v>12</v>
      </c>
      <c r="I277" s="6">
        <v>7898936112606</v>
      </c>
      <c r="J277" s="11"/>
      <c r="K277" s="6">
        <v>17898936112603</v>
      </c>
      <c r="L277" s="9">
        <v>0</v>
      </c>
      <c r="M277" s="7">
        <v>93.676146768521534</v>
      </c>
      <c r="N277" s="7">
        <f t="shared" si="4"/>
        <v>7.8063455640434611</v>
      </c>
      <c r="O277" s="7"/>
      <c r="P277" s="7"/>
    </row>
    <row r="278" spans="5:16" x14ac:dyDescent="0.25">
      <c r="E278" s="6" t="s">
        <v>329</v>
      </c>
      <c r="F278" s="6">
        <v>647440</v>
      </c>
      <c r="G278" s="6" t="s">
        <v>336</v>
      </c>
      <c r="H278" s="5">
        <v>12</v>
      </c>
      <c r="I278" s="6">
        <v>7898936112590</v>
      </c>
      <c r="J278" s="11"/>
      <c r="K278" s="6">
        <v>17898936112597</v>
      </c>
      <c r="L278" s="9">
        <v>0</v>
      </c>
      <c r="M278" s="7">
        <v>82.329458568390791</v>
      </c>
      <c r="N278" s="7">
        <f t="shared" si="4"/>
        <v>6.8607882140325662</v>
      </c>
      <c r="O278" s="7"/>
      <c r="P278" s="7"/>
    </row>
    <row r="279" spans="5:16" x14ac:dyDescent="0.25">
      <c r="E279" s="6" t="s">
        <v>337</v>
      </c>
      <c r="F279" s="6">
        <v>646627</v>
      </c>
      <c r="G279" s="6" t="s">
        <v>338</v>
      </c>
      <c r="H279" s="5">
        <v>24</v>
      </c>
      <c r="I279" s="6">
        <v>7898936110619</v>
      </c>
      <c r="J279" s="11"/>
      <c r="K279" s="6">
        <v>17898936110616</v>
      </c>
      <c r="L279" s="9">
        <v>0</v>
      </c>
      <c r="M279" s="7">
        <v>81.273952689308857</v>
      </c>
      <c r="N279" s="7">
        <f t="shared" si="4"/>
        <v>3.3864146953878689</v>
      </c>
      <c r="O279" s="7"/>
      <c r="P279" s="7"/>
    </row>
    <row r="280" spans="5:16" x14ac:dyDescent="0.25">
      <c r="E280" s="6" t="s">
        <v>184</v>
      </c>
      <c r="F280" s="6">
        <v>646610</v>
      </c>
      <c r="G280" s="6" t="s">
        <v>339</v>
      </c>
      <c r="H280" s="5">
        <v>24</v>
      </c>
      <c r="I280" s="6">
        <v>7898936110800</v>
      </c>
      <c r="J280" s="11"/>
      <c r="K280" s="6">
        <v>17898936110807</v>
      </c>
      <c r="L280" s="9">
        <v>0</v>
      </c>
      <c r="M280" s="7">
        <v>165.45054654609299</v>
      </c>
      <c r="N280" s="7">
        <f t="shared" si="4"/>
        <v>6.8937727727538745</v>
      </c>
      <c r="O280" s="7"/>
      <c r="P280" s="7"/>
    </row>
    <row r="281" spans="5:16" x14ac:dyDescent="0.25">
      <c r="E281" s="6" t="s">
        <v>204</v>
      </c>
      <c r="F281" s="6">
        <v>653205</v>
      </c>
      <c r="G281" s="6" t="s">
        <v>340</v>
      </c>
      <c r="H281" s="5">
        <v>24</v>
      </c>
      <c r="I281" s="6">
        <v>7898936110053</v>
      </c>
      <c r="J281" s="11"/>
      <c r="K281" s="6">
        <v>17898936110050</v>
      </c>
      <c r="L281" s="9">
        <v>0</v>
      </c>
      <c r="M281" s="7">
        <v>158.32588186228992</v>
      </c>
      <c r="N281" s="7">
        <f t="shared" si="4"/>
        <v>6.5969117442620799</v>
      </c>
      <c r="O281" s="7"/>
      <c r="P281" s="7"/>
    </row>
    <row r="282" spans="5:16" x14ac:dyDescent="0.25">
      <c r="E282" s="6" t="s">
        <v>204</v>
      </c>
      <c r="F282" s="6">
        <v>646580</v>
      </c>
      <c r="G282" s="6" t="s">
        <v>341</v>
      </c>
      <c r="H282" s="5">
        <v>24</v>
      </c>
      <c r="I282" s="6">
        <v>7898936110176</v>
      </c>
      <c r="J282" s="11"/>
      <c r="K282" s="6">
        <v>17898936110173</v>
      </c>
      <c r="L282" s="9">
        <v>0</v>
      </c>
      <c r="M282" s="7">
        <v>206.08752289074746</v>
      </c>
      <c r="N282" s="7">
        <f t="shared" si="4"/>
        <v>8.5869801204478104</v>
      </c>
      <c r="O282" s="7"/>
      <c r="P282" s="7"/>
    </row>
    <row r="283" spans="5:16" x14ac:dyDescent="0.25">
      <c r="E283" s="6" t="s">
        <v>204</v>
      </c>
      <c r="F283" s="6">
        <v>673490</v>
      </c>
      <c r="G283" s="6" t="s">
        <v>342</v>
      </c>
      <c r="H283" s="5">
        <v>24</v>
      </c>
      <c r="I283" s="6">
        <v>7898936112545</v>
      </c>
      <c r="J283" s="11"/>
      <c r="K283" s="6">
        <v>17898936112542</v>
      </c>
      <c r="L283" s="9">
        <v>0</v>
      </c>
      <c r="M283" s="7">
        <v>218.75359343973065</v>
      </c>
      <c r="N283" s="7">
        <f t="shared" si="4"/>
        <v>9.1147330599887777</v>
      </c>
      <c r="O283" s="7"/>
      <c r="P283" s="7"/>
    </row>
    <row r="284" spans="5:16" x14ac:dyDescent="0.25">
      <c r="E284" s="6" t="s">
        <v>204</v>
      </c>
      <c r="F284" s="6">
        <v>646597</v>
      </c>
      <c r="G284" s="6" t="s">
        <v>343</v>
      </c>
      <c r="H284" s="5">
        <v>24</v>
      </c>
      <c r="I284" s="6">
        <v>7898936111159</v>
      </c>
      <c r="J284" s="11"/>
      <c r="K284" s="6">
        <v>17898936111156</v>
      </c>
      <c r="L284" s="9">
        <v>0</v>
      </c>
      <c r="M284" s="7">
        <v>190.25493470451838</v>
      </c>
      <c r="N284" s="7">
        <f t="shared" si="4"/>
        <v>7.9272889460215987</v>
      </c>
      <c r="O284" s="7"/>
      <c r="P284" s="7"/>
    </row>
    <row r="285" spans="5:16" x14ac:dyDescent="0.25">
      <c r="E285" s="6" t="s">
        <v>204</v>
      </c>
      <c r="F285" s="6">
        <v>673497</v>
      </c>
      <c r="G285" s="6" t="s">
        <v>344</v>
      </c>
      <c r="H285" s="5">
        <v>24</v>
      </c>
      <c r="I285" s="6">
        <v>7898936112552</v>
      </c>
      <c r="J285" s="11"/>
      <c r="K285" s="6">
        <v>17898936112559</v>
      </c>
      <c r="L285" s="9">
        <v>0</v>
      </c>
      <c r="M285" s="7">
        <v>387.63453409283983</v>
      </c>
      <c r="N285" s="7">
        <f t="shared" si="4"/>
        <v>16.151438920534993</v>
      </c>
      <c r="O285" s="7"/>
      <c r="P285" s="7"/>
    </row>
    <row r="286" spans="5:16" x14ac:dyDescent="0.25">
      <c r="E286" s="6" t="s">
        <v>204</v>
      </c>
      <c r="F286" s="6">
        <v>673497</v>
      </c>
      <c r="G286" s="6" t="s">
        <v>345</v>
      </c>
      <c r="H286" s="5">
        <v>24</v>
      </c>
      <c r="I286" s="6">
        <v>7898936112552</v>
      </c>
      <c r="J286" s="11"/>
      <c r="K286" s="6">
        <v>17898936112559</v>
      </c>
      <c r="L286" s="9">
        <v>0</v>
      </c>
      <c r="M286" s="7">
        <v>387.63453409283983</v>
      </c>
      <c r="N286" s="7">
        <f t="shared" si="4"/>
        <v>16.151438920534993</v>
      </c>
      <c r="O286" s="7"/>
      <c r="P286" s="7"/>
    </row>
    <row r="287" spans="5:16" x14ac:dyDescent="0.25">
      <c r="E287" s="6" t="s">
        <v>204</v>
      </c>
      <c r="F287" s="6">
        <v>653311</v>
      </c>
      <c r="G287" s="6" t="s">
        <v>346</v>
      </c>
      <c r="H287" s="5">
        <v>6</v>
      </c>
      <c r="I287" s="6">
        <v>7898936110152</v>
      </c>
      <c r="J287" s="11"/>
      <c r="K287" s="6">
        <v>17898936110159</v>
      </c>
      <c r="L287" s="9">
        <v>0</v>
      </c>
      <c r="M287" s="7">
        <v>206.81318318261631</v>
      </c>
      <c r="N287" s="7">
        <f t="shared" si="4"/>
        <v>34.468863863769386</v>
      </c>
      <c r="O287" s="7"/>
      <c r="P287" s="7"/>
    </row>
    <row r="288" spans="5:16" x14ac:dyDescent="0.25">
      <c r="E288" s="6" t="s">
        <v>204</v>
      </c>
      <c r="F288" s="6">
        <v>653328</v>
      </c>
      <c r="G288" s="6" t="s">
        <v>347</v>
      </c>
      <c r="H288" s="5">
        <v>6</v>
      </c>
      <c r="I288" s="6">
        <v>7898936110190</v>
      </c>
      <c r="J288" s="11"/>
      <c r="K288" s="6">
        <v>17898936110197</v>
      </c>
      <c r="L288" s="9">
        <v>0</v>
      </c>
      <c r="M288" s="7">
        <v>218.55568608740282</v>
      </c>
      <c r="N288" s="7">
        <f t="shared" si="4"/>
        <v>36.425947681233801</v>
      </c>
      <c r="O288" s="7"/>
      <c r="P288" s="7"/>
    </row>
    <row r="289" spans="5:16" x14ac:dyDescent="0.25">
      <c r="E289" s="6" t="s">
        <v>322</v>
      </c>
      <c r="F289" s="6">
        <v>653342</v>
      </c>
      <c r="G289" s="6" t="s">
        <v>348</v>
      </c>
      <c r="H289" s="5">
        <v>6</v>
      </c>
      <c r="I289" s="6">
        <v>7908032300415</v>
      </c>
      <c r="J289" s="11"/>
      <c r="K289" s="6">
        <v>17908032300412</v>
      </c>
      <c r="L289" s="9">
        <v>0</v>
      </c>
      <c r="M289" s="7">
        <v>141.56972603186426</v>
      </c>
      <c r="N289" s="7">
        <f t="shared" si="4"/>
        <v>23.594954338644044</v>
      </c>
      <c r="O289" s="7"/>
      <c r="P289" s="7"/>
    </row>
    <row r="290" spans="5:16" x14ac:dyDescent="0.25">
      <c r="E290" s="6" t="s">
        <v>204</v>
      </c>
      <c r="F290" s="6">
        <v>653212</v>
      </c>
      <c r="G290" s="6" t="s">
        <v>349</v>
      </c>
      <c r="H290" s="5">
        <v>24</v>
      </c>
      <c r="I290" s="6">
        <v>7898936112576</v>
      </c>
      <c r="J290" s="11"/>
      <c r="K290" s="6">
        <v>17898936112573</v>
      </c>
      <c r="L290" s="9">
        <v>0</v>
      </c>
      <c r="M290" s="7">
        <v>301.34692847789182</v>
      </c>
      <c r="N290" s="7">
        <f t="shared" si="4"/>
        <v>12.556122019912159</v>
      </c>
      <c r="O290" s="7"/>
      <c r="P290" s="7"/>
    </row>
    <row r="291" spans="5:16" x14ac:dyDescent="0.25">
      <c r="E291" s="6" t="s">
        <v>204</v>
      </c>
      <c r="F291" s="6">
        <v>653335</v>
      </c>
      <c r="G291" s="6" t="s">
        <v>350</v>
      </c>
      <c r="H291" s="5">
        <v>6</v>
      </c>
      <c r="I291" s="6">
        <v>7908032300507</v>
      </c>
      <c r="J291" s="11"/>
      <c r="K291" s="6">
        <v>17908032300504</v>
      </c>
      <c r="L291" s="9">
        <v>0</v>
      </c>
      <c r="M291" s="7">
        <v>189.00152147310871</v>
      </c>
      <c r="N291" s="7">
        <f t="shared" si="4"/>
        <v>31.500253578851453</v>
      </c>
      <c r="O291" s="7"/>
      <c r="P291" s="7"/>
    </row>
    <row r="292" spans="5:16" x14ac:dyDescent="0.25">
      <c r="E292" s="6" t="s">
        <v>160</v>
      </c>
      <c r="F292" s="6">
        <v>642582</v>
      </c>
      <c r="G292" s="6" t="s">
        <v>351</v>
      </c>
      <c r="H292" s="5">
        <v>24</v>
      </c>
      <c r="I292" s="6">
        <v>7898924640098</v>
      </c>
      <c r="J292" s="11"/>
      <c r="K292" s="6">
        <v>17898947390984</v>
      </c>
      <c r="L292" s="9">
        <v>0</v>
      </c>
      <c r="M292" s="7">
        <v>112.93912906176685</v>
      </c>
      <c r="N292" s="7">
        <f t="shared" si="4"/>
        <v>4.7057970442402857</v>
      </c>
      <c r="O292" s="7"/>
      <c r="P292" s="7"/>
    </row>
    <row r="293" spans="5:16" x14ac:dyDescent="0.25">
      <c r="E293" s="6" t="s">
        <v>160</v>
      </c>
      <c r="F293" s="6">
        <v>642607</v>
      </c>
      <c r="G293" s="6" t="s">
        <v>352</v>
      </c>
      <c r="H293" s="5">
        <v>18</v>
      </c>
      <c r="I293" s="6">
        <v>7898947390284</v>
      </c>
      <c r="J293" s="11"/>
      <c r="K293" s="6">
        <v>17898947390281</v>
      </c>
      <c r="L293" s="9">
        <v>0</v>
      </c>
      <c r="M293" s="7">
        <v>203.84457289769836</v>
      </c>
      <c r="N293" s="7">
        <f t="shared" si="4"/>
        <v>11.324698494316575</v>
      </c>
      <c r="O293" s="7"/>
      <c r="P293" s="7"/>
    </row>
    <row r="294" spans="5:16" x14ac:dyDescent="0.25">
      <c r="E294" s="6" t="s">
        <v>160</v>
      </c>
      <c r="F294" s="6">
        <v>642609</v>
      </c>
      <c r="G294" s="6" t="s">
        <v>353</v>
      </c>
      <c r="H294" s="5">
        <v>18</v>
      </c>
      <c r="I294" s="6">
        <v>7898959957451</v>
      </c>
      <c r="J294" s="11"/>
      <c r="K294" s="6">
        <v>17898959957458</v>
      </c>
      <c r="L294" s="9">
        <v>0</v>
      </c>
      <c r="M294" s="7">
        <v>254.90466979828687</v>
      </c>
      <c r="N294" s="7">
        <f t="shared" si="4"/>
        <v>14.161370544349271</v>
      </c>
      <c r="O294" s="7"/>
      <c r="P294" s="7"/>
    </row>
    <row r="295" spans="5:16" x14ac:dyDescent="0.25">
      <c r="E295" s="6" t="s">
        <v>160</v>
      </c>
      <c r="F295" s="6">
        <v>642611</v>
      </c>
      <c r="G295" s="6" t="s">
        <v>354</v>
      </c>
      <c r="H295" s="5">
        <v>30</v>
      </c>
      <c r="I295" s="6">
        <v>7898662061964</v>
      </c>
      <c r="J295" s="11"/>
      <c r="K295" s="6">
        <v>17898662061961</v>
      </c>
      <c r="L295" s="9">
        <v>0</v>
      </c>
      <c r="M295" s="7">
        <v>424.84111633047814</v>
      </c>
      <c r="N295" s="7">
        <f t="shared" si="4"/>
        <v>14.161370544349271</v>
      </c>
      <c r="O295" s="7"/>
      <c r="P295" s="7"/>
    </row>
    <row r="296" spans="5:16" x14ac:dyDescent="0.25">
      <c r="E296" s="6" t="s">
        <v>130</v>
      </c>
      <c r="F296" s="6">
        <v>642713</v>
      </c>
      <c r="G296" s="6" t="s">
        <v>355</v>
      </c>
      <c r="H296" s="5">
        <v>72</v>
      </c>
      <c r="I296" s="6">
        <v>7898924640012</v>
      </c>
      <c r="J296" s="11"/>
      <c r="K296" s="6">
        <v>17898924640019</v>
      </c>
      <c r="L296" s="9">
        <v>0</v>
      </c>
      <c r="M296" s="7">
        <v>170.20032300196169</v>
      </c>
      <c r="N296" s="7">
        <f t="shared" si="4"/>
        <v>2.3638933750272457</v>
      </c>
      <c r="O296" s="7"/>
      <c r="P296" s="7"/>
    </row>
    <row r="297" spans="5:16" x14ac:dyDescent="0.25">
      <c r="E297" s="6" t="s">
        <v>177</v>
      </c>
      <c r="F297" s="6">
        <v>642520</v>
      </c>
      <c r="G297" s="6" t="s">
        <v>356</v>
      </c>
      <c r="H297" s="5">
        <v>48</v>
      </c>
      <c r="I297" s="6" t="s">
        <v>373</v>
      </c>
      <c r="J297" s="11"/>
      <c r="K297" s="6">
        <v>17898924640071</v>
      </c>
      <c r="L297" s="9">
        <v>0</v>
      </c>
      <c r="M297" s="7">
        <v>196.32409350923959</v>
      </c>
      <c r="N297" s="7">
        <f t="shared" si="4"/>
        <v>4.0900852814424917</v>
      </c>
      <c r="O297" s="7"/>
      <c r="P297" s="7"/>
    </row>
    <row r="298" spans="5:16" x14ac:dyDescent="0.25">
      <c r="E298" s="6" t="s">
        <v>177</v>
      </c>
      <c r="F298" s="6">
        <v>642551</v>
      </c>
      <c r="G298" s="6" t="s">
        <v>357</v>
      </c>
      <c r="H298" s="5">
        <v>20</v>
      </c>
      <c r="I298" s="6">
        <v>7898947389547</v>
      </c>
      <c r="J298" s="11"/>
      <c r="K298" s="6">
        <v>17898947389544</v>
      </c>
      <c r="L298" s="9">
        <v>0</v>
      </c>
      <c r="M298" s="7">
        <v>144.6922642574817</v>
      </c>
      <c r="N298" s="7">
        <f t="shared" si="4"/>
        <v>7.234613212874085</v>
      </c>
      <c r="O298" s="7"/>
      <c r="P298" s="7"/>
    </row>
    <row r="299" spans="5:16" x14ac:dyDescent="0.25">
      <c r="E299" s="6" t="s">
        <v>179</v>
      </c>
      <c r="F299" s="6">
        <v>642636</v>
      </c>
      <c r="G299" s="6" t="s">
        <v>358</v>
      </c>
      <c r="H299" s="5">
        <v>12</v>
      </c>
      <c r="I299" s="6">
        <v>7898924640951</v>
      </c>
      <c r="J299" s="11"/>
      <c r="K299" s="6">
        <v>17898924640958</v>
      </c>
      <c r="L299" s="9">
        <v>0</v>
      </c>
      <c r="M299" s="7">
        <v>132.33404958989735</v>
      </c>
      <c r="N299" s="7">
        <f t="shared" si="4"/>
        <v>11.02783746582478</v>
      </c>
      <c r="O299" s="7"/>
      <c r="P299" s="7"/>
    </row>
    <row r="300" spans="5:16" x14ac:dyDescent="0.25">
      <c r="E300" s="6" t="s">
        <v>196</v>
      </c>
      <c r="F300" s="6">
        <v>642650</v>
      </c>
      <c r="G300" s="6" t="s">
        <v>359</v>
      </c>
      <c r="H300" s="5">
        <v>24</v>
      </c>
      <c r="I300" s="6">
        <v>7898959957864</v>
      </c>
      <c r="J300" s="11"/>
      <c r="K300" s="6">
        <v>17898959957861</v>
      </c>
      <c r="L300" s="9">
        <v>0</v>
      </c>
      <c r="M300" s="7">
        <v>291.84737556615454</v>
      </c>
      <c r="N300" s="7">
        <f t="shared" si="4"/>
        <v>12.160307315256439</v>
      </c>
      <c r="O300" s="7"/>
      <c r="P300" s="7"/>
    </row>
    <row r="301" spans="5:16" x14ac:dyDescent="0.25">
      <c r="E301" s="6" t="s">
        <v>198</v>
      </c>
      <c r="F301" s="6">
        <v>642674</v>
      </c>
      <c r="G301" s="6" t="s">
        <v>360</v>
      </c>
      <c r="H301" s="5">
        <v>24</v>
      </c>
      <c r="I301" s="6">
        <v>7898959957536</v>
      </c>
      <c r="J301" s="11"/>
      <c r="K301" s="6">
        <v>17898959957533</v>
      </c>
      <c r="L301" s="9">
        <v>0</v>
      </c>
      <c r="M301" s="7">
        <v>79.690693870685962</v>
      </c>
      <c r="N301" s="7">
        <f t="shared" si="4"/>
        <v>3.3204455779452484</v>
      </c>
      <c r="O301" s="7"/>
      <c r="P301" s="7"/>
    </row>
    <row r="302" spans="5:16" x14ac:dyDescent="0.25">
      <c r="E302" s="6" t="s">
        <v>178</v>
      </c>
      <c r="F302" s="6">
        <v>642698</v>
      </c>
      <c r="G302" s="6" t="s">
        <v>361</v>
      </c>
      <c r="H302" s="5">
        <v>12</v>
      </c>
      <c r="I302" s="6">
        <v>7898924640043</v>
      </c>
      <c r="J302" s="11"/>
      <c r="K302" s="6">
        <v>17898924640040</v>
      </c>
      <c r="L302" s="9">
        <v>0</v>
      </c>
      <c r="M302" s="7">
        <v>66.232993912391308</v>
      </c>
      <c r="N302" s="7">
        <f t="shared" si="4"/>
        <v>5.5194161593659423</v>
      </c>
      <c r="O302" s="7"/>
      <c r="P302" s="7"/>
    </row>
    <row r="303" spans="5:16" x14ac:dyDescent="0.25">
      <c r="E303" s="6" t="s">
        <v>180</v>
      </c>
      <c r="F303" s="6">
        <v>642704</v>
      </c>
      <c r="G303" s="6" t="s">
        <v>362</v>
      </c>
      <c r="H303" s="5">
        <v>24</v>
      </c>
      <c r="I303" s="6">
        <v>7898959957857</v>
      </c>
      <c r="J303" s="11"/>
      <c r="K303" s="6">
        <v>17898959957854</v>
      </c>
      <c r="L303" s="9">
        <v>0</v>
      </c>
      <c r="M303" s="7">
        <v>88.662493842882398</v>
      </c>
      <c r="N303" s="7">
        <f t="shared" si="4"/>
        <v>3.6942705767867667</v>
      </c>
      <c r="O303" s="7"/>
      <c r="P303" s="7"/>
    </row>
    <row r="304" spans="5:16" x14ac:dyDescent="0.25">
      <c r="E304" s="6" t="s">
        <v>130</v>
      </c>
      <c r="F304" s="6">
        <v>642711</v>
      </c>
      <c r="G304" s="6" t="s">
        <v>363</v>
      </c>
      <c r="H304" s="5">
        <v>72</v>
      </c>
      <c r="I304" s="6">
        <v>7898924640227</v>
      </c>
      <c r="J304" s="11"/>
      <c r="K304" s="6">
        <v>17898924640224</v>
      </c>
      <c r="L304" s="9">
        <v>0</v>
      </c>
      <c r="M304" s="7">
        <v>148.82632895055255</v>
      </c>
      <c r="N304" s="7">
        <f t="shared" si="4"/>
        <v>2.0670323465354521</v>
      </c>
      <c r="O304" s="7"/>
      <c r="P304" s="7"/>
    </row>
    <row r="305" spans="5:16" x14ac:dyDescent="0.25">
      <c r="E305" s="6" t="s">
        <v>130</v>
      </c>
      <c r="F305" s="6">
        <v>642728</v>
      </c>
      <c r="G305" s="6" t="s">
        <v>364</v>
      </c>
      <c r="H305" s="5">
        <v>24</v>
      </c>
      <c r="I305" s="6">
        <v>7898947389691</v>
      </c>
      <c r="J305" s="11"/>
      <c r="K305" s="6">
        <v>17898947389698</v>
      </c>
      <c r="L305" s="9">
        <v>0</v>
      </c>
      <c r="M305" s="7">
        <v>110.30036436406201</v>
      </c>
      <c r="N305" s="7">
        <f t="shared" si="4"/>
        <v>4.5958485151692505</v>
      </c>
      <c r="O305" s="7"/>
      <c r="P305" s="7"/>
    </row>
    <row r="306" spans="5:16" x14ac:dyDescent="0.25">
      <c r="E306" s="6" t="s">
        <v>146</v>
      </c>
      <c r="F306" s="6">
        <v>642735</v>
      </c>
      <c r="G306" s="6" t="s">
        <v>365</v>
      </c>
      <c r="H306" s="5">
        <v>12</v>
      </c>
      <c r="I306" s="6">
        <v>7898924640029</v>
      </c>
      <c r="J306" s="11"/>
      <c r="K306" s="6">
        <v>17898924640026</v>
      </c>
      <c r="L306" s="9">
        <v>0</v>
      </c>
      <c r="M306" s="7">
        <v>85.364037970751355</v>
      </c>
      <c r="N306" s="7">
        <f t="shared" si="4"/>
        <v>7.1136698308959465</v>
      </c>
      <c r="O306" s="7"/>
      <c r="P306" s="7"/>
    </row>
    <row r="307" spans="5:16" x14ac:dyDescent="0.25">
      <c r="E307" s="6" t="s">
        <v>242</v>
      </c>
      <c r="F307" s="6">
        <v>642988</v>
      </c>
      <c r="G307" s="6" t="s">
        <v>366</v>
      </c>
      <c r="H307" s="5">
        <v>12</v>
      </c>
      <c r="I307" s="6">
        <v>7898959957215</v>
      </c>
      <c r="J307" s="11"/>
      <c r="K307" s="6">
        <v>17898959957212</v>
      </c>
      <c r="L307" s="9">
        <v>0</v>
      </c>
      <c r="M307" s="7">
        <v>96.590016721944551</v>
      </c>
      <c r="N307" s="7">
        <f t="shared" si="4"/>
        <v>8.0491680601620459</v>
      </c>
      <c r="O307" s="7"/>
      <c r="P307" s="7"/>
    </row>
    <row r="308" spans="5:16" x14ac:dyDescent="0.25">
      <c r="E308" s="6" t="s">
        <v>242</v>
      </c>
      <c r="F308" s="6">
        <v>642971</v>
      </c>
      <c r="G308" s="6" t="s">
        <v>367</v>
      </c>
      <c r="H308" s="5">
        <v>12</v>
      </c>
      <c r="I308" s="6">
        <v>7898959957543</v>
      </c>
      <c r="J308" s="11"/>
      <c r="K308" s="6">
        <v>17898959957540</v>
      </c>
      <c r="L308" s="9">
        <v>0</v>
      </c>
      <c r="M308" s="7">
        <v>193.82568863588077</v>
      </c>
      <c r="N308" s="7">
        <f t="shared" si="4"/>
        <v>16.152140719656732</v>
      </c>
      <c r="O308" s="7"/>
      <c r="P308" s="7"/>
    </row>
    <row r="309" spans="5:16" x14ac:dyDescent="0.25">
      <c r="E309" s="6" t="s">
        <v>179</v>
      </c>
      <c r="F309" s="6">
        <v>642643</v>
      </c>
      <c r="G309" s="6" t="s">
        <v>368</v>
      </c>
      <c r="H309" s="5">
        <v>12</v>
      </c>
      <c r="I309" s="6">
        <v>7898662061889</v>
      </c>
      <c r="J309" s="11"/>
      <c r="K309" s="6">
        <v>17898662061886</v>
      </c>
      <c r="L309" s="9">
        <v>0</v>
      </c>
      <c r="M309" s="7">
        <v>224.82275224445172</v>
      </c>
      <c r="N309" s="7">
        <f t="shared" si="4"/>
        <v>18.735229353704309</v>
      </c>
      <c r="O309" s="7"/>
      <c r="P309" s="7"/>
    </row>
    <row r="310" spans="5:16" x14ac:dyDescent="0.25">
      <c r="E310" s="6" t="s">
        <v>21</v>
      </c>
      <c r="F310" s="6">
        <v>663549</v>
      </c>
      <c r="G310" s="6" t="s">
        <v>369</v>
      </c>
      <c r="H310" s="5">
        <v>48</v>
      </c>
      <c r="I310" s="6">
        <v>7898924640050</v>
      </c>
      <c r="J310" s="11"/>
      <c r="K310" s="6">
        <v>17898924640057</v>
      </c>
      <c r="L310" s="9">
        <v>0</v>
      </c>
      <c r="M310" s="7">
        <v>123.49418785258618</v>
      </c>
      <c r="N310" s="7">
        <f t="shared" si="4"/>
        <v>2.5727955802622122</v>
      </c>
      <c r="O310" s="7"/>
      <c r="P310" s="7"/>
    </row>
    <row r="311" spans="5:16" x14ac:dyDescent="0.25">
      <c r="E311" s="6" t="s">
        <v>21</v>
      </c>
      <c r="F311" s="6">
        <v>663778</v>
      </c>
      <c r="G311" s="6" t="s">
        <v>370</v>
      </c>
      <c r="H311" s="5">
        <v>20</v>
      </c>
      <c r="I311" s="6">
        <v>7898947389493</v>
      </c>
      <c r="J311" s="11"/>
      <c r="K311" s="6">
        <v>17898947389490</v>
      </c>
      <c r="L311" s="9">
        <v>0</v>
      </c>
      <c r="M311" s="7">
        <v>90.597587954532599</v>
      </c>
      <c r="N311" s="7">
        <f t="shared" si="4"/>
        <v>4.5298793977266296</v>
      </c>
      <c r="O311" s="7"/>
      <c r="P311" s="7"/>
    </row>
    <row r="312" spans="5:16" x14ac:dyDescent="0.25">
      <c r="E312" s="6" t="s">
        <v>182</v>
      </c>
      <c r="F312" s="6">
        <v>668926</v>
      </c>
      <c r="G312" s="6" t="s">
        <v>371</v>
      </c>
      <c r="H312" s="5">
        <v>24</v>
      </c>
      <c r="I312" s="6">
        <v>7898924640654</v>
      </c>
      <c r="J312" s="11"/>
      <c r="K312" s="6">
        <v>17898924640651</v>
      </c>
      <c r="L312" s="9">
        <v>0</v>
      </c>
      <c r="M312" s="7">
        <v>259.81164925742314</v>
      </c>
      <c r="N312" s="7">
        <f t="shared" si="4"/>
        <v>10.825485385725964</v>
      </c>
      <c r="O312" s="7"/>
      <c r="P312" s="7"/>
    </row>
    <row r="313" spans="5:16" x14ac:dyDescent="0.25">
      <c r="E313" s="6" t="s">
        <v>6</v>
      </c>
      <c r="F313" s="6">
        <v>664348</v>
      </c>
      <c r="G313" s="6" t="s">
        <v>7</v>
      </c>
      <c r="H313" s="5">
        <v>10</v>
      </c>
      <c r="I313" s="6">
        <v>7891800664348</v>
      </c>
      <c r="J313" s="6"/>
      <c r="K313" s="6">
        <v>17891800664345</v>
      </c>
      <c r="L313" s="9">
        <f>VLOOKUP(F313,'[1]VAR 1_2024'!$E$11:$T$418,16,0)</f>
        <v>0</v>
      </c>
      <c r="M313" s="7">
        <v>680.82935301780287</v>
      </c>
      <c r="N313" s="7">
        <f t="shared" ref="N313:N330" si="5">M313/H313</f>
        <v>68.082935301780282</v>
      </c>
      <c r="O313" s="7"/>
      <c r="P313" s="7"/>
    </row>
    <row r="314" spans="5:16" x14ac:dyDescent="0.25">
      <c r="E314" s="6" t="s">
        <v>6</v>
      </c>
      <c r="F314" s="6">
        <v>664423</v>
      </c>
      <c r="G314" s="6" t="s">
        <v>8</v>
      </c>
      <c r="H314" s="5">
        <v>56</v>
      </c>
      <c r="I314" s="6">
        <v>7891800664423</v>
      </c>
      <c r="J314" s="6"/>
      <c r="K314" s="6">
        <v>17891800664420</v>
      </c>
      <c r="L314" s="9">
        <f>VLOOKUP(F314,'[1]VAR 1_2024'!$E$11:$T$418,16,0)</f>
        <v>0</v>
      </c>
      <c r="M314" s="7">
        <v>220.55581358433332</v>
      </c>
      <c r="N314" s="7">
        <f t="shared" si="5"/>
        <v>3.9384966711488092</v>
      </c>
      <c r="O314" s="7"/>
      <c r="P314" s="7"/>
    </row>
    <row r="315" spans="5:16" x14ac:dyDescent="0.25">
      <c r="E315" s="6" t="s">
        <v>6</v>
      </c>
      <c r="F315" s="6">
        <v>664409</v>
      </c>
      <c r="G315" s="6" t="s">
        <v>9</v>
      </c>
      <c r="H315" s="5">
        <v>24</v>
      </c>
      <c r="I315" s="6">
        <v>7891800664409</v>
      </c>
      <c r="J315" s="6"/>
      <c r="K315" s="6">
        <v>17891800664406</v>
      </c>
      <c r="L315" s="9">
        <f>VLOOKUP(F315,'[1]VAR 1_2024'!$E$11:$T$418,16,0)</f>
        <v>0</v>
      </c>
      <c r="M315" s="7">
        <v>295.45181585535988</v>
      </c>
      <c r="N315" s="7">
        <f t="shared" si="5"/>
        <v>12.310492327306662</v>
      </c>
      <c r="O315" s="7"/>
      <c r="P315" s="7"/>
    </row>
    <row r="316" spans="5:16" x14ac:dyDescent="0.25">
      <c r="E316" s="6" t="s">
        <v>10</v>
      </c>
      <c r="F316" s="6">
        <v>662856</v>
      </c>
      <c r="G316" s="6" t="s">
        <v>11</v>
      </c>
      <c r="H316" s="5">
        <v>20</v>
      </c>
      <c r="I316" s="6">
        <v>7891800662856</v>
      </c>
      <c r="J316" s="6"/>
      <c r="K316" s="6">
        <v>17891800662853</v>
      </c>
      <c r="L316" s="9">
        <f>VLOOKUP(F316,'[1]VAR 1_2024'!$E$11:$T$418,16,0)</f>
        <v>0</v>
      </c>
      <c r="M316" s="7">
        <v>239.41597915762051</v>
      </c>
      <c r="N316" s="7">
        <f t="shared" si="5"/>
        <v>11.970798957881026</v>
      </c>
      <c r="O316" s="7"/>
      <c r="P316" s="7" t="s">
        <v>423</v>
      </c>
    </row>
    <row r="317" spans="5:16" x14ac:dyDescent="0.25">
      <c r="E317" s="6" t="s">
        <v>378</v>
      </c>
      <c r="F317" s="6">
        <v>662801</v>
      </c>
      <c r="G317" s="6" t="s">
        <v>377</v>
      </c>
      <c r="H317" s="5">
        <v>48</v>
      </c>
      <c r="I317" s="6">
        <v>7891800662801</v>
      </c>
      <c r="J317" s="6"/>
      <c r="K317" s="6">
        <v>17891800662808</v>
      </c>
      <c r="L317" s="9">
        <f>VLOOKUP(F317,'[1]VAR 1_2024'!$E$11:$T$418,16,0)</f>
        <v>0</v>
      </c>
      <c r="M317" s="7">
        <v>1068.1719496309163</v>
      </c>
      <c r="N317" s="7">
        <f t="shared" si="5"/>
        <v>22.253582283977423</v>
      </c>
      <c r="O317" s="7"/>
      <c r="P317" s="7"/>
    </row>
    <row r="318" spans="5:16" x14ac:dyDescent="0.25">
      <c r="E318" s="6" t="s">
        <v>85</v>
      </c>
      <c r="F318" s="6">
        <v>802672</v>
      </c>
      <c r="G318" s="6" t="s">
        <v>276</v>
      </c>
      <c r="H318" s="5">
        <v>72</v>
      </c>
      <c r="I318" s="6">
        <v>7891800276527</v>
      </c>
      <c r="J318" s="6"/>
      <c r="K318" s="6">
        <v>17891800662990</v>
      </c>
      <c r="L318" s="9" t="e">
        <f>VLOOKUP(F318,'[1]VAR 1_2024'!$E$11:$T$418,16,0)</f>
        <v>#N/A</v>
      </c>
      <c r="M318" s="7">
        <v>800.35417599279731</v>
      </c>
      <c r="N318" s="7">
        <f t="shared" si="5"/>
        <v>11.116030222122184</v>
      </c>
      <c r="O318" s="7"/>
      <c r="P318" s="7"/>
    </row>
    <row r="319" spans="5:16" x14ac:dyDescent="0.25">
      <c r="E319" s="6" t="s">
        <v>108</v>
      </c>
      <c r="F319" s="6">
        <v>803020</v>
      </c>
      <c r="G319" s="6" t="s">
        <v>382</v>
      </c>
      <c r="H319" s="5">
        <v>12</v>
      </c>
      <c r="I319" s="6">
        <v>7891800803020</v>
      </c>
      <c r="J319" s="6"/>
      <c r="K319" s="6">
        <v>17891800803027</v>
      </c>
      <c r="L319" s="9">
        <v>0</v>
      </c>
      <c r="M319" s="7">
        <v>293.25658820258838</v>
      </c>
      <c r="N319" s="7">
        <f t="shared" si="5"/>
        <v>24.438049016882363</v>
      </c>
      <c r="O319" s="7"/>
      <c r="P319" s="7"/>
    </row>
    <row r="320" spans="5:16" x14ac:dyDescent="0.25">
      <c r="E320" s="6" t="s">
        <v>108</v>
      </c>
      <c r="F320" s="6">
        <v>803037</v>
      </c>
      <c r="G320" s="6" t="s">
        <v>383</v>
      </c>
      <c r="H320" s="5">
        <v>12</v>
      </c>
      <c r="I320" s="6">
        <v>7891800803037</v>
      </c>
      <c r="J320" s="6"/>
      <c r="K320" s="6">
        <v>17891800803034</v>
      </c>
      <c r="L320" s="9">
        <v>0</v>
      </c>
      <c r="M320" s="7">
        <v>377.83741835348906</v>
      </c>
      <c r="N320" s="7">
        <f t="shared" si="5"/>
        <v>31.486451529457423</v>
      </c>
      <c r="O320" s="7"/>
      <c r="P320" s="7"/>
    </row>
    <row r="321" spans="5:16" x14ac:dyDescent="0.25">
      <c r="E321" s="6" t="s">
        <v>381</v>
      </c>
      <c r="F321" s="6">
        <v>803082</v>
      </c>
      <c r="G321" s="6" t="s">
        <v>384</v>
      </c>
      <c r="H321" s="5">
        <v>56</v>
      </c>
      <c r="I321" s="6">
        <v>7891800803082</v>
      </c>
      <c r="J321" s="6"/>
      <c r="K321" s="6">
        <v>17891800803089</v>
      </c>
      <c r="L321" s="9">
        <v>0</v>
      </c>
      <c r="M321" s="7">
        <v>199.4644106459408</v>
      </c>
      <c r="N321" s="7">
        <f t="shared" si="5"/>
        <v>3.5618644758203715</v>
      </c>
      <c r="O321" s="7"/>
      <c r="P321" s="7"/>
    </row>
    <row r="322" spans="5:16" x14ac:dyDescent="0.25">
      <c r="E322" s="6" t="s">
        <v>381</v>
      </c>
      <c r="F322" s="6">
        <v>803099</v>
      </c>
      <c r="G322" s="6" t="s">
        <v>385</v>
      </c>
      <c r="H322" s="5">
        <v>32</v>
      </c>
      <c r="I322" s="6">
        <v>7891800675108</v>
      </c>
      <c r="J322" s="6"/>
      <c r="K322" s="6">
        <v>17891800675105</v>
      </c>
      <c r="L322" s="9">
        <v>0</v>
      </c>
      <c r="M322" s="7">
        <v>225.20453096667285</v>
      </c>
      <c r="N322" s="7">
        <f t="shared" si="5"/>
        <v>7.0376415927085265</v>
      </c>
      <c r="O322" s="7"/>
      <c r="P322" s="7"/>
    </row>
    <row r="323" spans="5:16" x14ac:dyDescent="0.25">
      <c r="E323" s="6" t="s">
        <v>381</v>
      </c>
      <c r="F323" s="13">
        <v>809572</v>
      </c>
      <c r="G323" s="6" t="s">
        <v>386</v>
      </c>
      <c r="H323" s="5">
        <v>48</v>
      </c>
      <c r="I323" s="6">
        <v>7891800809572</v>
      </c>
      <c r="J323" s="6"/>
      <c r="K323" s="6">
        <v>17891800809579</v>
      </c>
      <c r="L323" s="9">
        <v>0</v>
      </c>
      <c r="M323" s="7">
        <v>193.18003344388913</v>
      </c>
      <c r="N323" s="7">
        <f t="shared" si="5"/>
        <v>4.0245840300810238</v>
      </c>
      <c r="O323" s="7"/>
      <c r="P323" s="7"/>
    </row>
    <row r="324" spans="5:16" x14ac:dyDescent="0.25">
      <c r="E324" s="6" t="s">
        <v>381</v>
      </c>
      <c r="F324" s="6">
        <v>809589</v>
      </c>
      <c r="G324" s="6" t="s">
        <v>387</v>
      </c>
      <c r="H324" s="5">
        <v>24</v>
      </c>
      <c r="I324" s="6">
        <v>7891800809589</v>
      </c>
      <c r="J324" s="6"/>
      <c r="K324" s="6">
        <v>17891800809586</v>
      </c>
      <c r="L324" s="9">
        <v>0</v>
      </c>
      <c r="M324" s="7">
        <v>182.84955037202334</v>
      </c>
      <c r="N324" s="7">
        <f t="shared" si="5"/>
        <v>7.6187312655009727</v>
      </c>
      <c r="O324" s="7"/>
      <c r="P324" s="7"/>
    </row>
    <row r="325" spans="5:16" x14ac:dyDescent="0.25">
      <c r="E325" s="6" t="s">
        <v>381</v>
      </c>
      <c r="F325" s="6">
        <v>809565</v>
      </c>
      <c r="G325" s="6" t="s">
        <v>388</v>
      </c>
      <c r="H325" s="5">
        <v>48</v>
      </c>
      <c r="I325" s="6">
        <v>7891800809565</v>
      </c>
      <c r="J325" s="6"/>
      <c r="K325" s="6">
        <v>17891800809562</v>
      </c>
      <c r="L325" s="9">
        <v>0</v>
      </c>
      <c r="M325" s="7">
        <v>196.96787723690656</v>
      </c>
      <c r="N325" s="7">
        <f t="shared" si="5"/>
        <v>4.103497442435553</v>
      </c>
      <c r="O325" s="7"/>
      <c r="P325" s="7"/>
    </row>
    <row r="326" spans="5:16" x14ac:dyDescent="0.25">
      <c r="E326" s="6" t="s">
        <v>389</v>
      </c>
      <c r="F326" s="6">
        <v>675085</v>
      </c>
      <c r="G326" s="6" t="s">
        <v>391</v>
      </c>
      <c r="H326" s="5">
        <v>24</v>
      </c>
      <c r="I326" s="6">
        <v>7891800675085</v>
      </c>
      <c r="J326" s="6"/>
      <c r="K326" s="6">
        <v>17891800675082</v>
      </c>
      <c r="L326" s="9">
        <v>0</v>
      </c>
      <c r="M326" s="7">
        <v>281.29231677533517</v>
      </c>
      <c r="N326" s="7">
        <f t="shared" si="5"/>
        <v>11.720513198972299</v>
      </c>
      <c r="O326" s="7"/>
      <c r="P326" s="7"/>
    </row>
    <row r="327" spans="5:16" x14ac:dyDescent="0.25">
      <c r="E327" s="6" t="s">
        <v>389</v>
      </c>
      <c r="F327" s="6">
        <v>675092</v>
      </c>
      <c r="G327" s="6" t="s">
        <v>390</v>
      </c>
      <c r="H327" s="5">
        <v>12</v>
      </c>
      <c r="I327" s="6">
        <v>7891800675092</v>
      </c>
      <c r="J327" s="6"/>
      <c r="K327" s="6">
        <v>17891800675099</v>
      </c>
      <c r="L327" s="9">
        <v>0</v>
      </c>
      <c r="M327" s="7">
        <v>253.58528744943442</v>
      </c>
      <c r="N327" s="7">
        <f t="shared" si="5"/>
        <v>21.132107287452868</v>
      </c>
      <c r="O327" s="7"/>
      <c r="P327" s="7"/>
    </row>
    <row r="328" spans="5:16" x14ac:dyDescent="0.25">
      <c r="E328" s="6" t="s">
        <v>389</v>
      </c>
      <c r="F328" s="6">
        <v>808124</v>
      </c>
      <c r="G328" s="6" t="s">
        <v>392</v>
      </c>
      <c r="H328" s="5">
        <v>12</v>
      </c>
      <c r="I328" s="6">
        <v>7891800808124</v>
      </c>
      <c r="J328" s="6"/>
      <c r="K328" s="6">
        <v>17891800808121</v>
      </c>
      <c r="L328" s="9">
        <v>0</v>
      </c>
      <c r="M328" s="7">
        <v>116.23758493389789</v>
      </c>
      <c r="N328" s="7">
        <f t="shared" si="5"/>
        <v>9.6864654111581583</v>
      </c>
      <c r="O328" s="7"/>
      <c r="P328" s="7"/>
    </row>
    <row r="329" spans="5:16" x14ac:dyDescent="0.25">
      <c r="F329" s="19">
        <v>809695</v>
      </c>
      <c r="G329" s="6" t="s">
        <v>393</v>
      </c>
      <c r="H329" s="5">
        <v>24</v>
      </c>
      <c r="I329" s="11">
        <v>7891800809695</v>
      </c>
      <c r="J329" s="5"/>
      <c r="K329" s="5" t="s">
        <v>394</v>
      </c>
      <c r="L329" s="9">
        <v>0</v>
      </c>
      <c r="M329" s="7">
        <v>168.91011723838471</v>
      </c>
      <c r="N329" s="7">
        <f t="shared" si="5"/>
        <v>7.0379215515993634</v>
      </c>
      <c r="O329" s="7"/>
      <c r="P329" s="7"/>
    </row>
    <row r="330" spans="5:16" x14ac:dyDescent="0.25">
      <c r="F330" s="19">
        <v>675108</v>
      </c>
      <c r="G330" s="6" t="s">
        <v>421</v>
      </c>
      <c r="H330" s="5">
        <v>36</v>
      </c>
      <c r="I330" s="11">
        <v>7891800675108</v>
      </c>
      <c r="J330" s="5"/>
      <c r="K330" s="11">
        <v>17891800675105</v>
      </c>
      <c r="L330" s="9">
        <v>0</v>
      </c>
      <c r="M330" s="7">
        <v>164.66282165039931</v>
      </c>
      <c r="N330" s="7">
        <f t="shared" si="5"/>
        <v>4.5739672680666477</v>
      </c>
      <c r="O330" s="7"/>
      <c r="P330" s="7"/>
    </row>
  </sheetData>
  <autoFilter ref="E8:P329" xr:uid="{E1F60E5B-353E-41CB-89B1-B8F42BE77A48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7CF9-F743-4EFE-83F8-D96B1AEDAE92}">
  <dimension ref="D3:N17"/>
  <sheetViews>
    <sheetView topLeftCell="H1" workbookViewId="0">
      <selection activeCell="R11" sqref="R11"/>
    </sheetView>
  </sheetViews>
  <sheetFormatPr defaultRowHeight="15" x14ac:dyDescent="0.25"/>
  <cols>
    <col min="4" max="4" width="7.7109375" bestFit="1" customWidth="1"/>
    <col min="5" max="5" width="27.42578125" bestFit="1" customWidth="1"/>
    <col min="6" max="6" width="23.85546875" bestFit="1" customWidth="1"/>
    <col min="7" max="7" width="9.5703125" bestFit="1" customWidth="1"/>
    <col min="8" max="8" width="64.28515625" bestFit="1" customWidth="1"/>
    <col min="10" max="10" width="14.140625" bestFit="1" customWidth="1"/>
    <col min="11" max="11" width="15.140625" bestFit="1" customWidth="1"/>
  </cols>
  <sheetData>
    <row r="3" spans="4:13" ht="15.75" thickBot="1" x14ac:dyDescent="0.3"/>
    <row r="4" spans="4:13" ht="15.75" thickBot="1" x14ac:dyDescent="0.3">
      <c r="D4" s="21" t="s">
        <v>419</v>
      </c>
      <c r="E4" s="21" t="s">
        <v>396</v>
      </c>
      <c r="F4" s="26" t="s">
        <v>397</v>
      </c>
      <c r="G4" s="35" t="s">
        <v>1</v>
      </c>
      <c r="H4" s="32" t="s">
        <v>398</v>
      </c>
      <c r="I4" s="37" t="s">
        <v>399</v>
      </c>
      <c r="J4" s="33" t="s">
        <v>400</v>
      </c>
      <c r="K4" s="33" t="s">
        <v>401</v>
      </c>
      <c r="L4" s="28" t="s">
        <v>420</v>
      </c>
    </row>
    <row r="5" spans="4:13" x14ac:dyDescent="0.25">
      <c r="D5" s="22" t="s">
        <v>402</v>
      </c>
      <c r="E5" t="s">
        <v>403</v>
      </c>
      <c r="F5" t="s">
        <v>404</v>
      </c>
      <c r="G5" s="36">
        <v>816433</v>
      </c>
      <c r="H5" s="30" t="s">
        <v>405</v>
      </c>
      <c r="I5" s="38">
        <v>30059090</v>
      </c>
      <c r="J5" s="34">
        <v>7898172862891</v>
      </c>
      <c r="K5" s="34">
        <v>17898172862898</v>
      </c>
      <c r="L5" s="27">
        <v>1020</v>
      </c>
    </row>
    <row r="6" spans="4:13" x14ac:dyDescent="0.25">
      <c r="D6" s="22" t="s">
        <v>402</v>
      </c>
      <c r="E6" t="s">
        <v>403</v>
      </c>
      <c r="F6" t="s">
        <v>404</v>
      </c>
      <c r="G6" s="22">
        <v>816440</v>
      </c>
      <c r="H6" s="30" t="s">
        <v>406</v>
      </c>
      <c r="I6" s="38">
        <v>30059090</v>
      </c>
      <c r="J6" s="34">
        <v>7898172862907</v>
      </c>
      <c r="K6" s="34">
        <v>17898172862904</v>
      </c>
      <c r="L6" s="25">
        <v>840</v>
      </c>
    </row>
    <row r="7" spans="4:13" x14ac:dyDescent="0.25">
      <c r="D7" s="22" t="s">
        <v>402</v>
      </c>
      <c r="E7" t="s">
        <v>403</v>
      </c>
      <c r="F7" t="s">
        <v>404</v>
      </c>
      <c r="G7" s="22">
        <v>816457</v>
      </c>
      <c r="H7" s="30" t="s">
        <v>407</v>
      </c>
      <c r="I7" s="38">
        <v>30059090</v>
      </c>
      <c r="J7" s="34">
        <v>7898172862914</v>
      </c>
      <c r="K7" s="34">
        <v>17898172862911</v>
      </c>
      <c r="L7" s="25">
        <v>720</v>
      </c>
    </row>
    <row r="8" spans="4:13" x14ac:dyDescent="0.25">
      <c r="D8" s="22" t="s">
        <v>402</v>
      </c>
      <c r="E8" t="s">
        <v>403</v>
      </c>
      <c r="F8" t="s">
        <v>404</v>
      </c>
      <c r="G8" s="22">
        <v>803705</v>
      </c>
      <c r="H8" s="30" t="s">
        <v>408</v>
      </c>
      <c r="I8" s="38">
        <v>30059090</v>
      </c>
      <c r="J8" s="34">
        <v>7898172860057</v>
      </c>
      <c r="K8" s="34">
        <v>17898172860054</v>
      </c>
      <c r="L8" s="25">
        <v>480</v>
      </c>
    </row>
    <row r="9" spans="4:13" x14ac:dyDescent="0.25">
      <c r="D9" s="22" t="s">
        <v>402</v>
      </c>
      <c r="E9" t="s">
        <v>403</v>
      </c>
      <c r="F9" t="s">
        <v>404</v>
      </c>
      <c r="G9" s="22">
        <v>816464</v>
      </c>
      <c r="H9" s="30" t="s">
        <v>409</v>
      </c>
      <c r="I9" s="38">
        <v>30059090</v>
      </c>
      <c r="J9" s="34">
        <v>7898172862921</v>
      </c>
      <c r="K9" s="34">
        <v>17898172862928</v>
      </c>
      <c r="L9" s="25">
        <v>480</v>
      </c>
    </row>
    <row r="10" spans="4:13" x14ac:dyDescent="0.25">
      <c r="D10" s="22" t="s">
        <v>402</v>
      </c>
      <c r="E10" t="s">
        <v>403</v>
      </c>
      <c r="F10" t="s">
        <v>404</v>
      </c>
      <c r="G10" s="22">
        <v>816471</v>
      </c>
      <c r="H10" s="30" t="s">
        <v>410</v>
      </c>
      <c r="I10" s="38">
        <v>30059090</v>
      </c>
      <c r="J10" s="34">
        <v>7898172862938</v>
      </c>
      <c r="K10" s="34">
        <v>17898172862935</v>
      </c>
      <c r="L10" s="25">
        <v>360</v>
      </c>
    </row>
    <row r="11" spans="4:13" x14ac:dyDescent="0.25">
      <c r="D11" s="22" t="s">
        <v>402</v>
      </c>
      <c r="E11" t="s">
        <v>411</v>
      </c>
      <c r="F11" t="s">
        <v>48</v>
      </c>
      <c r="G11" s="22">
        <v>804034</v>
      </c>
      <c r="H11" s="30" t="s">
        <v>412</v>
      </c>
      <c r="I11" s="38">
        <v>30059090</v>
      </c>
      <c r="J11" s="34">
        <v>7898172869876</v>
      </c>
      <c r="K11" s="34">
        <v>17898172869873</v>
      </c>
      <c r="L11" s="25">
        <v>220</v>
      </c>
    </row>
    <row r="12" spans="4:13" x14ac:dyDescent="0.25">
      <c r="D12" s="22" t="s">
        <v>402</v>
      </c>
      <c r="E12" t="s">
        <v>411</v>
      </c>
      <c r="F12" t="s">
        <v>48</v>
      </c>
      <c r="G12" s="22">
        <v>804027</v>
      </c>
      <c r="H12" s="30" t="s">
        <v>413</v>
      </c>
      <c r="I12" s="38">
        <v>30059090</v>
      </c>
      <c r="J12" s="34">
        <v>7898172862549</v>
      </c>
      <c r="K12" s="34">
        <v>17898172862546</v>
      </c>
      <c r="L12" s="25">
        <v>220</v>
      </c>
    </row>
    <row r="13" spans="4:13" x14ac:dyDescent="0.25">
      <c r="D13" s="22" t="s">
        <v>402</v>
      </c>
      <c r="E13" t="s">
        <v>411</v>
      </c>
      <c r="F13" t="s">
        <v>46</v>
      </c>
      <c r="G13" s="22">
        <v>804118</v>
      </c>
      <c r="H13" s="30" t="s">
        <v>414</v>
      </c>
      <c r="I13" s="38">
        <v>30059090</v>
      </c>
      <c r="J13" s="34">
        <v>7898172860521</v>
      </c>
      <c r="K13" s="34">
        <v>17898172860528</v>
      </c>
      <c r="L13" s="25">
        <v>25</v>
      </c>
    </row>
    <row r="14" spans="4:13" x14ac:dyDescent="0.25">
      <c r="D14" s="22" t="s">
        <v>402</v>
      </c>
      <c r="E14" t="s">
        <v>403</v>
      </c>
      <c r="F14" t="s">
        <v>415</v>
      </c>
      <c r="G14" s="22">
        <v>803803</v>
      </c>
      <c r="H14" s="30" t="s">
        <v>416</v>
      </c>
      <c r="I14" s="38">
        <v>30059090</v>
      </c>
      <c r="J14" s="34">
        <v>7898172860217</v>
      </c>
      <c r="K14" s="34">
        <v>17898172860214</v>
      </c>
      <c r="L14" s="25">
        <v>600</v>
      </c>
      <c r="M14" s="29"/>
    </row>
    <row r="15" spans="4:13" x14ac:dyDescent="0.25">
      <c r="D15" s="22" t="s">
        <v>402</v>
      </c>
      <c r="E15" t="s">
        <v>403</v>
      </c>
      <c r="F15" t="s">
        <v>415</v>
      </c>
      <c r="G15" s="22">
        <v>803810</v>
      </c>
      <c r="H15" s="30" t="s">
        <v>417</v>
      </c>
      <c r="I15" s="38">
        <v>30059090</v>
      </c>
      <c r="J15" s="34">
        <v>7898172860224</v>
      </c>
      <c r="K15" s="34">
        <v>17898172860221</v>
      </c>
      <c r="L15" s="25">
        <v>480</v>
      </c>
      <c r="M15" s="29"/>
    </row>
    <row r="16" spans="4:13" ht="15.75" thickBot="1" x14ac:dyDescent="0.3">
      <c r="D16" s="23" t="s">
        <v>402</v>
      </c>
      <c r="E16" s="20" t="s">
        <v>403</v>
      </c>
      <c r="F16" s="20" t="s">
        <v>415</v>
      </c>
      <c r="G16" s="23">
        <v>803817</v>
      </c>
      <c r="H16" s="31" t="s">
        <v>418</v>
      </c>
      <c r="I16" s="39">
        <v>30059090</v>
      </c>
      <c r="J16" s="40">
        <v>7898172860231</v>
      </c>
      <c r="K16" s="40">
        <v>17898172860238</v>
      </c>
      <c r="L16" s="41">
        <v>360</v>
      </c>
      <c r="M16" s="29"/>
    </row>
    <row r="17" spans="4:4" x14ac:dyDescent="0.25">
      <c r="D17" s="24"/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c97b6507-6a44-46de-9a28-2d9dd3256784}" enabled="0" method="" siteId="{c97b6507-6a44-46de-9a28-2d9dd325678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Preço Lista - MIX CREMER</vt:lpstr>
      <vt:lpstr>MARCA NEVE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</dc:creator>
  <cp:lastModifiedBy>Juliana Borges Rossafa Peres</cp:lastModifiedBy>
  <dcterms:created xsi:type="dcterms:W3CDTF">2023-09-28T19:43:16Z</dcterms:created>
  <dcterms:modified xsi:type="dcterms:W3CDTF">2026-07-06T21:59:14Z</dcterms:modified>
</cp:coreProperties>
</file>