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\"/>
    </mc:Choice>
  </mc:AlternateContent>
  <xr:revisionPtr revIDLastSave="0" documentId="13_ncr:1_{AD0BE5B4-B458-4613-99CF-1876EF233F18}" xr6:coauthVersionLast="47" xr6:coauthVersionMax="47" xr10:uidLastSave="{00000000-0000-0000-0000-000000000000}"/>
  <bookViews>
    <workbookView xWindow="-38010" yWindow="450" windowWidth="16200" windowHeight="11565" xr2:uid="{00000000-000D-0000-FFFF-FFFF00000000}"/>
  </bookViews>
  <sheets>
    <sheet name="Planilha1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1" i="1" l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44" i="1"/>
  <c r="O45" i="1"/>
  <c r="O46" i="1"/>
  <c r="O47" i="1"/>
  <c r="O48" i="1"/>
  <c r="O49" i="1"/>
  <c r="O50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17" i="1"/>
  <c r="O18" i="1"/>
  <c r="O19" i="1"/>
  <c r="O20" i="1"/>
  <c r="O21" i="1"/>
  <c r="O22" i="1"/>
  <c r="O23" i="1"/>
  <c r="O24" i="1"/>
  <c r="O25" i="1"/>
  <c r="O26" i="1"/>
  <c r="O27" i="1"/>
  <c r="O28" i="1"/>
  <c r="O14" i="1"/>
  <c r="O15" i="1"/>
  <c r="O16" i="1"/>
  <c r="O13" i="1" l="1"/>
</calcChain>
</file>

<file path=xl/sharedStrings.xml><?xml version="1.0" encoding="utf-8"?>
<sst xmlns="http://schemas.openxmlformats.org/spreadsheetml/2006/main" count="429" uniqueCount="111">
  <si>
    <t>Cód.</t>
  </si>
  <si>
    <t>DESCRIÇÃO DOS PRODUTOS</t>
  </si>
  <si>
    <t>NCM</t>
  </si>
  <si>
    <t>ST</t>
  </si>
  <si>
    <t>APRES.</t>
  </si>
  <si>
    <t xml:space="preserve">UNIDADES </t>
  </si>
  <si>
    <t xml:space="preserve">CX </t>
  </si>
  <si>
    <t>PREÇO</t>
  </si>
  <si>
    <t>TRANS.</t>
  </si>
  <si>
    <t>DP</t>
  </si>
  <si>
    <t>UNIDADE</t>
  </si>
  <si>
    <t>LINHA ARRETADO</t>
  </si>
  <si>
    <t>ENERG. ARRETADO TAU/CAF - 20ML</t>
  </si>
  <si>
    <t>13.02.19.99</t>
  </si>
  <si>
    <t>N</t>
  </si>
  <si>
    <t>ENERG. ARRETADO TAU/CAF PET - 50ML</t>
  </si>
  <si>
    <t>ENERG. GUARANA C/ AÇAI 20ML</t>
  </si>
  <si>
    <t>21.06.90.30</t>
  </si>
  <si>
    <t>SPRAYZIIN DE ROMÃ C/ PROPOLIS -30ML</t>
  </si>
  <si>
    <t>13.02.11.90</t>
  </si>
  <si>
    <t>SPRAYZIIN DE AGRIÃO C/ PROPOLIS -30ML</t>
  </si>
  <si>
    <t>SPRAYZIIN DE GENGIBRE C/ PROPOLIS -30ML</t>
  </si>
  <si>
    <t>SPRAYZIIN DE CANELA C/ PROPOLIS -30ML</t>
  </si>
  <si>
    <t>SPRAYZIIN DE MALVA C/ PROPOLIS -30ML</t>
  </si>
  <si>
    <t>SPRAYZIIN DE  GUACO C/ PROPOLIS -30ML</t>
  </si>
  <si>
    <t>001099</t>
  </si>
  <si>
    <t>CAIXA</t>
  </si>
  <si>
    <t>000019</t>
  </si>
  <si>
    <t>001098</t>
  </si>
  <si>
    <t>000876</t>
  </si>
  <si>
    <t>000918</t>
  </si>
  <si>
    <t>000919</t>
  </si>
  <si>
    <t>GUARANA EM CAPS. FRASCO 60UNI.</t>
  </si>
  <si>
    <t>21.06.90.10</t>
  </si>
  <si>
    <t>UNID</t>
  </si>
  <si>
    <t>GUARANA EM PÓ POTE 80GR</t>
  </si>
  <si>
    <t>EXTRATO DE PROPOLIS 30ML</t>
  </si>
  <si>
    <t>15.21.90.90</t>
  </si>
  <si>
    <t>BALA DE GENGIBRE DURA C/ MEL E  PRÓPOLIS ENV -30GR.</t>
  </si>
  <si>
    <t>17.04-90.20</t>
  </si>
  <si>
    <t>BALA DE GENGIBRE MASTIGAVEL C/ PRÓPOLIS ENV.-30GR.</t>
  </si>
  <si>
    <t>21.06.90.90</t>
  </si>
  <si>
    <t>CRISTAIS DE GENGIBRE COM PRÓPOLIS E MEL 12 x15 GR</t>
  </si>
  <si>
    <t>20.07.10.00</t>
  </si>
  <si>
    <t>S</t>
  </si>
  <si>
    <t xml:space="preserve">OLEO DE COCO EXT VIRGEM 200ML </t>
  </si>
  <si>
    <t>15.13.19.00</t>
  </si>
  <si>
    <t>HEPAZIIN ABACAXI ZERO AÇUCAR - 10ML</t>
  </si>
  <si>
    <t>f</t>
  </si>
  <si>
    <t>04.09.00.00</t>
  </si>
  <si>
    <t>MEL EM BISNAGA 200GR</t>
  </si>
  <si>
    <t>MEL POTE 300 UNID X 04 GR - 1.200 KG</t>
  </si>
  <si>
    <t>POTE</t>
  </si>
  <si>
    <t>18.04.00.00</t>
  </si>
  <si>
    <t>33.04.99.90</t>
  </si>
  <si>
    <t>PROT. LABIAL PROTECT SUN 3,5 GR - COM FPS 15</t>
  </si>
  <si>
    <t>PROT. LABIAL PROPOLIS PROTECT 3,5 GR</t>
  </si>
  <si>
    <t>PROT.LABIAL MANTEIGA DE CACAU ROLL ON 5 ML</t>
  </si>
  <si>
    <t>GEL MASSAGEADOR DHEIMOS ARNICAN 200GR</t>
  </si>
  <si>
    <t>CÓDIGO EAN</t>
  </si>
  <si>
    <t>ENERG. ARRETADO CAFEINA EM CAPSULA - 24X2UN</t>
  </si>
  <si>
    <t>IPI</t>
  </si>
  <si>
    <t>Ne</t>
  </si>
  <si>
    <t>Pos/Neg/Neu</t>
  </si>
  <si>
    <t>Positivo</t>
  </si>
  <si>
    <t>Negativo</t>
  </si>
  <si>
    <t>Neutro</t>
  </si>
  <si>
    <t>CEST</t>
  </si>
  <si>
    <t>%</t>
  </si>
  <si>
    <t>-</t>
  </si>
  <si>
    <t>EXTRATO DE PROPOLIS EM CAPSULA - 60 CPS</t>
  </si>
  <si>
    <t>PROT. LABIAL MANTEIGA DE CACAU BATOM 3,5 GR</t>
  </si>
  <si>
    <t xml:space="preserve">PROT. LABIAL  CACAU KIDS 3,5 GR - FPS 15 </t>
  </si>
  <si>
    <t xml:space="preserve">PROT. LABIAL PROTECT SUN 3,5 GR -  FPS 15 </t>
  </si>
  <si>
    <t>PROT. LABIAL AMORA SILVESTRE 3,5 GR -  FPS 30</t>
  </si>
  <si>
    <t>MEL NATURAL SACHÊ</t>
  </si>
  <si>
    <t>EXTRATO DE PROPOLIS AQUOSO 30ML</t>
  </si>
  <si>
    <t>EXTRATO DE PROPOLIS AQUOSO C/MEL SABOR MORANGO 30ML</t>
  </si>
  <si>
    <t>MANTEIGA DE CACAU BATOM 3,5 GR</t>
  </si>
  <si>
    <t>HEPAZIIN AMARGO ZERO AÇUCAR - 10ML</t>
  </si>
  <si>
    <t xml:space="preserve">PROT. LABIAL PROPOLIS PROTECT 3,5 GR </t>
  </si>
  <si>
    <t>33.04.10.00</t>
  </si>
  <si>
    <t>005564</t>
  </si>
  <si>
    <t>004932</t>
  </si>
  <si>
    <t xml:space="preserve">PREÇO </t>
  </si>
  <si>
    <t>CUSTO</t>
  </si>
  <si>
    <t>PROPOZIIN SUPLEMENTO ALIMENTAR VITAMINICO</t>
  </si>
  <si>
    <t>BANANINHA SEM ADIÇÃO DE AÇÚCAR - 25GR</t>
  </si>
  <si>
    <t>BANANINHA  COM AÇUCAR - 30GR</t>
  </si>
  <si>
    <t>MEL PURO EM BISNAGA 140GR</t>
  </si>
  <si>
    <t>MEL C/ PROPOLIS E MORANGO EM BISNAGA 140G</t>
  </si>
  <si>
    <t>MEL C/ PROPOLIS E ROMA EM BISNAGA 140G</t>
  </si>
  <si>
    <t>MEL C/ PROPOLIS EM BISNAGA 140G</t>
  </si>
  <si>
    <t xml:space="preserve">SPRAYZIIN DE  MOTRANGO C/ PROPOLIS -30ML </t>
  </si>
  <si>
    <t xml:space="preserve">SPRAYZIIN DE  TUTTI FRUTTI C/ PROPOLIS -30ML </t>
  </si>
  <si>
    <t>000248</t>
  </si>
  <si>
    <t>SPRAYZIIN DE LIMÃO C/ PROPOLIS - 30ML</t>
  </si>
  <si>
    <t>005717</t>
  </si>
  <si>
    <t>SPRAYZIIN DE ABACAXI C/ PROPOLIS - 30ML</t>
  </si>
  <si>
    <t>000187</t>
  </si>
  <si>
    <t>SPRAYZIIN DE ABACAXI COM HORTELÃ C/ PRÓPOLIS - 30ML</t>
  </si>
  <si>
    <t>SPRAYZIIN DE LARANJA C/ PROPOLIS - 30ML</t>
  </si>
  <si>
    <t xml:space="preserve">GLOSS TUTTI FRUTTI ROLL ON 5 ML </t>
  </si>
  <si>
    <t xml:space="preserve">GLOSS MORANGO ROLL ON 5 ML </t>
  </si>
  <si>
    <t xml:space="preserve">GLOSS CEREJA ROLL ON 5 ML </t>
  </si>
  <si>
    <t>GLOSS FRAMBOESA ROLL ON 5 ML</t>
  </si>
  <si>
    <t>GLOSS MAÇA VERDE ROLL ON 5 ML</t>
  </si>
  <si>
    <t>GLOSS MELANCIA ROLL ON 5 ML</t>
  </si>
  <si>
    <t>GLOSS UVA ROLL ON 5 ML</t>
  </si>
  <si>
    <t>TABELA DE PREÇOS 2026</t>
  </si>
  <si>
    <t>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</si>
</sst>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#,##0.00"/>
    <numFmt numFmtId="165" formatCode="_-&quot;R$&quot;* #,##0.00_-;\-&quot;R$&quot;* #,##0.00_-;_-&quot;R$&quot;* &quot;-&quot;??_-;_-@"/>
    <numFmt numFmtId="166" formatCode="00000"/>
  </numFmts>
  <fonts count="21" x14ac:knownFonts="1">
    <font>
      <sz val="11"/>
      <color rgb="FF000000"/>
      <name val="Calibri"/>
    </font>
    <font>
      <sz val="11"/>
      <color rgb="FFFFFFFF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Calibri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22"/>
      <color rgb="FFFFFFFF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3A3838"/>
        <bgColor rgb="FF3A3838"/>
      </patternFill>
    </fill>
    <fill>
      <patternFill patternType="solid">
        <fgColor theme="1" tint="0.249977111117893"/>
        <bgColor rgb="FF3A3838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FFFF"/>
      </left>
      <right/>
      <top style="medium">
        <color theme="1"/>
      </top>
      <bottom/>
      <diagonal/>
    </border>
    <border>
      <left style="thin">
        <color rgb="FFFFFFFF"/>
      </left>
      <right style="thin">
        <color rgb="FFFFFFFF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medium">
        <color indexed="64"/>
      </left>
      <right/>
      <top/>
      <bottom style="medium">
        <color rgb="FFFFFFFF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165" fontId="5" fillId="4" borderId="8" xfId="0" applyNumberFormat="1" applyFont="1" applyFill="1" applyBorder="1" applyAlignment="1">
      <alignment horizontal="center" vertical="center"/>
    </xf>
    <xf numFmtId="165" fontId="5" fillId="4" borderId="9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9" fontId="3" fillId="0" borderId="0" xfId="0" applyNumberFormat="1" applyFont="1" applyAlignment="1">
      <alignment horizontal="center"/>
    </xf>
    <xf numFmtId="0" fontId="12" fillId="0" borderId="2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5" fontId="5" fillId="4" borderId="14" xfId="0" applyNumberFormat="1" applyFont="1" applyFill="1" applyBorder="1" applyAlignment="1">
      <alignment horizontal="center" vertical="center"/>
    </xf>
    <xf numFmtId="165" fontId="5" fillId="4" borderId="15" xfId="0" applyNumberFormat="1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/>
    </xf>
    <xf numFmtId="0" fontId="9" fillId="0" borderId="19" xfId="0" applyFont="1" applyBorder="1" applyAlignment="1">
      <alignment horizontal="center"/>
    </xf>
    <xf numFmtId="165" fontId="9" fillId="0" borderId="4" xfId="0" applyNumberFormat="1" applyFont="1" applyBorder="1" applyAlignment="1">
      <alignment horizontal="center"/>
    </xf>
    <xf numFmtId="165" fontId="9" fillId="0" borderId="10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165" fontId="9" fillId="7" borderId="5" xfId="0" applyNumberFormat="1" applyFont="1" applyFill="1" applyBorder="1" applyAlignment="1">
      <alignment horizontal="center"/>
    </xf>
    <xf numFmtId="0" fontId="12" fillId="0" borderId="19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2" fillId="6" borderId="22" xfId="0" applyFont="1" applyFill="1" applyBorder="1" applyAlignment="1">
      <alignment horizontal="center"/>
    </xf>
    <xf numFmtId="166" fontId="9" fillId="0" borderId="19" xfId="0" applyNumberFormat="1" applyFont="1" applyBorder="1" applyAlignment="1">
      <alignment horizontal="center"/>
    </xf>
    <xf numFmtId="166" fontId="9" fillId="0" borderId="2" xfId="0" applyNumberFormat="1" applyFont="1" applyBorder="1" applyAlignment="1">
      <alignment horizontal="center"/>
    </xf>
    <xf numFmtId="166" fontId="9" fillId="2" borderId="2" xfId="0" applyNumberFormat="1" applyFont="1" applyFill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166" fontId="9" fillId="0" borderId="10" xfId="0" applyNumberFormat="1" applyFont="1" applyBorder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166" fontId="10" fillId="0" borderId="2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10" fillId="0" borderId="19" xfId="0" applyNumberFormat="1" applyFont="1" applyBorder="1" applyAlignment="1">
      <alignment horizontal="center"/>
    </xf>
    <xf numFmtId="166" fontId="10" fillId="0" borderId="17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44" fontId="0" fillId="0" borderId="0" xfId="0" applyNumberFormat="1"/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0" fontId="7" fillId="2" borderId="40" xfId="0" applyFont="1" applyFill="1" applyBorder="1" applyAlignment="1">
      <alignment horizontal="center"/>
    </xf>
    <xf numFmtId="0" fontId="9" fillId="0" borderId="45" xfId="0" applyFont="1" applyBorder="1" applyAlignment="1">
      <alignment horizontal="center"/>
    </xf>
    <xf numFmtId="0" fontId="9" fillId="2" borderId="46" xfId="0" applyFont="1" applyFill="1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49" fontId="9" fillId="0" borderId="45" xfId="0" applyNumberFormat="1" applyFont="1" applyBorder="1" applyAlignment="1">
      <alignment horizontal="center"/>
    </xf>
    <xf numFmtId="49" fontId="9" fillId="0" borderId="46" xfId="0" applyNumberFormat="1" applyFont="1" applyBorder="1" applyAlignment="1">
      <alignment horizontal="center"/>
    </xf>
    <xf numFmtId="49" fontId="9" fillId="0" borderId="47" xfId="0" applyNumberFormat="1" applyFont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9" fillId="2" borderId="47" xfId="0" applyFont="1" applyFill="1" applyBorder="1" applyAlignment="1">
      <alignment horizontal="center"/>
    </xf>
    <xf numFmtId="0" fontId="3" fillId="2" borderId="12" xfId="0" applyFont="1" applyFill="1" applyBorder="1"/>
    <xf numFmtId="0" fontId="11" fillId="2" borderId="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10" fillId="0" borderId="53" xfId="0" applyFont="1" applyBorder="1" applyAlignment="1">
      <alignment horizontal="center"/>
    </xf>
    <xf numFmtId="0" fontId="12" fillId="0" borderId="53" xfId="0" applyFont="1" applyBorder="1" applyAlignment="1">
      <alignment horizontal="left"/>
    </xf>
    <xf numFmtId="166" fontId="10" fillId="0" borderId="53" xfId="0" applyNumberFormat="1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15" fillId="9" borderId="21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9" fillId="10" borderId="46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left"/>
    </xf>
    <xf numFmtId="166" fontId="9" fillId="10" borderId="2" xfId="0" applyNumberFormat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9" fontId="0" fillId="10" borderId="0" xfId="0" applyNumberFormat="1" applyFill="1" applyAlignment="1">
      <alignment horizontal="center"/>
    </xf>
    <xf numFmtId="0" fontId="0" fillId="10" borderId="0" xfId="0" applyFill="1"/>
    <xf numFmtId="44" fontId="0" fillId="10" borderId="0" xfId="0" applyNumberFormat="1" applyFill="1"/>
    <xf numFmtId="0" fontId="0" fillId="11" borderId="0" xfId="0" applyFill="1" applyAlignment="1">
      <alignment horizontal="center"/>
    </xf>
    <xf numFmtId="164" fontId="10" fillId="12" borderId="1" xfId="0" applyNumberFormat="1" applyFont="1" applyFill="1" applyBorder="1" applyAlignment="1">
      <alignment horizontal="center"/>
    </xf>
    <xf numFmtId="44" fontId="0" fillId="11" borderId="0" xfId="0" applyNumberFormat="1" applyFill="1"/>
    <xf numFmtId="0" fontId="0" fillId="11" borderId="0" xfId="0" applyFill="1"/>
    <xf numFmtId="0" fontId="10" fillId="12" borderId="47" xfId="0" applyFont="1" applyFill="1" applyBorder="1" applyAlignment="1">
      <alignment horizontal="center"/>
    </xf>
    <xf numFmtId="0" fontId="12" fillId="11" borderId="17" xfId="0" applyFont="1" applyFill="1" applyBorder="1" applyAlignment="1">
      <alignment horizontal="left"/>
    </xf>
    <xf numFmtId="166" fontId="10" fillId="11" borderId="17" xfId="0" applyNumberFormat="1" applyFont="1" applyFill="1" applyBorder="1" applyAlignment="1">
      <alignment horizontal="center"/>
    </xf>
    <xf numFmtId="0" fontId="10" fillId="11" borderId="17" xfId="0" applyFont="1" applyFill="1" applyBorder="1" applyAlignment="1">
      <alignment horizontal="center"/>
    </xf>
    <xf numFmtId="0" fontId="12" fillId="11" borderId="17" xfId="0" applyFont="1" applyFill="1" applyBorder="1" applyAlignment="1">
      <alignment horizontal="center"/>
    </xf>
    <xf numFmtId="165" fontId="10" fillId="11" borderId="18" xfId="0" applyNumberFormat="1" applyFont="1" applyFill="1" applyBorder="1" applyAlignment="1">
      <alignment horizontal="center"/>
    </xf>
    <xf numFmtId="9" fontId="3" fillId="11" borderId="0" xfId="0" applyNumberFormat="1" applyFont="1" applyFill="1" applyAlignment="1">
      <alignment horizontal="center"/>
    </xf>
    <xf numFmtId="165" fontId="9" fillId="13" borderId="20" xfId="0" applyNumberFormat="1" applyFont="1" applyFill="1" applyBorder="1" applyAlignment="1">
      <alignment horizontal="center"/>
    </xf>
    <xf numFmtId="165" fontId="9" fillId="13" borderId="11" xfId="0" applyNumberFormat="1" applyFont="1" applyFill="1" applyBorder="1" applyAlignment="1">
      <alignment horizontal="center"/>
    </xf>
    <xf numFmtId="165" fontId="9" fillId="13" borderId="18" xfId="0" applyNumberFormat="1" applyFont="1" applyFill="1" applyBorder="1" applyAlignment="1">
      <alignment horizontal="center"/>
    </xf>
    <xf numFmtId="165" fontId="10" fillId="13" borderId="11" xfId="0" applyNumberFormat="1" applyFont="1" applyFill="1" applyBorder="1" applyAlignment="1">
      <alignment horizontal="center"/>
    </xf>
    <xf numFmtId="165" fontId="10" fillId="13" borderId="20" xfId="0" applyNumberFormat="1" applyFont="1" applyFill="1" applyBorder="1" applyAlignment="1">
      <alignment horizontal="center"/>
    </xf>
    <xf numFmtId="165" fontId="10" fillId="13" borderId="18" xfId="0" applyNumberFormat="1" applyFont="1" applyFill="1" applyBorder="1" applyAlignment="1">
      <alignment horizontal="center"/>
    </xf>
    <xf numFmtId="165" fontId="10" fillId="13" borderId="53" xfId="0" applyNumberFormat="1" applyFont="1" applyFill="1" applyBorder="1" applyAlignment="1">
      <alignment horizontal="center"/>
    </xf>
    <xf numFmtId="0" fontId="9" fillId="2" borderId="53" xfId="0" applyFont="1" applyFill="1" applyBorder="1" applyAlignment="1">
      <alignment horizontal="center"/>
    </xf>
    <xf numFmtId="0" fontId="11" fillId="0" borderId="53" xfId="0" applyFont="1" applyBorder="1" applyAlignment="1">
      <alignment horizontal="left"/>
    </xf>
    <xf numFmtId="166" fontId="9" fillId="0" borderId="53" xfId="0" applyNumberFormat="1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18" fillId="10" borderId="0" xfId="0" applyFont="1" applyFill="1" applyAlignment="1">
      <alignment horizontal="center"/>
    </xf>
    <xf numFmtId="0" fontId="19" fillId="10" borderId="46" xfId="0" applyFont="1" applyFill="1" applyBorder="1" applyAlignment="1">
      <alignment horizontal="center"/>
    </xf>
    <xf numFmtId="0" fontId="20" fillId="10" borderId="2" xfId="0" applyFont="1" applyFill="1" applyBorder="1" applyAlignment="1">
      <alignment horizontal="left"/>
    </xf>
    <xf numFmtId="166" fontId="19" fillId="10" borderId="2" xfId="0" applyNumberFormat="1" applyFont="1" applyFill="1" applyBorder="1" applyAlignment="1">
      <alignment horizontal="center"/>
    </xf>
    <xf numFmtId="0" fontId="19" fillId="10" borderId="2" xfId="0" applyFont="1" applyFill="1" applyBorder="1" applyAlignment="1">
      <alignment horizontal="center"/>
    </xf>
    <xf numFmtId="0" fontId="20" fillId="10" borderId="2" xfId="0" applyFont="1" applyFill="1" applyBorder="1" applyAlignment="1">
      <alignment horizontal="center"/>
    </xf>
    <xf numFmtId="164" fontId="19" fillId="14" borderId="1" xfId="0" applyNumberFormat="1" applyFont="1" applyFill="1" applyBorder="1" applyAlignment="1">
      <alignment horizontal="center"/>
    </xf>
    <xf numFmtId="9" fontId="18" fillId="10" borderId="0" xfId="0" applyNumberFormat="1" applyFont="1" applyFill="1" applyAlignment="1">
      <alignment horizontal="center"/>
    </xf>
    <xf numFmtId="44" fontId="18" fillId="10" borderId="0" xfId="0" applyNumberFormat="1" applyFont="1" applyFill="1"/>
    <xf numFmtId="0" fontId="18" fillId="10" borderId="0" xfId="0" applyFont="1" applyFill="1"/>
    <xf numFmtId="0" fontId="16" fillId="0" borderId="51" xfId="0" applyFont="1" applyBorder="1" applyAlignment="1">
      <alignment horizontal="center"/>
    </xf>
    <xf numFmtId="165" fontId="9" fillId="13" borderId="53" xfId="0" applyNumberFormat="1" applyFont="1" applyFill="1" applyBorder="1" applyAlignment="1">
      <alignment horizontal="center"/>
    </xf>
    <xf numFmtId="49" fontId="9" fillId="0" borderId="53" xfId="0" applyNumberFormat="1" applyFont="1" applyBorder="1" applyAlignment="1">
      <alignment horizontal="center"/>
    </xf>
    <xf numFmtId="165" fontId="9" fillId="0" borderId="53" xfId="0" applyNumberFormat="1" applyFont="1" applyBorder="1" applyAlignment="1">
      <alignment horizontal="center"/>
    </xf>
    <xf numFmtId="0" fontId="3" fillId="0" borderId="53" xfId="0" applyFont="1" applyBorder="1"/>
    <xf numFmtId="2" fontId="10" fillId="0" borderId="53" xfId="0" applyNumberFormat="1" applyFont="1" applyBorder="1" applyAlignment="1">
      <alignment horizontal="center"/>
    </xf>
    <xf numFmtId="0" fontId="10" fillId="0" borderId="56" xfId="0" applyFont="1" applyBorder="1" applyAlignment="1">
      <alignment horizontal="center"/>
    </xf>
    <xf numFmtId="0" fontId="12" fillId="0" borderId="57" xfId="0" applyFont="1" applyBorder="1" applyAlignment="1">
      <alignment horizontal="left"/>
    </xf>
    <xf numFmtId="166" fontId="10" fillId="0" borderId="57" xfId="0" applyNumberFormat="1" applyFont="1" applyBorder="1" applyAlignment="1">
      <alignment horizontal="center"/>
    </xf>
    <xf numFmtId="0" fontId="3" fillId="0" borderId="17" xfId="0" applyFont="1" applyBorder="1"/>
    <xf numFmtId="0" fontId="10" fillId="0" borderId="57" xfId="0" applyFont="1" applyBorder="1" applyAlignment="1">
      <alignment horizontal="center"/>
    </xf>
    <xf numFmtId="2" fontId="10" fillId="0" borderId="57" xfId="0" applyNumberFormat="1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165" fontId="10" fillId="13" borderId="55" xfId="0" applyNumberFormat="1" applyFont="1" applyFill="1" applyBorder="1" applyAlignment="1">
      <alignment horizontal="center"/>
    </xf>
    <xf numFmtId="165" fontId="19" fillId="13" borderId="11" xfId="0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 vertical="center" wrapText="1"/>
    </xf>
    <xf numFmtId="0" fontId="0" fillId="0" borderId="0" xfId="0"/>
    <xf numFmtId="0" fontId="15" fillId="9" borderId="21" xfId="0" applyFont="1" applyFill="1" applyBorder="1" applyAlignment="1">
      <alignment horizontal="center"/>
    </xf>
    <xf numFmtId="0" fontId="16" fillId="8" borderId="23" xfId="0" applyFont="1" applyFill="1" applyBorder="1"/>
    <xf numFmtId="0" fontId="16" fillId="8" borderId="22" xfId="0" applyFont="1" applyFill="1" applyBorder="1"/>
    <xf numFmtId="0" fontId="13" fillId="0" borderId="31" xfId="1" applyBorder="1" applyAlignment="1">
      <alignment horizontal="center"/>
    </xf>
    <xf numFmtId="0" fontId="2" fillId="0" borderId="32" xfId="0" applyFont="1" applyBorder="1"/>
    <xf numFmtId="0" fontId="15" fillId="3" borderId="39" xfId="0" applyFont="1" applyFill="1" applyBorder="1" applyAlignment="1">
      <alignment horizontal="center" vertical="center"/>
    </xf>
    <xf numFmtId="0" fontId="16" fillId="0" borderId="27" xfId="0" applyFont="1" applyBorder="1"/>
    <xf numFmtId="0" fontId="5" fillId="4" borderId="13" xfId="0" applyFont="1" applyFill="1" applyBorder="1" applyAlignment="1">
      <alignment horizontal="center" vertical="center"/>
    </xf>
    <xf numFmtId="0" fontId="2" fillId="0" borderId="7" xfId="0" applyFont="1" applyBorder="1"/>
    <xf numFmtId="0" fontId="5" fillId="4" borderId="1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2" fillId="0" borderId="33" xfId="0" applyFont="1" applyBorder="1"/>
    <xf numFmtId="0" fontId="15" fillId="3" borderId="38" xfId="0" applyFont="1" applyFill="1" applyBorder="1" applyAlignment="1">
      <alignment horizontal="center" wrapText="1"/>
    </xf>
    <xf numFmtId="0" fontId="15" fillId="3" borderId="26" xfId="0" applyFont="1" applyFill="1" applyBorder="1" applyAlignment="1">
      <alignment horizontal="center" wrapText="1"/>
    </xf>
    <xf numFmtId="0" fontId="14" fillId="8" borderId="49" xfId="0" applyFont="1" applyFill="1" applyBorder="1" applyAlignment="1">
      <alignment horizontal="center" vertical="center"/>
    </xf>
    <xf numFmtId="0" fontId="14" fillId="8" borderId="50" xfId="0" applyFont="1" applyFill="1" applyBorder="1" applyAlignment="1">
      <alignment horizontal="center" vertical="center"/>
    </xf>
    <xf numFmtId="0" fontId="17" fillId="3" borderId="48" xfId="0" applyFont="1" applyFill="1" applyBorder="1" applyAlignment="1">
      <alignment horizontal="center" vertical="center" wrapText="1"/>
    </xf>
    <xf numFmtId="0" fontId="17" fillId="3" borderId="36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8" fillId="5" borderId="44" xfId="0" applyFont="1" applyFill="1" applyBorder="1" applyAlignment="1">
      <alignment horizontal="center"/>
    </xf>
    <xf numFmtId="0" fontId="2" fillId="6" borderId="23" xfId="0" applyFont="1" applyFill="1" applyBorder="1"/>
    <xf numFmtId="0" fontId="5" fillId="4" borderId="14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5" fillId="9" borderId="22" xfId="0" applyFont="1" applyFill="1" applyBorder="1" applyAlignment="1">
      <alignment horizontal="center"/>
    </xf>
    <xf numFmtId="0" fontId="15" fillId="9" borderId="23" xfId="0" applyFon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5" fillId="5" borderId="14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2" fillId="0" borderId="43" xfId="0" applyFont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33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826293</xdr:colOff>
      <xdr:row>1</xdr:row>
      <xdr:rowOff>19050</xdr:rowOff>
    </xdr:from>
    <xdr:ext cx="2047875" cy="1076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8293" y="126206"/>
          <a:ext cx="2047875" cy="1076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2"/>
  <sheetViews>
    <sheetView showGridLines="0" tabSelected="1" topLeftCell="A25" zoomScale="80" zoomScaleNormal="80" workbookViewId="0">
      <selection activeCell="O13" sqref="O13:O67"/>
    </sheetView>
  </sheetViews>
  <sheetFormatPr defaultColWidth="14.42578125" defaultRowHeight="15" customHeight="1" x14ac:dyDescent="0.25"/>
  <cols>
    <col min="1" max="1" width="1.85546875" customWidth="1"/>
    <col min="2" max="2" width="9.7109375" customWidth="1"/>
    <col min="3" max="3" width="67.28515625" customWidth="1"/>
    <col min="4" max="4" width="15.42578125" style="1" customWidth="1"/>
    <col min="5" max="5" width="11.5703125" customWidth="1"/>
    <col min="6" max="6" width="8.42578125" customWidth="1"/>
    <col min="7" max="8" width="3.85546875" customWidth="1"/>
    <col min="9" max="9" width="6" customWidth="1"/>
    <col min="10" max="10" width="8.28515625" customWidth="1"/>
    <col min="11" max="11" width="8.140625" customWidth="1"/>
    <col min="12" max="12" width="7.140625" customWidth="1"/>
    <col min="13" max="13" width="8.85546875" customWidth="1"/>
    <col min="14" max="14" width="10.7109375" customWidth="1"/>
    <col min="15" max="15" width="10.85546875" customWidth="1"/>
    <col min="16" max="16" width="1.42578125" hidden="1" customWidth="1"/>
    <col min="17" max="17" width="9.28515625" customWidth="1"/>
  </cols>
  <sheetData>
    <row r="1" spans="1:21" ht="8.25" customHeight="1" thickBot="1" x14ac:dyDescent="0.3">
      <c r="A1" s="1"/>
      <c r="B1" s="1"/>
      <c r="C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3"/>
      <c r="Q1" s="4"/>
    </row>
    <row r="2" spans="1:21" ht="15" customHeight="1" x14ac:dyDescent="0.25">
      <c r="A2" s="1"/>
      <c r="B2" s="61"/>
      <c r="C2" s="62"/>
      <c r="D2" s="63"/>
      <c r="E2" s="166" t="s">
        <v>109</v>
      </c>
      <c r="F2" s="167"/>
      <c r="G2" s="167"/>
      <c r="H2" s="167"/>
      <c r="I2" s="167"/>
      <c r="J2" s="167"/>
      <c r="K2" s="167"/>
      <c r="L2" s="167"/>
      <c r="M2" s="164"/>
      <c r="N2" s="162"/>
      <c r="O2" s="154"/>
      <c r="P2" s="5"/>
      <c r="Q2" s="4"/>
    </row>
    <row r="3" spans="1:21" x14ac:dyDescent="0.25">
      <c r="A3" s="1"/>
      <c r="B3" s="64"/>
      <c r="C3" s="2"/>
      <c r="D3" s="31"/>
      <c r="E3" s="168"/>
      <c r="F3" s="169"/>
      <c r="G3" s="169"/>
      <c r="H3" s="169"/>
      <c r="I3" s="169"/>
      <c r="J3" s="169"/>
      <c r="K3" s="169"/>
      <c r="L3" s="169"/>
      <c r="M3" s="165"/>
      <c r="N3" s="163"/>
      <c r="O3" s="155"/>
      <c r="P3" s="5"/>
      <c r="Q3" s="4"/>
    </row>
    <row r="4" spans="1:21" ht="21.75" customHeight="1" x14ac:dyDescent="0.25">
      <c r="A4" s="1"/>
      <c r="B4" s="64"/>
      <c r="C4" s="19"/>
      <c r="D4" s="32"/>
      <c r="E4" s="170"/>
      <c r="F4" s="171"/>
      <c r="G4" s="171"/>
      <c r="H4" s="171"/>
      <c r="I4" s="171"/>
      <c r="J4" s="171"/>
      <c r="K4" s="171"/>
      <c r="L4" s="172"/>
      <c r="M4" s="132"/>
      <c r="N4" s="79"/>
      <c r="O4" s="89"/>
      <c r="P4" s="2"/>
      <c r="Q4" s="4"/>
    </row>
    <row r="5" spans="1:21" x14ac:dyDescent="0.25">
      <c r="A5" s="1"/>
      <c r="B5" s="64"/>
      <c r="C5" s="2"/>
      <c r="D5" s="31"/>
      <c r="E5" s="179"/>
      <c r="F5" s="179"/>
      <c r="G5" s="179"/>
      <c r="H5" s="179"/>
      <c r="I5" s="179"/>
      <c r="J5" s="180"/>
      <c r="K5" s="149"/>
      <c r="L5" s="150"/>
      <c r="M5" s="149"/>
      <c r="N5" s="151"/>
      <c r="O5" s="87"/>
      <c r="P5" s="5"/>
      <c r="Q5" s="4"/>
    </row>
    <row r="6" spans="1:21" ht="20.25" customHeight="1" thickBot="1" x14ac:dyDescent="0.3">
      <c r="A6" s="1"/>
      <c r="B6" s="65"/>
      <c r="C6" s="34"/>
      <c r="D6" s="33"/>
      <c r="E6" s="181"/>
      <c r="F6" s="182"/>
      <c r="G6" s="182"/>
      <c r="H6" s="182"/>
      <c r="I6" s="182"/>
      <c r="J6" s="183"/>
      <c r="K6" s="160"/>
      <c r="L6" s="161"/>
      <c r="M6" s="152"/>
      <c r="N6" s="153"/>
      <c r="O6" s="88"/>
      <c r="P6" s="2"/>
      <c r="Q6" s="4"/>
    </row>
    <row r="7" spans="1:21" ht="4.5" customHeight="1" x14ac:dyDescent="0.25">
      <c r="A7" s="1"/>
      <c r="B7" s="6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6"/>
      <c r="O7" s="6"/>
      <c r="P7" s="3"/>
      <c r="Q7" s="4"/>
    </row>
    <row r="8" spans="1:21" ht="1.5" customHeight="1" thickBot="1" x14ac:dyDescent="0.3">
      <c r="A8" s="1"/>
      <c r="B8" s="66"/>
      <c r="C8" s="2"/>
      <c r="D8" s="2"/>
      <c r="E8" s="2"/>
      <c r="F8" s="2"/>
      <c r="G8" s="2"/>
      <c r="H8" s="2"/>
      <c r="I8" s="2"/>
      <c r="J8" s="2" t="s">
        <v>62</v>
      </c>
      <c r="K8" s="2"/>
      <c r="L8" s="2"/>
      <c r="M8" s="2"/>
      <c r="N8" s="7"/>
      <c r="O8" s="6"/>
      <c r="P8" s="3"/>
      <c r="Q8" s="4"/>
    </row>
    <row r="9" spans="1:21" ht="18.75" customHeight="1" x14ac:dyDescent="0.3">
      <c r="A9" s="1"/>
      <c r="B9" s="186" t="s">
        <v>0</v>
      </c>
      <c r="C9" s="156" t="s">
        <v>1</v>
      </c>
      <c r="D9" s="184" t="s">
        <v>59</v>
      </c>
      <c r="E9" s="156" t="s">
        <v>2</v>
      </c>
      <c r="F9" s="173" t="s">
        <v>67</v>
      </c>
      <c r="G9" s="156" t="s">
        <v>3</v>
      </c>
      <c r="H9" s="173" t="s">
        <v>61</v>
      </c>
      <c r="I9" s="173" t="s">
        <v>68</v>
      </c>
      <c r="J9" s="177" t="s">
        <v>63</v>
      </c>
      <c r="K9" s="156" t="s">
        <v>4</v>
      </c>
      <c r="L9" s="158" t="s">
        <v>5</v>
      </c>
      <c r="M9" s="81" t="s">
        <v>6</v>
      </c>
      <c r="N9" s="21" t="s">
        <v>84</v>
      </c>
      <c r="O9" s="20" t="s">
        <v>7</v>
      </c>
      <c r="P9" s="8"/>
      <c r="Q9" s="147"/>
    </row>
    <row r="10" spans="1:21" ht="19.5" thickBot="1" x14ac:dyDescent="0.35">
      <c r="A10" s="1"/>
      <c r="B10" s="187"/>
      <c r="C10" s="157"/>
      <c r="D10" s="185"/>
      <c r="E10" s="157"/>
      <c r="F10" s="174"/>
      <c r="G10" s="157"/>
      <c r="H10" s="174"/>
      <c r="I10" s="174"/>
      <c r="J10" s="178"/>
      <c r="K10" s="157"/>
      <c r="L10" s="159"/>
      <c r="M10" s="9" t="s">
        <v>8</v>
      </c>
      <c r="N10" s="10" t="s">
        <v>85</v>
      </c>
      <c r="O10" s="11" t="s">
        <v>10</v>
      </c>
      <c r="P10" s="8"/>
      <c r="Q10" s="148"/>
    </row>
    <row r="11" spans="1:21" ht="7.5" customHeight="1" x14ac:dyDescent="0.25">
      <c r="A11" s="1"/>
      <c r="B11" s="67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3"/>
      <c r="Q11" s="4"/>
    </row>
    <row r="12" spans="1:21" ht="15.75" x14ac:dyDescent="0.25">
      <c r="A12" s="1"/>
      <c r="B12" s="175" t="s">
        <v>11</v>
      </c>
      <c r="C12" s="176"/>
      <c r="D12" s="44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13"/>
      <c r="Q12" s="4"/>
    </row>
    <row r="13" spans="1:21" x14ac:dyDescent="0.25">
      <c r="A13" s="1"/>
      <c r="B13" s="68">
        <v>514</v>
      </c>
      <c r="C13" s="40" t="s">
        <v>12</v>
      </c>
      <c r="D13" s="45">
        <v>7897512900514</v>
      </c>
      <c r="E13" s="23" t="s">
        <v>13</v>
      </c>
      <c r="F13" s="23" t="s">
        <v>69</v>
      </c>
      <c r="G13" s="23" t="s">
        <v>14</v>
      </c>
      <c r="H13" s="23" t="s">
        <v>14</v>
      </c>
      <c r="I13" s="23" t="s">
        <v>69</v>
      </c>
      <c r="J13" s="55" t="s">
        <v>66</v>
      </c>
      <c r="K13" s="55" t="s">
        <v>9</v>
      </c>
      <c r="L13" s="55">
        <v>24</v>
      </c>
      <c r="M13" s="55">
        <v>10</v>
      </c>
      <c r="N13" s="110">
        <v>44.7</v>
      </c>
      <c r="O13" s="36">
        <f>N13/L13</f>
        <v>1.8625</v>
      </c>
      <c r="P13" s="15"/>
      <c r="Q13" s="16"/>
      <c r="R13" s="60"/>
      <c r="T13" s="60"/>
      <c r="U13" s="60"/>
    </row>
    <row r="14" spans="1:21" x14ac:dyDescent="0.25">
      <c r="A14" s="1"/>
      <c r="B14" s="69">
        <v>316</v>
      </c>
      <c r="C14" s="41" t="s">
        <v>15</v>
      </c>
      <c r="D14" s="46">
        <v>7897512900316</v>
      </c>
      <c r="E14" s="14" t="s">
        <v>13</v>
      </c>
      <c r="F14" s="14" t="s">
        <v>69</v>
      </c>
      <c r="G14" s="14" t="s">
        <v>14</v>
      </c>
      <c r="H14" s="14" t="s">
        <v>14</v>
      </c>
      <c r="I14" s="14" t="s">
        <v>69</v>
      </c>
      <c r="J14" s="56" t="s">
        <v>66</v>
      </c>
      <c r="K14" s="56" t="s">
        <v>9</v>
      </c>
      <c r="L14" s="56">
        <v>12</v>
      </c>
      <c r="M14" s="56">
        <v>8</v>
      </c>
      <c r="N14" s="111">
        <v>51.8</v>
      </c>
      <c r="O14" s="36">
        <f t="shared" ref="O14:O67" si="0">N14/L14</f>
        <v>4.3166666666666664</v>
      </c>
      <c r="P14" s="15"/>
      <c r="Q14" s="16"/>
      <c r="R14" s="60"/>
    </row>
    <row r="15" spans="1:21" x14ac:dyDescent="0.25">
      <c r="A15" s="1"/>
      <c r="B15" s="70">
        <v>818</v>
      </c>
      <c r="C15" s="41" t="s">
        <v>16</v>
      </c>
      <c r="D15" s="46">
        <v>7897512902334</v>
      </c>
      <c r="E15" s="14" t="s">
        <v>13</v>
      </c>
      <c r="F15" s="14" t="s">
        <v>69</v>
      </c>
      <c r="G15" s="14" t="s">
        <v>14</v>
      </c>
      <c r="H15" s="14" t="s">
        <v>14</v>
      </c>
      <c r="I15" s="14" t="s">
        <v>69</v>
      </c>
      <c r="J15" s="56" t="s">
        <v>66</v>
      </c>
      <c r="K15" s="56" t="s">
        <v>9</v>
      </c>
      <c r="L15" s="56">
        <v>24</v>
      </c>
      <c r="M15" s="56">
        <v>10</v>
      </c>
      <c r="N15" s="111">
        <v>44.7</v>
      </c>
      <c r="O15" s="36">
        <f t="shared" si="0"/>
        <v>1.8625</v>
      </c>
      <c r="P15" s="15"/>
      <c r="Q15" s="16"/>
      <c r="R15" s="60"/>
    </row>
    <row r="16" spans="1:21" x14ac:dyDescent="0.25">
      <c r="A16" s="1"/>
      <c r="B16" s="69">
        <v>2860</v>
      </c>
      <c r="C16" s="42" t="s">
        <v>60</v>
      </c>
      <c r="D16" s="47">
        <v>7897512902860</v>
      </c>
      <c r="E16" s="14" t="s">
        <v>13</v>
      </c>
      <c r="F16" s="14" t="s">
        <v>69</v>
      </c>
      <c r="G16" s="14" t="s">
        <v>14</v>
      </c>
      <c r="H16" s="14" t="s">
        <v>14</v>
      </c>
      <c r="I16" s="14" t="s">
        <v>69</v>
      </c>
      <c r="J16" s="56" t="s">
        <v>66</v>
      </c>
      <c r="K16" s="56" t="s">
        <v>9</v>
      </c>
      <c r="L16" s="80">
        <v>24</v>
      </c>
      <c r="M16" s="80">
        <v>12</v>
      </c>
      <c r="N16" s="111">
        <v>50.15</v>
      </c>
      <c r="O16" s="36">
        <f t="shared" si="0"/>
        <v>2.0895833333333331</v>
      </c>
      <c r="P16" s="15"/>
      <c r="Q16" s="16"/>
      <c r="R16" s="60"/>
    </row>
    <row r="17" spans="1:18" ht="15.75" customHeight="1" x14ac:dyDescent="0.25">
      <c r="A17" s="1"/>
      <c r="B17" s="74" t="s">
        <v>25</v>
      </c>
      <c r="C17" s="40" t="s">
        <v>18</v>
      </c>
      <c r="D17" s="48">
        <v>7897512900170</v>
      </c>
      <c r="E17" s="24" t="s">
        <v>19</v>
      </c>
      <c r="F17" s="24" t="s">
        <v>69</v>
      </c>
      <c r="G17" s="23" t="s">
        <v>14</v>
      </c>
      <c r="H17" s="23" t="s">
        <v>14</v>
      </c>
      <c r="I17" s="23" t="s">
        <v>69</v>
      </c>
      <c r="J17" s="55" t="s">
        <v>66</v>
      </c>
      <c r="K17" s="55" t="s">
        <v>26</v>
      </c>
      <c r="L17" s="55">
        <v>1</v>
      </c>
      <c r="M17" s="55">
        <v>48</v>
      </c>
      <c r="N17" s="110">
        <v>5.6</v>
      </c>
      <c r="O17" s="36">
        <f t="shared" si="0"/>
        <v>5.6</v>
      </c>
      <c r="P17" s="15"/>
      <c r="Q17" s="16"/>
      <c r="R17" s="60"/>
    </row>
    <row r="18" spans="1:18" ht="15.75" customHeight="1" x14ac:dyDescent="0.25">
      <c r="A18" s="1"/>
      <c r="B18" s="75" t="s">
        <v>27</v>
      </c>
      <c r="C18" s="41" t="s">
        <v>20</v>
      </c>
      <c r="D18" s="49">
        <v>7897512900019</v>
      </c>
      <c r="E18" s="25" t="s">
        <v>19</v>
      </c>
      <c r="F18" s="25" t="s">
        <v>69</v>
      </c>
      <c r="G18" s="14" t="s">
        <v>14</v>
      </c>
      <c r="H18" s="14" t="s">
        <v>14</v>
      </c>
      <c r="I18" s="14" t="s">
        <v>69</v>
      </c>
      <c r="J18" s="56" t="s">
        <v>66</v>
      </c>
      <c r="K18" s="56" t="s">
        <v>26</v>
      </c>
      <c r="L18" s="56">
        <v>1</v>
      </c>
      <c r="M18" s="56">
        <v>48</v>
      </c>
      <c r="N18" s="110">
        <v>5.6</v>
      </c>
      <c r="O18" s="36">
        <f t="shared" si="0"/>
        <v>5.6</v>
      </c>
      <c r="P18" s="15"/>
      <c r="Q18" s="16"/>
      <c r="R18" s="60"/>
    </row>
    <row r="19" spans="1:18" ht="15.75" customHeight="1" x14ac:dyDescent="0.25">
      <c r="A19" s="1"/>
      <c r="B19" s="75" t="s">
        <v>28</v>
      </c>
      <c r="C19" s="41" t="s">
        <v>21</v>
      </c>
      <c r="D19" s="49">
        <v>7897512900903</v>
      </c>
      <c r="E19" s="25" t="s">
        <v>19</v>
      </c>
      <c r="F19" s="25" t="s">
        <v>69</v>
      </c>
      <c r="G19" s="14" t="s">
        <v>14</v>
      </c>
      <c r="H19" s="14" t="s">
        <v>14</v>
      </c>
      <c r="I19" s="14" t="s">
        <v>69</v>
      </c>
      <c r="J19" s="56" t="s">
        <v>66</v>
      </c>
      <c r="K19" s="56" t="s">
        <v>26</v>
      </c>
      <c r="L19" s="56">
        <v>1</v>
      </c>
      <c r="M19" s="56">
        <v>48</v>
      </c>
      <c r="N19" s="110">
        <v>5.6</v>
      </c>
      <c r="O19" s="36">
        <f t="shared" si="0"/>
        <v>5.6</v>
      </c>
      <c r="P19" s="15"/>
      <c r="Q19" s="16"/>
      <c r="R19" s="60"/>
    </row>
    <row r="20" spans="1:18" ht="15.75" customHeight="1" x14ac:dyDescent="0.25">
      <c r="A20" s="1"/>
      <c r="B20" s="75" t="s">
        <v>29</v>
      </c>
      <c r="C20" s="41" t="s">
        <v>22</v>
      </c>
      <c r="D20" s="49">
        <v>7897512900910</v>
      </c>
      <c r="E20" s="25" t="s">
        <v>19</v>
      </c>
      <c r="F20" s="25" t="s">
        <v>69</v>
      </c>
      <c r="G20" s="14" t="s">
        <v>14</v>
      </c>
      <c r="H20" s="14" t="s">
        <v>14</v>
      </c>
      <c r="I20" s="14" t="s">
        <v>69</v>
      </c>
      <c r="J20" s="56" t="s">
        <v>66</v>
      </c>
      <c r="K20" s="56" t="s">
        <v>26</v>
      </c>
      <c r="L20" s="56">
        <v>1</v>
      </c>
      <c r="M20" s="56">
        <v>48</v>
      </c>
      <c r="N20" s="110">
        <v>5.6</v>
      </c>
      <c r="O20" s="36">
        <f t="shared" si="0"/>
        <v>5.6</v>
      </c>
      <c r="P20" s="15"/>
      <c r="Q20" s="16"/>
      <c r="R20" s="60"/>
    </row>
    <row r="21" spans="1:18" ht="15.75" customHeight="1" x14ac:dyDescent="0.25">
      <c r="A21" s="1"/>
      <c r="B21" s="75" t="s">
        <v>30</v>
      </c>
      <c r="C21" s="41" t="s">
        <v>23</v>
      </c>
      <c r="D21" s="49">
        <v>7897512902228</v>
      </c>
      <c r="E21" s="25" t="s">
        <v>19</v>
      </c>
      <c r="F21" s="25" t="s">
        <v>69</v>
      </c>
      <c r="G21" s="14" t="s">
        <v>14</v>
      </c>
      <c r="H21" s="14" t="s">
        <v>14</v>
      </c>
      <c r="I21" s="14" t="s">
        <v>69</v>
      </c>
      <c r="J21" s="56" t="s">
        <v>66</v>
      </c>
      <c r="K21" s="56" t="s">
        <v>26</v>
      </c>
      <c r="L21" s="56">
        <v>1</v>
      </c>
      <c r="M21" s="56">
        <v>48</v>
      </c>
      <c r="N21" s="110">
        <v>5.6</v>
      </c>
      <c r="O21" s="36">
        <f t="shared" si="0"/>
        <v>5.6</v>
      </c>
      <c r="P21" s="15"/>
      <c r="Q21" s="16"/>
      <c r="R21" s="60"/>
    </row>
    <row r="22" spans="1:18" ht="15.75" customHeight="1" x14ac:dyDescent="0.25">
      <c r="A22" s="1"/>
      <c r="B22" s="76" t="s">
        <v>31</v>
      </c>
      <c r="C22" s="43" t="s">
        <v>24</v>
      </c>
      <c r="D22" s="50">
        <v>7897512902235</v>
      </c>
      <c r="E22" s="28" t="s">
        <v>19</v>
      </c>
      <c r="F22" s="28" t="s">
        <v>69</v>
      </c>
      <c r="G22" s="29" t="s">
        <v>14</v>
      </c>
      <c r="H22" s="29" t="s">
        <v>14</v>
      </c>
      <c r="I22" s="29" t="s">
        <v>69</v>
      </c>
      <c r="J22" s="57" t="s">
        <v>66</v>
      </c>
      <c r="K22" s="57" t="s">
        <v>26</v>
      </c>
      <c r="L22" s="57">
        <v>1</v>
      </c>
      <c r="M22" s="57">
        <v>48</v>
      </c>
      <c r="N22" s="110">
        <v>5.6</v>
      </c>
      <c r="O22" s="36">
        <f t="shared" si="0"/>
        <v>5.6</v>
      </c>
      <c r="P22" s="15"/>
      <c r="Q22" s="16"/>
      <c r="R22" s="60"/>
    </row>
    <row r="23" spans="1:18" ht="15.75" customHeight="1" x14ac:dyDescent="0.25">
      <c r="A23" s="1"/>
      <c r="B23" s="76" t="s">
        <v>95</v>
      </c>
      <c r="C23" s="43" t="s">
        <v>96</v>
      </c>
      <c r="D23" s="50">
        <v>7897512900248</v>
      </c>
      <c r="E23" s="28" t="s">
        <v>19</v>
      </c>
      <c r="F23" s="28"/>
      <c r="G23" s="29" t="s">
        <v>14</v>
      </c>
      <c r="H23" s="29" t="s">
        <v>14</v>
      </c>
      <c r="I23" s="29"/>
      <c r="J23" s="57" t="s">
        <v>66</v>
      </c>
      <c r="K23" s="57" t="s">
        <v>26</v>
      </c>
      <c r="L23" s="57">
        <v>1</v>
      </c>
      <c r="M23" s="57">
        <v>48</v>
      </c>
      <c r="N23" s="110">
        <v>5.6</v>
      </c>
      <c r="O23" s="36">
        <f t="shared" si="0"/>
        <v>5.6</v>
      </c>
      <c r="P23" s="15"/>
      <c r="Q23" s="16"/>
      <c r="R23" s="60"/>
    </row>
    <row r="24" spans="1:18" ht="15.75" customHeight="1" x14ac:dyDescent="0.25">
      <c r="A24" s="1"/>
      <c r="B24" s="76" t="s">
        <v>97</v>
      </c>
      <c r="C24" s="43" t="s">
        <v>98</v>
      </c>
      <c r="D24" s="50">
        <v>7897512905717</v>
      </c>
      <c r="E24" s="28" t="s">
        <v>19</v>
      </c>
      <c r="F24" s="28"/>
      <c r="G24" s="29" t="s">
        <v>14</v>
      </c>
      <c r="H24" s="29" t="s">
        <v>14</v>
      </c>
      <c r="I24" s="29"/>
      <c r="J24" s="57" t="s">
        <v>66</v>
      </c>
      <c r="K24" s="57" t="s">
        <v>26</v>
      </c>
      <c r="L24" s="57">
        <v>1</v>
      </c>
      <c r="M24" s="57">
        <v>48</v>
      </c>
      <c r="N24" s="110">
        <v>5.6</v>
      </c>
      <c r="O24" s="36">
        <f t="shared" si="0"/>
        <v>5.6</v>
      </c>
      <c r="P24" s="15"/>
      <c r="Q24" s="16"/>
      <c r="R24" s="60"/>
    </row>
    <row r="25" spans="1:18" ht="15.75" customHeight="1" x14ac:dyDescent="0.25">
      <c r="A25" s="1"/>
      <c r="B25" s="76" t="s">
        <v>99</v>
      </c>
      <c r="C25" s="43" t="s">
        <v>100</v>
      </c>
      <c r="D25" s="50">
        <v>7897512900187</v>
      </c>
      <c r="E25" s="28" t="s">
        <v>19</v>
      </c>
      <c r="F25" s="28"/>
      <c r="G25" s="29" t="s">
        <v>14</v>
      </c>
      <c r="H25" s="29" t="s">
        <v>14</v>
      </c>
      <c r="I25" s="29"/>
      <c r="J25" s="57" t="s">
        <v>66</v>
      </c>
      <c r="K25" s="57" t="s">
        <v>26</v>
      </c>
      <c r="L25" s="57">
        <v>1</v>
      </c>
      <c r="M25" s="57">
        <v>48</v>
      </c>
      <c r="N25" s="110">
        <v>5.6</v>
      </c>
      <c r="O25" s="36">
        <f t="shared" si="0"/>
        <v>5.6</v>
      </c>
      <c r="P25" s="15"/>
      <c r="Q25" s="16"/>
      <c r="R25" s="60"/>
    </row>
    <row r="26" spans="1:18" ht="15.75" customHeight="1" x14ac:dyDescent="0.25">
      <c r="A26" s="1"/>
      <c r="B26" s="76" t="s">
        <v>82</v>
      </c>
      <c r="C26" s="43" t="s">
        <v>93</v>
      </c>
      <c r="D26" s="50">
        <v>7897512905564</v>
      </c>
      <c r="E26" s="28" t="s">
        <v>19</v>
      </c>
      <c r="F26" s="28" t="s">
        <v>69</v>
      </c>
      <c r="G26" s="29" t="s">
        <v>14</v>
      </c>
      <c r="H26" s="29" t="s">
        <v>14</v>
      </c>
      <c r="I26" s="29" t="s">
        <v>69</v>
      </c>
      <c r="J26" s="57" t="s">
        <v>66</v>
      </c>
      <c r="K26" s="57" t="s">
        <v>26</v>
      </c>
      <c r="L26" s="57">
        <v>1</v>
      </c>
      <c r="M26" s="57">
        <v>48</v>
      </c>
      <c r="N26" s="133">
        <v>5.15</v>
      </c>
      <c r="O26" s="36">
        <f t="shared" si="0"/>
        <v>5.15</v>
      </c>
      <c r="P26" s="15"/>
      <c r="Q26" s="16"/>
      <c r="R26" s="60"/>
    </row>
    <row r="27" spans="1:18" ht="15.75" customHeight="1" x14ac:dyDescent="0.25">
      <c r="A27" s="1"/>
      <c r="B27" s="76" t="s">
        <v>83</v>
      </c>
      <c r="C27" s="43" t="s">
        <v>94</v>
      </c>
      <c r="D27" s="50">
        <v>7897512904932</v>
      </c>
      <c r="E27" s="28" t="s">
        <v>19</v>
      </c>
      <c r="F27" s="28" t="s">
        <v>69</v>
      </c>
      <c r="G27" s="29" t="s">
        <v>14</v>
      </c>
      <c r="H27" s="29" t="s">
        <v>14</v>
      </c>
      <c r="I27" s="29" t="s">
        <v>69</v>
      </c>
      <c r="J27" s="57" t="s">
        <v>66</v>
      </c>
      <c r="K27" s="57" t="s">
        <v>26</v>
      </c>
      <c r="L27" s="57">
        <v>1</v>
      </c>
      <c r="M27" s="57">
        <v>48</v>
      </c>
      <c r="N27" s="133">
        <v>5.15</v>
      </c>
      <c r="O27" s="36">
        <f t="shared" si="0"/>
        <v>5.15</v>
      </c>
      <c r="P27" s="15"/>
      <c r="Q27" s="16"/>
      <c r="R27" s="60"/>
    </row>
    <row r="28" spans="1:18" ht="15.75" customHeight="1" x14ac:dyDescent="0.25">
      <c r="A28" s="1"/>
      <c r="B28" s="134" t="s">
        <v>110</v>
      </c>
      <c r="C28" s="118" t="s">
        <v>101</v>
      </c>
      <c r="D28" s="119">
        <v>7897512905632</v>
      </c>
      <c r="E28" s="135" t="s">
        <v>19</v>
      </c>
      <c r="F28" s="135"/>
      <c r="G28" s="120" t="s">
        <v>14</v>
      </c>
      <c r="H28" s="120" t="s">
        <v>14</v>
      </c>
      <c r="I28" s="120"/>
      <c r="J28" s="57" t="s">
        <v>66</v>
      </c>
      <c r="K28" s="57" t="s">
        <v>26</v>
      </c>
      <c r="L28" s="121">
        <v>1</v>
      </c>
      <c r="M28" s="121">
        <v>48</v>
      </c>
      <c r="N28" s="133">
        <v>5.15</v>
      </c>
      <c r="O28" s="36">
        <f t="shared" si="0"/>
        <v>5.15</v>
      </c>
      <c r="P28" s="15"/>
      <c r="Q28" s="16"/>
      <c r="R28" s="60"/>
    </row>
    <row r="29" spans="1:18" ht="15.75" customHeight="1" x14ac:dyDescent="0.25">
      <c r="A29" s="1"/>
      <c r="B29" s="77">
        <v>385</v>
      </c>
      <c r="C29" s="40" t="s">
        <v>32</v>
      </c>
      <c r="D29" s="45">
        <v>7897512900385</v>
      </c>
      <c r="E29" s="23" t="s">
        <v>33</v>
      </c>
      <c r="F29" s="23" t="s">
        <v>69</v>
      </c>
      <c r="G29" s="23" t="s">
        <v>14</v>
      </c>
      <c r="H29" s="23" t="s">
        <v>14</v>
      </c>
      <c r="I29" s="23" t="s">
        <v>69</v>
      </c>
      <c r="J29" s="55" t="s">
        <v>66</v>
      </c>
      <c r="K29" s="55" t="s">
        <v>34</v>
      </c>
      <c r="L29" s="55">
        <v>1</v>
      </c>
      <c r="M29" s="55">
        <v>24</v>
      </c>
      <c r="N29" s="110">
        <v>12.9</v>
      </c>
      <c r="O29" s="36">
        <f t="shared" si="0"/>
        <v>12.9</v>
      </c>
      <c r="P29" s="15"/>
      <c r="Q29" s="16"/>
      <c r="R29" s="60"/>
    </row>
    <row r="30" spans="1:18" ht="15.75" customHeight="1" x14ac:dyDescent="0.25">
      <c r="A30" s="1"/>
      <c r="B30" s="70">
        <v>883</v>
      </c>
      <c r="C30" s="41" t="s">
        <v>35</v>
      </c>
      <c r="D30" s="46">
        <v>7897512902365</v>
      </c>
      <c r="E30" s="14" t="s">
        <v>33</v>
      </c>
      <c r="F30" s="14" t="s">
        <v>69</v>
      </c>
      <c r="G30" s="14" t="s">
        <v>14</v>
      </c>
      <c r="H30" s="14" t="s">
        <v>14</v>
      </c>
      <c r="I30" s="14" t="s">
        <v>69</v>
      </c>
      <c r="J30" s="56" t="s">
        <v>66</v>
      </c>
      <c r="K30" s="56" t="s">
        <v>34</v>
      </c>
      <c r="L30" s="56">
        <v>1</v>
      </c>
      <c r="M30" s="56">
        <v>12</v>
      </c>
      <c r="N30" s="111">
        <v>15.3</v>
      </c>
      <c r="O30" s="36">
        <f t="shared" si="0"/>
        <v>15.3</v>
      </c>
      <c r="P30" s="15"/>
      <c r="Q30" s="16"/>
      <c r="R30" s="60"/>
    </row>
    <row r="31" spans="1:18" ht="15.75" customHeight="1" x14ac:dyDescent="0.25">
      <c r="A31" s="1"/>
      <c r="B31" s="70">
        <v>118</v>
      </c>
      <c r="C31" s="41" t="s">
        <v>36</v>
      </c>
      <c r="D31" s="46">
        <v>7897512900118</v>
      </c>
      <c r="E31" s="14" t="s">
        <v>37</v>
      </c>
      <c r="F31" s="14" t="s">
        <v>69</v>
      </c>
      <c r="G31" s="14" t="s">
        <v>14</v>
      </c>
      <c r="H31" s="14" t="s">
        <v>14</v>
      </c>
      <c r="I31" s="14" t="s">
        <v>69</v>
      </c>
      <c r="J31" s="56" t="s">
        <v>66</v>
      </c>
      <c r="K31" s="56" t="s">
        <v>34</v>
      </c>
      <c r="L31" s="56">
        <v>1</v>
      </c>
      <c r="M31" s="56">
        <v>24</v>
      </c>
      <c r="N31" s="111">
        <v>10.9</v>
      </c>
      <c r="O31" s="36">
        <f t="shared" si="0"/>
        <v>10.9</v>
      </c>
      <c r="P31" s="15"/>
      <c r="Q31" s="4"/>
      <c r="R31" s="60"/>
    </row>
    <row r="32" spans="1:18" ht="15.75" customHeight="1" x14ac:dyDescent="0.25">
      <c r="A32" s="1"/>
      <c r="B32" s="70">
        <v>2457</v>
      </c>
      <c r="C32" s="41" t="s">
        <v>76</v>
      </c>
      <c r="D32" s="46">
        <v>7897512902457</v>
      </c>
      <c r="E32" s="14" t="s">
        <v>37</v>
      </c>
      <c r="F32" s="14" t="s">
        <v>69</v>
      </c>
      <c r="G32" s="14" t="s">
        <v>14</v>
      </c>
      <c r="H32" s="14" t="s">
        <v>14</v>
      </c>
      <c r="I32" s="14" t="s">
        <v>69</v>
      </c>
      <c r="J32" s="56" t="s">
        <v>66</v>
      </c>
      <c r="K32" s="56" t="s">
        <v>34</v>
      </c>
      <c r="L32" s="56">
        <v>1</v>
      </c>
      <c r="M32" s="56">
        <v>24</v>
      </c>
      <c r="N32" s="111">
        <v>15.3</v>
      </c>
      <c r="O32" s="36">
        <f t="shared" si="0"/>
        <v>15.3</v>
      </c>
      <c r="P32" s="16"/>
      <c r="R32" s="60"/>
    </row>
    <row r="33" spans="1:18" s="97" customFormat="1" ht="15.75" customHeight="1" x14ac:dyDescent="0.25">
      <c r="A33" s="90"/>
      <c r="B33" s="91">
        <v>5113</v>
      </c>
      <c r="C33" s="92" t="s">
        <v>77</v>
      </c>
      <c r="D33" s="93">
        <v>7897512905113</v>
      </c>
      <c r="E33" s="94" t="s">
        <v>37</v>
      </c>
      <c r="F33" s="94" t="s">
        <v>69</v>
      </c>
      <c r="G33" s="94" t="s">
        <v>14</v>
      </c>
      <c r="H33" s="94" t="s">
        <v>14</v>
      </c>
      <c r="I33" s="94" t="s">
        <v>69</v>
      </c>
      <c r="J33" s="95" t="s">
        <v>66</v>
      </c>
      <c r="K33" s="95" t="s">
        <v>34</v>
      </c>
      <c r="L33" s="95">
        <v>1</v>
      </c>
      <c r="M33" s="95">
        <v>24</v>
      </c>
      <c r="N33" s="111">
        <v>14.1</v>
      </c>
      <c r="O33" s="36">
        <f t="shared" si="0"/>
        <v>14.1</v>
      </c>
      <c r="P33" s="96"/>
      <c r="R33" s="98"/>
    </row>
    <row r="34" spans="1:18" ht="15.75" customHeight="1" x14ac:dyDescent="0.25">
      <c r="A34" s="1"/>
      <c r="B34" s="72">
        <v>1610</v>
      </c>
      <c r="C34" s="38" t="s">
        <v>70</v>
      </c>
      <c r="D34" s="51">
        <v>7897512901610</v>
      </c>
      <c r="E34" s="26" t="s">
        <v>17</v>
      </c>
      <c r="F34" s="26"/>
      <c r="G34" s="14" t="s">
        <v>14</v>
      </c>
      <c r="H34" s="14" t="s">
        <v>14</v>
      </c>
      <c r="I34" s="14"/>
      <c r="J34" s="56" t="s">
        <v>66</v>
      </c>
      <c r="K34" s="17" t="s">
        <v>34</v>
      </c>
      <c r="L34" s="17">
        <v>1</v>
      </c>
      <c r="M34" s="17">
        <v>24</v>
      </c>
      <c r="N34" s="113">
        <v>15.25</v>
      </c>
      <c r="O34" s="36">
        <f t="shared" si="0"/>
        <v>15.25</v>
      </c>
      <c r="P34" s="15"/>
      <c r="Q34" s="4"/>
      <c r="R34" s="60"/>
    </row>
    <row r="35" spans="1:18" ht="15.75" customHeight="1" x14ac:dyDescent="0.25">
      <c r="A35" s="1"/>
      <c r="B35" s="70">
        <v>4390</v>
      </c>
      <c r="C35" s="41" t="s">
        <v>38</v>
      </c>
      <c r="D35" s="46">
        <v>7897512904390</v>
      </c>
      <c r="E35" s="14" t="s">
        <v>39</v>
      </c>
      <c r="F35" s="14" t="s">
        <v>69</v>
      </c>
      <c r="G35" s="14" t="s">
        <v>14</v>
      </c>
      <c r="H35" s="14" t="s">
        <v>44</v>
      </c>
      <c r="I35" s="35">
        <v>3.25</v>
      </c>
      <c r="J35" s="56" t="s">
        <v>66</v>
      </c>
      <c r="K35" s="56" t="s">
        <v>9</v>
      </c>
      <c r="L35" s="56">
        <v>18</v>
      </c>
      <c r="M35" s="56">
        <v>8</v>
      </c>
      <c r="N35" s="111">
        <v>51.2</v>
      </c>
      <c r="O35" s="36">
        <f t="shared" si="0"/>
        <v>2.8444444444444446</v>
      </c>
      <c r="P35" s="15"/>
      <c r="Q35" s="16"/>
      <c r="R35" s="60"/>
    </row>
    <row r="36" spans="1:18" ht="15.75" customHeight="1" x14ac:dyDescent="0.25">
      <c r="A36" s="1"/>
      <c r="B36" s="70">
        <v>832</v>
      </c>
      <c r="C36" s="41" t="s">
        <v>40</v>
      </c>
      <c r="D36" s="46">
        <v>7897512902204</v>
      </c>
      <c r="E36" s="14" t="s">
        <v>41</v>
      </c>
      <c r="F36" s="14" t="s">
        <v>69</v>
      </c>
      <c r="G36" s="14" t="s">
        <v>14</v>
      </c>
      <c r="H36" s="14" t="s">
        <v>14</v>
      </c>
      <c r="I36" s="14" t="s">
        <v>69</v>
      </c>
      <c r="J36" s="56" t="s">
        <v>66</v>
      </c>
      <c r="K36" s="56" t="s">
        <v>9</v>
      </c>
      <c r="L36" s="56">
        <v>20</v>
      </c>
      <c r="M36" s="56">
        <v>8</v>
      </c>
      <c r="N36" s="111">
        <v>44.15</v>
      </c>
      <c r="O36" s="36">
        <f t="shared" si="0"/>
        <v>2.2075</v>
      </c>
      <c r="P36" s="15"/>
      <c r="Q36" s="16"/>
      <c r="R36" s="60"/>
    </row>
    <row r="37" spans="1:18" ht="15.75" customHeight="1" x14ac:dyDescent="0.25">
      <c r="A37" s="1"/>
      <c r="B37" s="70">
        <v>4536</v>
      </c>
      <c r="C37" s="41" t="s">
        <v>42</v>
      </c>
      <c r="D37" s="46">
        <v>7897512904536</v>
      </c>
      <c r="E37" s="14" t="s">
        <v>41</v>
      </c>
      <c r="F37" s="14" t="s">
        <v>69</v>
      </c>
      <c r="G37" s="14" t="s">
        <v>14</v>
      </c>
      <c r="H37" s="14" t="s">
        <v>14</v>
      </c>
      <c r="I37" s="14" t="s">
        <v>69</v>
      </c>
      <c r="J37" s="56" t="s">
        <v>66</v>
      </c>
      <c r="K37" s="56" t="s">
        <v>9</v>
      </c>
      <c r="L37" s="56">
        <v>12</v>
      </c>
      <c r="M37" s="56">
        <v>10</v>
      </c>
      <c r="N37" s="111">
        <v>127.96</v>
      </c>
      <c r="O37" s="36">
        <f t="shared" si="0"/>
        <v>10.663333333333332</v>
      </c>
      <c r="P37" s="15"/>
      <c r="Q37" s="16"/>
      <c r="R37" s="60"/>
    </row>
    <row r="38" spans="1:18" s="131" customFormat="1" ht="15.75" customHeight="1" x14ac:dyDescent="0.25">
      <c r="A38" s="122"/>
      <c r="B38" s="123">
        <v>178</v>
      </c>
      <c r="C38" s="124" t="s">
        <v>88</v>
      </c>
      <c r="D38" s="125">
        <v>7897512902563</v>
      </c>
      <c r="E38" s="126" t="s">
        <v>43</v>
      </c>
      <c r="F38" s="126">
        <v>1709400</v>
      </c>
      <c r="G38" s="126" t="s">
        <v>44</v>
      </c>
      <c r="H38" s="126" t="s">
        <v>14</v>
      </c>
      <c r="I38" s="126" t="s">
        <v>69</v>
      </c>
      <c r="J38" s="127" t="s">
        <v>66</v>
      </c>
      <c r="K38" s="127" t="s">
        <v>9</v>
      </c>
      <c r="L38" s="127">
        <v>24</v>
      </c>
      <c r="M38" s="127">
        <v>8</v>
      </c>
      <c r="N38" s="146">
        <v>36</v>
      </c>
      <c r="O38" s="36">
        <f t="shared" si="0"/>
        <v>1.5</v>
      </c>
      <c r="P38" s="128"/>
      <c r="Q38" s="129"/>
      <c r="R38" s="130"/>
    </row>
    <row r="39" spans="1:18" s="131" customFormat="1" ht="15.75" customHeight="1" x14ac:dyDescent="0.25">
      <c r="A39" s="122"/>
      <c r="B39" s="123">
        <v>364</v>
      </c>
      <c r="C39" s="124" t="s">
        <v>87</v>
      </c>
      <c r="D39" s="125">
        <v>7897512902570</v>
      </c>
      <c r="E39" s="126" t="s">
        <v>43</v>
      </c>
      <c r="F39" s="126">
        <v>1709400</v>
      </c>
      <c r="G39" s="126" t="s">
        <v>44</v>
      </c>
      <c r="H39" s="126" t="s">
        <v>14</v>
      </c>
      <c r="I39" s="126" t="s">
        <v>69</v>
      </c>
      <c r="J39" s="127" t="s">
        <v>66</v>
      </c>
      <c r="K39" s="127" t="s">
        <v>9</v>
      </c>
      <c r="L39" s="127">
        <v>24</v>
      </c>
      <c r="M39" s="127">
        <v>8</v>
      </c>
      <c r="N39" s="146">
        <v>36</v>
      </c>
      <c r="O39" s="36">
        <f t="shared" si="0"/>
        <v>1.5</v>
      </c>
      <c r="P39" s="128"/>
      <c r="Q39" s="129"/>
      <c r="R39" s="130"/>
    </row>
    <row r="40" spans="1:18" ht="15.75" customHeight="1" x14ac:dyDescent="0.25">
      <c r="A40" s="1"/>
      <c r="B40" s="72">
        <v>1088</v>
      </c>
      <c r="C40" s="38" t="s">
        <v>45</v>
      </c>
      <c r="D40" s="51">
        <v>7897512902877</v>
      </c>
      <c r="E40" s="26" t="s">
        <v>46</v>
      </c>
      <c r="F40" s="26" t="s">
        <v>69</v>
      </c>
      <c r="G40" s="14" t="s">
        <v>14</v>
      </c>
      <c r="H40" s="14" t="s">
        <v>14</v>
      </c>
      <c r="I40" s="14" t="s">
        <v>69</v>
      </c>
      <c r="J40" s="56" t="s">
        <v>64</v>
      </c>
      <c r="K40" s="17" t="s">
        <v>34</v>
      </c>
      <c r="L40" s="17">
        <v>1</v>
      </c>
      <c r="M40" s="17">
        <v>24</v>
      </c>
      <c r="N40" s="113">
        <v>17.3</v>
      </c>
      <c r="O40" s="36">
        <f t="shared" si="0"/>
        <v>17.3</v>
      </c>
      <c r="P40" s="15"/>
      <c r="Q40" s="16"/>
      <c r="R40" s="60"/>
    </row>
    <row r="41" spans="1:18" ht="15.75" customHeight="1" x14ac:dyDescent="0.25">
      <c r="A41" s="1"/>
      <c r="B41" s="70">
        <v>2693</v>
      </c>
      <c r="C41" s="41" t="s">
        <v>79</v>
      </c>
      <c r="D41" s="46">
        <v>7897512902693</v>
      </c>
      <c r="E41" s="14" t="s">
        <v>17</v>
      </c>
      <c r="F41" s="14" t="s">
        <v>69</v>
      </c>
      <c r="G41" s="14" t="s">
        <v>14</v>
      </c>
      <c r="H41" s="14" t="s">
        <v>14</v>
      </c>
      <c r="I41" s="14" t="s">
        <v>69</v>
      </c>
      <c r="J41" s="56" t="s">
        <v>66</v>
      </c>
      <c r="K41" s="56" t="s">
        <v>9</v>
      </c>
      <c r="L41" s="56">
        <v>48</v>
      </c>
      <c r="M41" s="56">
        <v>12</v>
      </c>
      <c r="N41" s="111">
        <v>20.7</v>
      </c>
      <c r="O41" s="36">
        <f t="shared" si="0"/>
        <v>0.43124999999999997</v>
      </c>
      <c r="P41" s="15"/>
      <c r="Q41" s="16"/>
      <c r="R41" s="60"/>
    </row>
    <row r="42" spans="1:18" ht="15.75" customHeight="1" x14ac:dyDescent="0.25">
      <c r="A42" s="1" t="s">
        <v>48</v>
      </c>
      <c r="B42" s="78">
        <v>2846</v>
      </c>
      <c r="C42" s="43" t="s">
        <v>47</v>
      </c>
      <c r="D42" s="52">
        <v>7897512902846</v>
      </c>
      <c r="E42" s="29" t="s">
        <v>17</v>
      </c>
      <c r="F42" s="29" t="s">
        <v>69</v>
      </c>
      <c r="G42" s="29" t="s">
        <v>14</v>
      </c>
      <c r="H42" s="29" t="s">
        <v>14</v>
      </c>
      <c r="I42" s="29" t="s">
        <v>69</v>
      </c>
      <c r="J42" s="57" t="s">
        <v>66</v>
      </c>
      <c r="K42" s="57" t="s">
        <v>9</v>
      </c>
      <c r="L42" s="57">
        <v>48</v>
      </c>
      <c r="M42" s="57">
        <v>12</v>
      </c>
      <c r="N42" s="112">
        <v>18.5</v>
      </c>
      <c r="O42" s="36">
        <f t="shared" si="0"/>
        <v>0.38541666666666669</v>
      </c>
      <c r="P42" s="15"/>
      <c r="Q42" s="16"/>
      <c r="R42" s="60"/>
    </row>
    <row r="43" spans="1:18" ht="15.75" customHeight="1" x14ac:dyDescent="0.25">
      <c r="A43" s="1"/>
      <c r="B43" s="117">
        <v>408</v>
      </c>
      <c r="C43" s="118" t="s">
        <v>86</v>
      </c>
      <c r="D43" s="119">
        <v>7897512900408</v>
      </c>
      <c r="E43" s="120" t="s">
        <v>17</v>
      </c>
      <c r="F43" s="120"/>
      <c r="G43" s="120" t="s">
        <v>14</v>
      </c>
      <c r="H43" s="120" t="s">
        <v>14</v>
      </c>
      <c r="I43" s="120" t="s">
        <v>69</v>
      </c>
      <c r="J43" s="121" t="s">
        <v>66</v>
      </c>
      <c r="K43" s="121" t="s">
        <v>34</v>
      </c>
      <c r="L43" s="121">
        <v>1</v>
      </c>
      <c r="M43" s="121">
        <v>24</v>
      </c>
      <c r="N43" s="133">
        <v>5.3</v>
      </c>
      <c r="O43" s="36">
        <f t="shared" si="0"/>
        <v>5.3</v>
      </c>
      <c r="P43" s="15"/>
      <c r="Q43" s="16"/>
      <c r="R43" s="60"/>
    </row>
    <row r="44" spans="1:18" ht="15.75" customHeight="1" x14ac:dyDescent="0.25">
      <c r="A44" s="1"/>
      <c r="B44" s="70">
        <v>873</v>
      </c>
      <c r="C44" s="41" t="s">
        <v>50</v>
      </c>
      <c r="D44" s="46">
        <v>7897512900873</v>
      </c>
      <c r="E44" s="14" t="s">
        <v>49</v>
      </c>
      <c r="F44" s="14" t="s">
        <v>69</v>
      </c>
      <c r="G44" s="14" t="s">
        <v>14</v>
      </c>
      <c r="H44" s="14" t="s">
        <v>14</v>
      </c>
      <c r="I44" s="14" t="s">
        <v>69</v>
      </c>
      <c r="J44" s="56" t="s">
        <v>66</v>
      </c>
      <c r="K44" s="56" t="s">
        <v>34</v>
      </c>
      <c r="L44" s="56">
        <v>1</v>
      </c>
      <c r="M44" s="56">
        <v>30</v>
      </c>
      <c r="N44" s="111">
        <v>13.05</v>
      </c>
      <c r="O44" s="36">
        <f t="shared" si="0"/>
        <v>13.05</v>
      </c>
      <c r="P44" s="15"/>
      <c r="Q44" s="16"/>
      <c r="R44" s="60"/>
    </row>
    <row r="45" spans="1:18" ht="15.75" customHeight="1" x14ac:dyDescent="0.25">
      <c r="A45" s="1"/>
      <c r="B45" s="70">
        <v>125</v>
      </c>
      <c r="C45" s="41" t="s">
        <v>51</v>
      </c>
      <c r="D45" s="46">
        <v>7897512900125</v>
      </c>
      <c r="E45" s="14" t="s">
        <v>49</v>
      </c>
      <c r="F45" s="14" t="s">
        <v>69</v>
      </c>
      <c r="G45" s="14" t="s">
        <v>14</v>
      </c>
      <c r="H45" s="14" t="s">
        <v>14</v>
      </c>
      <c r="I45" s="14" t="s">
        <v>69</v>
      </c>
      <c r="J45" s="56" t="s">
        <v>66</v>
      </c>
      <c r="K45" s="56" t="s">
        <v>52</v>
      </c>
      <c r="L45" s="56">
        <v>1</v>
      </c>
      <c r="M45" s="56">
        <v>4</v>
      </c>
      <c r="N45" s="111">
        <v>89.11</v>
      </c>
      <c r="O45" s="36">
        <f t="shared" si="0"/>
        <v>89.11</v>
      </c>
      <c r="P45" s="15"/>
      <c r="Q45" s="16"/>
      <c r="R45" s="60"/>
    </row>
    <row r="46" spans="1:18" ht="15.75" customHeight="1" x14ac:dyDescent="0.25">
      <c r="A46" s="1"/>
      <c r="B46" s="78">
        <v>460</v>
      </c>
      <c r="C46" s="43" t="s">
        <v>75</v>
      </c>
      <c r="D46" s="52">
        <v>7897512900460</v>
      </c>
      <c r="E46" s="29" t="s">
        <v>49</v>
      </c>
      <c r="F46" s="29" t="s">
        <v>69</v>
      </c>
      <c r="G46" s="29" t="s">
        <v>14</v>
      </c>
      <c r="H46" s="29" t="s">
        <v>14</v>
      </c>
      <c r="I46" s="29" t="s">
        <v>69</v>
      </c>
      <c r="J46" s="57" t="s">
        <v>66</v>
      </c>
      <c r="K46" s="57" t="s">
        <v>34</v>
      </c>
      <c r="L46" s="57">
        <v>20</v>
      </c>
      <c r="M46" s="57">
        <v>8</v>
      </c>
      <c r="N46" s="112">
        <v>72.8</v>
      </c>
      <c r="O46" s="36">
        <f t="shared" si="0"/>
        <v>3.6399999999999997</v>
      </c>
      <c r="P46" s="15"/>
      <c r="Q46" s="16"/>
      <c r="R46" s="60"/>
    </row>
    <row r="47" spans="1:18" ht="15.75" customHeight="1" x14ac:dyDescent="0.25">
      <c r="A47" s="1"/>
      <c r="B47" s="117">
        <v>5700</v>
      </c>
      <c r="C47" s="118" t="s">
        <v>89</v>
      </c>
      <c r="D47" s="119">
        <v>7897512905700</v>
      </c>
      <c r="E47" s="29" t="s">
        <v>49</v>
      </c>
      <c r="F47" s="120"/>
      <c r="G47" s="120" t="s">
        <v>14</v>
      </c>
      <c r="H47" s="120" t="s">
        <v>14</v>
      </c>
      <c r="I47" s="120"/>
      <c r="J47" s="57" t="s">
        <v>66</v>
      </c>
      <c r="K47" s="57" t="s">
        <v>34</v>
      </c>
      <c r="L47" s="121">
        <v>1</v>
      </c>
      <c r="M47" s="121">
        <v>24</v>
      </c>
      <c r="N47" s="133">
        <v>10.15</v>
      </c>
      <c r="O47" s="36">
        <f t="shared" si="0"/>
        <v>10.15</v>
      </c>
      <c r="P47" s="15"/>
      <c r="Q47" s="16"/>
      <c r="R47" s="60"/>
    </row>
    <row r="48" spans="1:18" ht="15.75" customHeight="1" x14ac:dyDescent="0.25">
      <c r="A48" s="1"/>
      <c r="B48" s="117">
        <v>5694</v>
      </c>
      <c r="C48" s="118" t="s">
        <v>90</v>
      </c>
      <c r="D48" s="119">
        <v>7897512905694</v>
      </c>
      <c r="E48" s="29" t="s">
        <v>49</v>
      </c>
      <c r="F48" s="120"/>
      <c r="G48" s="120" t="s">
        <v>14</v>
      </c>
      <c r="H48" s="120" t="s">
        <v>14</v>
      </c>
      <c r="I48" s="120"/>
      <c r="J48" s="57" t="s">
        <v>66</v>
      </c>
      <c r="K48" s="57" t="s">
        <v>34</v>
      </c>
      <c r="L48" s="121">
        <v>1</v>
      </c>
      <c r="M48" s="121">
        <v>24</v>
      </c>
      <c r="N48" s="133">
        <v>10.15</v>
      </c>
      <c r="O48" s="36">
        <f t="shared" si="0"/>
        <v>10.15</v>
      </c>
      <c r="P48" s="15"/>
      <c r="Q48" s="16"/>
      <c r="R48" s="60"/>
    </row>
    <row r="49" spans="1:18" ht="15.75" customHeight="1" x14ac:dyDescent="0.25">
      <c r="A49" s="1"/>
      <c r="B49" s="117">
        <v>5670</v>
      </c>
      <c r="C49" s="118" t="s">
        <v>91</v>
      </c>
      <c r="D49" s="119">
        <v>7897512905670</v>
      </c>
      <c r="E49" s="29" t="s">
        <v>49</v>
      </c>
      <c r="F49" s="120"/>
      <c r="G49" s="120" t="s">
        <v>14</v>
      </c>
      <c r="H49" s="120" t="s">
        <v>14</v>
      </c>
      <c r="I49" s="120"/>
      <c r="J49" s="57" t="s">
        <v>66</v>
      </c>
      <c r="K49" s="57" t="s">
        <v>34</v>
      </c>
      <c r="L49" s="121">
        <v>1</v>
      </c>
      <c r="M49" s="121">
        <v>24</v>
      </c>
      <c r="N49" s="133">
        <v>10.15</v>
      </c>
      <c r="O49" s="36">
        <f t="shared" si="0"/>
        <v>10.15</v>
      </c>
      <c r="P49" s="15"/>
      <c r="Q49" s="16"/>
      <c r="R49" s="60"/>
    </row>
    <row r="50" spans="1:18" ht="15.75" customHeight="1" x14ac:dyDescent="0.25">
      <c r="A50" s="1"/>
      <c r="B50" s="117">
        <v>5663</v>
      </c>
      <c r="C50" s="118" t="s">
        <v>92</v>
      </c>
      <c r="D50" s="119">
        <v>7897512905663</v>
      </c>
      <c r="E50" s="29" t="s">
        <v>49</v>
      </c>
      <c r="F50" s="120"/>
      <c r="G50" s="120" t="s">
        <v>14</v>
      </c>
      <c r="H50" s="120" t="s">
        <v>14</v>
      </c>
      <c r="I50" s="120"/>
      <c r="J50" s="57" t="s">
        <v>66</v>
      </c>
      <c r="K50" s="57" t="s">
        <v>34</v>
      </c>
      <c r="L50" s="121">
        <v>1</v>
      </c>
      <c r="M50" s="121">
        <v>24</v>
      </c>
      <c r="N50" s="133">
        <v>10.15</v>
      </c>
      <c r="O50" s="36">
        <f t="shared" si="0"/>
        <v>10.15</v>
      </c>
      <c r="P50" s="15"/>
      <c r="Q50" s="16"/>
      <c r="R50" s="60"/>
    </row>
    <row r="51" spans="1:18" ht="15.75" customHeight="1" x14ac:dyDescent="0.25">
      <c r="A51" s="1"/>
      <c r="B51" s="71">
        <v>491</v>
      </c>
      <c r="C51" s="37" t="s">
        <v>78</v>
      </c>
      <c r="D51" s="53">
        <v>7897512900491</v>
      </c>
      <c r="E51" s="30" t="s">
        <v>53</v>
      </c>
      <c r="F51" s="30" t="s">
        <v>69</v>
      </c>
      <c r="G51" s="30" t="s">
        <v>14</v>
      </c>
      <c r="H51" s="30" t="s">
        <v>14</v>
      </c>
      <c r="I51" s="30" t="s">
        <v>69</v>
      </c>
      <c r="J51" s="58" t="s">
        <v>66</v>
      </c>
      <c r="K51" s="58" t="s">
        <v>9</v>
      </c>
      <c r="L51" s="58">
        <v>50</v>
      </c>
      <c r="M51" s="58">
        <v>10</v>
      </c>
      <c r="N51" s="114">
        <v>59.7</v>
      </c>
      <c r="O51" s="36">
        <f t="shared" si="0"/>
        <v>1.194</v>
      </c>
      <c r="P51" s="15"/>
      <c r="Q51" s="16"/>
      <c r="R51" s="60"/>
    </row>
    <row r="52" spans="1:18" ht="15.75" customHeight="1" x14ac:dyDescent="0.25">
      <c r="A52" s="1"/>
      <c r="B52" s="72">
        <v>3133</v>
      </c>
      <c r="C52" s="38" t="s">
        <v>55</v>
      </c>
      <c r="D52" s="51">
        <v>7897512903133</v>
      </c>
      <c r="E52" s="26" t="s">
        <v>54</v>
      </c>
      <c r="F52" s="26">
        <v>2001600</v>
      </c>
      <c r="G52" s="26" t="s">
        <v>44</v>
      </c>
      <c r="H52" s="26" t="s">
        <v>14</v>
      </c>
      <c r="I52" s="26" t="s">
        <v>69</v>
      </c>
      <c r="J52" s="17" t="s">
        <v>65</v>
      </c>
      <c r="K52" s="17" t="s">
        <v>9</v>
      </c>
      <c r="L52" s="17">
        <v>25</v>
      </c>
      <c r="M52" s="17">
        <v>20</v>
      </c>
      <c r="N52" s="113">
        <v>55.5</v>
      </c>
      <c r="O52" s="36">
        <f t="shared" si="0"/>
        <v>2.2200000000000002</v>
      </c>
      <c r="P52" s="15"/>
      <c r="Q52" s="16"/>
      <c r="R52" s="60"/>
    </row>
    <row r="53" spans="1:18" ht="15.75" customHeight="1" x14ac:dyDescent="0.25">
      <c r="A53" s="1"/>
      <c r="B53" s="72">
        <v>3515</v>
      </c>
      <c r="C53" s="38" t="s">
        <v>56</v>
      </c>
      <c r="D53" s="51">
        <v>7897512903515</v>
      </c>
      <c r="E53" s="26" t="s">
        <v>53</v>
      </c>
      <c r="F53" s="26" t="s">
        <v>69</v>
      </c>
      <c r="G53" s="26" t="s">
        <v>14</v>
      </c>
      <c r="H53" s="26" t="s">
        <v>14</v>
      </c>
      <c r="I53" s="26" t="s">
        <v>69</v>
      </c>
      <c r="J53" s="17" t="s">
        <v>66</v>
      </c>
      <c r="K53" s="17" t="s">
        <v>9</v>
      </c>
      <c r="L53" s="17">
        <v>25</v>
      </c>
      <c r="M53" s="17">
        <v>20</v>
      </c>
      <c r="N53" s="113">
        <v>35.4</v>
      </c>
      <c r="O53" s="36">
        <f t="shared" si="0"/>
        <v>1.4159999999999999</v>
      </c>
      <c r="P53" s="15"/>
      <c r="Q53" s="16"/>
      <c r="R53" s="60"/>
    </row>
    <row r="54" spans="1:18" ht="15.75" customHeight="1" x14ac:dyDescent="0.25">
      <c r="A54" s="1"/>
      <c r="B54" s="72">
        <v>597</v>
      </c>
      <c r="C54" s="38" t="s">
        <v>57</v>
      </c>
      <c r="D54" s="51">
        <v>7897512901597</v>
      </c>
      <c r="E54" s="26" t="s">
        <v>53</v>
      </c>
      <c r="F54" s="26" t="s">
        <v>69</v>
      </c>
      <c r="G54" s="26" t="s">
        <v>14</v>
      </c>
      <c r="H54" s="26" t="s">
        <v>14</v>
      </c>
      <c r="I54" s="26" t="s">
        <v>69</v>
      </c>
      <c r="J54" s="17" t="s">
        <v>66</v>
      </c>
      <c r="K54" s="17" t="s">
        <v>9</v>
      </c>
      <c r="L54" s="17">
        <v>20</v>
      </c>
      <c r="M54" s="17">
        <v>12</v>
      </c>
      <c r="N54" s="113">
        <v>52.8</v>
      </c>
      <c r="O54" s="36">
        <f t="shared" si="0"/>
        <v>2.6399999999999997</v>
      </c>
      <c r="P54" s="15"/>
      <c r="Q54" s="16"/>
      <c r="R54" s="60"/>
    </row>
    <row r="55" spans="1:18" s="102" customFormat="1" ht="15.75" customHeight="1" x14ac:dyDescent="0.25">
      <c r="A55" s="99"/>
      <c r="B55" s="103">
        <v>546</v>
      </c>
      <c r="C55" s="104" t="s">
        <v>58</v>
      </c>
      <c r="D55" s="105">
        <v>7897512901849</v>
      </c>
      <c r="E55" s="106" t="s">
        <v>54</v>
      </c>
      <c r="F55" s="106">
        <v>2001600</v>
      </c>
      <c r="G55" s="106" t="s">
        <v>44</v>
      </c>
      <c r="H55" s="106" t="s">
        <v>44</v>
      </c>
      <c r="I55" s="106">
        <v>16.5</v>
      </c>
      <c r="J55" s="107" t="s">
        <v>65</v>
      </c>
      <c r="K55" s="107" t="s">
        <v>34</v>
      </c>
      <c r="L55" s="107">
        <v>1</v>
      </c>
      <c r="M55" s="107">
        <v>24</v>
      </c>
      <c r="N55" s="108">
        <v>12.9</v>
      </c>
      <c r="O55" s="36">
        <f t="shared" si="0"/>
        <v>12.9</v>
      </c>
      <c r="P55" s="100"/>
      <c r="Q55" s="109"/>
      <c r="R55" s="101"/>
    </row>
    <row r="56" spans="1:18" ht="15.75" customHeight="1" x14ac:dyDescent="0.25">
      <c r="A56" s="1"/>
      <c r="B56" s="71">
        <v>3416</v>
      </c>
      <c r="C56" s="37" t="s">
        <v>71</v>
      </c>
      <c r="D56" s="53">
        <v>7897512903416</v>
      </c>
      <c r="E56" s="30" t="s">
        <v>53</v>
      </c>
      <c r="F56" s="30" t="s">
        <v>69</v>
      </c>
      <c r="G56" s="30" t="s">
        <v>14</v>
      </c>
      <c r="H56" s="30" t="s">
        <v>14</v>
      </c>
      <c r="I56" s="30" t="s">
        <v>69</v>
      </c>
      <c r="J56" s="58" t="s">
        <v>66</v>
      </c>
      <c r="K56" s="58" t="s">
        <v>34</v>
      </c>
      <c r="L56" s="58">
        <v>1</v>
      </c>
      <c r="M56" s="58">
        <v>24</v>
      </c>
      <c r="N56" s="114">
        <v>2.35</v>
      </c>
      <c r="O56" s="36">
        <f t="shared" si="0"/>
        <v>2.35</v>
      </c>
      <c r="P56" s="15"/>
      <c r="Q56" s="16"/>
      <c r="R56" s="60"/>
    </row>
    <row r="57" spans="1:18" ht="15.75" customHeight="1" x14ac:dyDescent="0.25">
      <c r="A57" s="1"/>
      <c r="B57" s="72">
        <v>3140</v>
      </c>
      <c r="C57" s="38" t="s">
        <v>72</v>
      </c>
      <c r="D57" s="51">
        <v>7897512903140</v>
      </c>
      <c r="E57" s="26" t="s">
        <v>54</v>
      </c>
      <c r="F57" s="26">
        <v>2001600</v>
      </c>
      <c r="G57" s="26" t="s">
        <v>44</v>
      </c>
      <c r="H57" s="26" t="s">
        <v>14</v>
      </c>
      <c r="I57" s="26" t="s">
        <v>69</v>
      </c>
      <c r="J57" s="17" t="s">
        <v>65</v>
      </c>
      <c r="K57" s="17" t="s">
        <v>34</v>
      </c>
      <c r="L57" s="17">
        <v>1</v>
      </c>
      <c r="M57" s="17">
        <v>24</v>
      </c>
      <c r="N57" s="113">
        <v>3.15</v>
      </c>
      <c r="O57" s="36">
        <f t="shared" si="0"/>
        <v>3.15</v>
      </c>
      <c r="P57" s="15"/>
      <c r="Q57" s="16"/>
      <c r="R57" s="60"/>
    </row>
    <row r="58" spans="1:18" ht="15.75" customHeight="1" x14ac:dyDescent="0.25">
      <c r="A58" s="1"/>
      <c r="B58" s="72">
        <v>3072</v>
      </c>
      <c r="C58" s="38" t="s">
        <v>73</v>
      </c>
      <c r="D58" s="51">
        <v>7897512903072</v>
      </c>
      <c r="E58" s="26" t="s">
        <v>54</v>
      </c>
      <c r="F58" s="26">
        <v>2001600</v>
      </c>
      <c r="G58" s="26" t="s">
        <v>44</v>
      </c>
      <c r="H58" s="26" t="s">
        <v>14</v>
      </c>
      <c r="I58" s="26" t="s">
        <v>69</v>
      </c>
      <c r="J58" s="17" t="s">
        <v>65</v>
      </c>
      <c r="K58" s="17" t="s">
        <v>34</v>
      </c>
      <c r="L58" s="17">
        <v>1</v>
      </c>
      <c r="M58" s="17">
        <v>24</v>
      </c>
      <c r="N58" s="113">
        <v>3.8</v>
      </c>
      <c r="O58" s="36">
        <f t="shared" si="0"/>
        <v>3.8</v>
      </c>
      <c r="P58" s="15"/>
      <c r="Q58" s="16"/>
      <c r="R58" s="60"/>
    </row>
    <row r="59" spans="1:18" ht="15.75" customHeight="1" x14ac:dyDescent="0.25">
      <c r="A59" s="1"/>
      <c r="B59" s="73">
        <v>4338</v>
      </c>
      <c r="C59" s="39" t="s">
        <v>74</v>
      </c>
      <c r="D59" s="54">
        <v>7897512904338</v>
      </c>
      <c r="E59" s="27" t="s">
        <v>54</v>
      </c>
      <c r="F59" s="27">
        <v>2001600</v>
      </c>
      <c r="G59" s="27" t="s">
        <v>44</v>
      </c>
      <c r="H59" s="27" t="s">
        <v>14</v>
      </c>
      <c r="I59" s="27" t="s">
        <v>69</v>
      </c>
      <c r="J59" s="59" t="s">
        <v>65</v>
      </c>
      <c r="K59" s="59" t="s">
        <v>34</v>
      </c>
      <c r="L59" s="59">
        <v>1</v>
      </c>
      <c r="M59" s="59">
        <v>24</v>
      </c>
      <c r="N59" s="115">
        <v>5.2</v>
      </c>
      <c r="O59" s="36">
        <f t="shared" si="0"/>
        <v>5.2</v>
      </c>
      <c r="P59" s="15"/>
      <c r="Q59" s="16"/>
      <c r="R59" s="60"/>
    </row>
    <row r="60" spans="1:18" ht="15.75" customHeight="1" x14ac:dyDescent="0.25">
      <c r="A60" s="1"/>
      <c r="B60" s="86">
        <v>3447</v>
      </c>
      <c r="C60" s="83" t="s">
        <v>80</v>
      </c>
      <c r="D60" s="84">
        <v>7897512903447</v>
      </c>
      <c r="E60" s="82" t="s">
        <v>53</v>
      </c>
      <c r="F60" s="82" t="s">
        <v>69</v>
      </c>
      <c r="G60" s="82" t="s">
        <v>14</v>
      </c>
      <c r="H60" s="82" t="s">
        <v>14</v>
      </c>
      <c r="I60" s="82" t="s">
        <v>69</v>
      </c>
      <c r="J60" s="85" t="s">
        <v>66</v>
      </c>
      <c r="K60" s="85" t="s">
        <v>34</v>
      </c>
      <c r="L60" s="85">
        <v>1</v>
      </c>
      <c r="M60" s="85">
        <v>24</v>
      </c>
      <c r="N60" s="116">
        <v>2.95</v>
      </c>
      <c r="O60" s="36">
        <f t="shared" si="0"/>
        <v>2.95</v>
      </c>
      <c r="P60" s="15"/>
      <c r="Q60" s="16"/>
      <c r="R60" s="60"/>
    </row>
    <row r="61" spans="1:18" ht="15.75" customHeight="1" x14ac:dyDescent="0.25">
      <c r="A61" s="1"/>
      <c r="B61" s="138">
        <v>5533</v>
      </c>
      <c r="C61" s="139" t="s">
        <v>103</v>
      </c>
      <c r="D61" s="140">
        <v>7897512905533</v>
      </c>
      <c r="E61" s="27" t="s">
        <v>81</v>
      </c>
      <c r="F61" s="141">
        <v>2000900</v>
      </c>
      <c r="G61" s="142" t="s">
        <v>44</v>
      </c>
      <c r="H61" s="142" t="s">
        <v>44</v>
      </c>
      <c r="I61" s="143">
        <v>14.3</v>
      </c>
      <c r="J61" s="144"/>
      <c r="K61" s="144" t="s">
        <v>34</v>
      </c>
      <c r="L61" s="144">
        <v>1</v>
      </c>
      <c r="M61" s="144">
        <v>24</v>
      </c>
      <c r="N61" s="145">
        <v>3.8</v>
      </c>
      <c r="O61" s="36">
        <f t="shared" si="0"/>
        <v>3.8</v>
      </c>
      <c r="P61" s="15"/>
      <c r="Q61" s="16"/>
      <c r="R61" s="60"/>
    </row>
    <row r="62" spans="1:18" ht="15.75" customHeight="1" x14ac:dyDescent="0.25">
      <c r="A62" s="1"/>
      <c r="B62" s="82">
        <v>5526</v>
      </c>
      <c r="C62" s="83" t="s">
        <v>102</v>
      </c>
      <c r="D62" s="84">
        <v>7897512905526</v>
      </c>
      <c r="E62" s="82" t="s">
        <v>81</v>
      </c>
      <c r="F62" s="136">
        <v>2000900</v>
      </c>
      <c r="G62" s="82" t="s">
        <v>44</v>
      </c>
      <c r="H62" s="82" t="s">
        <v>44</v>
      </c>
      <c r="I62" s="137">
        <v>14.3</v>
      </c>
      <c r="J62" s="85"/>
      <c r="K62" s="85" t="s">
        <v>34</v>
      </c>
      <c r="L62" s="85">
        <v>1</v>
      </c>
      <c r="M62" s="85">
        <v>24</v>
      </c>
      <c r="N62" s="116">
        <v>3.8</v>
      </c>
      <c r="O62" s="36">
        <f t="shared" si="0"/>
        <v>3.8</v>
      </c>
      <c r="P62" s="15"/>
      <c r="Q62" s="16"/>
      <c r="R62" s="60"/>
    </row>
    <row r="63" spans="1:18" ht="15.75" customHeight="1" x14ac:dyDescent="0.25">
      <c r="A63" s="1"/>
      <c r="B63" s="82">
        <v>5847</v>
      </c>
      <c r="C63" s="83" t="s">
        <v>104</v>
      </c>
      <c r="D63" s="84">
        <v>7897512905847</v>
      </c>
      <c r="E63" s="82" t="s">
        <v>81</v>
      </c>
      <c r="F63" s="136">
        <v>2000900</v>
      </c>
      <c r="G63" s="82" t="s">
        <v>44</v>
      </c>
      <c r="H63" s="82" t="s">
        <v>44</v>
      </c>
      <c r="I63" s="137">
        <v>14.3</v>
      </c>
      <c r="J63" s="85" t="s">
        <v>65</v>
      </c>
      <c r="K63" s="85" t="s">
        <v>34</v>
      </c>
      <c r="L63" s="85">
        <v>1</v>
      </c>
      <c r="M63" s="85">
        <v>24</v>
      </c>
      <c r="N63" s="116">
        <v>3.8</v>
      </c>
      <c r="O63" s="36">
        <f t="shared" si="0"/>
        <v>3.8</v>
      </c>
      <c r="P63" s="16"/>
      <c r="Q63" s="60"/>
    </row>
    <row r="64" spans="1:18" ht="15.75" customHeight="1" x14ac:dyDescent="0.25">
      <c r="A64" s="1"/>
      <c r="B64" s="82">
        <v>5854</v>
      </c>
      <c r="C64" s="83" t="s">
        <v>105</v>
      </c>
      <c r="D64" s="84">
        <v>7897512905854</v>
      </c>
      <c r="E64" s="82" t="s">
        <v>81</v>
      </c>
      <c r="F64" s="136">
        <v>2000900</v>
      </c>
      <c r="G64" s="82" t="s">
        <v>44</v>
      </c>
      <c r="H64" s="82" t="s">
        <v>44</v>
      </c>
      <c r="I64" s="137">
        <v>14.3</v>
      </c>
      <c r="J64" s="85" t="s">
        <v>65</v>
      </c>
      <c r="K64" s="85" t="s">
        <v>34</v>
      </c>
      <c r="L64" s="85">
        <v>1</v>
      </c>
      <c r="M64" s="85">
        <v>24</v>
      </c>
      <c r="N64" s="116">
        <v>3.8</v>
      </c>
      <c r="O64" s="36">
        <f t="shared" si="0"/>
        <v>3.8</v>
      </c>
      <c r="P64" s="16"/>
      <c r="Q64" s="60"/>
    </row>
    <row r="65" spans="1:17" ht="15.75" customHeight="1" x14ac:dyDescent="0.25">
      <c r="A65" s="1"/>
      <c r="B65" s="82">
        <v>5885</v>
      </c>
      <c r="C65" s="83" t="s">
        <v>106</v>
      </c>
      <c r="D65" s="84">
        <v>7897512905885</v>
      </c>
      <c r="E65" s="82" t="s">
        <v>81</v>
      </c>
      <c r="F65" s="136">
        <v>2000900</v>
      </c>
      <c r="G65" s="82" t="s">
        <v>44</v>
      </c>
      <c r="H65" s="82" t="s">
        <v>44</v>
      </c>
      <c r="I65" s="137">
        <v>14.3</v>
      </c>
      <c r="J65" s="85" t="s">
        <v>65</v>
      </c>
      <c r="K65" s="85" t="s">
        <v>34</v>
      </c>
      <c r="L65" s="85">
        <v>1</v>
      </c>
      <c r="M65" s="85">
        <v>24</v>
      </c>
      <c r="N65" s="116">
        <v>3.8</v>
      </c>
      <c r="O65" s="36">
        <f t="shared" si="0"/>
        <v>3.8</v>
      </c>
      <c r="P65" s="16"/>
      <c r="Q65" s="60"/>
    </row>
    <row r="66" spans="1:17" ht="15.75" customHeight="1" x14ac:dyDescent="0.25">
      <c r="A66" s="1"/>
      <c r="B66" s="82">
        <v>5878</v>
      </c>
      <c r="C66" s="83" t="s">
        <v>107</v>
      </c>
      <c r="D66" s="84">
        <v>7897512905878</v>
      </c>
      <c r="E66" s="82" t="s">
        <v>81</v>
      </c>
      <c r="F66" s="136">
        <v>2000900</v>
      </c>
      <c r="G66" s="82" t="s">
        <v>44</v>
      </c>
      <c r="H66" s="82" t="s">
        <v>44</v>
      </c>
      <c r="I66" s="137">
        <v>14.3</v>
      </c>
      <c r="J66" s="85" t="s">
        <v>65</v>
      </c>
      <c r="K66" s="85" t="s">
        <v>34</v>
      </c>
      <c r="L66" s="85">
        <v>1</v>
      </c>
      <c r="M66" s="85">
        <v>24</v>
      </c>
      <c r="N66" s="116">
        <v>3.8</v>
      </c>
      <c r="O66" s="36">
        <f t="shared" si="0"/>
        <v>3.8</v>
      </c>
      <c r="P66" s="16"/>
      <c r="Q66" s="60"/>
    </row>
    <row r="67" spans="1:17" ht="15.75" customHeight="1" x14ac:dyDescent="0.25">
      <c r="A67" s="1"/>
      <c r="B67" s="82">
        <v>5861</v>
      </c>
      <c r="C67" s="83" t="s">
        <v>108</v>
      </c>
      <c r="D67" s="84">
        <v>7897512905861</v>
      </c>
      <c r="E67" s="82" t="s">
        <v>81</v>
      </c>
      <c r="F67" s="136">
        <v>2000900</v>
      </c>
      <c r="G67" s="82" t="s">
        <v>44</v>
      </c>
      <c r="H67" s="82" t="s">
        <v>44</v>
      </c>
      <c r="I67" s="137">
        <v>14.3</v>
      </c>
      <c r="J67" s="85" t="s">
        <v>65</v>
      </c>
      <c r="K67" s="85" t="s">
        <v>34</v>
      </c>
      <c r="L67" s="85">
        <v>1</v>
      </c>
      <c r="M67" s="85">
        <v>24</v>
      </c>
      <c r="N67" s="116">
        <v>3.8</v>
      </c>
      <c r="O67" s="36">
        <f t="shared" si="0"/>
        <v>3.8</v>
      </c>
      <c r="P67" s="16"/>
      <c r="Q67" s="60"/>
    </row>
    <row r="68" spans="1:17" ht="15.75" customHeight="1" x14ac:dyDescent="0.25">
      <c r="A68" s="1"/>
      <c r="B68" s="1"/>
      <c r="C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8"/>
      <c r="Q68" s="4"/>
    </row>
    <row r="69" spans="1:17" ht="15.75" customHeight="1" x14ac:dyDescent="0.25">
      <c r="A69" s="1"/>
      <c r="B69" s="1"/>
      <c r="C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8"/>
      <c r="Q69" s="4"/>
    </row>
    <row r="70" spans="1:17" ht="15.75" customHeight="1" x14ac:dyDescent="0.25">
      <c r="A70" s="1"/>
      <c r="B70" s="1"/>
      <c r="C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8"/>
      <c r="Q70" s="4"/>
    </row>
    <row r="71" spans="1:17" ht="15.75" customHeight="1" x14ac:dyDescent="0.25">
      <c r="A71" s="1"/>
      <c r="B71" s="1"/>
      <c r="C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8"/>
      <c r="Q71" s="4"/>
    </row>
    <row r="72" spans="1:17" ht="15.75" customHeight="1" x14ac:dyDescent="0.25">
      <c r="A72" s="1"/>
      <c r="B72" s="1"/>
      <c r="C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8"/>
      <c r="Q72" s="4"/>
    </row>
  </sheetData>
  <mergeCells count="24">
    <mergeCell ref="J9:J10"/>
    <mergeCell ref="E5:J5"/>
    <mergeCell ref="E6:J6"/>
    <mergeCell ref="G9:G10"/>
    <mergeCell ref="D9:D10"/>
    <mergeCell ref="F9:F10"/>
    <mergeCell ref="H9:H10"/>
    <mergeCell ref="E9:E10"/>
    <mergeCell ref="B12:C12"/>
    <mergeCell ref="B9:B10"/>
    <mergeCell ref="C9:C10"/>
    <mergeCell ref="Q9:Q10"/>
    <mergeCell ref="K5:L5"/>
    <mergeCell ref="M5:N5"/>
    <mergeCell ref="M6:N6"/>
    <mergeCell ref="O2:O3"/>
    <mergeCell ref="K9:K10"/>
    <mergeCell ref="L9:L10"/>
    <mergeCell ref="K6:L6"/>
    <mergeCell ref="N2:N3"/>
    <mergeCell ref="M2:M3"/>
    <mergeCell ref="E2:L3"/>
    <mergeCell ref="E4:L4"/>
    <mergeCell ref="I9:I10"/>
  </mergeCells>
  <pageMargins left="0.25" right="0.25" top="0.75" bottom="0.75" header="0" footer="0"/>
  <pageSetup paperSize="9" scale="53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Tognasini</dc:creator>
  <cp:lastModifiedBy>USER</cp:lastModifiedBy>
  <cp:lastPrinted>2025-04-01T20:22:10Z</cp:lastPrinted>
  <dcterms:created xsi:type="dcterms:W3CDTF">2018-08-15T19:51:03Z</dcterms:created>
  <dcterms:modified xsi:type="dcterms:W3CDTF">2026-07-08T14:18:29Z</dcterms:modified>
</cp:coreProperties>
</file>